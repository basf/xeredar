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heets/sheet1.xml" ContentType="application/vnd.openxmlformats-officedocument.spreadsheetml.chartsheet+xml"/>
  <Override PartName="/xl/worksheets/sheet5.xml" ContentType="application/vnd.openxmlformats-officedocument.spreadsheetml.worksheet+xml"/>
  <Override PartName="/xl/worksheets/sheet6.xml" ContentType="application/vnd.openxmlformats-officedocument.spreadsheetml.worksheet+xml"/>
  <Override PartName="/xl/chartsheets/sheet2.xml" ContentType="application/vnd.openxmlformats-officedocument.spreadsheetml.chartsheet+xml"/>
  <Override PartName="/xl/worksheets/sheet7.xml" ContentType="application/vnd.openxmlformats-officedocument.spreadsheetml.worksheet+xml"/>
  <Override PartName="/xl/worksheets/sheet8.xml" ContentType="application/vnd.openxmlformats-officedocument.spreadsheetml.worksheet+xml"/>
  <Override PartName="/xl/chartsheets/sheet3.xml" ContentType="application/vnd.openxmlformats-officedocument.spreadsheetml.chartsheet+xml"/>
  <Override PartName="/xl/worksheets/sheet9.xml" ContentType="application/vnd.openxmlformats-officedocument.spreadsheetml.worksheet+xml"/>
  <Override PartName="/xl/chartsheets/sheet4.xml" ContentType="application/vnd.openxmlformats-officedocument.spreadsheetml.chart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tables/table3.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pivotTables/pivotTable2.xml" ContentType="application/vnd.openxmlformats-officedocument.spreadsheetml.pivotTable+xml"/>
  <Override PartName="/xl/tables/table4.xml" ContentType="application/vnd.openxmlformats-officedocument.spreadsheetml.table+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ml.chartshapes+xml"/>
  <Override PartName="/xl/pivotTables/pivotTable3.xml" ContentType="application/vnd.openxmlformats-officedocument.spreadsheetml.pivotTable+xml"/>
  <Override PartName="/xl/tables/table5.xml" ContentType="application/vnd.openxmlformats-officedocument.spreadsheetml.table+xml"/>
  <Override PartName="/xl/drawings/drawing5.xml" ContentType="application/vnd.openxmlformats-officedocument.drawing+xml"/>
  <Override PartName="/xl/charts/chart3.xml" ContentType="application/vnd.openxmlformats-officedocument.drawingml.chart+xml"/>
  <Override PartName="/xl/drawings/drawing6.xml" ContentType="application/vnd.openxmlformats-officedocument.drawingml.chartshapes+xml"/>
  <Override PartName="/xl/comments1.xml" ContentType="application/vnd.openxmlformats-officedocument.spreadsheetml.comments+xml"/>
  <Override PartName="/xl/drawings/drawing7.xml" ContentType="application/vnd.openxmlformats-officedocument.drawing+xml"/>
  <Override PartName="/xl/charts/chart4.xml" ContentType="application/vnd.openxmlformats-officedocument.drawingml.chart+xml"/>
  <Override PartName="/xl/drawings/drawing8.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tables/table6.xml" ContentType="application/vnd.openxmlformats-officedocument.spreadsheetml.table+xml"/>
  <Override PartName="/xl/drawings/drawing9.xml" ContentType="application/vnd.openxmlformats-officedocument.drawing+xml"/>
  <Override PartName="/xl/charts/chart9.xml" ContentType="application/vnd.openxmlformats-officedocument.drawingml.chart+xml"/>
  <Override PartName="/xl/drawings/drawing10.xml" ContentType="application/vnd.openxmlformats-officedocument.drawingml.chartshapes+xml"/>
  <Override PartName="/xl/charts/chart10.xml" ContentType="application/vnd.openxmlformats-officedocument.drawingml.chart+xml"/>
  <Override PartName="/xl/drawings/drawing11.xml" ContentType="application/vnd.openxmlformats-officedocument.drawingml.chartshapes+xml"/>
  <Override PartName="/xl/charts/chart11.xml" ContentType="application/vnd.openxmlformats-officedocument.drawingml.chart+xml"/>
  <Override PartName="/xl/drawings/drawing12.xml" ContentType="application/vnd.openxmlformats-officedocument.drawingml.chartshapes+xml"/>
  <Override PartName="/xl/charts/chart12.xml" ContentType="application/vnd.openxmlformats-officedocument.drawingml.chart+xml"/>
  <Override PartName="/xl/drawings/drawing13.xml" ContentType="application/vnd.openxmlformats-officedocument.drawingml.chartshapes+xml"/>
  <Override PartName="/xl/drawings/drawing14.xml" ContentType="application/vnd.openxmlformats-officedocument.drawing+xml"/>
  <Override PartName="/xl/charts/chart13.xml" ContentType="application/vnd.openxmlformats-officedocument.drawingml.chart+xml"/>
  <Override PartName="/xl/drawings/drawing15.xml" ContentType="application/vnd.openxmlformats-officedocument.drawingml.chartshapes+xml"/>
  <Override PartName="/xl/charts/chart14.xml" ContentType="application/vnd.openxmlformats-officedocument.drawingml.chart+xml"/>
  <Override PartName="/xl/drawings/drawing16.xml" ContentType="application/vnd.openxmlformats-officedocument.drawingml.chartshapes+xml"/>
  <Override PartName="/xl/charts/chart15.xml" ContentType="application/vnd.openxmlformats-officedocument.drawingml.chart+xml"/>
  <Override PartName="/xl/drawings/drawing17.xml" ContentType="application/vnd.openxmlformats-officedocument.drawingml.chartshapes+xml"/>
  <Override PartName="/xl/charts/chart16.xml" ContentType="application/vnd.openxmlformats-officedocument.drawingml.chart+xml"/>
  <Override PartName="/xl/drawings/drawing18.xml" ContentType="application/vnd.openxmlformats-officedocument.drawingml.chartshapes+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filterPrivacy="1" hidePivotFieldList="1" defaultThemeVersion="124226"/>
  <xr:revisionPtr revIDLastSave="40" documentId="13_ncr:1_{C44E2363-20A4-48E7-AC2E-5F160C2E4EA7}" xr6:coauthVersionLast="47" xr6:coauthVersionMax="47" xr10:uidLastSave="{E86FD492-5508-4F7C-B69D-B0FD9C07EF00}"/>
  <bookViews>
    <workbookView xWindow="-120" yWindow="-120" windowWidth="51840" windowHeight="21240" activeTab="9" xr2:uid="{00000000-000D-0000-FFFF-FFFF00000000}"/>
  </bookViews>
  <sheets>
    <sheet name="Page de garde" sheetId="10" r:id="rId1"/>
    <sheet name="Feuil1" sheetId="39" r:id="rId2"/>
    <sheet name="Raw data R1" sheetId="35" r:id="rId3"/>
    <sheet name="R1" sheetId="1" r:id="rId4"/>
    <sheet name="Graph R1" sheetId="8" r:id="rId5"/>
    <sheet name="Raw data R2" sheetId="36" r:id="rId6"/>
    <sheet name="R2" sheetId="23" r:id="rId7"/>
    <sheet name="Graph R2" sheetId="19" r:id="rId8"/>
    <sheet name="Raw data R3" sheetId="37" r:id="rId9"/>
    <sheet name="R3" sheetId="33" r:id="rId10"/>
    <sheet name="Graph R3" sheetId="34" r:id="rId11"/>
    <sheet name="pooled normalised values" sheetId="4" r:id="rId12"/>
    <sheet name="pooled normalised graphe" sheetId="5" r:id="rId13"/>
    <sheet name="summary results" sheetId="22" r:id="rId14"/>
    <sheet name="Notice" sheetId="38" r:id="rId15"/>
    <sheet name="Graph format rapport CHG" sheetId="12" r:id="rId16"/>
    <sheet name="Graph format rapport CHG 1éch" sheetId="27" r:id="rId17"/>
    <sheet name="Récap" sheetId="28" r:id="rId18"/>
  </sheets>
  <externalReferences>
    <externalReference r:id="rId19"/>
    <externalReference r:id="rId20"/>
  </externalReferences>
  <definedNames>
    <definedName name="_xlnm.Print_Area" localSheetId="0">'Page de garde'!$A$1:$I$52</definedName>
  </definedNames>
  <calcPr calcId="191029"/>
  <pivotCaches>
    <pivotCache cacheId="0" r:id="rId21"/>
    <pivotCache cacheId="1" r:id="rId22"/>
    <pivotCache cacheId="2" r:id="rId23"/>
    <pivotCache cacheId="3" r:id="rId2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0" i="10" l="1"/>
  <c r="A21" i="10"/>
  <c r="A22" i="10"/>
  <c r="N78" i="4"/>
  <c r="A1011" i="37" l="1"/>
  <c r="B1011" i="37"/>
  <c r="A1012" i="37"/>
  <c r="B1012" i="37"/>
  <c r="A1013" i="37"/>
  <c r="B1013" i="37"/>
  <c r="A1014" i="37"/>
  <c r="B1014" i="37"/>
  <c r="A1015" i="37"/>
  <c r="B1015" i="37"/>
  <c r="A1016" i="37"/>
  <c r="B1016" i="37"/>
  <c r="A1017" i="37"/>
  <c r="B1017" i="37"/>
  <c r="A1018" i="37"/>
  <c r="B1018" i="37"/>
  <c r="A1019" i="37"/>
  <c r="B1019" i="37"/>
  <c r="A1020" i="37"/>
  <c r="B1020" i="37"/>
  <c r="A1021" i="37"/>
  <c r="B1021" i="37"/>
  <c r="A1022" i="37"/>
  <c r="B1022" i="37"/>
  <c r="A1023" i="37"/>
  <c r="B1023" i="37"/>
  <c r="A1024" i="37"/>
  <c r="B1024" i="37"/>
  <c r="A1025" i="37"/>
  <c r="B1025" i="37"/>
  <c r="A1026" i="37"/>
  <c r="B1026" i="37"/>
  <c r="A1027" i="37"/>
  <c r="B1027" i="37"/>
  <c r="A1028" i="37"/>
  <c r="B1028" i="37"/>
  <c r="A1029" i="37"/>
  <c r="B1029" i="37"/>
  <c r="A1030" i="37"/>
  <c r="B1030" i="37"/>
  <c r="A1031" i="37"/>
  <c r="B1031" i="37"/>
  <c r="A1032" i="37"/>
  <c r="B1032" i="37"/>
  <c r="A1033" i="37"/>
  <c r="B1033" i="37"/>
  <c r="A1034" i="37"/>
  <c r="B1034" i="37"/>
  <c r="A1035" i="37"/>
  <c r="B1035" i="37"/>
  <c r="A1036" i="37"/>
  <c r="B1036" i="37"/>
  <c r="A1037" i="37"/>
  <c r="B1037" i="37"/>
  <c r="A1038" i="37"/>
  <c r="B1038" i="37"/>
  <c r="A1039" i="37"/>
  <c r="B1039" i="37"/>
  <c r="A1040" i="37"/>
  <c r="B1040" i="37"/>
  <c r="A1041" i="37"/>
  <c r="B1041" i="37"/>
  <c r="A1042" i="37"/>
  <c r="B1042" i="37"/>
  <c r="A1043" i="37"/>
  <c r="B1043" i="37"/>
  <c r="A1044" i="37"/>
  <c r="B1044" i="37"/>
  <c r="A1045" i="37"/>
  <c r="B1045" i="37"/>
  <c r="A1046" i="37"/>
  <c r="B1046" i="37"/>
  <c r="A1047" i="37"/>
  <c r="B1047" i="37"/>
  <c r="A1048" i="37"/>
  <c r="B1048" i="37"/>
  <c r="A1049" i="37"/>
  <c r="B1049" i="37"/>
  <c r="A1050" i="37"/>
  <c r="B1050" i="37"/>
  <c r="A1051" i="37"/>
  <c r="B1051" i="37"/>
  <c r="A1052" i="37"/>
  <c r="B1052" i="37"/>
  <c r="A1053" i="37"/>
  <c r="B1053" i="37"/>
  <c r="A1054" i="37"/>
  <c r="B1054" i="37"/>
  <c r="A1055" i="37"/>
  <c r="B1055" i="37"/>
  <c r="A1056" i="37"/>
  <c r="B1056" i="37"/>
  <c r="A1057" i="37"/>
  <c r="B1057" i="37"/>
  <c r="A1058" i="37"/>
  <c r="B1058" i="37"/>
  <c r="A1059" i="37"/>
  <c r="B1059" i="37"/>
  <c r="A1060" i="37"/>
  <c r="B1060" i="37"/>
  <c r="A1061" i="37"/>
  <c r="B1061" i="37"/>
  <c r="A1062" i="37"/>
  <c r="B1062" i="37"/>
  <c r="A1063" i="37"/>
  <c r="B1063" i="37"/>
  <c r="A1064" i="37"/>
  <c r="B1064" i="37"/>
  <c r="A1065" i="37"/>
  <c r="B1065" i="37"/>
  <c r="A1066" i="37"/>
  <c r="B1066" i="37"/>
  <c r="A1067" i="37"/>
  <c r="B1067" i="37"/>
  <c r="A1068" i="37"/>
  <c r="B1068" i="37"/>
  <c r="A1069" i="37"/>
  <c r="B1069" i="37"/>
  <c r="A1070" i="37"/>
  <c r="B1070" i="37"/>
  <c r="A1071" i="37"/>
  <c r="B1071" i="37"/>
  <c r="A1072" i="37"/>
  <c r="B1072" i="37"/>
  <c r="A1073" i="37"/>
  <c r="B1073" i="37"/>
  <c r="A1074" i="37"/>
  <c r="B1074" i="37"/>
  <c r="A1075" i="37"/>
  <c r="B1075" i="37"/>
  <c r="A1076" i="37"/>
  <c r="B1076" i="37"/>
  <c r="A1077" i="37"/>
  <c r="B1077" i="37"/>
  <c r="A1078" i="37"/>
  <c r="B1078" i="37"/>
  <c r="A1079" i="37"/>
  <c r="B1079" i="37"/>
  <c r="A1080" i="37"/>
  <c r="B1080" i="37"/>
  <c r="A1081" i="37"/>
  <c r="B1081" i="37"/>
  <c r="A1082" i="37"/>
  <c r="B1082" i="37"/>
  <c r="A1083" i="37"/>
  <c r="B1083" i="37"/>
  <c r="A1084" i="37"/>
  <c r="B1084" i="37"/>
  <c r="A1085" i="37"/>
  <c r="B1085" i="37"/>
  <c r="A1086" i="37"/>
  <c r="B1086" i="37"/>
  <c r="A1087" i="37"/>
  <c r="B1087" i="37"/>
  <c r="A1088" i="37"/>
  <c r="B1088" i="37"/>
  <c r="A1089" i="37"/>
  <c r="B1089" i="37"/>
  <c r="A1090" i="37"/>
  <c r="B1090" i="37"/>
  <c r="A1091" i="37"/>
  <c r="B1091" i="37"/>
  <c r="A1092" i="37"/>
  <c r="B1092" i="37"/>
  <c r="A1093" i="37"/>
  <c r="B1093" i="37"/>
  <c r="A1094" i="37"/>
  <c r="B1094" i="37"/>
  <c r="A1095" i="37"/>
  <c r="B1095" i="37"/>
  <c r="A1096" i="37"/>
  <c r="B1096" i="37"/>
  <c r="A1097" i="37"/>
  <c r="B1097" i="37"/>
  <c r="A1098" i="37"/>
  <c r="B1098" i="37"/>
  <c r="A1099" i="37"/>
  <c r="B1099" i="37"/>
  <c r="A1100" i="37"/>
  <c r="B1100" i="37"/>
  <c r="A1101" i="37"/>
  <c r="B1101" i="37"/>
  <c r="A1102" i="37"/>
  <c r="B1102" i="37"/>
  <c r="A1103" i="37"/>
  <c r="B1103" i="37"/>
  <c r="A1104" i="37"/>
  <c r="B1104" i="37"/>
  <c r="A1105" i="37"/>
  <c r="B1105" i="37"/>
  <c r="A1106" i="37"/>
  <c r="B1106" i="37"/>
  <c r="A1107" i="37"/>
  <c r="B1107" i="37"/>
  <c r="A1108" i="37"/>
  <c r="B1108" i="37"/>
  <c r="A1109" i="37"/>
  <c r="B1109" i="37"/>
  <c r="A1110" i="37"/>
  <c r="B1110" i="37"/>
  <c r="A1111" i="37"/>
  <c r="B1111" i="37"/>
  <c r="A1112" i="37"/>
  <c r="B1112" i="37"/>
  <c r="A1113" i="37"/>
  <c r="B1113" i="37"/>
  <c r="A1114" i="37"/>
  <c r="B1114" i="37"/>
  <c r="A1115" i="37"/>
  <c r="B1115" i="37"/>
  <c r="A1116" i="37"/>
  <c r="B1116" i="37"/>
  <c r="A1117" i="37"/>
  <c r="B1117" i="37"/>
  <c r="A1118" i="37"/>
  <c r="B1118" i="37"/>
  <c r="A1119" i="37"/>
  <c r="B1119" i="37"/>
  <c r="A1120" i="37"/>
  <c r="B1120" i="37"/>
  <c r="A1121" i="37"/>
  <c r="B1121" i="37"/>
  <c r="A1122" i="37"/>
  <c r="B1122" i="37"/>
  <c r="A1123" i="37"/>
  <c r="B1123" i="37"/>
  <c r="A1124" i="37"/>
  <c r="B1124" i="37"/>
  <c r="A1125" i="37"/>
  <c r="B1125" i="37"/>
  <c r="A1126" i="37"/>
  <c r="B1126" i="37"/>
  <c r="A1127" i="37"/>
  <c r="B1127" i="37"/>
  <c r="A1128" i="37"/>
  <c r="B1128" i="37"/>
  <c r="A1129" i="37"/>
  <c r="B1129" i="37"/>
  <c r="A1130" i="37"/>
  <c r="B1130" i="37"/>
  <c r="A1131" i="37"/>
  <c r="B1131" i="37"/>
  <c r="A1132" i="37"/>
  <c r="B1132" i="37"/>
  <c r="A1133" i="37"/>
  <c r="B1133" i="37"/>
  <c r="A1134" i="37"/>
  <c r="B1134" i="37"/>
  <c r="A1135" i="37"/>
  <c r="B1135" i="37"/>
  <c r="A1136" i="37"/>
  <c r="B1136" i="37"/>
  <c r="A1137" i="37"/>
  <c r="B1137" i="37"/>
  <c r="A1138" i="37"/>
  <c r="B1138" i="37"/>
  <c r="A1139" i="37"/>
  <c r="B1139" i="37"/>
  <c r="A1140" i="37"/>
  <c r="B1140" i="37"/>
  <c r="A1141" i="37"/>
  <c r="B1141" i="37"/>
  <c r="A1142" i="37"/>
  <c r="B1142" i="37"/>
  <c r="A1143" i="37"/>
  <c r="B1143" i="37"/>
  <c r="A1144" i="37"/>
  <c r="B1144" i="37"/>
  <c r="A1145" i="37"/>
  <c r="B1145" i="37"/>
  <c r="A1146" i="37"/>
  <c r="B1146" i="37"/>
  <c r="A1147" i="37"/>
  <c r="B1147" i="37"/>
  <c r="A1148" i="37"/>
  <c r="B1148" i="37"/>
  <c r="A1149" i="37"/>
  <c r="B1149" i="37"/>
  <c r="A1150" i="37"/>
  <c r="B1150" i="37"/>
  <c r="A1151" i="37"/>
  <c r="B1151" i="37"/>
  <c r="A1152" i="37"/>
  <c r="B1152" i="37"/>
  <c r="A1153" i="37"/>
  <c r="B1153" i="37"/>
  <c r="A1154" i="37"/>
  <c r="B1154" i="37"/>
  <c r="A1155" i="37"/>
  <c r="B1155" i="37"/>
  <c r="A1156" i="37"/>
  <c r="B1156" i="37"/>
  <c r="A1157" i="37"/>
  <c r="B1157" i="37"/>
  <c r="A1158" i="37"/>
  <c r="B1158" i="37"/>
  <c r="A1159" i="37"/>
  <c r="B1159" i="37"/>
  <c r="A1160" i="37"/>
  <c r="B1160" i="37"/>
  <c r="A1161" i="37"/>
  <c r="B1161" i="37"/>
  <c r="A1162" i="37"/>
  <c r="B1162" i="37"/>
  <c r="A1163" i="37"/>
  <c r="B1163" i="37"/>
  <c r="A1164" i="37"/>
  <c r="B1164" i="37"/>
  <c r="A1165" i="37"/>
  <c r="B1165" i="37"/>
  <c r="A1166" i="37"/>
  <c r="B1166" i="37"/>
  <c r="A1167" i="37"/>
  <c r="B1167" i="37"/>
  <c r="A1168" i="37"/>
  <c r="B1168" i="37"/>
  <c r="A1169" i="37"/>
  <c r="B1169" i="37"/>
  <c r="A1170" i="37"/>
  <c r="B1170" i="37"/>
  <c r="A1171" i="37"/>
  <c r="B1171" i="37"/>
  <c r="A1172" i="37"/>
  <c r="B1172" i="37"/>
  <c r="A1173" i="37"/>
  <c r="B1173" i="37"/>
  <c r="A1174" i="37"/>
  <c r="B1174" i="37"/>
  <c r="A1175" i="37"/>
  <c r="B1175" i="37"/>
  <c r="A1176" i="37"/>
  <c r="B1176" i="37"/>
  <c r="A1177" i="37"/>
  <c r="B1177" i="37"/>
  <c r="A1178" i="37"/>
  <c r="B1178" i="37"/>
  <c r="A1179" i="37"/>
  <c r="B1179" i="37"/>
  <c r="A1180" i="37"/>
  <c r="B1180" i="37"/>
  <c r="A1181" i="37"/>
  <c r="B1181" i="37"/>
  <c r="A1182" i="37"/>
  <c r="B1182" i="37"/>
  <c r="A1183" i="37"/>
  <c r="B1183" i="37"/>
  <c r="A1184" i="37"/>
  <c r="B1184" i="37"/>
  <c r="A1185" i="37"/>
  <c r="B1185" i="37"/>
  <c r="A1186" i="37"/>
  <c r="B1186" i="37"/>
  <c r="A1187" i="37"/>
  <c r="B1187" i="37"/>
  <c r="A1188" i="37"/>
  <c r="B1188" i="37"/>
  <c r="A1189" i="37"/>
  <c r="B1189" i="37"/>
  <c r="A1190" i="37"/>
  <c r="B1190" i="37"/>
  <c r="A1191" i="37"/>
  <c r="B1191" i="37"/>
  <c r="A1192" i="37"/>
  <c r="B1192" i="37"/>
  <c r="A1193" i="37"/>
  <c r="B1193" i="37"/>
  <c r="A1194" i="37"/>
  <c r="B1194" i="37"/>
  <c r="A1195" i="37"/>
  <c r="B1195" i="37"/>
  <c r="A1196" i="37"/>
  <c r="B1196" i="37"/>
  <c r="A1197" i="37"/>
  <c r="B1197" i="37"/>
  <c r="A1198" i="37"/>
  <c r="B1198" i="37"/>
  <c r="A1199" i="37"/>
  <c r="B1199" i="37"/>
  <c r="A1200" i="37"/>
  <c r="B1200" i="37"/>
  <c r="A1201" i="37"/>
  <c r="B1201" i="37"/>
  <c r="A1202" i="37"/>
  <c r="B1202" i="37"/>
  <c r="A1203" i="37"/>
  <c r="B1203" i="37"/>
  <c r="A1204" i="37"/>
  <c r="B1204" i="37"/>
  <c r="A1205" i="37"/>
  <c r="B1205" i="37"/>
  <c r="A1206" i="37"/>
  <c r="B1206" i="37"/>
  <c r="A1207" i="37"/>
  <c r="B1207" i="37"/>
  <c r="A1208" i="37"/>
  <c r="B1208" i="37"/>
  <c r="A1209" i="37"/>
  <c r="B1209" i="37"/>
  <c r="A1210" i="37"/>
  <c r="B1210" i="37"/>
  <c r="A1211" i="37"/>
  <c r="B1211" i="37"/>
  <c r="A1212" i="37"/>
  <c r="B1212" i="37"/>
  <c r="A1213" i="37"/>
  <c r="B1213" i="37"/>
  <c r="A1214" i="37"/>
  <c r="B1214" i="37"/>
  <c r="A1215" i="37"/>
  <c r="B1215" i="37"/>
  <c r="A1216" i="37"/>
  <c r="B1216" i="37"/>
  <c r="A1217" i="37"/>
  <c r="B1217" i="37"/>
  <c r="A1218" i="37"/>
  <c r="B1218" i="37"/>
  <c r="A1219" i="37"/>
  <c r="B1219" i="37"/>
  <c r="A1220" i="37"/>
  <c r="B1220" i="37"/>
  <c r="A1221" i="37"/>
  <c r="B1221" i="37"/>
  <c r="A1222" i="37"/>
  <c r="B1222" i="37"/>
  <c r="A1223" i="37"/>
  <c r="B1223" i="37"/>
  <c r="A1224" i="37"/>
  <c r="B1224" i="37"/>
  <c r="A1225" i="37"/>
  <c r="B1225" i="37"/>
  <c r="A1226" i="37"/>
  <c r="B1226" i="37"/>
  <c r="A1227" i="37"/>
  <c r="B1227" i="37"/>
  <c r="A1228" i="37"/>
  <c r="B1228" i="37"/>
  <c r="A1229" i="37"/>
  <c r="B1229" i="37"/>
  <c r="A1230" i="37"/>
  <c r="B1230" i="37"/>
  <c r="A1231" i="37"/>
  <c r="B1231" i="37"/>
  <c r="A1232" i="37"/>
  <c r="B1232" i="37"/>
  <c r="A1233" i="37"/>
  <c r="B1233" i="37"/>
  <c r="A1234" i="37"/>
  <c r="B1234" i="37"/>
  <c r="A1235" i="37"/>
  <c r="B1235" i="37"/>
  <c r="A1236" i="37"/>
  <c r="B1236" i="37"/>
  <c r="A1237" i="37"/>
  <c r="B1237" i="37"/>
  <c r="A1238" i="37"/>
  <c r="B1238" i="37"/>
  <c r="A1239" i="37"/>
  <c r="B1239" i="37"/>
  <c r="A1240" i="37"/>
  <c r="B1240" i="37"/>
  <c r="A1241" i="37"/>
  <c r="B1241" i="37"/>
  <c r="A1242" i="37"/>
  <c r="B1242" i="37"/>
  <c r="A1243" i="37"/>
  <c r="B1243" i="37"/>
  <c r="A1244" i="37"/>
  <c r="B1244" i="37"/>
  <c r="A1245" i="37"/>
  <c r="B1245" i="37"/>
  <c r="A1246" i="37"/>
  <c r="B1246" i="37"/>
  <c r="A1247" i="37"/>
  <c r="B1247" i="37"/>
  <c r="A1248" i="37"/>
  <c r="B1248" i="37"/>
  <c r="A1249" i="37"/>
  <c r="B1249" i="37"/>
  <c r="A1250" i="37"/>
  <c r="B1250" i="37"/>
  <c r="A1251" i="37"/>
  <c r="B1251" i="37"/>
  <c r="A1252" i="37"/>
  <c r="B1252" i="37"/>
  <c r="A1253" i="37"/>
  <c r="B1253" i="37"/>
  <c r="A1254" i="37"/>
  <c r="B1254" i="37"/>
  <c r="A1255" i="37"/>
  <c r="B1255" i="37"/>
  <c r="A1256" i="37"/>
  <c r="B1256" i="37"/>
  <c r="A1257" i="37"/>
  <c r="B1257" i="37"/>
  <c r="A1258" i="37"/>
  <c r="B1258" i="37"/>
  <c r="A1259" i="37"/>
  <c r="B1259" i="37"/>
  <c r="A1260" i="37"/>
  <c r="B1260" i="37"/>
  <c r="A1261" i="37"/>
  <c r="B1261" i="37"/>
  <c r="A1262" i="37"/>
  <c r="B1262" i="37"/>
  <c r="A1263" i="37"/>
  <c r="B1263" i="37"/>
  <c r="A1264" i="37"/>
  <c r="B1264" i="37"/>
  <c r="A1265" i="37"/>
  <c r="B1265" i="37"/>
  <c r="A1266" i="37"/>
  <c r="B1266" i="37"/>
  <c r="A1267" i="37"/>
  <c r="B1267" i="37"/>
  <c r="A1268" i="37"/>
  <c r="B1268" i="37"/>
  <c r="A1269" i="37"/>
  <c r="B1269" i="37"/>
  <c r="A1270" i="37"/>
  <c r="B1270" i="37"/>
  <c r="A1271" i="37"/>
  <c r="B1271" i="37"/>
  <c r="A1272" i="37"/>
  <c r="B1272" i="37"/>
  <c r="A1273" i="37"/>
  <c r="B1273" i="37"/>
  <c r="A1274" i="37"/>
  <c r="B1274" i="37"/>
  <c r="A1275" i="37"/>
  <c r="B1275" i="37"/>
  <c r="A1276" i="37"/>
  <c r="B1276" i="37"/>
  <c r="A1277" i="37"/>
  <c r="B1277" i="37"/>
  <c r="A1278" i="37"/>
  <c r="B1278" i="37"/>
  <c r="A1279" i="37"/>
  <c r="B1279" i="37"/>
  <c r="A1280" i="37"/>
  <c r="B1280" i="37"/>
  <c r="A1281" i="37"/>
  <c r="B1281" i="37"/>
  <c r="A1282" i="37"/>
  <c r="B1282" i="37"/>
  <c r="A1283" i="37"/>
  <c r="B1283" i="37"/>
  <c r="A1284" i="37"/>
  <c r="B1284" i="37"/>
  <c r="A1285" i="37"/>
  <c r="B1285" i="37"/>
  <c r="A1286" i="37"/>
  <c r="B1286" i="37"/>
  <c r="A1287" i="37"/>
  <c r="B1287" i="37"/>
  <c r="A1288" i="37"/>
  <c r="B1288" i="37"/>
  <c r="A1289" i="37"/>
  <c r="B1289" i="37"/>
  <c r="A1290" i="37"/>
  <c r="B1290" i="37"/>
  <c r="A1291" i="37"/>
  <c r="B1291" i="37"/>
  <c r="A1292" i="37"/>
  <c r="B1292" i="37"/>
  <c r="A1293" i="37"/>
  <c r="B1293" i="37"/>
  <c r="A1294" i="37"/>
  <c r="B1294" i="37"/>
  <c r="A1295" i="37"/>
  <c r="B1295" i="37"/>
  <c r="A1296" i="37"/>
  <c r="B1296" i="37"/>
  <c r="A1297" i="37"/>
  <c r="B1297" i="37"/>
  <c r="A1298" i="37"/>
  <c r="B1298" i="37"/>
  <c r="A1299" i="37"/>
  <c r="B1299" i="37"/>
  <c r="A1300" i="37"/>
  <c r="B1300" i="37"/>
  <c r="A1301" i="37"/>
  <c r="B1301" i="37"/>
  <c r="A1302" i="37"/>
  <c r="B1302" i="37"/>
  <c r="A1303" i="37"/>
  <c r="B1303" i="37"/>
  <c r="A1304" i="37"/>
  <c r="B1304" i="37"/>
  <c r="A1305" i="37"/>
  <c r="B1305" i="37"/>
  <c r="A1306" i="37"/>
  <c r="B1306" i="37"/>
  <c r="A1307" i="37"/>
  <c r="B1307" i="37"/>
  <c r="A1308" i="37"/>
  <c r="B1308" i="37"/>
  <c r="A1309" i="37"/>
  <c r="B1309" i="37"/>
  <c r="A1310" i="37"/>
  <c r="B1310" i="37"/>
  <c r="A1311" i="37"/>
  <c r="B1311" i="37"/>
  <c r="A1312" i="37"/>
  <c r="B1312" i="37"/>
  <c r="A1313" i="37"/>
  <c r="B1313" i="37"/>
  <c r="A1314" i="37"/>
  <c r="B1314" i="37"/>
  <c r="A1315" i="37"/>
  <c r="B1315" i="37"/>
  <c r="A1316" i="37"/>
  <c r="B1316" i="37"/>
  <c r="A1317" i="37"/>
  <c r="B1317" i="37"/>
  <c r="A1318" i="37"/>
  <c r="B1318" i="37"/>
  <c r="A1319" i="37"/>
  <c r="B1319" i="37"/>
  <c r="A1320" i="37"/>
  <c r="B1320" i="37"/>
  <c r="A1321" i="37"/>
  <c r="B1321" i="37"/>
  <c r="A1322" i="37"/>
  <c r="B1322" i="37"/>
  <c r="A1323" i="37"/>
  <c r="B1323" i="37"/>
  <c r="A1324" i="37"/>
  <c r="B1324" i="37"/>
  <c r="A1325" i="37"/>
  <c r="B1325" i="37"/>
  <c r="A1326" i="37"/>
  <c r="B1326" i="37"/>
  <c r="A1327" i="37"/>
  <c r="B1327" i="37"/>
  <c r="A1328" i="37"/>
  <c r="B1328" i="37"/>
  <c r="A1329" i="37"/>
  <c r="B1329" i="37"/>
  <c r="A1330" i="37"/>
  <c r="B1330" i="37"/>
  <c r="A1331" i="37"/>
  <c r="B1331" i="37"/>
  <c r="A1332" i="37"/>
  <c r="B1332" i="37"/>
  <c r="A1333" i="37"/>
  <c r="B1333" i="37"/>
  <c r="A1334" i="37"/>
  <c r="B1334" i="37"/>
  <c r="A1335" i="37"/>
  <c r="B1335" i="37"/>
  <c r="A1336" i="37"/>
  <c r="B1336" i="37"/>
  <c r="A1337" i="37"/>
  <c r="B1337" i="37"/>
  <c r="A1338" i="37"/>
  <c r="B1338" i="37"/>
  <c r="A1339" i="37"/>
  <c r="B1339" i="37"/>
  <c r="A1340" i="37"/>
  <c r="B1340" i="37"/>
  <c r="A1341" i="37"/>
  <c r="B1341" i="37"/>
  <c r="A1342" i="37"/>
  <c r="B1342" i="37"/>
  <c r="A1343" i="37"/>
  <c r="B1343" i="37"/>
  <c r="A1344" i="37"/>
  <c r="B1344" i="37"/>
  <c r="A1345" i="37"/>
  <c r="B1345" i="37"/>
  <c r="A1346" i="37"/>
  <c r="B1346" i="37"/>
  <c r="A1347" i="37"/>
  <c r="B1347" i="37"/>
  <c r="A1348" i="37"/>
  <c r="B1348" i="37"/>
  <c r="A1349" i="37"/>
  <c r="B1349" i="37"/>
  <c r="A1350" i="37"/>
  <c r="B1350" i="37"/>
  <c r="A1351" i="37"/>
  <c r="B1351" i="37"/>
  <c r="A1352" i="37"/>
  <c r="B1352" i="37"/>
  <c r="A1353" i="37"/>
  <c r="B1353" i="37"/>
  <c r="A1354" i="37"/>
  <c r="B1354" i="37"/>
  <c r="A1355" i="37"/>
  <c r="B1355" i="37"/>
  <c r="A1356" i="37"/>
  <c r="B1356" i="37"/>
  <c r="A1357" i="37"/>
  <c r="B1357" i="37"/>
  <c r="A1358" i="37"/>
  <c r="B1358" i="37"/>
  <c r="A1359" i="37"/>
  <c r="B1359" i="37"/>
  <c r="A1360" i="37"/>
  <c r="B1360" i="37"/>
  <c r="A1361" i="37"/>
  <c r="B1361" i="37"/>
  <c r="A1362" i="37"/>
  <c r="B1362" i="37"/>
  <c r="A1363" i="37"/>
  <c r="B1363" i="37"/>
  <c r="A1364" i="37"/>
  <c r="B1364" i="37"/>
  <c r="A1365" i="37"/>
  <c r="B1365" i="37"/>
  <c r="A1366" i="37"/>
  <c r="B1366" i="37"/>
  <c r="A1367" i="37"/>
  <c r="B1367" i="37"/>
  <c r="A1368" i="37"/>
  <c r="B1368" i="37"/>
  <c r="A1369" i="37"/>
  <c r="B1369" i="37"/>
  <c r="A1370" i="37"/>
  <c r="B1370" i="37"/>
  <c r="A1371" i="37"/>
  <c r="B1371" i="37"/>
  <c r="A1372" i="37"/>
  <c r="B1372" i="37"/>
  <c r="A1373" i="37"/>
  <c r="B1373" i="37"/>
  <c r="A1374" i="37"/>
  <c r="B1374" i="37"/>
  <c r="A1375" i="37"/>
  <c r="B1375" i="37"/>
  <c r="A1376" i="37"/>
  <c r="B1376" i="37"/>
  <c r="A1377" i="37"/>
  <c r="B1377" i="37"/>
  <c r="A1378" i="37"/>
  <c r="B1378" i="37"/>
  <c r="A1379" i="37"/>
  <c r="B1379" i="37"/>
  <c r="A1380" i="37"/>
  <c r="B1380" i="37"/>
  <c r="A1381" i="37"/>
  <c r="B1381" i="37"/>
  <c r="A1382" i="37"/>
  <c r="B1382" i="37"/>
  <c r="A1383" i="37"/>
  <c r="B1383" i="37"/>
  <c r="A1384" i="37"/>
  <c r="B1384" i="37"/>
  <c r="A1385" i="37"/>
  <c r="B1385" i="37"/>
  <c r="A1386" i="37"/>
  <c r="B1386" i="37"/>
  <c r="A1387" i="37"/>
  <c r="B1387" i="37"/>
  <c r="A1388" i="37"/>
  <c r="B1388" i="37"/>
  <c r="A1389" i="37"/>
  <c r="B1389" i="37"/>
  <c r="A1390" i="37"/>
  <c r="B1390" i="37"/>
  <c r="A1391" i="37"/>
  <c r="B1391" i="37"/>
  <c r="A1392" i="37"/>
  <c r="B1392" i="37"/>
  <c r="A1393" i="37"/>
  <c r="B1393" i="37"/>
  <c r="A1394" i="37"/>
  <c r="B1394" i="37"/>
  <c r="A1395" i="37"/>
  <c r="B1395" i="37"/>
  <c r="A1396" i="37"/>
  <c r="B1396" i="37"/>
  <c r="A1397" i="37"/>
  <c r="B1397" i="37"/>
  <c r="A1398" i="37"/>
  <c r="B1398" i="37"/>
  <c r="A1399" i="37"/>
  <c r="B1399" i="37"/>
  <c r="A1400" i="37"/>
  <c r="B1400" i="37"/>
  <c r="A1401" i="37"/>
  <c r="B1401" i="37"/>
  <c r="A1402" i="37"/>
  <c r="B1402" i="37"/>
  <c r="A1403" i="37"/>
  <c r="B1403" i="37"/>
  <c r="A1404" i="37"/>
  <c r="B1404" i="37"/>
  <c r="A1405" i="37"/>
  <c r="B1405" i="37"/>
  <c r="A1406" i="37"/>
  <c r="B1406" i="37"/>
  <c r="A1407" i="37"/>
  <c r="B1407" i="37"/>
  <c r="A1408" i="37"/>
  <c r="B1408" i="37"/>
  <c r="A1409" i="37"/>
  <c r="B1409" i="37"/>
  <c r="A1410" i="37"/>
  <c r="B1410" i="37"/>
  <c r="A1411" i="37"/>
  <c r="B1411" i="37"/>
  <c r="A1412" i="37"/>
  <c r="B1412" i="37"/>
  <c r="A1413" i="37"/>
  <c r="B1413" i="37"/>
  <c r="A1414" i="37"/>
  <c r="B1414" i="37"/>
  <c r="A1415" i="37"/>
  <c r="B1415" i="37"/>
  <c r="A1416" i="37"/>
  <c r="B1416" i="37"/>
  <c r="A1417" i="37"/>
  <c r="B1417" i="37"/>
  <c r="A1418" i="37"/>
  <c r="B1418" i="37"/>
  <c r="A1419" i="37"/>
  <c r="B1419" i="37"/>
  <c r="A1420" i="37"/>
  <c r="B1420" i="37"/>
  <c r="A1421" i="37"/>
  <c r="B1421" i="37"/>
  <c r="A1422" i="37"/>
  <c r="B1422" i="37"/>
  <c r="A1423" i="37"/>
  <c r="B1423" i="37"/>
  <c r="A1424" i="37"/>
  <c r="B1424" i="37"/>
  <c r="A1425" i="37"/>
  <c r="B1425" i="37"/>
  <c r="A1426" i="37"/>
  <c r="B1426" i="37"/>
  <c r="A1427" i="37"/>
  <c r="B1427" i="37"/>
  <c r="A1428" i="37"/>
  <c r="B1428" i="37"/>
  <c r="A1429" i="37"/>
  <c r="B1429" i="37"/>
  <c r="A1430" i="37"/>
  <c r="B1430" i="37"/>
  <c r="A1431" i="37"/>
  <c r="B1431" i="37"/>
  <c r="A1432" i="37"/>
  <c r="B1432" i="37"/>
  <c r="A1433" i="37"/>
  <c r="B1433" i="37"/>
  <c r="A1434" i="37"/>
  <c r="B1434" i="37"/>
  <c r="A1435" i="37"/>
  <c r="B1435" i="37"/>
  <c r="A1436" i="37"/>
  <c r="B1436" i="37"/>
  <c r="A1437" i="37"/>
  <c r="B1437" i="37"/>
  <c r="A1438" i="37"/>
  <c r="B1438" i="37"/>
  <c r="A1439" i="37"/>
  <c r="B1439" i="37"/>
  <c r="A1440" i="37"/>
  <c r="B1440" i="37"/>
  <c r="A1441" i="37"/>
  <c r="B1441" i="37"/>
  <c r="A1442" i="37"/>
  <c r="B1442" i="37"/>
  <c r="A1443" i="37"/>
  <c r="B1443" i="37"/>
  <c r="A1444" i="37"/>
  <c r="B1444" i="37"/>
  <c r="A1445" i="37"/>
  <c r="B1445" i="37"/>
  <c r="A1446" i="37"/>
  <c r="B1446" i="37"/>
  <c r="A1447" i="37"/>
  <c r="B1447" i="37"/>
  <c r="A1448" i="37"/>
  <c r="B1448" i="37"/>
  <c r="A1449" i="37"/>
  <c r="B1449" i="37"/>
  <c r="A1450" i="37"/>
  <c r="B1450" i="37"/>
  <c r="A1451" i="37"/>
  <c r="B1451" i="37"/>
  <c r="A1452" i="37"/>
  <c r="B1452" i="37"/>
  <c r="A1453" i="37"/>
  <c r="B1453" i="37"/>
  <c r="A1454" i="37"/>
  <c r="B1454" i="37"/>
  <c r="A1455" i="37"/>
  <c r="B1455" i="37"/>
  <c r="A1456" i="37"/>
  <c r="B1456" i="37"/>
  <c r="A1457" i="37"/>
  <c r="B1457" i="37"/>
  <c r="A1458" i="37"/>
  <c r="B1458" i="37"/>
  <c r="A1459" i="37"/>
  <c r="B1459" i="37"/>
  <c r="A1460" i="37"/>
  <c r="B1460" i="37"/>
  <c r="A1461" i="37"/>
  <c r="B1461" i="37"/>
  <c r="A1462" i="37"/>
  <c r="B1462" i="37"/>
  <c r="A1463" i="37"/>
  <c r="B1463" i="37"/>
  <c r="A1464" i="37"/>
  <c r="B1464" i="37"/>
  <c r="A1465" i="37"/>
  <c r="B1465" i="37"/>
  <c r="A1466" i="37"/>
  <c r="B1466" i="37"/>
  <c r="A1467" i="37"/>
  <c r="B1467" i="37"/>
  <c r="A1468" i="37"/>
  <c r="B1468" i="37"/>
  <c r="A1469" i="37"/>
  <c r="B1469" i="37"/>
  <c r="A1470" i="37"/>
  <c r="B1470" i="37"/>
  <c r="A1471" i="37"/>
  <c r="B1471" i="37"/>
  <c r="A1472" i="37"/>
  <c r="B1472" i="37"/>
  <c r="A1473" i="37"/>
  <c r="B1473" i="37"/>
  <c r="A1474" i="37"/>
  <c r="B1474" i="37"/>
  <c r="A1475" i="37"/>
  <c r="B1475" i="37"/>
  <c r="A1476" i="37"/>
  <c r="B1476" i="37"/>
  <c r="A1477" i="37"/>
  <c r="B1477" i="37"/>
  <c r="A1478" i="37"/>
  <c r="B1478" i="37"/>
  <c r="A1479" i="37"/>
  <c r="B1479" i="37"/>
  <c r="A1480" i="37"/>
  <c r="B1480" i="37"/>
  <c r="A1481" i="37"/>
  <c r="B1481" i="37"/>
  <c r="A1482" i="37"/>
  <c r="B1482" i="37"/>
  <c r="A1483" i="37"/>
  <c r="B1483" i="37"/>
  <c r="A1484" i="37"/>
  <c r="B1484" i="37"/>
  <c r="A1485" i="37"/>
  <c r="B1485" i="37"/>
  <c r="A1486" i="37"/>
  <c r="B1486" i="37"/>
  <c r="A1487" i="37"/>
  <c r="B1487" i="37"/>
  <c r="A1488" i="37"/>
  <c r="B1488" i="37"/>
  <c r="A1489" i="37"/>
  <c r="B1489" i="37"/>
  <c r="A1490" i="37"/>
  <c r="B1490" i="37"/>
  <c r="A1491" i="37"/>
  <c r="B1491" i="37"/>
  <c r="A1492" i="37"/>
  <c r="B1492" i="37"/>
  <c r="A1493" i="37"/>
  <c r="B1493" i="37"/>
  <c r="A1494" i="37"/>
  <c r="B1494" i="37"/>
  <c r="A1495" i="37"/>
  <c r="B1495" i="37"/>
  <c r="A1496" i="37"/>
  <c r="B1496" i="37"/>
  <c r="A1497" i="37"/>
  <c r="B1497" i="37"/>
  <c r="A1498" i="37"/>
  <c r="B1498" i="37"/>
  <c r="A1499" i="37"/>
  <c r="B1499" i="37"/>
  <c r="A1500" i="37"/>
  <c r="B1500" i="37"/>
  <c r="A1501" i="37"/>
  <c r="B1501" i="37"/>
  <c r="A1502" i="37"/>
  <c r="B1502" i="37"/>
  <c r="A1503" i="37"/>
  <c r="B1503" i="37"/>
  <c r="A1504" i="37"/>
  <c r="B1504" i="37"/>
  <c r="A1505" i="37"/>
  <c r="B1505" i="37"/>
  <c r="A1506" i="37"/>
  <c r="B1506" i="37"/>
  <c r="A1507" i="37"/>
  <c r="B1507" i="37"/>
  <c r="A1508" i="37"/>
  <c r="B1508" i="37"/>
  <c r="A1509" i="37"/>
  <c r="B1509" i="37"/>
  <c r="A1510" i="37"/>
  <c r="B1510" i="37"/>
  <c r="A1511" i="37"/>
  <c r="B1511" i="37"/>
  <c r="A1512" i="37"/>
  <c r="B1512" i="37"/>
  <c r="A1513" i="37"/>
  <c r="B1513" i="37"/>
  <c r="A1514" i="37"/>
  <c r="B1514" i="37"/>
  <c r="A1515" i="37"/>
  <c r="B1515" i="37"/>
  <c r="A1516" i="37"/>
  <c r="B1516" i="37"/>
  <c r="A1517" i="37"/>
  <c r="B1517" i="37"/>
  <c r="A1518" i="37"/>
  <c r="B1518" i="37"/>
  <c r="A1519" i="37"/>
  <c r="B1519" i="37"/>
  <c r="A1520" i="37"/>
  <c r="B1520" i="37"/>
  <c r="A1521" i="37"/>
  <c r="B1521" i="37"/>
  <c r="A1522" i="37"/>
  <c r="B1522" i="37"/>
  <c r="A1523" i="37"/>
  <c r="B1523" i="37"/>
  <c r="A1524" i="37"/>
  <c r="B1524" i="37"/>
  <c r="A1525" i="37"/>
  <c r="B1525" i="37"/>
  <c r="A1526" i="37"/>
  <c r="B1526" i="37"/>
  <c r="A1527" i="37"/>
  <c r="B1527" i="37"/>
  <c r="A1528" i="37"/>
  <c r="B1528" i="37"/>
  <c r="A1529" i="37"/>
  <c r="B1529" i="37"/>
  <c r="A1530" i="37"/>
  <c r="B1530" i="37"/>
  <c r="A1531" i="37"/>
  <c r="B1531" i="37"/>
  <c r="A1532" i="37"/>
  <c r="B1532" i="37"/>
  <c r="A1533" i="37"/>
  <c r="B1533" i="37"/>
  <c r="A1534" i="37"/>
  <c r="B1534" i="37"/>
  <c r="A1535" i="37"/>
  <c r="B1535" i="37"/>
  <c r="A1536" i="37"/>
  <c r="B1536" i="37"/>
  <c r="A1537" i="37"/>
  <c r="B1537" i="37"/>
  <c r="A1538" i="37"/>
  <c r="B1538" i="37"/>
  <c r="A1539" i="37"/>
  <c r="B1539" i="37"/>
  <c r="A1540" i="37"/>
  <c r="B1540" i="37"/>
  <c r="A1541" i="37"/>
  <c r="B1541" i="37"/>
  <c r="A1542" i="37"/>
  <c r="B1542" i="37"/>
  <c r="A1543" i="37"/>
  <c r="B1543" i="37"/>
  <c r="A1544" i="37"/>
  <c r="B1544" i="37"/>
  <c r="A1545" i="37"/>
  <c r="B1545" i="37"/>
  <c r="A1546" i="37"/>
  <c r="B1546" i="37"/>
  <c r="A1547" i="37"/>
  <c r="B1547" i="37"/>
  <c r="A1548" i="37"/>
  <c r="B1548" i="37"/>
  <c r="A1549" i="37"/>
  <c r="B1549" i="37"/>
  <c r="A1550" i="37"/>
  <c r="B1550" i="37"/>
  <c r="A1551" i="37"/>
  <c r="B1551" i="37"/>
  <c r="A1552" i="37"/>
  <c r="B1552" i="37"/>
  <c r="A1553" i="37"/>
  <c r="B1553" i="37"/>
  <c r="A1554" i="37"/>
  <c r="B1554" i="37"/>
  <c r="A1555" i="37"/>
  <c r="B1555" i="37"/>
  <c r="A1556" i="37"/>
  <c r="B1556" i="37"/>
  <c r="A1557" i="37"/>
  <c r="B1557" i="37"/>
  <c r="A1558" i="37"/>
  <c r="B1558" i="37"/>
  <c r="A1559" i="37"/>
  <c r="B1559" i="37"/>
  <c r="A1560" i="37"/>
  <c r="B1560" i="37"/>
  <c r="A1561" i="37"/>
  <c r="B1561" i="37"/>
  <c r="A1562" i="37"/>
  <c r="B1562" i="37"/>
  <c r="A1563" i="37"/>
  <c r="B1563" i="37"/>
  <c r="A1564" i="37"/>
  <c r="B1564" i="37"/>
  <c r="A1565" i="37"/>
  <c r="B1565" i="37"/>
  <c r="A1566" i="37"/>
  <c r="B1566" i="37"/>
  <c r="A1567" i="37"/>
  <c r="B1567" i="37"/>
  <c r="A1568" i="37"/>
  <c r="B1568" i="37"/>
  <c r="A1569" i="37"/>
  <c r="B1569" i="37"/>
  <c r="A1570" i="37"/>
  <c r="B1570" i="37"/>
  <c r="A1571" i="37"/>
  <c r="B1571" i="37"/>
  <c r="A1572" i="37"/>
  <c r="B1572" i="37"/>
  <c r="A1573" i="37"/>
  <c r="B1573" i="37"/>
  <c r="A1574" i="37"/>
  <c r="B1574" i="37"/>
  <c r="A1575" i="37"/>
  <c r="B1575" i="37"/>
  <c r="A1576" i="37"/>
  <c r="B1576" i="37"/>
  <c r="A1577" i="37"/>
  <c r="B1577" i="37"/>
  <c r="A1578" i="37"/>
  <c r="B1578" i="37"/>
  <c r="A1579" i="37"/>
  <c r="B1579" i="37"/>
  <c r="A1580" i="37"/>
  <c r="B1580" i="37"/>
  <c r="A1581" i="37"/>
  <c r="B1581" i="37"/>
  <c r="A1582" i="37"/>
  <c r="B1582" i="37"/>
  <c r="A1583" i="37"/>
  <c r="B1583" i="37"/>
  <c r="A1584" i="37"/>
  <c r="B1584" i="37"/>
  <c r="A1585" i="37"/>
  <c r="B1585" i="37"/>
  <c r="A1586" i="37"/>
  <c r="B1586" i="37"/>
  <c r="A1587" i="37"/>
  <c r="B1587" i="37"/>
  <c r="A1588" i="37"/>
  <c r="B1588" i="37"/>
  <c r="A1589" i="37"/>
  <c r="B1589" i="37"/>
  <c r="A1590" i="37"/>
  <c r="B1590" i="37"/>
  <c r="A1591" i="37"/>
  <c r="B1591" i="37"/>
  <c r="A1592" i="37"/>
  <c r="B1592" i="37"/>
  <c r="A1593" i="37"/>
  <c r="B1593" i="37"/>
  <c r="A1594" i="37"/>
  <c r="B1594" i="37"/>
  <c r="A1595" i="37"/>
  <c r="B1595" i="37"/>
  <c r="A1596" i="37"/>
  <c r="B1596" i="37"/>
  <c r="A1597" i="37"/>
  <c r="B1597" i="37"/>
  <c r="A1598" i="37"/>
  <c r="B1598" i="37"/>
  <c r="A1599" i="37"/>
  <c r="B1599" i="37"/>
  <c r="A1600" i="37"/>
  <c r="B1600" i="37"/>
  <c r="A1601" i="37"/>
  <c r="B1601" i="37"/>
  <c r="A1602" i="37"/>
  <c r="B1602" i="37"/>
  <c r="A1603" i="37"/>
  <c r="B1603" i="37"/>
  <c r="A1604" i="37"/>
  <c r="B1604" i="37"/>
  <c r="A1605" i="37"/>
  <c r="B1605" i="37"/>
  <c r="A1606" i="37"/>
  <c r="B1606" i="37"/>
  <c r="A1607" i="37"/>
  <c r="B1607" i="37"/>
  <c r="A1608" i="37"/>
  <c r="B1608" i="37"/>
  <c r="A1609" i="37"/>
  <c r="B1609" i="37"/>
  <c r="A1610" i="37"/>
  <c r="B1610" i="37"/>
  <c r="A1611" i="37"/>
  <c r="B1611" i="37"/>
  <c r="A1612" i="37"/>
  <c r="B1612" i="37"/>
  <c r="A1613" i="37"/>
  <c r="B1613" i="37"/>
  <c r="A1614" i="37"/>
  <c r="B1614" i="37"/>
  <c r="A1615" i="37"/>
  <c r="B1615" i="37"/>
  <c r="A1616" i="37"/>
  <c r="B1616" i="37"/>
  <c r="A1617" i="37"/>
  <c r="B1617" i="37"/>
  <c r="A1618" i="37"/>
  <c r="B1618" i="37"/>
  <c r="A1619" i="37"/>
  <c r="B1619" i="37"/>
  <c r="A1620" i="37"/>
  <c r="B1620" i="37"/>
  <c r="A1621" i="37"/>
  <c r="B1621" i="37"/>
  <c r="A1622" i="37"/>
  <c r="B1622" i="37"/>
  <c r="A1623" i="37"/>
  <c r="B1623" i="37"/>
  <c r="A1624" i="37"/>
  <c r="B1624" i="37"/>
  <c r="A1625" i="37"/>
  <c r="B1625" i="37"/>
  <c r="A1626" i="37"/>
  <c r="B1626" i="37"/>
  <c r="A1627" i="37"/>
  <c r="B1627" i="37"/>
  <c r="A1628" i="37"/>
  <c r="B1628" i="37"/>
  <c r="A1629" i="37"/>
  <c r="B1629" i="37"/>
  <c r="A1630" i="37"/>
  <c r="B1630" i="37"/>
  <c r="A1631" i="37"/>
  <c r="B1631" i="37"/>
  <c r="A1632" i="37"/>
  <c r="B1632" i="37"/>
  <c r="A1633" i="37"/>
  <c r="B1633" i="37"/>
  <c r="A1634" i="37"/>
  <c r="B1634" i="37"/>
  <c r="A1635" i="37"/>
  <c r="B1635" i="37"/>
  <c r="A1636" i="37"/>
  <c r="B1636" i="37"/>
  <c r="A1637" i="37"/>
  <c r="B1637" i="37"/>
  <c r="A1638" i="37"/>
  <c r="B1638" i="37"/>
  <c r="A1639" i="37"/>
  <c r="B1639" i="37"/>
  <c r="A1640" i="37"/>
  <c r="B1640" i="37"/>
  <c r="A1641" i="37"/>
  <c r="B1641" i="37"/>
  <c r="A1642" i="37"/>
  <c r="B1642" i="37"/>
  <c r="A1643" i="37"/>
  <c r="B1643" i="37"/>
  <c r="A1644" i="37"/>
  <c r="B1644" i="37"/>
  <c r="A1645" i="37"/>
  <c r="B1645" i="37"/>
  <c r="A1646" i="37"/>
  <c r="B1646" i="37"/>
  <c r="A1647" i="37"/>
  <c r="B1647" i="37"/>
  <c r="A1648" i="37"/>
  <c r="B1648" i="37"/>
  <c r="A1649" i="37"/>
  <c r="B1649" i="37"/>
  <c r="A1650" i="37"/>
  <c r="B1650" i="37"/>
  <c r="A1651" i="37"/>
  <c r="B1651" i="37"/>
  <c r="A1652" i="37"/>
  <c r="B1652" i="37"/>
  <c r="A1653" i="37"/>
  <c r="B1653" i="37"/>
  <c r="A1654" i="37"/>
  <c r="B1654" i="37"/>
  <c r="A1655" i="37"/>
  <c r="B1655" i="37"/>
  <c r="A1656" i="37"/>
  <c r="B1656" i="37"/>
  <c r="A1657" i="37"/>
  <c r="B1657" i="37"/>
  <c r="A1658" i="37"/>
  <c r="B1658" i="37"/>
  <c r="A1659" i="37"/>
  <c r="B1659" i="37"/>
  <c r="A1660" i="37"/>
  <c r="B1660" i="37"/>
  <c r="A1661" i="37"/>
  <c r="B1661" i="37"/>
  <c r="A1662" i="37"/>
  <c r="B1662" i="37"/>
  <c r="A1663" i="37"/>
  <c r="B1663" i="37"/>
  <c r="A1664" i="37"/>
  <c r="B1664" i="37"/>
  <c r="A1665" i="37"/>
  <c r="B1665" i="37"/>
  <c r="A1666" i="37"/>
  <c r="B1666" i="37"/>
  <c r="A1667" i="37"/>
  <c r="B1667" i="37"/>
  <c r="A1668" i="37"/>
  <c r="B1668" i="37"/>
  <c r="A1669" i="37"/>
  <c r="B1669" i="37"/>
  <c r="A1670" i="37"/>
  <c r="B1670" i="37"/>
  <c r="A1671" i="37"/>
  <c r="B1671" i="37"/>
  <c r="A1672" i="37"/>
  <c r="B1672" i="37"/>
  <c r="A1673" i="37"/>
  <c r="B1673" i="37"/>
  <c r="A1674" i="37"/>
  <c r="B1674" i="37"/>
  <c r="A1675" i="37"/>
  <c r="B1675" i="37"/>
  <c r="A1676" i="37"/>
  <c r="B1676" i="37"/>
  <c r="A1677" i="37"/>
  <c r="B1677" i="37"/>
  <c r="A1678" i="37"/>
  <c r="B1678" i="37"/>
  <c r="A1679" i="37"/>
  <c r="B1679" i="37"/>
  <c r="A1680" i="37"/>
  <c r="B1680" i="37"/>
  <c r="A1681" i="37"/>
  <c r="B1681" i="37"/>
  <c r="A1682" i="37"/>
  <c r="B1682" i="37"/>
  <c r="A1683" i="37"/>
  <c r="B1683" i="37"/>
  <c r="A1684" i="37"/>
  <c r="B1684" i="37"/>
  <c r="A1685" i="37"/>
  <c r="B1685" i="37"/>
  <c r="A1686" i="37"/>
  <c r="B1686" i="37"/>
  <c r="A1687" i="37"/>
  <c r="B1687" i="37"/>
  <c r="A1688" i="37"/>
  <c r="B1688" i="37"/>
  <c r="A1689" i="37"/>
  <c r="B1689" i="37"/>
  <c r="A1690" i="37"/>
  <c r="B1690" i="37"/>
  <c r="A1691" i="37"/>
  <c r="B1691" i="37"/>
  <c r="A1692" i="37"/>
  <c r="B1692" i="37"/>
  <c r="A1693" i="37"/>
  <c r="B1693" i="37"/>
  <c r="A1694" i="37"/>
  <c r="B1694" i="37"/>
  <c r="A1695" i="37"/>
  <c r="B1695" i="37"/>
  <c r="A1696" i="37"/>
  <c r="B1696" i="37"/>
  <c r="A1697" i="37"/>
  <c r="B1697" i="37"/>
  <c r="A1698" i="37"/>
  <c r="B1698" i="37"/>
  <c r="A1699" i="37"/>
  <c r="B1699" i="37"/>
  <c r="A1700" i="37"/>
  <c r="B1700" i="37"/>
  <c r="A1701" i="37"/>
  <c r="B1701" i="37"/>
  <c r="A1702" i="37"/>
  <c r="B1702" i="37"/>
  <c r="A1703" i="37"/>
  <c r="B1703" i="37"/>
  <c r="A1704" i="37"/>
  <c r="B1704" i="37"/>
  <c r="A1705" i="37"/>
  <c r="B1705" i="37"/>
  <c r="A1706" i="37"/>
  <c r="B1706" i="37"/>
  <c r="A1707" i="37"/>
  <c r="B1707" i="37"/>
  <c r="A1708" i="37"/>
  <c r="B1708" i="37"/>
  <c r="A1709" i="37"/>
  <c r="B1709" i="37"/>
  <c r="A1710" i="37"/>
  <c r="B1710" i="37"/>
  <c r="A1711" i="37"/>
  <c r="B1711" i="37"/>
  <c r="B1011" i="36"/>
  <c r="B1012" i="36"/>
  <c r="B1013" i="36"/>
  <c r="B1014" i="36"/>
  <c r="B1015" i="36"/>
  <c r="B1016" i="36"/>
  <c r="B1017" i="36"/>
  <c r="B1018" i="36"/>
  <c r="B1019" i="36"/>
  <c r="B1020" i="36"/>
  <c r="B1021" i="36"/>
  <c r="B1022" i="36"/>
  <c r="B1023" i="36"/>
  <c r="B1024" i="36"/>
  <c r="B1025" i="36"/>
  <c r="B1026" i="36"/>
  <c r="B1027" i="36"/>
  <c r="B1028" i="36"/>
  <c r="B1029" i="36"/>
  <c r="B1030" i="36"/>
  <c r="B1031" i="36"/>
  <c r="B1032" i="36"/>
  <c r="B1033" i="36"/>
  <c r="B1034" i="36"/>
  <c r="B1035" i="36"/>
  <c r="B1036" i="36"/>
  <c r="B1037" i="36"/>
  <c r="B1038" i="36"/>
  <c r="B1039" i="36"/>
  <c r="B1040" i="36"/>
  <c r="B1041" i="36"/>
  <c r="B1042" i="36"/>
  <c r="B1043" i="36"/>
  <c r="B1044" i="36"/>
  <c r="B1045" i="36"/>
  <c r="B1046" i="36"/>
  <c r="B1047" i="36"/>
  <c r="B1048" i="36"/>
  <c r="B1049" i="36"/>
  <c r="B1050" i="36"/>
  <c r="B1051" i="36"/>
  <c r="B1052" i="36"/>
  <c r="B1053" i="36"/>
  <c r="B1054" i="36"/>
  <c r="B1055" i="36"/>
  <c r="B1056" i="36"/>
  <c r="B1057" i="36"/>
  <c r="B1058" i="36"/>
  <c r="B1059" i="36"/>
  <c r="B1060" i="36"/>
  <c r="B1061" i="36"/>
  <c r="B1062" i="36"/>
  <c r="B1063" i="36"/>
  <c r="B1064" i="36"/>
  <c r="B1065" i="36"/>
  <c r="B1066" i="36"/>
  <c r="B1067" i="36"/>
  <c r="B1068" i="36"/>
  <c r="B1069" i="36"/>
  <c r="B1070" i="36"/>
  <c r="B1071" i="36"/>
  <c r="B1072" i="36"/>
  <c r="B1073" i="36"/>
  <c r="B1074" i="36"/>
  <c r="B1075" i="36"/>
  <c r="B1076" i="36"/>
  <c r="B1077" i="36"/>
  <c r="B1078" i="36"/>
  <c r="B1079" i="36"/>
  <c r="B1080" i="36"/>
  <c r="B1081" i="36"/>
  <c r="B1082" i="36"/>
  <c r="B1083" i="36"/>
  <c r="B1084" i="36"/>
  <c r="B1085" i="36"/>
  <c r="B1086" i="36"/>
  <c r="B1087" i="36"/>
  <c r="B1088" i="36"/>
  <c r="B1089" i="36"/>
  <c r="B1090" i="36"/>
  <c r="B1091" i="36"/>
  <c r="B1092" i="36"/>
  <c r="B1093" i="36"/>
  <c r="B1094" i="36"/>
  <c r="B1095" i="36"/>
  <c r="B1096" i="36"/>
  <c r="B1097" i="36"/>
  <c r="B1098" i="36"/>
  <c r="B1099" i="36"/>
  <c r="B1100" i="36"/>
  <c r="B1101" i="36"/>
  <c r="B1102" i="36"/>
  <c r="B1103" i="36"/>
  <c r="B1104" i="36"/>
  <c r="B1105" i="36"/>
  <c r="B1106" i="36"/>
  <c r="B1107" i="36"/>
  <c r="B1108" i="36"/>
  <c r="B1109" i="36"/>
  <c r="B1110" i="36"/>
  <c r="B1111" i="36"/>
  <c r="B1112" i="36"/>
  <c r="B1113" i="36"/>
  <c r="B1114" i="36"/>
  <c r="B1115" i="36"/>
  <c r="B1116" i="36"/>
  <c r="B1117" i="36"/>
  <c r="B1118" i="36"/>
  <c r="B1119" i="36"/>
  <c r="B1120" i="36"/>
  <c r="B1121" i="36"/>
  <c r="B1122" i="36"/>
  <c r="B1123" i="36"/>
  <c r="B1124" i="36"/>
  <c r="B1125" i="36"/>
  <c r="B1126" i="36"/>
  <c r="B1127" i="36"/>
  <c r="B1128" i="36"/>
  <c r="B1129" i="36"/>
  <c r="B1130" i="36"/>
  <c r="B1131" i="36"/>
  <c r="B1132" i="36"/>
  <c r="B1133" i="36"/>
  <c r="B1134" i="36"/>
  <c r="B1135" i="36"/>
  <c r="B1136" i="36"/>
  <c r="B1137" i="36"/>
  <c r="B1138" i="36"/>
  <c r="B1139" i="36"/>
  <c r="B1140" i="36"/>
  <c r="B1141" i="36"/>
  <c r="B1142" i="36"/>
  <c r="B1143" i="36"/>
  <c r="B1144" i="36"/>
  <c r="B1145" i="36"/>
  <c r="B1146" i="36"/>
  <c r="B1147" i="36"/>
  <c r="B1148" i="36"/>
  <c r="B1149" i="36"/>
  <c r="B1150" i="36"/>
  <c r="B1151" i="36"/>
  <c r="B1152" i="36"/>
  <c r="B1153" i="36"/>
  <c r="B1154" i="36"/>
  <c r="B1155" i="36"/>
  <c r="B1156" i="36"/>
  <c r="B1157" i="36"/>
  <c r="B1158" i="36"/>
  <c r="B1159" i="36"/>
  <c r="B1160" i="36"/>
  <c r="B1161" i="36"/>
  <c r="B1162" i="36"/>
  <c r="B1163" i="36"/>
  <c r="B1164" i="36"/>
  <c r="B1165" i="36"/>
  <c r="B1166" i="36"/>
  <c r="B1167" i="36"/>
  <c r="B1168" i="36"/>
  <c r="B1169" i="36"/>
  <c r="B1170" i="36"/>
  <c r="B1171" i="36"/>
  <c r="B1172" i="36"/>
  <c r="B1173" i="36"/>
  <c r="B1174" i="36"/>
  <c r="B1175" i="36"/>
  <c r="B1176" i="36"/>
  <c r="B1177" i="36"/>
  <c r="B1178" i="36"/>
  <c r="B1179" i="36"/>
  <c r="B1180" i="36"/>
  <c r="B1181" i="36"/>
  <c r="B1182" i="36"/>
  <c r="B1183" i="36"/>
  <c r="B1184" i="36"/>
  <c r="B1185" i="36"/>
  <c r="B1186" i="36"/>
  <c r="B1187" i="36"/>
  <c r="B1188" i="36"/>
  <c r="B1189" i="36"/>
  <c r="B1190" i="36"/>
  <c r="B1191" i="36"/>
  <c r="B1192" i="36"/>
  <c r="B1193" i="36"/>
  <c r="B1194" i="36"/>
  <c r="B1195" i="36"/>
  <c r="B1196" i="36"/>
  <c r="B1197" i="36"/>
  <c r="B1198" i="36"/>
  <c r="B1199" i="36"/>
  <c r="B1200" i="36"/>
  <c r="B1201" i="36"/>
  <c r="B1202" i="36"/>
  <c r="B1203" i="36"/>
  <c r="B1204" i="36"/>
  <c r="B1205" i="36"/>
  <c r="B1206" i="36"/>
  <c r="B1207" i="36"/>
  <c r="B1208" i="36"/>
  <c r="B1209" i="36"/>
  <c r="B1210" i="36"/>
  <c r="B1211" i="36"/>
  <c r="B1212" i="36"/>
  <c r="B1213" i="36"/>
  <c r="B1214" i="36"/>
  <c r="B1215" i="36"/>
  <c r="B1216" i="36"/>
  <c r="B1217" i="36"/>
  <c r="B1218" i="36"/>
  <c r="B1219" i="36"/>
  <c r="B1220" i="36"/>
  <c r="B1221" i="36"/>
  <c r="B1222" i="36"/>
  <c r="B1223" i="36"/>
  <c r="B1224" i="36"/>
  <c r="B1225" i="36"/>
  <c r="B1226" i="36"/>
  <c r="B1227" i="36"/>
  <c r="B1228" i="36"/>
  <c r="B1229" i="36"/>
  <c r="B1230" i="36"/>
  <c r="B1231" i="36"/>
  <c r="B1232" i="36"/>
  <c r="B1233" i="36"/>
  <c r="B1234" i="36"/>
  <c r="B1235" i="36"/>
  <c r="B1236" i="36"/>
  <c r="B1237" i="36"/>
  <c r="B1238" i="36"/>
  <c r="B1239" i="36"/>
  <c r="B1240" i="36"/>
  <c r="B1241" i="36"/>
  <c r="B1242" i="36"/>
  <c r="B1243" i="36"/>
  <c r="B1244" i="36"/>
  <c r="B1245" i="36"/>
  <c r="B1246" i="36"/>
  <c r="B1247" i="36"/>
  <c r="B1248" i="36"/>
  <c r="B1249" i="36"/>
  <c r="B1250" i="36"/>
  <c r="B1251" i="36"/>
  <c r="B1252" i="36"/>
  <c r="B1253" i="36"/>
  <c r="B1254" i="36"/>
  <c r="B1255" i="36"/>
  <c r="B1256" i="36"/>
  <c r="B1257" i="36"/>
  <c r="B1258" i="36"/>
  <c r="B1259" i="36"/>
  <c r="B1260" i="36"/>
  <c r="B1261" i="36"/>
  <c r="B1262" i="36"/>
  <c r="B1263" i="36"/>
  <c r="B1264" i="36"/>
  <c r="B1265" i="36"/>
  <c r="B1266" i="36"/>
  <c r="B1267" i="36"/>
  <c r="B1268" i="36"/>
  <c r="B1269" i="36"/>
  <c r="B1270" i="36"/>
  <c r="B1271" i="36"/>
  <c r="B1272" i="36"/>
  <c r="B1273" i="36"/>
  <c r="B1274" i="36"/>
  <c r="B1275" i="36"/>
  <c r="B1276" i="36"/>
  <c r="B1277" i="36"/>
  <c r="B1278" i="36"/>
  <c r="B1279" i="36"/>
  <c r="B1280" i="36"/>
  <c r="B1281" i="36"/>
  <c r="B1282" i="36"/>
  <c r="B1283" i="36"/>
  <c r="B1284" i="36"/>
  <c r="B1285" i="36"/>
  <c r="B1286" i="36"/>
  <c r="B1287" i="36"/>
  <c r="B1288" i="36"/>
  <c r="B1289" i="36"/>
  <c r="B1290" i="36"/>
  <c r="B1291" i="36"/>
  <c r="B1292" i="36"/>
  <c r="B1293" i="36"/>
  <c r="B1294" i="36"/>
  <c r="B1295" i="36"/>
  <c r="B1296" i="36"/>
  <c r="B1297" i="36"/>
  <c r="B1298" i="36"/>
  <c r="B1299" i="36"/>
  <c r="B1300" i="36"/>
  <c r="B1301" i="36"/>
  <c r="B1302" i="36"/>
  <c r="B1303" i="36"/>
  <c r="B1304" i="36"/>
  <c r="B1305" i="36"/>
  <c r="B1306" i="36"/>
  <c r="B1307" i="36"/>
  <c r="B1308" i="36"/>
  <c r="B1309" i="36"/>
  <c r="B1310" i="36"/>
  <c r="B1311" i="36"/>
  <c r="B1312" i="36"/>
  <c r="B1313" i="36"/>
  <c r="B1314" i="36"/>
  <c r="B1315" i="36"/>
  <c r="B1316" i="36"/>
  <c r="B1317" i="36"/>
  <c r="B1318" i="36"/>
  <c r="B1319" i="36"/>
  <c r="B1320" i="36"/>
  <c r="B1321" i="36"/>
  <c r="B1322" i="36"/>
  <c r="B1323" i="36"/>
  <c r="B1324" i="36"/>
  <c r="B1325" i="36"/>
  <c r="B1326" i="36"/>
  <c r="B1327" i="36"/>
  <c r="B1328" i="36"/>
  <c r="B1329" i="36"/>
  <c r="B1330" i="36"/>
  <c r="B1331" i="36"/>
  <c r="B1332" i="36"/>
  <c r="B1333" i="36"/>
  <c r="B1334" i="36"/>
  <c r="B1335" i="36"/>
  <c r="B1336" i="36"/>
  <c r="B1337" i="36"/>
  <c r="B1338" i="36"/>
  <c r="B1339" i="36"/>
  <c r="B1340" i="36"/>
  <c r="B1341" i="36"/>
  <c r="B1342" i="36"/>
  <c r="B1343" i="36"/>
  <c r="B1344" i="36"/>
  <c r="B1345" i="36"/>
  <c r="B1346" i="36"/>
  <c r="B1347" i="36"/>
  <c r="B1348" i="36"/>
  <c r="B1349" i="36"/>
  <c r="B1350" i="36"/>
  <c r="B1351" i="36"/>
  <c r="B1352" i="36"/>
  <c r="B1353" i="36"/>
  <c r="B1354" i="36"/>
  <c r="B1355" i="36"/>
  <c r="B1356" i="36"/>
  <c r="B1357" i="36"/>
  <c r="B1358" i="36"/>
  <c r="B1359" i="36"/>
  <c r="B1360" i="36"/>
  <c r="B1361" i="36"/>
  <c r="B1362" i="36"/>
  <c r="B1363" i="36"/>
  <c r="B1364" i="36"/>
  <c r="B1365" i="36"/>
  <c r="B1366" i="36"/>
  <c r="B1367" i="36"/>
  <c r="B1368" i="36"/>
  <c r="B1369" i="36"/>
  <c r="B1370" i="36"/>
  <c r="B1371" i="36"/>
  <c r="B1372" i="36"/>
  <c r="B1373" i="36"/>
  <c r="B1374" i="36"/>
  <c r="B1375" i="36"/>
  <c r="B1376" i="36"/>
  <c r="B1377" i="36"/>
  <c r="B1378" i="36"/>
  <c r="B1379" i="36"/>
  <c r="B1380" i="36"/>
  <c r="B1381" i="36"/>
  <c r="B1382" i="36"/>
  <c r="B1383" i="36"/>
  <c r="B1384" i="36"/>
  <c r="B1385" i="36"/>
  <c r="B1386" i="36"/>
  <c r="B1387" i="36"/>
  <c r="B1388" i="36"/>
  <c r="B1389" i="36"/>
  <c r="B1390" i="36"/>
  <c r="B1391" i="36"/>
  <c r="B1392" i="36"/>
  <c r="B1393" i="36"/>
  <c r="B1394" i="36"/>
  <c r="B1395" i="36"/>
  <c r="B1396" i="36"/>
  <c r="B1397" i="36"/>
  <c r="B1398" i="36"/>
  <c r="B1399" i="36"/>
  <c r="B1400" i="36"/>
  <c r="B1401" i="36"/>
  <c r="B1402" i="36"/>
  <c r="B1403" i="36"/>
  <c r="B1404" i="36"/>
  <c r="B1405" i="36"/>
  <c r="B1406" i="36"/>
  <c r="B1407" i="36"/>
  <c r="B1408" i="36"/>
  <c r="B1409" i="36"/>
  <c r="B1410" i="36"/>
  <c r="B1411" i="36"/>
  <c r="B1412" i="36"/>
  <c r="B1413" i="36"/>
  <c r="B1414" i="36"/>
  <c r="B1415" i="36"/>
  <c r="B1416" i="36"/>
  <c r="B1417" i="36"/>
  <c r="B1418" i="36"/>
  <c r="B1419" i="36"/>
  <c r="B1420" i="36"/>
  <c r="B1421" i="36"/>
  <c r="B1422" i="36"/>
  <c r="B1423" i="36"/>
  <c r="B1424" i="36"/>
  <c r="B1425" i="36"/>
  <c r="B1426" i="36"/>
  <c r="B1427" i="36"/>
  <c r="B1428" i="36"/>
  <c r="B1429" i="36"/>
  <c r="B1430" i="36"/>
  <c r="B1431" i="36"/>
  <c r="B1432" i="36"/>
  <c r="B1433" i="36"/>
  <c r="B1434" i="36"/>
  <c r="B1435" i="36"/>
  <c r="B1436" i="36"/>
  <c r="B1437" i="36"/>
  <c r="B1438" i="36"/>
  <c r="B1439" i="36"/>
  <c r="B1440" i="36"/>
  <c r="B1441" i="36"/>
  <c r="B1442" i="36"/>
  <c r="B1443" i="36"/>
  <c r="B1444" i="36"/>
  <c r="B1445" i="36"/>
  <c r="B1446" i="36"/>
  <c r="B1447" i="36"/>
  <c r="B1448" i="36"/>
  <c r="B1449" i="36"/>
  <c r="B1450" i="36"/>
  <c r="B1451" i="36"/>
  <c r="B1452" i="36"/>
  <c r="B1453" i="36"/>
  <c r="B1454" i="36"/>
  <c r="B1455" i="36"/>
  <c r="B1456" i="36"/>
  <c r="B1457" i="36"/>
  <c r="B1458" i="36"/>
  <c r="B1459" i="36"/>
  <c r="B1460" i="36"/>
  <c r="B1461" i="36"/>
  <c r="B1462" i="36"/>
  <c r="B1463" i="36"/>
  <c r="B1464" i="36"/>
  <c r="B1465" i="36"/>
  <c r="B1466" i="36"/>
  <c r="B1467" i="36"/>
  <c r="B1468" i="36"/>
  <c r="B1469" i="36"/>
  <c r="B1470" i="36"/>
  <c r="B1471" i="36"/>
  <c r="B1472" i="36"/>
  <c r="B1473" i="36"/>
  <c r="B1474" i="36"/>
  <c r="B1475" i="36"/>
  <c r="B1476" i="36"/>
  <c r="B1477" i="36"/>
  <c r="B1478" i="36"/>
  <c r="B1479" i="36"/>
  <c r="B1480" i="36"/>
  <c r="B1481" i="36"/>
  <c r="B1482" i="36"/>
  <c r="B1483" i="36"/>
  <c r="B1484" i="36"/>
  <c r="B1485" i="36"/>
  <c r="B1486" i="36"/>
  <c r="B1487" i="36"/>
  <c r="B1488" i="36"/>
  <c r="B1489" i="36"/>
  <c r="B1490" i="36"/>
  <c r="B1491" i="36"/>
  <c r="B1492" i="36"/>
  <c r="B1493" i="36"/>
  <c r="B1494" i="36"/>
  <c r="B1495" i="36"/>
  <c r="B1496" i="36"/>
  <c r="B1497" i="36"/>
  <c r="B1498" i="36"/>
  <c r="B1499" i="36"/>
  <c r="B1500" i="36"/>
  <c r="B1501" i="36"/>
  <c r="B1502" i="36"/>
  <c r="B1503" i="36"/>
  <c r="B1504" i="36"/>
  <c r="B1505" i="36"/>
  <c r="B1506" i="36"/>
  <c r="B1507" i="36"/>
  <c r="B1508" i="36"/>
  <c r="B1509" i="36"/>
  <c r="B1510" i="36"/>
  <c r="B1511" i="36"/>
  <c r="B1512" i="36"/>
  <c r="B1513" i="36"/>
  <c r="B1514" i="36"/>
  <c r="B1515" i="36"/>
  <c r="B1516" i="36"/>
  <c r="B1517" i="36"/>
  <c r="B1518" i="36"/>
  <c r="B1519" i="36"/>
  <c r="B1520" i="36"/>
  <c r="B1521" i="36"/>
  <c r="B1522" i="36"/>
  <c r="B1523" i="36"/>
  <c r="B1524" i="36"/>
  <c r="B1525" i="36"/>
  <c r="B1526" i="36"/>
  <c r="B1527" i="36"/>
  <c r="B1528" i="36"/>
  <c r="B1529" i="36"/>
  <c r="B1530" i="36"/>
  <c r="B1531" i="36"/>
  <c r="A1011" i="36"/>
  <c r="A1012" i="36"/>
  <c r="A1013" i="36"/>
  <c r="A1014" i="36"/>
  <c r="A1015" i="36"/>
  <c r="A1016" i="36"/>
  <c r="A1017" i="36"/>
  <c r="A1018" i="36"/>
  <c r="A1019" i="36"/>
  <c r="A1020" i="36"/>
  <c r="A1021" i="36"/>
  <c r="A1022" i="36"/>
  <c r="A1023" i="36"/>
  <c r="A1024" i="36"/>
  <c r="A1025" i="36"/>
  <c r="A1026" i="36"/>
  <c r="A1027" i="36"/>
  <c r="A1028" i="36"/>
  <c r="A1029" i="36"/>
  <c r="A1030" i="36"/>
  <c r="A1031" i="36"/>
  <c r="A1032" i="36"/>
  <c r="A1033" i="36"/>
  <c r="A1034" i="36"/>
  <c r="A1035" i="36"/>
  <c r="A1036" i="36"/>
  <c r="A1037" i="36"/>
  <c r="A1038" i="36"/>
  <c r="A1039" i="36"/>
  <c r="A1040" i="36"/>
  <c r="A1041" i="36"/>
  <c r="A1042" i="36"/>
  <c r="A1043" i="36"/>
  <c r="A1044" i="36"/>
  <c r="A1045" i="36"/>
  <c r="A1046" i="36"/>
  <c r="A1047" i="36"/>
  <c r="A1048" i="36"/>
  <c r="A1049" i="36"/>
  <c r="A1050" i="36"/>
  <c r="A1051" i="36"/>
  <c r="A1052" i="36"/>
  <c r="A1053" i="36"/>
  <c r="A1054" i="36"/>
  <c r="A1055" i="36"/>
  <c r="A1056" i="36"/>
  <c r="A1057" i="36"/>
  <c r="A1058" i="36"/>
  <c r="A1059" i="36"/>
  <c r="A1060" i="36"/>
  <c r="A1061" i="36"/>
  <c r="A1062" i="36"/>
  <c r="A1063" i="36"/>
  <c r="A1064" i="36"/>
  <c r="A1065" i="36"/>
  <c r="A1066" i="36"/>
  <c r="A1067" i="36"/>
  <c r="A1068" i="36"/>
  <c r="A1069" i="36"/>
  <c r="A1070" i="36"/>
  <c r="A1071" i="36"/>
  <c r="A1072" i="36"/>
  <c r="A1073" i="36"/>
  <c r="A1074" i="36"/>
  <c r="A1075" i="36"/>
  <c r="A1076" i="36"/>
  <c r="A1077" i="36"/>
  <c r="A1078" i="36"/>
  <c r="A1079" i="36"/>
  <c r="A1080" i="36"/>
  <c r="A1081" i="36"/>
  <c r="A1082" i="36"/>
  <c r="A1083" i="36"/>
  <c r="A1084" i="36"/>
  <c r="A1085" i="36"/>
  <c r="A1086" i="36"/>
  <c r="A1087" i="36"/>
  <c r="A1088" i="36"/>
  <c r="A1089" i="36"/>
  <c r="A1090" i="36"/>
  <c r="A1091" i="36"/>
  <c r="A1092" i="36"/>
  <c r="A1093" i="36"/>
  <c r="A1094" i="36"/>
  <c r="A1095" i="36"/>
  <c r="A1096" i="36"/>
  <c r="A1097" i="36"/>
  <c r="A1098" i="36"/>
  <c r="A1099" i="36"/>
  <c r="A1100" i="36"/>
  <c r="A1101" i="36"/>
  <c r="A1102" i="36"/>
  <c r="A1103" i="36"/>
  <c r="A1104" i="36"/>
  <c r="A1105" i="36"/>
  <c r="A1106" i="36"/>
  <c r="A1107" i="36"/>
  <c r="A1108" i="36"/>
  <c r="A1109" i="36"/>
  <c r="A1110" i="36"/>
  <c r="A1111" i="36"/>
  <c r="A1112" i="36"/>
  <c r="A1113" i="36"/>
  <c r="A1114" i="36"/>
  <c r="A1115" i="36"/>
  <c r="A1116" i="36"/>
  <c r="A1117" i="36"/>
  <c r="A1118" i="36"/>
  <c r="A1119" i="36"/>
  <c r="A1120" i="36"/>
  <c r="A1121" i="36"/>
  <c r="A1122" i="36"/>
  <c r="A1123" i="36"/>
  <c r="A1124" i="36"/>
  <c r="A1125" i="36"/>
  <c r="A1126" i="36"/>
  <c r="A1127" i="36"/>
  <c r="A1128" i="36"/>
  <c r="A1129" i="36"/>
  <c r="A1130" i="36"/>
  <c r="A1131" i="36"/>
  <c r="A1132" i="36"/>
  <c r="A1133" i="36"/>
  <c r="A1134" i="36"/>
  <c r="A1135" i="36"/>
  <c r="A1136" i="36"/>
  <c r="A1137" i="36"/>
  <c r="A1138" i="36"/>
  <c r="A1139" i="36"/>
  <c r="A1140" i="36"/>
  <c r="A1141" i="36"/>
  <c r="A1142" i="36"/>
  <c r="A1143" i="36"/>
  <c r="A1144" i="36"/>
  <c r="A1145" i="36"/>
  <c r="A1146" i="36"/>
  <c r="A1147" i="36"/>
  <c r="A1148" i="36"/>
  <c r="A1149" i="36"/>
  <c r="A1150" i="36"/>
  <c r="A1151" i="36"/>
  <c r="A1152" i="36"/>
  <c r="A1153" i="36"/>
  <c r="A1154" i="36"/>
  <c r="A1155" i="36"/>
  <c r="A1156" i="36"/>
  <c r="A1157" i="36"/>
  <c r="A1158" i="36"/>
  <c r="A1159" i="36"/>
  <c r="A1160" i="36"/>
  <c r="A1161" i="36"/>
  <c r="A1162" i="36"/>
  <c r="A1163" i="36"/>
  <c r="A1164" i="36"/>
  <c r="A1165" i="36"/>
  <c r="A1166" i="36"/>
  <c r="A1167" i="36"/>
  <c r="A1168" i="36"/>
  <c r="A1169" i="36"/>
  <c r="A1170" i="36"/>
  <c r="A1171" i="36"/>
  <c r="A1172" i="36"/>
  <c r="A1173" i="36"/>
  <c r="A1174" i="36"/>
  <c r="A1175" i="36"/>
  <c r="A1176" i="36"/>
  <c r="A1177" i="36"/>
  <c r="A1178" i="36"/>
  <c r="A1179" i="36"/>
  <c r="A1180" i="36"/>
  <c r="A1181" i="36"/>
  <c r="A1182" i="36"/>
  <c r="A1183" i="36"/>
  <c r="A1184" i="36"/>
  <c r="A1185" i="36"/>
  <c r="A1186" i="36"/>
  <c r="A1187" i="36"/>
  <c r="A1188" i="36"/>
  <c r="A1189" i="36"/>
  <c r="A1190" i="36"/>
  <c r="A1191" i="36"/>
  <c r="A1192" i="36"/>
  <c r="A1193" i="36"/>
  <c r="A1194" i="36"/>
  <c r="A1195" i="36"/>
  <c r="A1196" i="36"/>
  <c r="A1197" i="36"/>
  <c r="A1198" i="36"/>
  <c r="A1199" i="36"/>
  <c r="A1200" i="36"/>
  <c r="A1201" i="36"/>
  <c r="A1202" i="36"/>
  <c r="A1203" i="36"/>
  <c r="A1204" i="36"/>
  <c r="A1205" i="36"/>
  <c r="A1206" i="36"/>
  <c r="A1207" i="36"/>
  <c r="A1208" i="36"/>
  <c r="A1209" i="36"/>
  <c r="A1210" i="36"/>
  <c r="A1211" i="36"/>
  <c r="A1212" i="36"/>
  <c r="A1213" i="36"/>
  <c r="A1214" i="36"/>
  <c r="A1215" i="36"/>
  <c r="A1216" i="36"/>
  <c r="A1217" i="36"/>
  <c r="A1218" i="36"/>
  <c r="A1219" i="36"/>
  <c r="A1220" i="36"/>
  <c r="A1221" i="36"/>
  <c r="A1222" i="36"/>
  <c r="A1223" i="36"/>
  <c r="A1224" i="36"/>
  <c r="A1225" i="36"/>
  <c r="A1226" i="36"/>
  <c r="A1227" i="36"/>
  <c r="A1228" i="36"/>
  <c r="A1229" i="36"/>
  <c r="A1230" i="36"/>
  <c r="A1231" i="36"/>
  <c r="A1232" i="36"/>
  <c r="A1233" i="36"/>
  <c r="A1234" i="36"/>
  <c r="A1235" i="36"/>
  <c r="A1236" i="36"/>
  <c r="A1237" i="36"/>
  <c r="A1238" i="36"/>
  <c r="A1239" i="36"/>
  <c r="A1240" i="36"/>
  <c r="A1241" i="36"/>
  <c r="A1242" i="36"/>
  <c r="A1243" i="36"/>
  <c r="A1244" i="36"/>
  <c r="A1245" i="36"/>
  <c r="A1246" i="36"/>
  <c r="A1247" i="36"/>
  <c r="A1248" i="36"/>
  <c r="A1249" i="36"/>
  <c r="A1250" i="36"/>
  <c r="A1251" i="36"/>
  <c r="A1252" i="36"/>
  <c r="A1253" i="36"/>
  <c r="A1254" i="36"/>
  <c r="A1255" i="36"/>
  <c r="A1256" i="36"/>
  <c r="A1257" i="36"/>
  <c r="A1258" i="36"/>
  <c r="A1259" i="36"/>
  <c r="A1260" i="36"/>
  <c r="A1261" i="36"/>
  <c r="A1262" i="36"/>
  <c r="A1263" i="36"/>
  <c r="A1264" i="36"/>
  <c r="A1265" i="36"/>
  <c r="A1266" i="36"/>
  <c r="A1267" i="36"/>
  <c r="A1268" i="36"/>
  <c r="A1269" i="36"/>
  <c r="A1270" i="36"/>
  <c r="A1271" i="36"/>
  <c r="A1272" i="36"/>
  <c r="A1273" i="36"/>
  <c r="A1274" i="36"/>
  <c r="A1275" i="36"/>
  <c r="A1276" i="36"/>
  <c r="A1277" i="36"/>
  <c r="A1278" i="36"/>
  <c r="A1279" i="36"/>
  <c r="A1280" i="36"/>
  <c r="A1281" i="36"/>
  <c r="A1282" i="36"/>
  <c r="A1283" i="36"/>
  <c r="A1284" i="36"/>
  <c r="A1285" i="36"/>
  <c r="A1286" i="36"/>
  <c r="A1287" i="36"/>
  <c r="A1288" i="36"/>
  <c r="A1289" i="36"/>
  <c r="A1290" i="36"/>
  <c r="A1291" i="36"/>
  <c r="A1292" i="36"/>
  <c r="A1293" i="36"/>
  <c r="A1294" i="36"/>
  <c r="A1295" i="36"/>
  <c r="A1296" i="36"/>
  <c r="A1297" i="36"/>
  <c r="A1298" i="36"/>
  <c r="A1299" i="36"/>
  <c r="A1300" i="36"/>
  <c r="A1301" i="36"/>
  <c r="A1302" i="36"/>
  <c r="A1303" i="36"/>
  <c r="A1304" i="36"/>
  <c r="A1305" i="36"/>
  <c r="A1306" i="36"/>
  <c r="A1307" i="36"/>
  <c r="A1308" i="36"/>
  <c r="A1309" i="36"/>
  <c r="A1310" i="36"/>
  <c r="A1311" i="36"/>
  <c r="A1312" i="36"/>
  <c r="A1313" i="36"/>
  <c r="A1314" i="36"/>
  <c r="A1315" i="36"/>
  <c r="A1316" i="36"/>
  <c r="A1317" i="36"/>
  <c r="A1318" i="36"/>
  <c r="A1319" i="36"/>
  <c r="A1320" i="36"/>
  <c r="A1321" i="36"/>
  <c r="A1322" i="36"/>
  <c r="A1323" i="36"/>
  <c r="A1324" i="36"/>
  <c r="A1325" i="36"/>
  <c r="A1326" i="36"/>
  <c r="A1327" i="36"/>
  <c r="A1328" i="36"/>
  <c r="A1329" i="36"/>
  <c r="A1330" i="36"/>
  <c r="A1331" i="36"/>
  <c r="A1332" i="36"/>
  <c r="A1333" i="36"/>
  <c r="A1334" i="36"/>
  <c r="A1335" i="36"/>
  <c r="A1336" i="36"/>
  <c r="A1337" i="36"/>
  <c r="A1338" i="36"/>
  <c r="A1339" i="36"/>
  <c r="A1340" i="36"/>
  <c r="A1341" i="36"/>
  <c r="A1342" i="36"/>
  <c r="A1343" i="36"/>
  <c r="A1344" i="36"/>
  <c r="A1345" i="36"/>
  <c r="A1346" i="36"/>
  <c r="A1347" i="36"/>
  <c r="A1348" i="36"/>
  <c r="A1349" i="36"/>
  <c r="A1350" i="36"/>
  <c r="A1351" i="36"/>
  <c r="A1352" i="36"/>
  <c r="A1353" i="36"/>
  <c r="A1354" i="36"/>
  <c r="A1355" i="36"/>
  <c r="A1356" i="36"/>
  <c r="A1357" i="36"/>
  <c r="A1358" i="36"/>
  <c r="A1359" i="36"/>
  <c r="A1360" i="36"/>
  <c r="A1361" i="36"/>
  <c r="A1362" i="36"/>
  <c r="A1363" i="36"/>
  <c r="A1364" i="36"/>
  <c r="A1365" i="36"/>
  <c r="A1366" i="36"/>
  <c r="A1367" i="36"/>
  <c r="A1368" i="36"/>
  <c r="A1369" i="36"/>
  <c r="A1370" i="36"/>
  <c r="A1371" i="36"/>
  <c r="A1372" i="36"/>
  <c r="A1373" i="36"/>
  <c r="A1374" i="36"/>
  <c r="A1375" i="36"/>
  <c r="A1376" i="36"/>
  <c r="A1377" i="36"/>
  <c r="A1378" i="36"/>
  <c r="A1379" i="36"/>
  <c r="A1380" i="36"/>
  <c r="A1381" i="36"/>
  <c r="A1382" i="36"/>
  <c r="A1383" i="36"/>
  <c r="A1384" i="36"/>
  <c r="A1385" i="36"/>
  <c r="A1386" i="36"/>
  <c r="A1387" i="36"/>
  <c r="A1388" i="36"/>
  <c r="A1389" i="36"/>
  <c r="A1390" i="36"/>
  <c r="A1391" i="36"/>
  <c r="A1392" i="36"/>
  <c r="A1393" i="36"/>
  <c r="A1394" i="36"/>
  <c r="A1395" i="36"/>
  <c r="A1396" i="36"/>
  <c r="A1397" i="36"/>
  <c r="A1398" i="36"/>
  <c r="A1399" i="36"/>
  <c r="A1400" i="36"/>
  <c r="A1401" i="36"/>
  <c r="A1402" i="36"/>
  <c r="A1403" i="36"/>
  <c r="A1404" i="36"/>
  <c r="A1405" i="36"/>
  <c r="A1406" i="36"/>
  <c r="A1407" i="36"/>
  <c r="A1408" i="36"/>
  <c r="A1409" i="36"/>
  <c r="A1410" i="36"/>
  <c r="A1411" i="36"/>
  <c r="A1412" i="36"/>
  <c r="A1413" i="36"/>
  <c r="A1414" i="36"/>
  <c r="A1415" i="36"/>
  <c r="A1416" i="36"/>
  <c r="A1417" i="36"/>
  <c r="A1418" i="36"/>
  <c r="A1419" i="36"/>
  <c r="A1420" i="36"/>
  <c r="A1421" i="36"/>
  <c r="A1422" i="36"/>
  <c r="A1423" i="36"/>
  <c r="A1424" i="36"/>
  <c r="A1425" i="36"/>
  <c r="A1426" i="36"/>
  <c r="A1427" i="36"/>
  <c r="A1428" i="36"/>
  <c r="A1429" i="36"/>
  <c r="A1430" i="36"/>
  <c r="A1431" i="36"/>
  <c r="A1432" i="36"/>
  <c r="A1433" i="36"/>
  <c r="A1434" i="36"/>
  <c r="A1435" i="36"/>
  <c r="A1436" i="36"/>
  <c r="A1437" i="36"/>
  <c r="A1438" i="36"/>
  <c r="A1439" i="36"/>
  <c r="A1440" i="36"/>
  <c r="A1441" i="36"/>
  <c r="A1442" i="36"/>
  <c r="A1443" i="36"/>
  <c r="A1444" i="36"/>
  <c r="A1445" i="36"/>
  <c r="A1446" i="36"/>
  <c r="A1447" i="36"/>
  <c r="A1448" i="36"/>
  <c r="A1449" i="36"/>
  <c r="A1450" i="36"/>
  <c r="A1451" i="36"/>
  <c r="A1452" i="36"/>
  <c r="A1453" i="36"/>
  <c r="A1454" i="36"/>
  <c r="A1455" i="36"/>
  <c r="A1456" i="36"/>
  <c r="A1457" i="36"/>
  <c r="A1458" i="36"/>
  <c r="A1459" i="36"/>
  <c r="A1460" i="36"/>
  <c r="A1461" i="36"/>
  <c r="A1462" i="36"/>
  <c r="A1463" i="36"/>
  <c r="A1464" i="36"/>
  <c r="A1465" i="36"/>
  <c r="A1466" i="36"/>
  <c r="A1467" i="36"/>
  <c r="A1468" i="36"/>
  <c r="A1469" i="36"/>
  <c r="A1470" i="36"/>
  <c r="A1471" i="36"/>
  <c r="A1472" i="36"/>
  <c r="A1473" i="36"/>
  <c r="A1474" i="36"/>
  <c r="A1475" i="36"/>
  <c r="A1476" i="36"/>
  <c r="A1477" i="36"/>
  <c r="A1478" i="36"/>
  <c r="A1479" i="36"/>
  <c r="A1480" i="36"/>
  <c r="A1481" i="36"/>
  <c r="A1482" i="36"/>
  <c r="A1483" i="36"/>
  <c r="A1484" i="36"/>
  <c r="A1485" i="36"/>
  <c r="A1486" i="36"/>
  <c r="A1487" i="36"/>
  <c r="A1488" i="36"/>
  <c r="A1489" i="36"/>
  <c r="A1490" i="36"/>
  <c r="A1491" i="36"/>
  <c r="A1492" i="36"/>
  <c r="A1493" i="36"/>
  <c r="A1494" i="36"/>
  <c r="A1495" i="36"/>
  <c r="A1496" i="36"/>
  <c r="A1497" i="36"/>
  <c r="A1498" i="36"/>
  <c r="A1499" i="36"/>
  <c r="A1500" i="36"/>
  <c r="A1501" i="36"/>
  <c r="A1502" i="36"/>
  <c r="A1503" i="36"/>
  <c r="A1504" i="36"/>
  <c r="A1505" i="36"/>
  <c r="A1506" i="36"/>
  <c r="A1507" i="36"/>
  <c r="A1508" i="36"/>
  <c r="A1509" i="36"/>
  <c r="A1510" i="36"/>
  <c r="A1511" i="36"/>
  <c r="A1512" i="36"/>
  <c r="A1513" i="36"/>
  <c r="A1514" i="36"/>
  <c r="A1515" i="36"/>
  <c r="A1516" i="36"/>
  <c r="A1517" i="36"/>
  <c r="A1518" i="36"/>
  <c r="A1519" i="36"/>
  <c r="A1520" i="36"/>
  <c r="A1521" i="36"/>
  <c r="A1522" i="36"/>
  <c r="A1523" i="36"/>
  <c r="A1524" i="36"/>
  <c r="A1525" i="36"/>
  <c r="A1526" i="36"/>
  <c r="A1527" i="36"/>
  <c r="A1528" i="36"/>
  <c r="A1529" i="36"/>
  <c r="A1530" i="36"/>
  <c r="A1531" i="36"/>
  <c r="A3" i="36"/>
  <c r="A4" i="36"/>
  <c r="A5" i="36"/>
  <c r="A6" i="36"/>
  <c r="A7" i="36"/>
  <c r="A8" i="36"/>
  <c r="A9" i="36"/>
  <c r="A10" i="36"/>
  <c r="A11" i="36"/>
  <c r="A12" i="36"/>
  <c r="A13" i="36"/>
  <c r="A14" i="36"/>
  <c r="A15" i="36"/>
  <c r="A16" i="36"/>
  <c r="A17" i="36"/>
  <c r="A18" i="36"/>
  <c r="A19" i="36"/>
  <c r="A20" i="36"/>
  <c r="A21" i="36"/>
  <c r="A22" i="36"/>
  <c r="A23" i="36"/>
  <c r="A24" i="36"/>
  <c r="A25" i="36"/>
  <c r="A26" i="36"/>
  <c r="A27" i="36"/>
  <c r="A28" i="36"/>
  <c r="A29" i="36"/>
  <c r="A30" i="36"/>
  <c r="A31" i="36"/>
  <c r="A32" i="36"/>
  <c r="A33" i="36"/>
  <c r="A34" i="36"/>
  <c r="A35" i="36"/>
  <c r="A36" i="36"/>
  <c r="A37" i="36"/>
  <c r="A38" i="36"/>
  <c r="A39" i="36"/>
  <c r="A40" i="36"/>
  <c r="A41" i="36"/>
  <c r="A42" i="36"/>
  <c r="A43" i="36"/>
  <c r="A44" i="36"/>
  <c r="A45" i="36"/>
  <c r="A46" i="36"/>
  <c r="A47" i="36"/>
  <c r="A48" i="36"/>
  <c r="A49" i="36"/>
  <c r="A50" i="36"/>
  <c r="A51" i="36"/>
  <c r="A52" i="36"/>
  <c r="A53" i="36"/>
  <c r="A54" i="36"/>
  <c r="A55" i="36"/>
  <c r="A56" i="36"/>
  <c r="A57" i="36"/>
  <c r="A58" i="36"/>
  <c r="A59" i="36"/>
  <c r="A60" i="36"/>
  <c r="A61" i="36"/>
  <c r="A62" i="36"/>
  <c r="A63" i="36"/>
  <c r="A64" i="36"/>
  <c r="A65" i="36"/>
  <c r="A66" i="36"/>
  <c r="A67" i="36"/>
  <c r="A68" i="36"/>
  <c r="A69" i="36"/>
  <c r="A70" i="36"/>
  <c r="A71" i="36"/>
  <c r="A72" i="36"/>
  <c r="A73" i="36"/>
  <c r="A74" i="36"/>
  <c r="A75" i="36"/>
  <c r="A76" i="36"/>
  <c r="A77" i="36"/>
  <c r="A78" i="36"/>
  <c r="A79" i="36"/>
  <c r="A80" i="36"/>
  <c r="A81" i="36"/>
  <c r="A82" i="36"/>
  <c r="A83" i="36"/>
  <c r="A84" i="36"/>
  <c r="A85" i="36"/>
  <c r="A86" i="36"/>
  <c r="A87" i="36"/>
  <c r="A88" i="36"/>
  <c r="A89" i="36"/>
  <c r="A90" i="36"/>
  <c r="A91" i="36"/>
  <c r="A92" i="36"/>
  <c r="A93" i="36"/>
  <c r="A94" i="36"/>
  <c r="A95" i="36"/>
  <c r="A96" i="36"/>
  <c r="A97" i="36"/>
  <c r="A98" i="36"/>
  <c r="A99" i="36"/>
  <c r="A100" i="36"/>
  <c r="A101" i="36"/>
  <c r="A102" i="36"/>
  <c r="A103" i="36"/>
  <c r="A104" i="36"/>
  <c r="A105" i="36"/>
  <c r="A106" i="36"/>
  <c r="A107" i="36"/>
  <c r="A108" i="36"/>
  <c r="A109" i="36"/>
  <c r="A110" i="36"/>
  <c r="A111" i="36"/>
  <c r="A112" i="36"/>
  <c r="A113" i="36"/>
  <c r="A114" i="36"/>
  <c r="A115" i="36"/>
  <c r="A116" i="36"/>
  <c r="A117" i="36"/>
  <c r="A118" i="36"/>
  <c r="A119" i="36"/>
  <c r="A120" i="36"/>
  <c r="A121" i="36"/>
  <c r="A122" i="36"/>
  <c r="A123" i="36"/>
  <c r="A124" i="36"/>
  <c r="A125" i="36"/>
  <c r="A126" i="36"/>
  <c r="A127" i="36"/>
  <c r="A128" i="36"/>
  <c r="A129" i="36"/>
  <c r="A130" i="36"/>
  <c r="A131" i="36"/>
  <c r="A132" i="36"/>
  <c r="A133" i="36"/>
  <c r="A134" i="36"/>
  <c r="A135" i="36"/>
  <c r="A136" i="36"/>
  <c r="A137" i="36"/>
  <c r="A138" i="36"/>
  <c r="A139" i="36"/>
  <c r="A140" i="36"/>
  <c r="A141" i="36"/>
  <c r="A142" i="36"/>
  <c r="A143" i="36"/>
  <c r="A144" i="36"/>
  <c r="A145" i="36"/>
  <c r="A146" i="36"/>
  <c r="A147" i="36"/>
  <c r="A148" i="36"/>
  <c r="A149" i="36"/>
  <c r="A150" i="36"/>
  <c r="A151" i="36"/>
  <c r="A152" i="36"/>
  <c r="A153" i="36"/>
  <c r="A154" i="36"/>
  <c r="A155" i="36"/>
  <c r="A156" i="36"/>
  <c r="A157" i="36"/>
  <c r="A158" i="36"/>
  <c r="A159" i="36"/>
  <c r="A160" i="36"/>
  <c r="A161" i="36"/>
  <c r="A162" i="36"/>
  <c r="A163" i="36"/>
  <c r="A164" i="36"/>
  <c r="A165" i="36"/>
  <c r="A166" i="36"/>
  <c r="A167" i="36"/>
  <c r="A168" i="36"/>
  <c r="A169" i="36"/>
  <c r="A170" i="36"/>
  <c r="A171" i="36"/>
  <c r="A172" i="36"/>
  <c r="A173" i="36"/>
  <c r="A174" i="36"/>
  <c r="A175" i="36"/>
  <c r="A176" i="36"/>
  <c r="A177" i="36"/>
  <c r="A178" i="36"/>
  <c r="A179" i="36"/>
  <c r="A180" i="36"/>
  <c r="A181" i="36"/>
  <c r="A182" i="36"/>
  <c r="A183" i="36"/>
  <c r="A184" i="36"/>
  <c r="A185" i="36"/>
  <c r="A186" i="36"/>
  <c r="A187" i="36"/>
  <c r="A188" i="36"/>
  <c r="A189" i="36"/>
  <c r="A190" i="36"/>
  <c r="A191" i="36"/>
  <c r="A192" i="36"/>
  <c r="A193" i="36"/>
  <c r="A194" i="36"/>
  <c r="A195" i="36"/>
  <c r="A196" i="36"/>
  <c r="A197" i="36"/>
  <c r="A198" i="36"/>
  <c r="A199" i="36"/>
  <c r="A200" i="36"/>
  <c r="A201" i="36"/>
  <c r="A202" i="36"/>
  <c r="A203" i="36"/>
  <c r="A204" i="36"/>
  <c r="A205" i="36"/>
  <c r="A206" i="36"/>
  <c r="A207" i="36"/>
  <c r="A208" i="36"/>
  <c r="A209" i="36"/>
  <c r="A210" i="36"/>
  <c r="A211" i="36"/>
  <c r="A212" i="36"/>
  <c r="A213" i="36"/>
  <c r="A214" i="36"/>
  <c r="A215" i="36"/>
  <c r="A216" i="36"/>
  <c r="A217" i="36"/>
  <c r="A218" i="36"/>
  <c r="A219" i="36"/>
  <c r="A220" i="36"/>
  <c r="A221" i="36"/>
  <c r="A222" i="36"/>
  <c r="A223" i="36"/>
  <c r="A224" i="36"/>
  <c r="A225" i="36"/>
  <c r="A226" i="36"/>
  <c r="A227" i="36"/>
  <c r="A228" i="36"/>
  <c r="A229" i="36"/>
  <c r="A230" i="36"/>
  <c r="A231" i="36"/>
  <c r="A232" i="36"/>
  <c r="A233" i="36"/>
  <c r="A234" i="36"/>
  <c r="A235" i="36"/>
  <c r="A236" i="36"/>
  <c r="A237" i="36"/>
  <c r="A238" i="36"/>
  <c r="A239" i="36"/>
  <c r="A240" i="36"/>
  <c r="A241" i="36"/>
  <c r="A242" i="36"/>
  <c r="A243" i="36"/>
  <c r="A244" i="36"/>
  <c r="A245" i="36"/>
  <c r="A246" i="36"/>
  <c r="A247" i="36"/>
  <c r="A248" i="36"/>
  <c r="A249" i="36"/>
  <c r="A250" i="36"/>
  <c r="A251" i="36"/>
  <c r="A252" i="36"/>
  <c r="A253" i="36"/>
  <c r="A254" i="36"/>
  <c r="A255" i="36"/>
  <c r="A256" i="36"/>
  <c r="A257" i="36"/>
  <c r="A258" i="36"/>
  <c r="A259" i="36"/>
  <c r="A260" i="36"/>
  <c r="A261" i="36"/>
  <c r="A262" i="36"/>
  <c r="A263" i="36"/>
  <c r="A264" i="36"/>
  <c r="A265" i="36"/>
  <c r="A266" i="36"/>
  <c r="A267" i="36"/>
  <c r="A268" i="36"/>
  <c r="A269" i="36"/>
  <c r="A270" i="36"/>
  <c r="A271" i="36"/>
  <c r="A272" i="36"/>
  <c r="A273" i="36"/>
  <c r="A274" i="36"/>
  <c r="A275" i="36"/>
  <c r="A276" i="36"/>
  <c r="A277" i="36"/>
  <c r="A278" i="36"/>
  <c r="A279" i="36"/>
  <c r="A280" i="36"/>
  <c r="A281" i="36"/>
  <c r="A282" i="36"/>
  <c r="A283" i="36"/>
  <c r="A284" i="36"/>
  <c r="A285" i="36"/>
  <c r="A286" i="36"/>
  <c r="A287" i="36"/>
  <c r="A288" i="36"/>
  <c r="A289" i="36"/>
  <c r="A290" i="36"/>
  <c r="A291" i="36"/>
  <c r="A292" i="36"/>
  <c r="A293" i="36"/>
  <c r="A294" i="36"/>
  <c r="A295" i="36"/>
  <c r="A296" i="36"/>
  <c r="A297" i="36"/>
  <c r="A298" i="36"/>
  <c r="A299" i="36"/>
  <c r="A300" i="36"/>
  <c r="A301" i="36"/>
  <c r="A302" i="36"/>
  <c r="A303" i="36"/>
  <c r="A304" i="36"/>
  <c r="A305" i="36"/>
  <c r="A306" i="36"/>
  <c r="A307" i="36"/>
  <c r="A308" i="36"/>
  <c r="A309" i="36"/>
  <c r="A310" i="36"/>
  <c r="A311" i="36"/>
  <c r="A312" i="36"/>
  <c r="A313" i="36"/>
  <c r="A314" i="36"/>
  <c r="A315" i="36"/>
  <c r="A316" i="36"/>
  <c r="A317" i="36"/>
  <c r="A318" i="36"/>
  <c r="A319" i="36"/>
  <c r="A320" i="36"/>
  <c r="A321" i="36"/>
  <c r="A322" i="36"/>
  <c r="A323" i="36"/>
  <c r="A324" i="36"/>
  <c r="A325" i="36"/>
  <c r="A326" i="36"/>
  <c r="A327" i="36"/>
  <c r="A328" i="36"/>
  <c r="A329" i="36"/>
  <c r="A330" i="36"/>
  <c r="A331" i="36"/>
  <c r="A332" i="36"/>
  <c r="A333" i="36"/>
  <c r="A334" i="36"/>
  <c r="A335" i="36"/>
  <c r="A336" i="36"/>
  <c r="A337" i="36"/>
  <c r="A338" i="36"/>
  <c r="A339" i="36"/>
  <c r="A340" i="36"/>
  <c r="A341" i="36"/>
  <c r="A342" i="36"/>
  <c r="A343" i="36"/>
  <c r="A344" i="36"/>
  <c r="A345" i="36"/>
  <c r="A346" i="36"/>
  <c r="A347" i="36"/>
  <c r="A348" i="36"/>
  <c r="A349" i="36"/>
  <c r="A350" i="36"/>
  <c r="A351" i="36"/>
  <c r="A352" i="36"/>
  <c r="A353" i="36"/>
  <c r="A354" i="36"/>
  <c r="A355" i="36"/>
  <c r="A356" i="36"/>
  <c r="A357" i="36"/>
  <c r="A358" i="36"/>
  <c r="A359" i="36"/>
  <c r="A360" i="36"/>
  <c r="A361" i="36"/>
  <c r="A362" i="36"/>
  <c r="A363" i="36"/>
  <c r="A364" i="36"/>
  <c r="A365" i="36"/>
  <c r="A366" i="36"/>
  <c r="A367" i="36"/>
  <c r="A368" i="36"/>
  <c r="A369" i="36"/>
  <c r="A370" i="36"/>
  <c r="A371" i="36"/>
  <c r="A372" i="36"/>
  <c r="A373" i="36"/>
  <c r="A374" i="36"/>
  <c r="A375" i="36"/>
  <c r="A376" i="36"/>
  <c r="A377" i="36"/>
  <c r="A378" i="36"/>
  <c r="A379" i="36"/>
  <c r="A380" i="36"/>
  <c r="A381" i="36"/>
  <c r="A382" i="36"/>
  <c r="A383" i="36"/>
  <c r="A384" i="36"/>
  <c r="A385" i="36"/>
  <c r="A386" i="36"/>
  <c r="A387" i="36"/>
  <c r="A388" i="36"/>
  <c r="A389" i="36"/>
  <c r="A390" i="36"/>
  <c r="A391" i="36"/>
  <c r="A392" i="36"/>
  <c r="A393" i="36"/>
  <c r="A394" i="36"/>
  <c r="A395" i="36"/>
  <c r="A396" i="36"/>
  <c r="A397" i="36"/>
  <c r="A398" i="36"/>
  <c r="A399" i="36"/>
  <c r="A400" i="36"/>
  <c r="A401" i="36"/>
  <c r="A402" i="36"/>
  <c r="A403" i="36"/>
  <c r="A404" i="36"/>
  <c r="A405" i="36"/>
  <c r="A406" i="36"/>
  <c r="A407" i="36"/>
  <c r="A408" i="36"/>
  <c r="A409" i="36"/>
  <c r="A410" i="36"/>
  <c r="A411" i="36"/>
  <c r="A412" i="36"/>
  <c r="A413" i="36"/>
  <c r="A414" i="36"/>
  <c r="A415" i="36"/>
  <c r="A416" i="36"/>
  <c r="A417" i="36"/>
  <c r="A418" i="36"/>
  <c r="A419" i="36"/>
  <c r="A420" i="36"/>
  <c r="A421" i="36"/>
  <c r="A422" i="36"/>
  <c r="A423" i="36"/>
  <c r="A424" i="36"/>
  <c r="A425" i="36"/>
  <c r="A426" i="36"/>
  <c r="A427" i="36"/>
  <c r="A428" i="36"/>
  <c r="A429" i="36"/>
  <c r="A430" i="36"/>
  <c r="A431" i="36"/>
  <c r="A432" i="36"/>
  <c r="A433" i="36"/>
  <c r="A434" i="36"/>
  <c r="A435" i="36"/>
  <c r="A436" i="36"/>
  <c r="A437" i="36"/>
  <c r="A438" i="36"/>
  <c r="A439" i="36"/>
  <c r="A440" i="36"/>
  <c r="A441" i="36"/>
  <c r="A442" i="36"/>
  <c r="A443" i="36"/>
  <c r="A444" i="36"/>
  <c r="A445" i="36"/>
  <c r="A446" i="36"/>
  <c r="A447" i="36"/>
  <c r="A448" i="36"/>
  <c r="A449" i="36"/>
  <c r="A450" i="36"/>
  <c r="A451" i="36"/>
  <c r="A452" i="36"/>
  <c r="A453" i="36"/>
  <c r="A454" i="36"/>
  <c r="A455" i="36"/>
  <c r="A456" i="36"/>
  <c r="A457" i="36"/>
  <c r="A458" i="36"/>
  <c r="A459" i="36"/>
  <c r="A460" i="36"/>
  <c r="A461" i="36"/>
  <c r="A462" i="36"/>
  <c r="A463" i="36"/>
  <c r="A464" i="36"/>
  <c r="A465" i="36"/>
  <c r="A466" i="36"/>
  <c r="A467" i="36"/>
  <c r="A468" i="36"/>
  <c r="A469" i="36"/>
  <c r="A470" i="36"/>
  <c r="A471" i="36"/>
  <c r="A472" i="36"/>
  <c r="A473" i="36"/>
  <c r="A474" i="36"/>
  <c r="A475" i="36"/>
  <c r="A476" i="36"/>
  <c r="A477" i="36"/>
  <c r="A478" i="36"/>
  <c r="A479" i="36"/>
  <c r="A480" i="36"/>
  <c r="A481" i="36"/>
  <c r="A482" i="36"/>
  <c r="A483" i="36"/>
  <c r="A484" i="36"/>
  <c r="A485" i="36"/>
  <c r="A486" i="36"/>
  <c r="A487" i="36"/>
  <c r="A488" i="36"/>
  <c r="A489" i="36"/>
  <c r="A490" i="36"/>
  <c r="A491" i="36"/>
  <c r="A492" i="36"/>
  <c r="A493" i="36"/>
  <c r="A494" i="36"/>
  <c r="A495" i="36"/>
  <c r="A496" i="36"/>
  <c r="A497" i="36"/>
  <c r="A498" i="36"/>
  <c r="A499" i="36"/>
  <c r="A500" i="36"/>
  <c r="A501" i="36"/>
  <c r="A502" i="36"/>
  <c r="A503" i="36"/>
  <c r="A504" i="36"/>
  <c r="A505" i="36"/>
  <c r="A506" i="36"/>
  <c r="A507" i="36"/>
  <c r="A508" i="36"/>
  <c r="A509" i="36"/>
  <c r="A510" i="36"/>
  <c r="A511" i="36"/>
  <c r="A512" i="36"/>
  <c r="A513" i="36"/>
  <c r="A514" i="36"/>
  <c r="A515" i="36"/>
  <c r="A516" i="36"/>
  <c r="A517" i="36"/>
  <c r="A518" i="36"/>
  <c r="A519" i="36"/>
  <c r="A520" i="36"/>
  <c r="A521" i="36"/>
  <c r="A522" i="36"/>
  <c r="A523" i="36"/>
  <c r="A524" i="36"/>
  <c r="A525" i="36"/>
  <c r="A526" i="36"/>
  <c r="A527" i="36"/>
  <c r="A528" i="36"/>
  <c r="A529" i="36"/>
  <c r="A530" i="36"/>
  <c r="A531" i="36"/>
  <c r="A532" i="36"/>
  <c r="A533" i="36"/>
  <c r="A534" i="36"/>
  <c r="A535" i="36"/>
  <c r="A536" i="36"/>
  <c r="A537" i="36"/>
  <c r="A538" i="36"/>
  <c r="A539" i="36"/>
  <c r="A540" i="36"/>
  <c r="A541" i="36"/>
  <c r="A542" i="36"/>
  <c r="A543" i="36"/>
  <c r="A544" i="36"/>
  <c r="A545" i="36"/>
  <c r="A546" i="36"/>
  <c r="A547" i="36"/>
  <c r="A548" i="36"/>
  <c r="A549" i="36"/>
  <c r="A550" i="36"/>
  <c r="A551" i="36"/>
  <c r="A552" i="36"/>
  <c r="A553" i="36"/>
  <c r="A554" i="36"/>
  <c r="A555" i="36"/>
  <c r="A556" i="36"/>
  <c r="A557" i="36"/>
  <c r="A558" i="36"/>
  <c r="A559" i="36"/>
  <c r="A560" i="36"/>
  <c r="A561" i="36"/>
  <c r="A562" i="36"/>
  <c r="A563" i="36"/>
  <c r="A564" i="36"/>
  <c r="A565" i="36"/>
  <c r="A566" i="36"/>
  <c r="A567" i="36"/>
  <c r="A568" i="36"/>
  <c r="A569" i="36"/>
  <c r="A570" i="36"/>
  <c r="A571" i="36"/>
  <c r="A572" i="36"/>
  <c r="A573" i="36"/>
  <c r="A574" i="36"/>
  <c r="A575" i="36"/>
  <c r="A576" i="36"/>
  <c r="A577" i="36"/>
  <c r="A578" i="36"/>
  <c r="A579" i="36"/>
  <c r="A580" i="36"/>
  <c r="A581" i="36"/>
  <c r="A582" i="36"/>
  <c r="A583" i="36"/>
  <c r="A584" i="36"/>
  <c r="A585" i="36"/>
  <c r="A586" i="36"/>
  <c r="A587" i="36"/>
  <c r="A588" i="36"/>
  <c r="A589" i="36"/>
  <c r="A590" i="36"/>
  <c r="A591" i="36"/>
  <c r="A592" i="36"/>
  <c r="A593" i="36"/>
  <c r="A594" i="36"/>
  <c r="A595" i="36"/>
  <c r="A596" i="36"/>
  <c r="A597" i="36"/>
  <c r="A598" i="36"/>
  <c r="A599" i="36"/>
  <c r="A600" i="36"/>
  <c r="A601" i="36"/>
  <c r="A602" i="36"/>
  <c r="A603" i="36"/>
  <c r="A604" i="36"/>
  <c r="A605" i="36"/>
  <c r="A606" i="36"/>
  <c r="A607" i="36"/>
  <c r="A608" i="36"/>
  <c r="A609" i="36"/>
  <c r="A610" i="36"/>
  <c r="A611" i="36"/>
  <c r="A612" i="36"/>
  <c r="A613" i="36"/>
  <c r="A614" i="36"/>
  <c r="A615" i="36"/>
  <c r="A616" i="36"/>
  <c r="A617" i="36"/>
  <c r="A618" i="36"/>
  <c r="A619" i="36"/>
  <c r="A620" i="36"/>
  <c r="A621" i="36"/>
  <c r="A622" i="36"/>
  <c r="A623" i="36"/>
  <c r="A624" i="36"/>
  <c r="A625" i="36"/>
  <c r="A626" i="36"/>
  <c r="A627" i="36"/>
  <c r="A628" i="36"/>
  <c r="A629" i="36"/>
  <c r="A630" i="36"/>
  <c r="A631" i="36"/>
  <c r="A632" i="36"/>
  <c r="A633" i="36"/>
  <c r="A634" i="36"/>
  <c r="A635" i="36"/>
  <c r="A636" i="36"/>
  <c r="A637" i="36"/>
  <c r="A638" i="36"/>
  <c r="A639" i="36"/>
  <c r="A640" i="36"/>
  <c r="A641" i="36"/>
  <c r="A642" i="36"/>
  <c r="A643" i="36"/>
  <c r="A644" i="36"/>
  <c r="A645" i="36"/>
  <c r="A646" i="36"/>
  <c r="A647" i="36"/>
  <c r="A648" i="36"/>
  <c r="A649" i="36"/>
  <c r="A650" i="36"/>
  <c r="A651" i="36"/>
  <c r="A652" i="36"/>
  <c r="A653" i="36"/>
  <c r="A654" i="36"/>
  <c r="A655" i="36"/>
  <c r="A656" i="36"/>
  <c r="A657" i="36"/>
  <c r="A658" i="36"/>
  <c r="A659" i="36"/>
  <c r="A660" i="36"/>
  <c r="A661" i="36"/>
  <c r="A662" i="36"/>
  <c r="A663" i="36"/>
  <c r="A664" i="36"/>
  <c r="A665" i="36"/>
  <c r="A666" i="36"/>
  <c r="A667" i="36"/>
  <c r="A668" i="36"/>
  <c r="A669" i="36"/>
  <c r="A670" i="36"/>
  <c r="A671" i="36"/>
  <c r="A672" i="36"/>
  <c r="A673" i="36"/>
  <c r="A674" i="36"/>
  <c r="A675" i="36"/>
  <c r="A676" i="36"/>
  <c r="A677" i="36"/>
  <c r="A678" i="36"/>
  <c r="A679" i="36"/>
  <c r="A680" i="36"/>
  <c r="A681" i="36"/>
  <c r="A682" i="36"/>
  <c r="A683" i="36"/>
  <c r="A684" i="36"/>
  <c r="A685" i="36"/>
  <c r="A686" i="36"/>
  <c r="A687" i="36"/>
  <c r="A688" i="36"/>
  <c r="A689" i="36"/>
  <c r="A690" i="36"/>
  <c r="A691" i="36"/>
  <c r="A692" i="36"/>
  <c r="A693" i="36"/>
  <c r="A694" i="36"/>
  <c r="A695" i="36"/>
  <c r="A696" i="36"/>
  <c r="A697" i="36"/>
  <c r="A698" i="36"/>
  <c r="A699" i="36"/>
  <c r="A700" i="36"/>
  <c r="A701" i="36"/>
  <c r="A702" i="36"/>
  <c r="A703" i="36"/>
  <c r="A704" i="36"/>
  <c r="A705" i="36"/>
  <c r="A706" i="36"/>
  <c r="A707" i="36"/>
  <c r="A708" i="36"/>
  <c r="A709" i="36"/>
  <c r="A710" i="36"/>
  <c r="A711" i="36"/>
  <c r="A712" i="36"/>
  <c r="A713" i="36"/>
  <c r="A714" i="36"/>
  <c r="A715" i="36"/>
  <c r="A716" i="36"/>
  <c r="A717" i="36"/>
  <c r="A718" i="36"/>
  <c r="A719" i="36"/>
  <c r="A720" i="36"/>
  <c r="A721" i="36"/>
  <c r="A722" i="36"/>
  <c r="A723" i="36"/>
  <c r="A724" i="36"/>
  <c r="A725" i="36"/>
  <c r="A726" i="36"/>
  <c r="A727" i="36"/>
  <c r="A728" i="36"/>
  <c r="A729" i="36"/>
  <c r="A730" i="36"/>
  <c r="A731" i="36"/>
  <c r="A732" i="36"/>
  <c r="A733" i="36"/>
  <c r="A734" i="36"/>
  <c r="A735" i="36"/>
  <c r="A736" i="36"/>
  <c r="A737" i="36"/>
  <c r="A738" i="36"/>
  <c r="A739" i="36"/>
  <c r="A740" i="36"/>
  <c r="A741" i="36"/>
  <c r="A742" i="36"/>
  <c r="A743" i="36"/>
  <c r="A744" i="36"/>
  <c r="A745" i="36"/>
  <c r="A746" i="36"/>
  <c r="A747" i="36"/>
  <c r="A748" i="36"/>
  <c r="A749" i="36"/>
  <c r="A750" i="36"/>
  <c r="A751" i="36"/>
  <c r="A752" i="36"/>
  <c r="A753" i="36"/>
  <c r="A754" i="36"/>
  <c r="A755" i="36"/>
  <c r="A756" i="36"/>
  <c r="A757" i="36"/>
  <c r="A758" i="36"/>
  <c r="A759" i="36"/>
  <c r="A760" i="36"/>
  <c r="A761" i="36"/>
  <c r="A762" i="36"/>
  <c r="A763" i="36"/>
  <c r="A764" i="36"/>
  <c r="A765" i="36"/>
  <c r="A766" i="36"/>
  <c r="A767" i="36"/>
  <c r="A768" i="36"/>
  <c r="A769" i="36"/>
  <c r="A770" i="36"/>
  <c r="A771" i="36"/>
  <c r="A772" i="36"/>
  <c r="A773" i="36"/>
  <c r="A774" i="36"/>
  <c r="A775" i="36"/>
  <c r="A776" i="36"/>
  <c r="A777" i="36"/>
  <c r="A778" i="36"/>
  <c r="A779" i="36"/>
  <c r="A780" i="36"/>
  <c r="A781" i="36"/>
  <c r="A782" i="36"/>
  <c r="A783" i="36"/>
  <c r="A784" i="36"/>
  <c r="A785" i="36"/>
  <c r="A786" i="36"/>
  <c r="A787" i="36"/>
  <c r="A788" i="36"/>
  <c r="A789" i="36"/>
  <c r="A790" i="36"/>
  <c r="A791" i="36"/>
  <c r="A792" i="36"/>
  <c r="A793" i="36"/>
  <c r="A794" i="36"/>
  <c r="A795" i="36"/>
  <c r="A796" i="36"/>
  <c r="A797" i="36"/>
  <c r="A798" i="36"/>
  <c r="A799" i="36"/>
  <c r="A800" i="36"/>
  <c r="A801" i="36"/>
  <c r="A802" i="36"/>
  <c r="A803" i="36"/>
  <c r="A804" i="36"/>
  <c r="A805" i="36"/>
  <c r="A806" i="36"/>
  <c r="A807" i="36"/>
  <c r="A808" i="36"/>
  <c r="A809" i="36"/>
  <c r="A810" i="36"/>
  <c r="A811" i="36"/>
  <c r="A812" i="36"/>
  <c r="A813" i="36"/>
  <c r="A814" i="36"/>
  <c r="A815" i="36"/>
  <c r="A816" i="36"/>
  <c r="A817" i="36"/>
  <c r="A818" i="36"/>
  <c r="A819" i="36"/>
  <c r="A820" i="36"/>
  <c r="A821" i="36"/>
  <c r="A822" i="36"/>
  <c r="A823" i="36"/>
  <c r="A824" i="36"/>
  <c r="A825" i="36"/>
  <c r="A826" i="36"/>
  <c r="A827" i="36"/>
  <c r="A828" i="36"/>
  <c r="A829" i="36"/>
  <c r="A830" i="36"/>
  <c r="A831" i="36"/>
  <c r="A832" i="36"/>
  <c r="A833" i="36"/>
  <c r="A834" i="36"/>
  <c r="A835" i="36"/>
  <c r="A836" i="36"/>
  <c r="A837" i="36"/>
  <c r="A838" i="36"/>
  <c r="A839" i="36"/>
  <c r="A840" i="36"/>
  <c r="A841" i="36"/>
  <c r="A842" i="36"/>
  <c r="A843" i="36"/>
  <c r="A844" i="36"/>
  <c r="A845" i="36"/>
  <c r="A846" i="36"/>
  <c r="A847" i="36"/>
  <c r="A848" i="36"/>
  <c r="A849" i="36"/>
  <c r="A850" i="36"/>
  <c r="A851" i="36"/>
  <c r="A852" i="36"/>
  <c r="A853" i="36"/>
  <c r="A854" i="36"/>
  <c r="A855" i="36"/>
  <c r="A856" i="36"/>
  <c r="A857" i="36"/>
  <c r="A858" i="36"/>
  <c r="A859" i="36"/>
  <c r="A860" i="36"/>
  <c r="A861" i="36"/>
  <c r="A862" i="36"/>
  <c r="A863" i="36"/>
  <c r="A864" i="36"/>
  <c r="A865" i="36"/>
  <c r="A866" i="36"/>
  <c r="A867" i="36"/>
  <c r="A868" i="36"/>
  <c r="A869" i="36"/>
  <c r="A870" i="36"/>
  <c r="A871" i="36"/>
  <c r="A872" i="36"/>
  <c r="A873" i="36"/>
  <c r="A874" i="36"/>
  <c r="A875" i="36"/>
  <c r="A876" i="36"/>
  <c r="A877" i="36"/>
  <c r="A878" i="36"/>
  <c r="A879" i="36"/>
  <c r="A880" i="36"/>
  <c r="A881" i="36"/>
  <c r="A882" i="36"/>
  <c r="A883" i="36"/>
  <c r="A884" i="36"/>
  <c r="A885" i="36"/>
  <c r="A886" i="36"/>
  <c r="A887" i="36"/>
  <c r="A888" i="36"/>
  <c r="A889" i="36"/>
  <c r="A890" i="36"/>
  <c r="A891" i="36"/>
  <c r="A892" i="36"/>
  <c r="A893" i="36"/>
  <c r="A894" i="36"/>
  <c r="A895" i="36"/>
  <c r="A896" i="36"/>
  <c r="A897" i="36"/>
  <c r="A898" i="36"/>
  <c r="A899" i="36"/>
  <c r="A900" i="36"/>
  <c r="A901" i="36"/>
  <c r="A902" i="36"/>
  <c r="A903" i="36"/>
  <c r="A904" i="36"/>
  <c r="A905" i="36"/>
  <c r="A906" i="36"/>
  <c r="A907" i="36"/>
  <c r="A908" i="36"/>
  <c r="A909" i="36"/>
  <c r="A910" i="36"/>
  <c r="A911" i="36"/>
  <c r="A912" i="36"/>
  <c r="A913" i="36"/>
  <c r="A914" i="36"/>
  <c r="A915" i="36"/>
  <c r="A916" i="36"/>
  <c r="A917" i="36"/>
  <c r="A918" i="36"/>
  <c r="A919" i="36"/>
  <c r="A920" i="36"/>
  <c r="A921" i="36"/>
  <c r="A922" i="36"/>
  <c r="A923" i="36"/>
  <c r="A924" i="36"/>
  <c r="A925" i="36"/>
  <c r="A926" i="36"/>
  <c r="A927" i="36"/>
  <c r="A928" i="36"/>
  <c r="A929" i="36"/>
  <c r="A930" i="36"/>
  <c r="A931" i="36"/>
  <c r="A932" i="36"/>
  <c r="A933" i="36"/>
  <c r="A934" i="36"/>
  <c r="A935" i="36"/>
  <c r="A936" i="36"/>
  <c r="A937" i="36"/>
  <c r="A938" i="36"/>
  <c r="A939" i="36"/>
  <c r="A940" i="36"/>
  <c r="A941" i="36"/>
  <c r="A942" i="36"/>
  <c r="A943" i="36"/>
  <c r="A944" i="36"/>
  <c r="A945" i="36"/>
  <c r="A946" i="36"/>
  <c r="A947" i="36"/>
  <c r="A948" i="36"/>
  <c r="A949" i="36"/>
  <c r="A950" i="36"/>
  <c r="A951" i="36"/>
  <c r="A952" i="36"/>
  <c r="A953" i="36"/>
  <c r="A954" i="36"/>
  <c r="A955" i="36"/>
  <c r="A956" i="36"/>
  <c r="A957" i="36"/>
  <c r="A958" i="36"/>
  <c r="A959" i="36"/>
  <c r="A960" i="36"/>
  <c r="A961" i="36"/>
  <c r="A962" i="36"/>
  <c r="A963" i="36"/>
  <c r="A964" i="36"/>
  <c r="A965" i="36"/>
  <c r="A966" i="36"/>
  <c r="A967" i="36"/>
  <c r="A968" i="36"/>
  <c r="A969" i="36"/>
  <c r="A970" i="36"/>
  <c r="A971" i="36"/>
  <c r="A972" i="36"/>
  <c r="A973" i="36"/>
  <c r="A974" i="36"/>
  <c r="A975" i="36"/>
  <c r="A976" i="36"/>
  <c r="A977" i="36"/>
  <c r="A978" i="36"/>
  <c r="A979" i="36"/>
  <c r="A980" i="36"/>
  <c r="A981" i="36"/>
  <c r="A982" i="36"/>
  <c r="A983" i="36"/>
  <c r="A984" i="36"/>
  <c r="A985" i="36"/>
  <c r="A986" i="36"/>
  <c r="A987" i="36"/>
  <c r="A988" i="36"/>
  <c r="A989" i="36"/>
  <c r="A990" i="36"/>
  <c r="A991" i="36"/>
  <c r="A992" i="36"/>
  <c r="A993" i="36"/>
  <c r="A994" i="36"/>
  <c r="A995" i="36"/>
  <c r="A996" i="36"/>
  <c r="A997" i="36"/>
  <c r="A998" i="36"/>
  <c r="A999" i="36"/>
  <c r="A1000" i="36"/>
  <c r="A1001" i="36"/>
  <c r="A1002" i="36"/>
  <c r="A1003" i="36"/>
  <c r="A1004" i="36"/>
  <c r="A1005" i="36"/>
  <c r="A1006" i="36"/>
  <c r="A1007" i="36"/>
  <c r="A1008" i="36"/>
  <c r="A1009" i="36"/>
  <c r="A1010" i="36"/>
  <c r="A3" i="35"/>
  <c r="A4" i="35"/>
  <c r="A5" i="35"/>
  <c r="A6" i="35"/>
  <c r="A7" i="35"/>
  <c r="A8" i="35"/>
  <c r="A9" i="35"/>
  <c r="A10" i="35"/>
  <c r="A11" i="35"/>
  <c r="A12" i="35"/>
  <c r="A13" i="35"/>
  <c r="A14" i="35"/>
  <c r="A15" i="35"/>
  <c r="A16" i="35"/>
  <c r="A17" i="35"/>
  <c r="A18" i="35"/>
  <c r="A19" i="35"/>
  <c r="A20" i="35"/>
  <c r="A21" i="35"/>
  <c r="A22" i="35"/>
  <c r="A23" i="35"/>
  <c r="A24" i="35"/>
  <c r="A25" i="35"/>
  <c r="A26" i="35"/>
  <c r="A27" i="35"/>
  <c r="A28" i="35"/>
  <c r="A29" i="35"/>
  <c r="A30" i="35"/>
  <c r="A31" i="35"/>
  <c r="A32" i="35"/>
  <c r="A33" i="35"/>
  <c r="A34" i="35"/>
  <c r="A35" i="35"/>
  <c r="A36" i="35"/>
  <c r="A37" i="35"/>
  <c r="A38" i="35"/>
  <c r="A39" i="35"/>
  <c r="A40" i="35"/>
  <c r="A41" i="35"/>
  <c r="A42" i="35"/>
  <c r="A43" i="35"/>
  <c r="A44" i="35"/>
  <c r="A45" i="35"/>
  <c r="A46" i="35"/>
  <c r="A47" i="35"/>
  <c r="A48" i="35"/>
  <c r="A49" i="35"/>
  <c r="A50" i="35"/>
  <c r="A51" i="35"/>
  <c r="A52" i="35"/>
  <c r="A53" i="35"/>
  <c r="A54" i="35"/>
  <c r="A55" i="35"/>
  <c r="A56" i="35"/>
  <c r="A57" i="35"/>
  <c r="A58" i="35"/>
  <c r="A59" i="35"/>
  <c r="A60" i="35"/>
  <c r="A61" i="35"/>
  <c r="A62" i="35"/>
  <c r="A63" i="35"/>
  <c r="A64" i="35"/>
  <c r="A65" i="35"/>
  <c r="A66" i="35"/>
  <c r="A67" i="35"/>
  <c r="A68" i="35"/>
  <c r="A69" i="35"/>
  <c r="A70" i="35"/>
  <c r="A71" i="35"/>
  <c r="A72" i="35"/>
  <c r="A73" i="35"/>
  <c r="A74" i="35"/>
  <c r="A75" i="35"/>
  <c r="A76" i="35"/>
  <c r="A77" i="35"/>
  <c r="A78" i="35"/>
  <c r="A79" i="35"/>
  <c r="A80" i="35"/>
  <c r="A81" i="35"/>
  <c r="A82" i="35"/>
  <c r="A83" i="35"/>
  <c r="A84" i="35"/>
  <c r="A85" i="35"/>
  <c r="A86" i="35"/>
  <c r="A87" i="35"/>
  <c r="A88" i="35"/>
  <c r="A89" i="35"/>
  <c r="A90" i="35"/>
  <c r="A91" i="35"/>
  <c r="A92" i="35"/>
  <c r="A93" i="35"/>
  <c r="A94" i="35"/>
  <c r="A95" i="35"/>
  <c r="A96" i="35"/>
  <c r="A97" i="35"/>
  <c r="A98" i="35"/>
  <c r="A99" i="35"/>
  <c r="A100" i="35"/>
  <c r="A101" i="35"/>
  <c r="A102" i="35"/>
  <c r="A103" i="35"/>
  <c r="A104" i="35"/>
  <c r="A105" i="35"/>
  <c r="A106" i="35"/>
  <c r="A107" i="35"/>
  <c r="A108" i="35"/>
  <c r="A109" i="35"/>
  <c r="A110" i="35"/>
  <c r="A111" i="35"/>
  <c r="A112" i="35"/>
  <c r="A113" i="35"/>
  <c r="A114" i="35"/>
  <c r="A115" i="35"/>
  <c r="A116" i="35"/>
  <c r="A117" i="35"/>
  <c r="A118" i="35"/>
  <c r="A119" i="35"/>
  <c r="A120" i="35"/>
  <c r="A121" i="35"/>
  <c r="A122" i="35"/>
  <c r="A123" i="35"/>
  <c r="A124" i="35"/>
  <c r="A125" i="35"/>
  <c r="A126" i="35"/>
  <c r="A127" i="35"/>
  <c r="A128" i="35"/>
  <c r="A129" i="35"/>
  <c r="A130" i="35"/>
  <c r="A131" i="35"/>
  <c r="A132" i="35"/>
  <c r="A133" i="35"/>
  <c r="A134" i="35"/>
  <c r="A135" i="35"/>
  <c r="A136" i="35"/>
  <c r="A137" i="35"/>
  <c r="A138" i="35"/>
  <c r="A139" i="35"/>
  <c r="A140" i="35"/>
  <c r="A141" i="35"/>
  <c r="A142" i="35"/>
  <c r="A143" i="35"/>
  <c r="A144" i="35"/>
  <c r="A145" i="35"/>
  <c r="A146" i="35"/>
  <c r="A147" i="35"/>
  <c r="A148" i="35"/>
  <c r="A149" i="35"/>
  <c r="A150" i="35"/>
  <c r="A151" i="35"/>
  <c r="A152" i="35"/>
  <c r="A153" i="35"/>
  <c r="A154" i="35"/>
  <c r="A155" i="35"/>
  <c r="A156" i="35"/>
  <c r="A157" i="35"/>
  <c r="A158" i="35"/>
  <c r="A159" i="35"/>
  <c r="A160" i="35"/>
  <c r="A161" i="35"/>
  <c r="A162" i="35"/>
  <c r="A163" i="35"/>
  <c r="A164" i="35"/>
  <c r="A165" i="35"/>
  <c r="A166" i="35"/>
  <c r="A167" i="35"/>
  <c r="A168" i="35"/>
  <c r="A169" i="35"/>
  <c r="A170" i="35"/>
  <c r="A171" i="35"/>
  <c r="A172" i="35"/>
  <c r="A173" i="35"/>
  <c r="A174" i="35"/>
  <c r="A175" i="35"/>
  <c r="A176" i="35"/>
  <c r="A177" i="35"/>
  <c r="A178" i="35"/>
  <c r="A179" i="35"/>
  <c r="A180" i="35"/>
  <c r="A181" i="35"/>
  <c r="A182" i="35"/>
  <c r="A183" i="35"/>
  <c r="A184" i="35"/>
  <c r="A185" i="35"/>
  <c r="A186" i="35"/>
  <c r="A187" i="35"/>
  <c r="A188" i="35"/>
  <c r="A189" i="35"/>
  <c r="A190" i="35"/>
  <c r="A191" i="35"/>
  <c r="A192" i="35"/>
  <c r="A193" i="35"/>
  <c r="A194" i="35"/>
  <c r="A195" i="35"/>
  <c r="A196" i="35"/>
  <c r="A197" i="35"/>
  <c r="A198" i="35"/>
  <c r="A199" i="35"/>
  <c r="A200" i="35"/>
  <c r="A201" i="35"/>
  <c r="A202" i="35"/>
  <c r="A203" i="35"/>
  <c r="A204" i="35"/>
  <c r="A205" i="35"/>
  <c r="A206" i="35"/>
  <c r="A207" i="35"/>
  <c r="A208" i="35"/>
  <c r="A209" i="35"/>
  <c r="A210" i="35"/>
  <c r="A211" i="35"/>
  <c r="A212" i="35"/>
  <c r="A213" i="35"/>
  <c r="A214" i="35"/>
  <c r="A215" i="35"/>
  <c r="A216" i="35"/>
  <c r="A217" i="35"/>
  <c r="A218" i="35"/>
  <c r="A219" i="35"/>
  <c r="A220" i="35"/>
  <c r="A221" i="35"/>
  <c r="A222" i="35"/>
  <c r="A223" i="35"/>
  <c r="A224" i="35"/>
  <c r="A225" i="35"/>
  <c r="A226" i="35"/>
  <c r="A227" i="35"/>
  <c r="A228" i="35"/>
  <c r="A229" i="35"/>
  <c r="A230" i="35"/>
  <c r="A231" i="35"/>
  <c r="A232" i="35"/>
  <c r="A233" i="35"/>
  <c r="A234" i="35"/>
  <c r="A235" i="35"/>
  <c r="A236" i="35"/>
  <c r="A237" i="35"/>
  <c r="A238" i="35"/>
  <c r="A239" i="35"/>
  <c r="A240" i="35"/>
  <c r="A241" i="35"/>
  <c r="A242" i="35"/>
  <c r="A243" i="35"/>
  <c r="A244" i="35"/>
  <c r="A245" i="35"/>
  <c r="A246" i="35"/>
  <c r="A247" i="35"/>
  <c r="A248" i="35"/>
  <c r="A249" i="35"/>
  <c r="A250" i="35"/>
  <c r="A251" i="35"/>
  <c r="A252" i="35"/>
  <c r="A253" i="35"/>
  <c r="A254" i="35"/>
  <c r="A255" i="35"/>
  <c r="A256" i="35"/>
  <c r="A257" i="35"/>
  <c r="A258" i="35"/>
  <c r="A259" i="35"/>
  <c r="A260" i="35"/>
  <c r="A261" i="35"/>
  <c r="A262" i="35"/>
  <c r="A263" i="35"/>
  <c r="A264" i="35"/>
  <c r="A265" i="35"/>
  <c r="A266" i="35"/>
  <c r="A267" i="35"/>
  <c r="A268" i="35"/>
  <c r="A269" i="35"/>
  <c r="A270" i="35"/>
  <c r="A271" i="35"/>
  <c r="A272" i="35"/>
  <c r="A273" i="35"/>
  <c r="A274" i="35"/>
  <c r="A275" i="35"/>
  <c r="A276" i="35"/>
  <c r="A277" i="35"/>
  <c r="A278" i="35"/>
  <c r="A279" i="35"/>
  <c r="A280" i="35"/>
  <c r="A281" i="35"/>
  <c r="A282" i="35"/>
  <c r="A283" i="35"/>
  <c r="A284" i="35"/>
  <c r="A285" i="35"/>
  <c r="A286" i="35"/>
  <c r="A287" i="35"/>
  <c r="A288" i="35"/>
  <c r="A289" i="35"/>
  <c r="A290" i="35"/>
  <c r="A291" i="35"/>
  <c r="A292" i="35"/>
  <c r="A293" i="35"/>
  <c r="A294" i="35"/>
  <c r="A295" i="35"/>
  <c r="A296" i="35"/>
  <c r="A297" i="35"/>
  <c r="A298" i="35"/>
  <c r="A299" i="35"/>
  <c r="A300" i="35"/>
  <c r="A301" i="35"/>
  <c r="A302" i="35"/>
  <c r="A303" i="35"/>
  <c r="A304" i="35"/>
  <c r="A305" i="35"/>
  <c r="A306" i="35"/>
  <c r="A307" i="35"/>
  <c r="A308" i="35"/>
  <c r="A309" i="35"/>
  <c r="A310" i="35"/>
  <c r="A311" i="35"/>
  <c r="A312" i="35"/>
  <c r="A313" i="35"/>
  <c r="A314" i="35"/>
  <c r="A315" i="35"/>
  <c r="A316" i="35"/>
  <c r="A317" i="35"/>
  <c r="A318" i="35"/>
  <c r="A319" i="35"/>
  <c r="A320" i="35"/>
  <c r="A321" i="35"/>
  <c r="A322" i="35"/>
  <c r="A323" i="35"/>
  <c r="A324" i="35"/>
  <c r="A325" i="35"/>
  <c r="A326" i="35"/>
  <c r="A327" i="35"/>
  <c r="A328" i="35"/>
  <c r="A329" i="35"/>
  <c r="A330" i="35"/>
  <c r="A331" i="35"/>
  <c r="A332" i="35"/>
  <c r="A333" i="35"/>
  <c r="A334" i="35"/>
  <c r="A335" i="35"/>
  <c r="A336" i="35"/>
  <c r="A337" i="35"/>
  <c r="A338" i="35"/>
  <c r="A339" i="35"/>
  <c r="A340" i="35"/>
  <c r="A341" i="35"/>
  <c r="A342" i="35"/>
  <c r="A343" i="35"/>
  <c r="A344" i="35"/>
  <c r="A345" i="35"/>
  <c r="A346" i="35"/>
  <c r="A347" i="35"/>
  <c r="A348" i="35"/>
  <c r="A349" i="35"/>
  <c r="A350" i="35"/>
  <c r="A351" i="35"/>
  <c r="A352" i="35"/>
  <c r="A353" i="35"/>
  <c r="A354" i="35"/>
  <c r="A355" i="35"/>
  <c r="A356" i="35"/>
  <c r="A357" i="35"/>
  <c r="A358" i="35"/>
  <c r="A359" i="35"/>
  <c r="A360" i="35"/>
  <c r="A361" i="35"/>
  <c r="A362" i="35"/>
  <c r="A363" i="35"/>
  <c r="A364" i="35"/>
  <c r="A365" i="35"/>
  <c r="A366" i="35"/>
  <c r="A367" i="35"/>
  <c r="A368" i="35"/>
  <c r="A369" i="35"/>
  <c r="A370" i="35"/>
  <c r="A371" i="35"/>
  <c r="A372" i="35"/>
  <c r="A373" i="35"/>
  <c r="A374" i="35"/>
  <c r="A375" i="35"/>
  <c r="A376" i="35"/>
  <c r="A377" i="35"/>
  <c r="A378" i="35"/>
  <c r="A379" i="35"/>
  <c r="A380" i="35"/>
  <c r="A381" i="35"/>
  <c r="A382" i="35"/>
  <c r="A383" i="35"/>
  <c r="A384" i="35"/>
  <c r="A385" i="35"/>
  <c r="A386" i="35"/>
  <c r="A387" i="35"/>
  <c r="A388" i="35"/>
  <c r="A389" i="35"/>
  <c r="A390" i="35"/>
  <c r="A391" i="35"/>
  <c r="A392" i="35"/>
  <c r="A393" i="35"/>
  <c r="A394" i="35"/>
  <c r="A395" i="35"/>
  <c r="A396" i="35"/>
  <c r="A397" i="35"/>
  <c r="A398" i="35"/>
  <c r="A399" i="35"/>
  <c r="A400" i="35"/>
  <c r="A401" i="35"/>
  <c r="A402" i="35"/>
  <c r="A403" i="35"/>
  <c r="A404" i="35"/>
  <c r="A405" i="35"/>
  <c r="A406" i="35"/>
  <c r="A407" i="35"/>
  <c r="A408" i="35"/>
  <c r="A409" i="35"/>
  <c r="A410" i="35"/>
  <c r="A411" i="35"/>
  <c r="A412" i="35"/>
  <c r="A413" i="35"/>
  <c r="A414" i="35"/>
  <c r="A415" i="35"/>
  <c r="A416" i="35"/>
  <c r="A417" i="35"/>
  <c r="A418" i="35"/>
  <c r="A419" i="35"/>
  <c r="A420" i="35"/>
  <c r="A421" i="35"/>
  <c r="A422" i="35"/>
  <c r="A423" i="35"/>
  <c r="A424" i="35"/>
  <c r="A425" i="35"/>
  <c r="A426" i="35"/>
  <c r="A427" i="35"/>
  <c r="A428" i="35"/>
  <c r="A429" i="35"/>
  <c r="A430" i="35"/>
  <c r="A431" i="35"/>
  <c r="A432" i="35"/>
  <c r="A433" i="35"/>
  <c r="A434" i="35"/>
  <c r="A435" i="35"/>
  <c r="A436" i="35"/>
  <c r="A437" i="35"/>
  <c r="A438" i="35"/>
  <c r="A439" i="35"/>
  <c r="A440" i="35"/>
  <c r="A441" i="35"/>
  <c r="A442" i="35"/>
  <c r="A443" i="35"/>
  <c r="A444" i="35"/>
  <c r="A445" i="35"/>
  <c r="A446" i="35"/>
  <c r="A447" i="35"/>
  <c r="A448" i="35"/>
  <c r="A449" i="35"/>
  <c r="A450" i="35"/>
  <c r="A451" i="35"/>
  <c r="A452" i="35"/>
  <c r="A453" i="35"/>
  <c r="A454" i="35"/>
  <c r="A455" i="35"/>
  <c r="A456" i="35"/>
  <c r="A457" i="35"/>
  <c r="A458" i="35"/>
  <c r="A459" i="35"/>
  <c r="A460" i="35"/>
  <c r="A461" i="35"/>
  <c r="A462" i="35"/>
  <c r="A463" i="35"/>
  <c r="A464" i="35"/>
  <c r="A465" i="35"/>
  <c r="A466" i="35"/>
  <c r="A467" i="35"/>
  <c r="A468" i="35"/>
  <c r="A469" i="35"/>
  <c r="A470" i="35"/>
  <c r="A471" i="35"/>
  <c r="A472" i="35"/>
  <c r="A473" i="35"/>
  <c r="A474" i="35"/>
  <c r="A475" i="35"/>
  <c r="A476" i="35"/>
  <c r="A477" i="35"/>
  <c r="A478" i="35"/>
  <c r="A479" i="35"/>
  <c r="A480" i="35"/>
  <c r="A481" i="35"/>
  <c r="A482" i="35"/>
  <c r="A483" i="35"/>
  <c r="A484" i="35"/>
  <c r="A485" i="35"/>
  <c r="A486" i="35"/>
  <c r="A487" i="35"/>
  <c r="A488" i="35"/>
  <c r="A489" i="35"/>
  <c r="A490" i="35"/>
  <c r="A491" i="35"/>
  <c r="A492" i="35"/>
  <c r="A493" i="35"/>
  <c r="A494" i="35"/>
  <c r="A495" i="35"/>
  <c r="A496" i="35"/>
  <c r="A497" i="35"/>
  <c r="A498" i="35"/>
  <c r="A499" i="35"/>
  <c r="A500" i="35"/>
  <c r="A501" i="35"/>
  <c r="A502" i="35"/>
  <c r="A503" i="35"/>
  <c r="A504" i="35"/>
  <c r="A505" i="35"/>
  <c r="A506" i="35"/>
  <c r="A507" i="35"/>
  <c r="A508" i="35"/>
  <c r="A509" i="35"/>
  <c r="A510" i="35"/>
  <c r="A511" i="35"/>
  <c r="A512" i="35"/>
  <c r="A513" i="35"/>
  <c r="A514" i="35"/>
  <c r="A515" i="35"/>
  <c r="A516" i="35"/>
  <c r="A517" i="35"/>
  <c r="A518" i="35"/>
  <c r="A519" i="35"/>
  <c r="A520" i="35"/>
  <c r="A521" i="35"/>
  <c r="A522" i="35"/>
  <c r="A523" i="35"/>
  <c r="A524" i="35"/>
  <c r="A525" i="35"/>
  <c r="A526" i="35"/>
  <c r="A527" i="35"/>
  <c r="A528" i="35"/>
  <c r="A529" i="35"/>
  <c r="A530" i="35"/>
  <c r="A531" i="35"/>
  <c r="A532" i="35"/>
  <c r="A533" i="35"/>
  <c r="A534" i="35"/>
  <c r="A535" i="35"/>
  <c r="A536" i="35"/>
  <c r="A537" i="35"/>
  <c r="A538" i="35"/>
  <c r="A539" i="35"/>
  <c r="A540" i="35"/>
  <c r="A541" i="35"/>
  <c r="A542" i="35"/>
  <c r="A543" i="35"/>
  <c r="A544" i="35"/>
  <c r="A545" i="35"/>
  <c r="A546" i="35"/>
  <c r="A547" i="35"/>
  <c r="A548" i="35"/>
  <c r="A549" i="35"/>
  <c r="A550" i="35"/>
  <c r="A551" i="35"/>
  <c r="A552" i="35"/>
  <c r="A553" i="35"/>
  <c r="A554" i="35"/>
  <c r="A555" i="35"/>
  <c r="A556" i="35"/>
  <c r="A557" i="35"/>
  <c r="A558" i="35"/>
  <c r="A559" i="35"/>
  <c r="A560" i="35"/>
  <c r="A561" i="35"/>
  <c r="A562" i="35"/>
  <c r="A563" i="35"/>
  <c r="A564" i="35"/>
  <c r="A565" i="35"/>
  <c r="A566" i="35"/>
  <c r="A567" i="35"/>
  <c r="A568" i="35"/>
  <c r="A569" i="35"/>
  <c r="A570" i="35"/>
  <c r="A571" i="35"/>
  <c r="A572" i="35"/>
  <c r="A573" i="35"/>
  <c r="A574" i="35"/>
  <c r="A575" i="35"/>
  <c r="A576" i="35"/>
  <c r="A577" i="35"/>
  <c r="A578" i="35"/>
  <c r="A579" i="35"/>
  <c r="A580" i="35"/>
  <c r="A581" i="35"/>
  <c r="A582" i="35"/>
  <c r="A583" i="35"/>
  <c r="A584" i="35"/>
  <c r="A585" i="35"/>
  <c r="A586" i="35"/>
  <c r="A587" i="35"/>
  <c r="A588" i="35"/>
  <c r="A589" i="35"/>
  <c r="A590" i="35"/>
  <c r="A591" i="35"/>
  <c r="A592" i="35"/>
  <c r="A593" i="35"/>
  <c r="A594" i="35"/>
  <c r="A595" i="35"/>
  <c r="A596" i="35"/>
  <c r="A597" i="35"/>
  <c r="A598" i="35"/>
  <c r="A599" i="35"/>
  <c r="A600" i="35"/>
  <c r="A601" i="35"/>
  <c r="A602" i="35"/>
  <c r="A603" i="35"/>
  <c r="A604" i="35"/>
  <c r="A605" i="35"/>
  <c r="A606" i="35"/>
  <c r="A607" i="35"/>
  <c r="A608" i="35"/>
  <c r="A609" i="35"/>
  <c r="A610" i="35"/>
  <c r="A611" i="35"/>
  <c r="A612" i="35"/>
  <c r="A613" i="35"/>
  <c r="A614" i="35"/>
  <c r="A615" i="35"/>
  <c r="A616" i="35"/>
  <c r="A617" i="35"/>
  <c r="A618" i="35"/>
  <c r="A619" i="35"/>
  <c r="A620" i="35"/>
  <c r="A621" i="35"/>
  <c r="A622" i="35"/>
  <c r="A623" i="35"/>
  <c r="A624" i="35"/>
  <c r="A625" i="35"/>
  <c r="A626" i="35"/>
  <c r="A627" i="35"/>
  <c r="A628" i="35"/>
  <c r="A629" i="35"/>
  <c r="A630" i="35"/>
  <c r="A631" i="35"/>
  <c r="A632" i="35"/>
  <c r="A633" i="35"/>
  <c r="A634" i="35"/>
  <c r="A635" i="35"/>
  <c r="A636" i="35"/>
  <c r="A637" i="35"/>
  <c r="A638" i="35"/>
  <c r="A639" i="35"/>
  <c r="A640" i="35"/>
  <c r="A641" i="35"/>
  <c r="A642" i="35"/>
  <c r="A643" i="35"/>
  <c r="A644" i="35"/>
  <c r="A645" i="35"/>
  <c r="A646" i="35"/>
  <c r="A647" i="35"/>
  <c r="A648" i="35"/>
  <c r="A649" i="35"/>
  <c r="A650" i="35"/>
  <c r="A651" i="35"/>
  <c r="A652" i="35"/>
  <c r="A653" i="35"/>
  <c r="A654" i="35"/>
  <c r="A655" i="35"/>
  <c r="A656" i="35"/>
  <c r="A657" i="35"/>
  <c r="A658" i="35"/>
  <c r="A659" i="35"/>
  <c r="A660" i="35"/>
  <c r="A661" i="35"/>
  <c r="A662" i="35"/>
  <c r="A663" i="35"/>
  <c r="A664" i="35"/>
  <c r="A665" i="35"/>
  <c r="A666" i="35"/>
  <c r="A667" i="35"/>
  <c r="A668" i="35"/>
  <c r="A669" i="35"/>
  <c r="A670" i="35"/>
  <c r="A671" i="35"/>
  <c r="A672" i="35"/>
  <c r="A673" i="35"/>
  <c r="A674" i="35"/>
  <c r="A675" i="35"/>
  <c r="A676" i="35"/>
  <c r="A677" i="35"/>
  <c r="A678" i="35"/>
  <c r="A679" i="35"/>
  <c r="A680" i="35"/>
  <c r="A681" i="35"/>
  <c r="A682" i="35"/>
  <c r="A683" i="35"/>
  <c r="A684" i="35"/>
  <c r="A685" i="35"/>
  <c r="A686" i="35"/>
  <c r="A687" i="35"/>
  <c r="A688" i="35"/>
  <c r="A689" i="35"/>
  <c r="A690" i="35"/>
  <c r="A691" i="35"/>
  <c r="A692" i="35"/>
  <c r="A693" i="35"/>
  <c r="A694" i="35"/>
  <c r="A695" i="35"/>
  <c r="A696" i="35"/>
  <c r="A697" i="35"/>
  <c r="A698" i="35"/>
  <c r="A699" i="35"/>
  <c r="A700" i="35"/>
  <c r="A701" i="35"/>
  <c r="A702" i="35"/>
  <c r="A703" i="35"/>
  <c r="A704" i="35"/>
  <c r="A705" i="35"/>
  <c r="A706" i="35"/>
  <c r="A707" i="35"/>
  <c r="A708" i="35"/>
  <c r="A709" i="35"/>
  <c r="A710" i="35"/>
  <c r="A711" i="35"/>
  <c r="A712" i="35"/>
  <c r="A713" i="35"/>
  <c r="A714" i="35"/>
  <c r="A715" i="35"/>
  <c r="A716" i="35"/>
  <c r="A717" i="35"/>
  <c r="A718" i="35"/>
  <c r="A719" i="35"/>
  <c r="A720" i="35"/>
  <c r="A721" i="35"/>
  <c r="A722" i="35"/>
  <c r="A723" i="35"/>
  <c r="A724" i="35"/>
  <c r="A725" i="35"/>
  <c r="A726" i="35"/>
  <c r="A727" i="35"/>
  <c r="A728" i="35"/>
  <c r="A729" i="35"/>
  <c r="A730" i="35"/>
  <c r="A731" i="35"/>
  <c r="A732" i="35"/>
  <c r="A733" i="35"/>
  <c r="A734" i="35"/>
  <c r="A735" i="35"/>
  <c r="A736" i="35"/>
  <c r="A737" i="35"/>
  <c r="A738" i="35"/>
  <c r="A739" i="35"/>
  <c r="A740" i="35"/>
  <c r="A741" i="35"/>
  <c r="A742" i="35"/>
  <c r="A743" i="35"/>
  <c r="A744" i="35"/>
  <c r="A745" i="35"/>
  <c r="A746" i="35"/>
  <c r="A747" i="35"/>
  <c r="A748" i="35"/>
  <c r="A749" i="35"/>
  <c r="A750" i="35"/>
  <c r="A751" i="35"/>
  <c r="A752" i="35"/>
  <c r="A753" i="35"/>
  <c r="A754" i="35"/>
  <c r="A755" i="35"/>
  <c r="A756" i="35"/>
  <c r="A757" i="35"/>
  <c r="A758" i="35"/>
  <c r="A759" i="35"/>
  <c r="A760" i="35"/>
  <c r="A761" i="35"/>
  <c r="A762" i="35"/>
  <c r="A763" i="35"/>
  <c r="A764" i="35"/>
  <c r="A765" i="35"/>
  <c r="A766" i="35"/>
  <c r="A767" i="35"/>
  <c r="A768" i="35"/>
  <c r="A769" i="35"/>
  <c r="A770" i="35"/>
  <c r="A771" i="35"/>
  <c r="A772" i="35"/>
  <c r="A773" i="35"/>
  <c r="A774" i="35"/>
  <c r="A775" i="35"/>
  <c r="A776" i="35"/>
  <c r="A777" i="35"/>
  <c r="A778" i="35"/>
  <c r="A779" i="35"/>
  <c r="A780" i="35"/>
  <c r="A781" i="35"/>
  <c r="A782" i="35"/>
  <c r="A783" i="35"/>
  <c r="A784" i="35"/>
  <c r="A785" i="35"/>
  <c r="A786" i="35"/>
  <c r="A787" i="35"/>
  <c r="A788" i="35"/>
  <c r="A789" i="35"/>
  <c r="A790" i="35"/>
  <c r="A791" i="35"/>
  <c r="A792" i="35"/>
  <c r="A793" i="35"/>
  <c r="A794" i="35"/>
  <c r="A795" i="35"/>
  <c r="A796" i="35"/>
  <c r="A797" i="35"/>
  <c r="A798" i="35"/>
  <c r="A799" i="35"/>
  <c r="A800" i="35"/>
  <c r="A801" i="35"/>
  <c r="A802" i="35"/>
  <c r="A803" i="35"/>
  <c r="A804" i="35"/>
  <c r="A805" i="35"/>
  <c r="A806" i="35"/>
  <c r="A807" i="35"/>
  <c r="A808" i="35"/>
  <c r="A809" i="35"/>
  <c r="A810" i="35"/>
  <c r="A811" i="35"/>
  <c r="A812" i="35"/>
  <c r="A813" i="35"/>
  <c r="A814" i="35"/>
  <c r="A815" i="35"/>
  <c r="A816" i="35"/>
  <c r="A817" i="35"/>
  <c r="A818" i="35"/>
  <c r="A819" i="35"/>
  <c r="A820" i="35"/>
  <c r="A821" i="35"/>
  <c r="A822" i="35"/>
  <c r="A823" i="35"/>
  <c r="A824" i="35"/>
  <c r="A825" i="35"/>
  <c r="A826" i="35"/>
  <c r="A827" i="35"/>
  <c r="A828" i="35"/>
  <c r="A829" i="35"/>
  <c r="A830" i="35"/>
  <c r="A831" i="35"/>
  <c r="A832" i="35"/>
  <c r="A833" i="35"/>
  <c r="A834" i="35"/>
  <c r="A835" i="35"/>
  <c r="A836" i="35"/>
  <c r="A837" i="35"/>
  <c r="A838" i="35"/>
  <c r="A839" i="35"/>
  <c r="A840" i="35"/>
  <c r="A841" i="35"/>
  <c r="A842" i="35"/>
  <c r="A843" i="35"/>
  <c r="A844" i="35"/>
  <c r="A845" i="35"/>
  <c r="A846" i="35"/>
  <c r="A847" i="35"/>
  <c r="A848" i="35"/>
  <c r="A849" i="35"/>
  <c r="A850" i="35"/>
  <c r="A851" i="35"/>
  <c r="A852" i="35"/>
  <c r="A853" i="35"/>
  <c r="A854" i="35"/>
  <c r="A855" i="35"/>
  <c r="A856" i="35"/>
  <c r="A857" i="35"/>
  <c r="A858" i="35"/>
  <c r="A859" i="35"/>
  <c r="A860" i="35"/>
  <c r="A861" i="35"/>
  <c r="A862" i="35"/>
  <c r="A863" i="35"/>
  <c r="A864" i="35"/>
  <c r="A865" i="35"/>
  <c r="A866" i="35"/>
  <c r="A867" i="35"/>
  <c r="A868" i="35"/>
  <c r="A869" i="35"/>
  <c r="A870" i="35"/>
  <c r="A871" i="35"/>
  <c r="A872" i="35"/>
  <c r="A873" i="35"/>
  <c r="A874" i="35"/>
  <c r="A875" i="35"/>
  <c r="A876" i="35"/>
  <c r="A877" i="35"/>
  <c r="A878" i="35"/>
  <c r="A879" i="35"/>
  <c r="A880" i="35"/>
  <c r="A881" i="35"/>
  <c r="A882" i="35"/>
  <c r="A883" i="35"/>
  <c r="A884" i="35"/>
  <c r="A885" i="35"/>
  <c r="A886" i="35"/>
  <c r="A887" i="35"/>
  <c r="A888" i="35"/>
  <c r="A889" i="35"/>
  <c r="A890" i="35"/>
  <c r="A891" i="35"/>
  <c r="A892" i="35"/>
  <c r="A893" i="35"/>
  <c r="A894" i="35"/>
  <c r="A895" i="35"/>
  <c r="A896" i="35"/>
  <c r="A897" i="35"/>
  <c r="A898" i="35"/>
  <c r="A899" i="35"/>
  <c r="A900" i="35"/>
  <c r="A901" i="35"/>
  <c r="A902" i="35"/>
  <c r="A903" i="35"/>
  <c r="A904" i="35"/>
  <c r="A905" i="35"/>
  <c r="A906" i="35"/>
  <c r="A907" i="35"/>
  <c r="A908" i="35"/>
  <c r="A909" i="35"/>
  <c r="A910" i="35"/>
  <c r="A911" i="35"/>
  <c r="A912" i="35"/>
  <c r="A913" i="35"/>
  <c r="A914" i="35"/>
  <c r="A915" i="35"/>
  <c r="A916" i="35"/>
  <c r="A917" i="35"/>
  <c r="A918" i="35"/>
  <c r="A919" i="35"/>
  <c r="A920" i="35"/>
  <c r="A921" i="35"/>
  <c r="A922" i="35"/>
  <c r="A923" i="35"/>
  <c r="A924" i="35"/>
  <c r="A925" i="35"/>
  <c r="A926" i="35"/>
  <c r="A927" i="35"/>
  <c r="A928" i="35"/>
  <c r="A929" i="35"/>
  <c r="A930" i="35"/>
  <c r="A931" i="35"/>
  <c r="A932" i="35"/>
  <c r="A933" i="35"/>
  <c r="A934" i="35"/>
  <c r="A935" i="35"/>
  <c r="A936" i="35"/>
  <c r="A937" i="35"/>
  <c r="A938" i="35"/>
  <c r="A939" i="35"/>
  <c r="A940" i="35"/>
  <c r="A941" i="35"/>
  <c r="A942" i="35"/>
  <c r="A943" i="35"/>
  <c r="A944" i="35"/>
  <c r="A945" i="35"/>
  <c r="A946" i="35"/>
  <c r="A947" i="35"/>
  <c r="A948" i="35"/>
  <c r="A949" i="35"/>
  <c r="A950" i="35"/>
  <c r="A951" i="35"/>
  <c r="A952" i="35"/>
  <c r="A953" i="35"/>
  <c r="A954" i="35"/>
  <c r="A955" i="35"/>
  <c r="A956" i="35"/>
  <c r="A957" i="35"/>
  <c r="A958" i="35"/>
  <c r="A959" i="35"/>
  <c r="A960" i="35"/>
  <c r="A961" i="35"/>
  <c r="A962" i="35"/>
  <c r="A963" i="35"/>
  <c r="A964" i="35"/>
  <c r="A965" i="35"/>
  <c r="A966" i="35"/>
  <c r="A967" i="35"/>
  <c r="A968" i="35"/>
  <c r="A969" i="35"/>
  <c r="A970" i="35"/>
  <c r="A971" i="35"/>
  <c r="A972" i="35"/>
  <c r="A973" i="35"/>
  <c r="A974" i="35"/>
  <c r="A975" i="35"/>
  <c r="A976" i="35"/>
  <c r="A977" i="35"/>
  <c r="A978" i="35"/>
  <c r="A979" i="35"/>
  <c r="A980" i="35"/>
  <c r="A981" i="35"/>
  <c r="A982" i="35"/>
  <c r="A983" i="35"/>
  <c r="A984" i="35"/>
  <c r="A985" i="35"/>
  <c r="A986" i="35"/>
  <c r="A987" i="35"/>
  <c r="A988" i="35"/>
  <c r="A989" i="35"/>
  <c r="A990" i="35"/>
  <c r="A991" i="35"/>
  <c r="A992" i="35"/>
  <c r="A993" i="35"/>
  <c r="A994" i="35"/>
  <c r="A995" i="35"/>
  <c r="A996" i="35"/>
  <c r="A997" i="35"/>
  <c r="A998" i="35"/>
  <c r="A999" i="35"/>
  <c r="A1000" i="35"/>
  <c r="A1001" i="35"/>
  <c r="A1002" i="35"/>
  <c r="A1003" i="35"/>
  <c r="A1004" i="35"/>
  <c r="A1005" i="35"/>
  <c r="A1006" i="35"/>
  <c r="A1007" i="35"/>
  <c r="A1008" i="35"/>
  <c r="A1009" i="35"/>
  <c r="A1010" i="35"/>
  <c r="A1011" i="35"/>
  <c r="A1012" i="35"/>
  <c r="A1013" i="35"/>
  <c r="A1014" i="35"/>
  <c r="A1015" i="35"/>
  <c r="A1016" i="35"/>
  <c r="A1017" i="35"/>
  <c r="A1018" i="35"/>
  <c r="A1019" i="35"/>
  <c r="A1020" i="35"/>
  <c r="A1021" i="35"/>
  <c r="A1022" i="35"/>
  <c r="A1023" i="35"/>
  <c r="A1024" i="35"/>
  <c r="A1025" i="35"/>
  <c r="A1026" i="35"/>
  <c r="A1027" i="35"/>
  <c r="A1028" i="35"/>
  <c r="A1029" i="35"/>
  <c r="A1030" i="35"/>
  <c r="A1031" i="35"/>
  <c r="A1032" i="35"/>
  <c r="A1033" i="35"/>
  <c r="A1034" i="35"/>
  <c r="A1035" i="35"/>
  <c r="A1036" i="35"/>
  <c r="A1037" i="35"/>
  <c r="A1038" i="35"/>
  <c r="A1039" i="35"/>
  <c r="A1040" i="35"/>
  <c r="A1041" i="35"/>
  <c r="A1042" i="35"/>
  <c r="A1043" i="35"/>
  <c r="A1044" i="35"/>
  <c r="A1045" i="35"/>
  <c r="A1046" i="35"/>
  <c r="A1047" i="35"/>
  <c r="A1048" i="35"/>
  <c r="A1049" i="35"/>
  <c r="A1050" i="35"/>
  <c r="A1051" i="35"/>
  <c r="A1052" i="35"/>
  <c r="A1053" i="35"/>
  <c r="A1054" i="35"/>
  <c r="A1055" i="35"/>
  <c r="A1056" i="35"/>
  <c r="A1057" i="35"/>
  <c r="A1058" i="35"/>
  <c r="A1059" i="35"/>
  <c r="A1060" i="35"/>
  <c r="A1061" i="35"/>
  <c r="A1062" i="35"/>
  <c r="A1063" i="35"/>
  <c r="A1064" i="35"/>
  <c r="A1065" i="35"/>
  <c r="A1066" i="35"/>
  <c r="A1067" i="35"/>
  <c r="A1068" i="35"/>
  <c r="A1069" i="35"/>
  <c r="A1070" i="35"/>
  <c r="A1071" i="35"/>
  <c r="A1072" i="35"/>
  <c r="A1073" i="35"/>
  <c r="A1074" i="35"/>
  <c r="A1075" i="35"/>
  <c r="A1076" i="35"/>
  <c r="A1077" i="35"/>
  <c r="A1078" i="35"/>
  <c r="A1079" i="35"/>
  <c r="A1080" i="35"/>
  <c r="A1081" i="35"/>
  <c r="A1082" i="35"/>
  <c r="A1083" i="35"/>
  <c r="A1084" i="35"/>
  <c r="A1085" i="35"/>
  <c r="A1086" i="35"/>
  <c r="A1087" i="35"/>
  <c r="A1088" i="35"/>
  <c r="A1089" i="35"/>
  <c r="A1090" i="35"/>
  <c r="A1091" i="35"/>
  <c r="A1092" i="35"/>
  <c r="A1093" i="35"/>
  <c r="A1094" i="35"/>
  <c r="A1095" i="35"/>
  <c r="A1096" i="35"/>
  <c r="A1097" i="35"/>
  <c r="A1098" i="35"/>
  <c r="A1099" i="35"/>
  <c r="A1100" i="35"/>
  <c r="A1101" i="35"/>
  <c r="A1102" i="35"/>
  <c r="A1103" i="35"/>
  <c r="A1104" i="35"/>
  <c r="A1105" i="35"/>
  <c r="A1106" i="35"/>
  <c r="A1107" i="35"/>
  <c r="A1108" i="35"/>
  <c r="A1109" i="35"/>
  <c r="A1110" i="35"/>
  <c r="A1111" i="35"/>
  <c r="A1112" i="35"/>
  <c r="A1113" i="35"/>
  <c r="A1114" i="35"/>
  <c r="A1115" i="35"/>
  <c r="A1116" i="35"/>
  <c r="A1117" i="35"/>
  <c r="A1118" i="35"/>
  <c r="A1119" i="35"/>
  <c r="A1120" i="35"/>
  <c r="A1121" i="35"/>
  <c r="A1122" i="35"/>
  <c r="A1123" i="35"/>
  <c r="A1124" i="35"/>
  <c r="A1125" i="35"/>
  <c r="A1126" i="35"/>
  <c r="A1127" i="35"/>
  <c r="A1128" i="35"/>
  <c r="A1129" i="35"/>
  <c r="A1130" i="35"/>
  <c r="A1131" i="35"/>
  <c r="A1132" i="35"/>
  <c r="A1133" i="35"/>
  <c r="A1134" i="35"/>
  <c r="A1135" i="35"/>
  <c r="A1136" i="35"/>
  <c r="A1137" i="35"/>
  <c r="A1138" i="35"/>
  <c r="A1139" i="35"/>
  <c r="A1140" i="35"/>
  <c r="A1141" i="35"/>
  <c r="A1142" i="35"/>
  <c r="A1143" i="35"/>
  <c r="A1144" i="35"/>
  <c r="A1145" i="35"/>
  <c r="A1146" i="35"/>
  <c r="A1147" i="35"/>
  <c r="A1148" i="35"/>
  <c r="A1149" i="35"/>
  <c r="A1150" i="35"/>
  <c r="A1151" i="35"/>
  <c r="A1152" i="35"/>
  <c r="A1153" i="35"/>
  <c r="A1154" i="35"/>
  <c r="A1155" i="35"/>
  <c r="A1156" i="35"/>
  <c r="A1157" i="35"/>
  <c r="A1158" i="35"/>
  <c r="A1159" i="35"/>
  <c r="A1160" i="35"/>
  <c r="A1161" i="35"/>
  <c r="A1162" i="35"/>
  <c r="A1163" i="35"/>
  <c r="A1164" i="35"/>
  <c r="A1165" i="35"/>
  <c r="A1166" i="35"/>
  <c r="A1167" i="35"/>
  <c r="A1168" i="35"/>
  <c r="A1169" i="35"/>
  <c r="A1170" i="35"/>
  <c r="A1171" i="35"/>
  <c r="A1172" i="35"/>
  <c r="A1173" i="35"/>
  <c r="A1174" i="35"/>
  <c r="A1175" i="35"/>
  <c r="A1176" i="35"/>
  <c r="A1177" i="35"/>
  <c r="A1178" i="35"/>
  <c r="A1179" i="35"/>
  <c r="A1180" i="35"/>
  <c r="A1181" i="35"/>
  <c r="A1182" i="35"/>
  <c r="A1183" i="35"/>
  <c r="A1184" i="35"/>
  <c r="A1185" i="35"/>
  <c r="A1186" i="35"/>
  <c r="A1187" i="35"/>
  <c r="A1188" i="35"/>
  <c r="A1189" i="35"/>
  <c r="A1190" i="35"/>
  <c r="A1191" i="35"/>
  <c r="A1192" i="35"/>
  <c r="A1193" i="35"/>
  <c r="A1194" i="35"/>
  <c r="A1195" i="35"/>
  <c r="A1196" i="35"/>
  <c r="A1197" i="35"/>
  <c r="A1198" i="35"/>
  <c r="A1199" i="35"/>
  <c r="A1200" i="35"/>
  <c r="A1201" i="35"/>
  <c r="A1202" i="35"/>
  <c r="A1203" i="35"/>
  <c r="A1204" i="35"/>
  <c r="A1205" i="35"/>
  <c r="A1206" i="35"/>
  <c r="A1207" i="35"/>
  <c r="A1208" i="35"/>
  <c r="A1209" i="35"/>
  <c r="A1210" i="35"/>
  <c r="A1211" i="35"/>
  <c r="A1212" i="35"/>
  <c r="A1213" i="35"/>
  <c r="A1214" i="35"/>
  <c r="A1215" i="35"/>
  <c r="A1216" i="35"/>
  <c r="A1217" i="35"/>
  <c r="A1218" i="35"/>
  <c r="A1219" i="35"/>
  <c r="A1220" i="35"/>
  <c r="A1221" i="35"/>
  <c r="A1222" i="35"/>
  <c r="A1223" i="35"/>
  <c r="A1224" i="35"/>
  <c r="A1225" i="35"/>
  <c r="A1226" i="35"/>
  <c r="A1227" i="35"/>
  <c r="A1228" i="35"/>
  <c r="A1229" i="35"/>
  <c r="A1230" i="35"/>
  <c r="A1231" i="35"/>
  <c r="A1232" i="35"/>
  <c r="A1233" i="35"/>
  <c r="A1234" i="35"/>
  <c r="A1235" i="35"/>
  <c r="A1236" i="35"/>
  <c r="A1237" i="35"/>
  <c r="A1238" i="35"/>
  <c r="A1239" i="35"/>
  <c r="A1240" i="35"/>
  <c r="A1241" i="35"/>
  <c r="A1242" i="35"/>
  <c r="A1243" i="35"/>
  <c r="A1244" i="35"/>
  <c r="A1245" i="35"/>
  <c r="A1246" i="35"/>
  <c r="A1247" i="35"/>
  <c r="A1248" i="35"/>
  <c r="A1249" i="35"/>
  <c r="A1250" i="35"/>
  <c r="A1251" i="35"/>
  <c r="A1252" i="35"/>
  <c r="A1253" i="35"/>
  <c r="A1254" i="35"/>
  <c r="A1255" i="35"/>
  <c r="A1256" i="35"/>
  <c r="A1257" i="35"/>
  <c r="A1258" i="35"/>
  <c r="A1259" i="35"/>
  <c r="A1260" i="35"/>
  <c r="A1261" i="35"/>
  <c r="A1262" i="35"/>
  <c r="A1263" i="35"/>
  <c r="A1264" i="35"/>
  <c r="A1265" i="35"/>
  <c r="A1266" i="35"/>
  <c r="A1267" i="35"/>
  <c r="A1268" i="35"/>
  <c r="A1269" i="35"/>
  <c r="A1270" i="35"/>
  <c r="A1271" i="35"/>
  <c r="A1272" i="35"/>
  <c r="A1273" i="35"/>
  <c r="A1274" i="35"/>
  <c r="A1275" i="35"/>
  <c r="A1276" i="35"/>
  <c r="A1277" i="35"/>
  <c r="A1278" i="35"/>
  <c r="A1279" i="35"/>
  <c r="A1280" i="35"/>
  <c r="A1281" i="35"/>
  <c r="A1282" i="35"/>
  <c r="A1283" i="35"/>
  <c r="A1284" i="35"/>
  <c r="A1285" i="35"/>
  <c r="A1286" i="35"/>
  <c r="A1287" i="35"/>
  <c r="A1288" i="35"/>
  <c r="A1289" i="35"/>
  <c r="A1290" i="35"/>
  <c r="A1291" i="35"/>
  <c r="A1292" i="35"/>
  <c r="A1293" i="35"/>
  <c r="A1294" i="35"/>
  <c r="A1295" i="35"/>
  <c r="A1296" i="35"/>
  <c r="A1297" i="35"/>
  <c r="A1298" i="35"/>
  <c r="A1299" i="35"/>
  <c r="A1300" i="35"/>
  <c r="A1301" i="35"/>
  <c r="A1302" i="35"/>
  <c r="A1303" i="35"/>
  <c r="A1304" i="35"/>
  <c r="A1305" i="35"/>
  <c r="A1306" i="35"/>
  <c r="A1307" i="35"/>
  <c r="A1308" i="35"/>
  <c r="A1309" i="35"/>
  <c r="A1310" i="35"/>
  <c r="A1311" i="35"/>
  <c r="A1312" i="35"/>
  <c r="A1313" i="35"/>
  <c r="A1314" i="35"/>
  <c r="A1315" i="35"/>
  <c r="A1316" i="35"/>
  <c r="A1317" i="35"/>
  <c r="A1318" i="35"/>
  <c r="A1319" i="35"/>
  <c r="A1320" i="35"/>
  <c r="A1321" i="35"/>
  <c r="A1322" i="35"/>
  <c r="A1323" i="35"/>
  <c r="A1324" i="35"/>
  <c r="A1325" i="35"/>
  <c r="A1326" i="35"/>
  <c r="A1327" i="35"/>
  <c r="A1328" i="35"/>
  <c r="A1329" i="35"/>
  <c r="A1330" i="35"/>
  <c r="A1331" i="35"/>
  <c r="A1332" i="35"/>
  <c r="A1333" i="35"/>
  <c r="A1334" i="35"/>
  <c r="A1335" i="35"/>
  <c r="A1336" i="35"/>
  <c r="A1337" i="35"/>
  <c r="A1338" i="35"/>
  <c r="A1339" i="35"/>
  <c r="A1340" i="35"/>
  <c r="A1341" i="35"/>
  <c r="A1342" i="35"/>
  <c r="A1343" i="35"/>
  <c r="A1344" i="35"/>
  <c r="A1345" i="35"/>
  <c r="A1346" i="35"/>
  <c r="A1347" i="35"/>
  <c r="A1348" i="35"/>
  <c r="A1349" i="35"/>
  <c r="A1350" i="35"/>
  <c r="A1351" i="35"/>
  <c r="A1352" i="35"/>
  <c r="A1353" i="35"/>
  <c r="A1354" i="35"/>
  <c r="A1355" i="35"/>
  <c r="A1356" i="35"/>
  <c r="A1357" i="35"/>
  <c r="A1358" i="35"/>
  <c r="A1359" i="35"/>
  <c r="A1360" i="35"/>
  <c r="A1361" i="35"/>
  <c r="A1362" i="35"/>
  <c r="A1363" i="35"/>
  <c r="A1364" i="35"/>
  <c r="A1365" i="35"/>
  <c r="A1366" i="35"/>
  <c r="A1367" i="35"/>
  <c r="A1368" i="35"/>
  <c r="A1369" i="35"/>
  <c r="A1370" i="35"/>
  <c r="A1371" i="35"/>
  <c r="A1372" i="35"/>
  <c r="A1373" i="35"/>
  <c r="A1374" i="35"/>
  <c r="A1375" i="35"/>
  <c r="A1376" i="35"/>
  <c r="A1377" i="35"/>
  <c r="A1378" i="35"/>
  <c r="A1379" i="35"/>
  <c r="A1380" i="35"/>
  <c r="A1381" i="35"/>
  <c r="A1382" i="35"/>
  <c r="A1383" i="35"/>
  <c r="A1384" i="35"/>
  <c r="A1385" i="35"/>
  <c r="A1386" i="35"/>
  <c r="A1387" i="35"/>
  <c r="A1388" i="35"/>
  <c r="A1389" i="35"/>
  <c r="A1390" i="35"/>
  <c r="A1391" i="35"/>
  <c r="A1392" i="35"/>
  <c r="A1393" i="35"/>
  <c r="A1394" i="35"/>
  <c r="A1395" i="35"/>
  <c r="A1396" i="35"/>
  <c r="A1397" i="35"/>
  <c r="A1398" i="35"/>
  <c r="A1399" i="35"/>
  <c r="A1400" i="35"/>
  <c r="A1401" i="35"/>
  <c r="A1402" i="35"/>
  <c r="A1403" i="35"/>
  <c r="A1404" i="35"/>
  <c r="A1405" i="35"/>
  <c r="A1406" i="35"/>
  <c r="A1407" i="35"/>
  <c r="A1408" i="35"/>
  <c r="A1409" i="35"/>
  <c r="A1410" i="35"/>
  <c r="A1411" i="35"/>
  <c r="A1412" i="35"/>
  <c r="A1413" i="35"/>
  <c r="A1414" i="35"/>
  <c r="A1415" i="35"/>
  <c r="A1416" i="35"/>
  <c r="A1417" i="35"/>
  <c r="A1418" i="35"/>
  <c r="A1419" i="35"/>
  <c r="A1420" i="35"/>
  <c r="A1421" i="35"/>
  <c r="A1422" i="35"/>
  <c r="A1423" i="35"/>
  <c r="A1424" i="35"/>
  <c r="A1425" i="35"/>
  <c r="A1426" i="35"/>
  <c r="A1427" i="35"/>
  <c r="A1428" i="35"/>
  <c r="A1429" i="35"/>
  <c r="A1430" i="35"/>
  <c r="A1431" i="35"/>
  <c r="A1432" i="35"/>
  <c r="A1433" i="35"/>
  <c r="A1434" i="35"/>
  <c r="A1435" i="35"/>
  <c r="A1436" i="35"/>
  <c r="A1437" i="35"/>
  <c r="A1438" i="35"/>
  <c r="A1439" i="35"/>
  <c r="A1440" i="35"/>
  <c r="A1441" i="35"/>
  <c r="A1442" i="35"/>
  <c r="A1443" i="35"/>
  <c r="A1444" i="35"/>
  <c r="A1445" i="35"/>
  <c r="A1446" i="35"/>
  <c r="A1447" i="35"/>
  <c r="A1448" i="35"/>
  <c r="A1449" i="35"/>
  <c r="A1450" i="35"/>
  <c r="A1451" i="35"/>
  <c r="A1452" i="35"/>
  <c r="A1453" i="35"/>
  <c r="A1454" i="35"/>
  <c r="A1455" i="35"/>
  <c r="A1456" i="35"/>
  <c r="A1457" i="35"/>
  <c r="A1458" i="35"/>
  <c r="A1459" i="35"/>
  <c r="A1460" i="35"/>
  <c r="A1461" i="35"/>
  <c r="A1462" i="35"/>
  <c r="A1463" i="35"/>
  <c r="A1464" i="35"/>
  <c r="A1465" i="35"/>
  <c r="A1466" i="35"/>
  <c r="A1467" i="35"/>
  <c r="A1468" i="35"/>
  <c r="A1469" i="35"/>
  <c r="A1470" i="35"/>
  <c r="A1471" i="35"/>
  <c r="A1472" i="35"/>
  <c r="A1473" i="35"/>
  <c r="A1474" i="35"/>
  <c r="A1475" i="35"/>
  <c r="A1476" i="35"/>
  <c r="A1477" i="35"/>
  <c r="A1478" i="35"/>
  <c r="A1479" i="35"/>
  <c r="A1480" i="35"/>
  <c r="A1481" i="35"/>
  <c r="A1482" i="35"/>
  <c r="A1483" i="35"/>
  <c r="A1484" i="35"/>
  <c r="A1485" i="35"/>
  <c r="A1486" i="35"/>
  <c r="A1487" i="35"/>
  <c r="A1488" i="35"/>
  <c r="A1489" i="35"/>
  <c r="A1490" i="35"/>
  <c r="A1491" i="35"/>
  <c r="A1492" i="35"/>
  <c r="A1493" i="35"/>
  <c r="A1494" i="35"/>
  <c r="A1495" i="35"/>
  <c r="A1496" i="35"/>
  <c r="A1497" i="35"/>
  <c r="A1498" i="35"/>
  <c r="A1499" i="35"/>
  <c r="A1500" i="35"/>
  <c r="A1501" i="35"/>
  <c r="A1502" i="35"/>
  <c r="A1503" i="35"/>
  <c r="A1504" i="35"/>
  <c r="A1505" i="35"/>
  <c r="A1506" i="35"/>
  <c r="A1507" i="35"/>
  <c r="A1508" i="35"/>
  <c r="A1509" i="35"/>
  <c r="A1510" i="35"/>
  <c r="A1511" i="35"/>
  <c r="A1512" i="35"/>
  <c r="A1513" i="35"/>
  <c r="A1514" i="35"/>
  <c r="A1515" i="35"/>
  <c r="A1516" i="35"/>
  <c r="A1517" i="35"/>
  <c r="A1518" i="35"/>
  <c r="A1519" i="35"/>
  <c r="A1520" i="35"/>
  <c r="A1521" i="35"/>
  <c r="A1522" i="35"/>
  <c r="A1523" i="35"/>
  <c r="A1524" i="35"/>
  <c r="A1525" i="35"/>
  <c r="A1526" i="35"/>
  <c r="A1527" i="35"/>
  <c r="A1528" i="35"/>
  <c r="A1529" i="35"/>
  <c r="A1530" i="35"/>
  <c r="A1531" i="35"/>
  <c r="A1532" i="35"/>
  <c r="A1533" i="35"/>
  <c r="A1534" i="35"/>
  <c r="A1535" i="35"/>
  <c r="A1536" i="35"/>
  <c r="A1537" i="35"/>
  <c r="A1538" i="35"/>
  <c r="A1539" i="35"/>
  <c r="A1540" i="35"/>
  <c r="A1541" i="35"/>
  <c r="A1542" i="35"/>
  <c r="A1543" i="35"/>
  <c r="A1544" i="35"/>
  <c r="A1545" i="35"/>
  <c r="A1546" i="35"/>
  <c r="A1547" i="35"/>
  <c r="A1548" i="35"/>
  <c r="A1549" i="35"/>
  <c r="A1550" i="35"/>
  <c r="A1551" i="35"/>
  <c r="A1552" i="35"/>
  <c r="A1553" i="35"/>
  <c r="A1554" i="35"/>
  <c r="A1555" i="35"/>
  <c r="A1556" i="35"/>
  <c r="A1557" i="35"/>
  <c r="B56" i="33"/>
  <c r="C56" i="33"/>
  <c r="I56" i="33"/>
  <c r="L56" i="33"/>
  <c r="F56" i="33"/>
  <c r="J56" i="33"/>
  <c r="H56" i="33"/>
  <c r="D56" i="33"/>
  <c r="K56" i="33"/>
  <c r="G56" i="33"/>
  <c r="E56" i="33"/>
  <c r="M56" i="33"/>
  <c r="B40" i="10" l="1"/>
  <c r="C40" i="10"/>
  <c r="D40" i="10"/>
  <c r="E40" i="10"/>
  <c r="B41" i="10"/>
  <c r="C41" i="10"/>
  <c r="D41" i="10"/>
  <c r="E41" i="10"/>
  <c r="B42" i="10"/>
  <c r="C42" i="10"/>
  <c r="D42" i="10"/>
  <c r="E42" i="10"/>
  <c r="B43" i="10"/>
  <c r="C43" i="10"/>
  <c r="D43" i="10"/>
  <c r="E43" i="10"/>
  <c r="B44" i="10"/>
  <c r="C44" i="10"/>
  <c r="D44" i="10"/>
  <c r="E44" i="10"/>
  <c r="B45" i="10"/>
  <c r="C45" i="10"/>
  <c r="D45" i="10"/>
  <c r="E45" i="10"/>
  <c r="B46" i="10"/>
  <c r="C46" i="10"/>
  <c r="D46" i="10"/>
  <c r="E46" i="10"/>
  <c r="B47" i="10"/>
  <c r="C47" i="10"/>
  <c r="D47" i="10"/>
  <c r="E47" i="10"/>
  <c r="B48" i="10"/>
  <c r="C48" i="10"/>
  <c r="D48" i="10"/>
  <c r="E48" i="10"/>
  <c r="B49" i="10"/>
  <c r="C49" i="10"/>
  <c r="D49" i="10"/>
  <c r="E49" i="10"/>
  <c r="B50" i="10"/>
  <c r="C50" i="10"/>
  <c r="D50" i="10"/>
  <c r="E50" i="10"/>
  <c r="B51" i="10"/>
  <c r="C51" i="10"/>
  <c r="D51" i="10"/>
  <c r="E51" i="10"/>
  <c r="B52" i="10"/>
  <c r="C52" i="10"/>
  <c r="D52" i="10"/>
  <c r="E52" i="10"/>
  <c r="B53" i="10"/>
  <c r="C53" i="10"/>
  <c r="D53" i="10"/>
  <c r="E53" i="10"/>
  <c r="B54" i="10"/>
  <c r="C54" i="10"/>
  <c r="D54" i="10"/>
  <c r="E54" i="10"/>
  <c r="B55" i="10"/>
  <c r="C55" i="10"/>
  <c r="D55" i="10"/>
  <c r="E55" i="10"/>
  <c r="B56" i="10"/>
  <c r="C56" i="10"/>
  <c r="D56" i="10"/>
  <c r="E56" i="10"/>
  <c r="B57" i="10"/>
  <c r="C57" i="10"/>
  <c r="D57" i="10"/>
  <c r="E57" i="10"/>
  <c r="B58" i="10"/>
  <c r="C58" i="10"/>
  <c r="D58" i="10"/>
  <c r="E58" i="10"/>
  <c r="C39" i="10"/>
  <c r="D39" i="10"/>
  <c r="E39" i="10"/>
  <c r="B39" i="10"/>
  <c r="A7" i="10" l="1"/>
  <c r="A8" i="10"/>
  <c r="A9" i="10"/>
  <c r="A10" i="10"/>
  <c r="A11" i="10"/>
  <c r="A12" i="10"/>
  <c r="A13" i="10"/>
  <c r="A14" i="10"/>
  <c r="A7" i="22"/>
  <c r="A8" i="22"/>
  <c r="A9" i="22"/>
  <c r="A10" i="22"/>
  <c r="A11" i="22"/>
  <c r="A12" i="22"/>
  <c r="A13" i="22"/>
  <c r="A14" i="22"/>
  <c r="A23" i="10"/>
  <c r="A15" i="22" s="1"/>
  <c r="A24" i="10"/>
  <c r="A16" i="22" s="1"/>
  <c r="A25" i="10"/>
  <c r="A17" i="22" s="1"/>
  <c r="A26" i="10"/>
  <c r="A18" i="22" s="1"/>
  <c r="A27" i="10"/>
  <c r="A19" i="22" s="1"/>
  <c r="A28" i="10"/>
  <c r="A20" i="22" s="1"/>
  <c r="A29" i="10"/>
  <c r="A21" i="22" s="1"/>
  <c r="A30" i="10"/>
  <c r="A22" i="22" s="1"/>
  <c r="A31" i="10"/>
  <c r="A23" i="22" s="1"/>
  <c r="A32" i="10"/>
  <c r="A24" i="22" s="1"/>
  <c r="A33" i="10"/>
  <c r="A25" i="22" s="1"/>
  <c r="A34" i="10"/>
  <c r="A26" i="22" s="1"/>
  <c r="A35" i="10"/>
  <c r="A36" i="10"/>
  <c r="A37" i="10"/>
  <c r="A38" i="10"/>
  <c r="A39" i="10"/>
  <c r="A40" i="10"/>
  <c r="A41" i="10"/>
  <c r="A42" i="10"/>
  <c r="A43" i="10"/>
  <c r="A44" i="10"/>
  <c r="A45" i="10"/>
  <c r="A46" i="10"/>
  <c r="A47" i="10"/>
  <c r="A48" i="10"/>
  <c r="A49" i="10"/>
  <c r="A50" i="10"/>
  <c r="A51" i="10"/>
  <c r="A52" i="10"/>
  <c r="A53" i="10"/>
  <c r="A54" i="10"/>
  <c r="A55" i="10"/>
  <c r="A56" i="10"/>
  <c r="A57" i="10"/>
  <c r="A58" i="10"/>
  <c r="B2" i="37" l="1"/>
  <c r="B3" i="37"/>
  <c r="B4" i="37"/>
  <c r="B5" i="37"/>
  <c r="B6" i="37"/>
  <c r="B7" i="37"/>
  <c r="B8" i="37"/>
  <c r="B9" i="37"/>
  <c r="B10" i="37"/>
  <c r="B11" i="37"/>
  <c r="B12" i="37"/>
  <c r="B13" i="37"/>
  <c r="B14" i="37"/>
  <c r="B15" i="37"/>
  <c r="B16" i="37"/>
  <c r="B17" i="37"/>
  <c r="B18" i="37"/>
  <c r="B19" i="37"/>
  <c r="B20" i="37"/>
  <c r="B21" i="37"/>
  <c r="B22" i="37"/>
  <c r="B23" i="37"/>
  <c r="B24" i="37"/>
  <c r="B25" i="37"/>
  <c r="B26" i="37"/>
  <c r="B27" i="37"/>
  <c r="B28" i="37"/>
  <c r="B29" i="37"/>
  <c r="B30" i="37"/>
  <c r="B31" i="37"/>
  <c r="B32" i="37"/>
  <c r="B33" i="37"/>
  <c r="B34" i="37"/>
  <c r="B35" i="37"/>
  <c r="B36" i="37"/>
  <c r="B37" i="37"/>
  <c r="B38" i="37"/>
  <c r="B39" i="37"/>
  <c r="B40" i="37"/>
  <c r="B41" i="37"/>
  <c r="B42" i="37"/>
  <c r="B43" i="37"/>
  <c r="B44" i="37"/>
  <c r="B45" i="37"/>
  <c r="B46" i="37"/>
  <c r="B47" i="37"/>
  <c r="B48" i="37"/>
  <c r="B49" i="37"/>
  <c r="B50" i="37"/>
  <c r="B51" i="37"/>
  <c r="B52" i="37"/>
  <c r="B53" i="37"/>
  <c r="B54" i="37"/>
  <c r="B55" i="37"/>
  <c r="B56" i="37"/>
  <c r="B57" i="37"/>
  <c r="B58" i="37"/>
  <c r="B59" i="37"/>
  <c r="B60" i="37"/>
  <c r="B61" i="37"/>
  <c r="B62" i="37"/>
  <c r="B63" i="37"/>
  <c r="B64" i="37"/>
  <c r="B65" i="37"/>
  <c r="B66" i="37"/>
  <c r="B67" i="37"/>
  <c r="B68" i="37"/>
  <c r="B69" i="37"/>
  <c r="B70" i="37"/>
  <c r="B71" i="37"/>
  <c r="B72" i="37"/>
  <c r="B73" i="37"/>
  <c r="B74" i="37"/>
  <c r="B75" i="37"/>
  <c r="B76" i="37"/>
  <c r="B77" i="37"/>
  <c r="B78" i="37"/>
  <c r="B79" i="37"/>
  <c r="B80" i="37"/>
  <c r="B81" i="37"/>
  <c r="B82" i="37"/>
  <c r="B83" i="37"/>
  <c r="B84" i="37"/>
  <c r="B85" i="37"/>
  <c r="B86" i="37"/>
  <c r="B87" i="37"/>
  <c r="B88" i="37"/>
  <c r="B89" i="37"/>
  <c r="B90" i="37"/>
  <c r="B91" i="37"/>
  <c r="B92" i="37"/>
  <c r="B93" i="37"/>
  <c r="B94" i="37"/>
  <c r="B95" i="37"/>
  <c r="B96" i="37"/>
  <c r="B97" i="37"/>
  <c r="B98" i="37"/>
  <c r="B99" i="37"/>
  <c r="B100" i="37"/>
  <c r="B101" i="37"/>
  <c r="B102" i="37"/>
  <c r="B103" i="37"/>
  <c r="B104" i="37"/>
  <c r="B105" i="37"/>
  <c r="B106" i="37"/>
  <c r="B107" i="37"/>
  <c r="B108" i="37"/>
  <c r="B109" i="37"/>
  <c r="B110" i="37"/>
  <c r="B111" i="37"/>
  <c r="B112" i="37"/>
  <c r="B113" i="37"/>
  <c r="B114" i="37"/>
  <c r="B115" i="37"/>
  <c r="B116" i="37"/>
  <c r="B117" i="37"/>
  <c r="B118" i="37"/>
  <c r="B119" i="37"/>
  <c r="B120" i="37"/>
  <c r="B121" i="37"/>
  <c r="B122" i="37"/>
  <c r="B123" i="37"/>
  <c r="B124" i="37"/>
  <c r="B125" i="37"/>
  <c r="B126" i="37"/>
  <c r="B127" i="37"/>
  <c r="B128" i="37"/>
  <c r="B129" i="37"/>
  <c r="B130" i="37"/>
  <c r="B131" i="37"/>
  <c r="B132" i="37"/>
  <c r="B133" i="37"/>
  <c r="B134" i="37"/>
  <c r="B135" i="37"/>
  <c r="B136" i="37"/>
  <c r="B137" i="37"/>
  <c r="B138" i="37"/>
  <c r="B139" i="37"/>
  <c r="B140" i="37"/>
  <c r="B141" i="37"/>
  <c r="B142" i="37"/>
  <c r="B143" i="37"/>
  <c r="B144" i="37"/>
  <c r="B145" i="37"/>
  <c r="B146" i="37"/>
  <c r="B147" i="37"/>
  <c r="B148" i="37"/>
  <c r="B149" i="37"/>
  <c r="B150" i="37"/>
  <c r="B151" i="37"/>
  <c r="B152" i="37"/>
  <c r="B153" i="37"/>
  <c r="B154" i="37"/>
  <c r="B155" i="37"/>
  <c r="B156" i="37"/>
  <c r="B157" i="37"/>
  <c r="B158" i="37"/>
  <c r="B159" i="37"/>
  <c r="B160" i="37"/>
  <c r="B161" i="37"/>
  <c r="B162" i="37"/>
  <c r="B163" i="37"/>
  <c r="B164" i="37"/>
  <c r="B165" i="37"/>
  <c r="B166" i="37"/>
  <c r="B167" i="37"/>
  <c r="B168" i="37"/>
  <c r="B169" i="37"/>
  <c r="B170" i="37"/>
  <c r="B171" i="37"/>
  <c r="B172" i="37"/>
  <c r="B173" i="37"/>
  <c r="B174" i="37"/>
  <c r="B175" i="37"/>
  <c r="B176" i="37"/>
  <c r="B177" i="37"/>
  <c r="B178" i="37"/>
  <c r="B179" i="37"/>
  <c r="B180" i="37"/>
  <c r="B181" i="37"/>
  <c r="B182" i="37"/>
  <c r="B183" i="37"/>
  <c r="B184" i="37"/>
  <c r="B185" i="37"/>
  <c r="B186" i="37"/>
  <c r="B187" i="37"/>
  <c r="B188" i="37"/>
  <c r="B189" i="37"/>
  <c r="B190" i="37"/>
  <c r="B191" i="37"/>
  <c r="B192" i="37"/>
  <c r="B193" i="37"/>
  <c r="B194" i="37"/>
  <c r="B195" i="37"/>
  <c r="B196" i="37"/>
  <c r="B197" i="37"/>
  <c r="B198" i="37"/>
  <c r="B199" i="37"/>
  <c r="B200" i="37"/>
  <c r="B201" i="37"/>
  <c r="B202" i="37"/>
  <c r="B203" i="37"/>
  <c r="B204" i="37"/>
  <c r="B205" i="37"/>
  <c r="B206" i="37"/>
  <c r="B207" i="37"/>
  <c r="B208" i="37"/>
  <c r="B209" i="37"/>
  <c r="B210" i="37"/>
  <c r="B211" i="37"/>
  <c r="B212" i="37"/>
  <c r="B213" i="37"/>
  <c r="B214" i="37"/>
  <c r="B215" i="37"/>
  <c r="B216" i="37"/>
  <c r="B217" i="37"/>
  <c r="B218" i="37"/>
  <c r="B219" i="37"/>
  <c r="B220" i="37"/>
  <c r="B221" i="37"/>
  <c r="B222" i="37"/>
  <c r="B223" i="37"/>
  <c r="B224" i="37"/>
  <c r="B225" i="37"/>
  <c r="B226" i="37"/>
  <c r="B227" i="37"/>
  <c r="B228" i="37"/>
  <c r="B229" i="37"/>
  <c r="B230" i="37"/>
  <c r="B231" i="37"/>
  <c r="B232" i="37"/>
  <c r="B233" i="37"/>
  <c r="B234" i="37"/>
  <c r="B235" i="37"/>
  <c r="B236" i="37"/>
  <c r="B237" i="37"/>
  <c r="B238" i="37"/>
  <c r="B239" i="37"/>
  <c r="B240" i="37"/>
  <c r="B241" i="37"/>
  <c r="B242" i="37"/>
  <c r="B243" i="37"/>
  <c r="B244" i="37"/>
  <c r="B245" i="37"/>
  <c r="B246" i="37"/>
  <c r="B247" i="37"/>
  <c r="B248" i="37"/>
  <c r="B249" i="37"/>
  <c r="B250" i="37"/>
  <c r="B251" i="37"/>
  <c r="B252" i="37"/>
  <c r="B253" i="37"/>
  <c r="B254" i="37"/>
  <c r="B255" i="37"/>
  <c r="B256" i="37"/>
  <c r="B257" i="37"/>
  <c r="B258" i="37"/>
  <c r="B259" i="37"/>
  <c r="B260" i="37"/>
  <c r="B261" i="37"/>
  <c r="B262" i="37"/>
  <c r="B263" i="37"/>
  <c r="B264" i="37"/>
  <c r="B265" i="37"/>
  <c r="B266" i="37"/>
  <c r="B267" i="37"/>
  <c r="B268" i="37"/>
  <c r="B269" i="37"/>
  <c r="B270" i="37"/>
  <c r="B271" i="37"/>
  <c r="B272" i="37"/>
  <c r="B273" i="37"/>
  <c r="B274" i="37"/>
  <c r="B275" i="37"/>
  <c r="B276" i="37"/>
  <c r="B277" i="37"/>
  <c r="B278" i="37"/>
  <c r="B279" i="37"/>
  <c r="B280" i="37"/>
  <c r="B281" i="37"/>
  <c r="B282" i="37"/>
  <c r="B283" i="37"/>
  <c r="B284" i="37"/>
  <c r="B285" i="37"/>
  <c r="B286" i="37"/>
  <c r="B287" i="37"/>
  <c r="B288" i="37"/>
  <c r="B289" i="37"/>
  <c r="B290" i="37"/>
  <c r="B291" i="37"/>
  <c r="B292" i="37"/>
  <c r="B293" i="37"/>
  <c r="B294" i="37"/>
  <c r="B295" i="37"/>
  <c r="B296" i="37"/>
  <c r="B297" i="37"/>
  <c r="B298" i="37"/>
  <c r="B299" i="37"/>
  <c r="B300" i="37"/>
  <c r="B301" i="37"/>
  <c r="B302" i="37"/>
  <c r="B303" i="37"/>
  <c r="B304" i="37"/>
  <c r="B305" i="37"/>
  <c r="B306" i="37"/>
  <c r="B307" i="37"/>
  <c r="B308" i="37"/>
  <c r="B309" i="37"/>
  <c r="B310" i="37"/>
  <c r="B311" i="37"/>
  <c r="B312" i="37"/>
  <c r="B313" i="37"/>
  <c r="B314" i="37"/>
  <c r="B315" i="37"/>
  <c r="B316" i="37"/>
  <c r="B317" i="37"/>
  <c r="B318" i="37"/>
  <c r="B319" i="37"/>
  <c r="B320" i="37"/>
  <c r="B321" i="37"/>
  <c r="B322" i="37"/>
  <c r="B323" i="37"/>
  <c r="B324" i="37"/>
  <c r="B325" i="37"/>
  <c r="B326" i="37"/>
  <c r="B327" i="37"/>
  <c r="B328" i="37"/>
  <c r="B329" i="37"/>
  <c r="B330" i="37"/>
  <c r="B331" i="37"/>
  <c r="B332" i="37"/>
  <c r="B333" i="37"/>
  <c r="B334" i="37"/>
  <c r="B335" i="37"/>
  <c r="B336" i="37"/>
  <c r="B337" i="37"/>
  <c r="B338" i="37"/>
  <c r="B339" i="37"/>
  <c r="B340" i="37"/>
  <c r="B341" i="37"/>
  <c r="B342" i="37"/>
  <c r="B343" i="37"/>
  <c r="B344" i="37"/>
  <c r="B345" i="37"/>
  <c r="B346" i="37"/>
  <c r="B347" i="37"/>
  <c r="B348" i="37"/>
  <c r="B349" i="37"/>
  <c r="B350" i="37"/>
  <c r="B351" i="37"/>
  <c r="B352" i="37"/>
  <c r="B353" i="37"/>
  <c r="B354" i="37"/>
  <c r="B355" i="37"/>
  <c r="B356" i="37"/>
  <c r="B357" i="37"/>
  <c r="B358" i="37"/>
  <c r="B359" i="37"/>
  <c r="B360" i="37"/>
  <c r="B361" i="37"/>
  <c r="B362" i="37"/>
  <c r="B363" i="37"/>
  <c r="B364" i="37"/>
  <c r="B365" i="37"/>
  <c r="B366" i="37"/>
  <c r="B367" i="37"/>
  <c r="B368" i="37"/>
  <c r="B369" i="37"/>
  <c r="B370" i="37"/>
  <c r="B371" i="37"/>
  <c r="B372" i="37"/>
  <c r="B373" i="37"/>
  <c r="B374" i="37"/>
  <c r="B375" i="37"/>
  <c r="B376" i="37"/>
  <c r="B377" i="37"/>
  <c r="B378" i="37"/>
  <c r="B379" i="37"/>
  <c r="B380" i="37"/>
  <c r="B381" i="37"/>
  <c r="B382" i="37"/>
  <c r="B383" i="37"/>
  <c r="B384" i="37"/>
  <c r="B385" i="37"/>
  <c r="B386" i="37"/>
  <c r="B387" i="37"/>
  <c r="B388" i="37"/>
  <c r="B389" i="37"/>
  <c r="B390" i="37"/>
  <c r="B391" i="37"/>
  <c r="B392" i="37"/>
  <c r="B393" i="37"/>
  <c r="B394" i="37"/>
  <c r="B395" i="37"/>
  <c r="B396" i="37"/>
  <c r="B397" i="37"/>
  <c r="B398" i="37"/>
  <c r="B399" i="37"/>
  <c r="B400" i="37"/>
  <c r="B401" i="37"/>
  <c r="B402" i="37"/>
  <c r="B403" i="37"/>
  <c r="B404" i="37"/>
  <c r="B405" i="37"/>
  <c r="B406" i="37"/>
  <c r="B407" i="37"/>
  <c r="B408" i="37"/>
  <c r="B409" i="37"/>
  <c r="B410" i="37"/>
  <c r="B411" i="37"/>
  <c r="B412" i="37"/>
  <c r="B413" i="37"/>
  <c r="B414" i="37"/>
  <c r="B415" i="37"/>
  <c r="B416" i="37"/>
  <c r="B417" i="37"/>
  <c r="B418" i="37"/>
  <c r="B419" i="37"/>
  <c r="B420" i="37"/>
  <c r="B421" i="37"/>
  <c r="B422" i="37"/>
  <c r="B423" i="37"/>
  <c r="B424" i="37"/>
  <c r="B425" i="37"/>
  <c r="B426" i="37"/>
  <c r="B427" i="37"/>
  <c r="B428" i="37"/>
  <c r="B429" i="37"/>
  <c r="B430" i="37"/>
  <c r="B431" i="37"/>
  <c r="B432" i="37"/>
  <c r="B433" i="37"/>
  <c r="B434" i="37"/>
  <c r="B435" i="37"/>
  <c r="B436" i="37"/>
  <c r="B437" i="37"/>
  <c r="B438" i="37"/>
  <c r="B439" i="37"/>
  <c r="B440" i="37"/>
  <c r="B441" i="37"/>
  <c r="B442" i="37"/>
  <c r="B443" i="37"/>
  <c r="B444" i="37"/>
  <c r="B445" i="37"/>
  <c r="B446" i="37"/>
  <c r="B447" i="37"/>
  <c r="B448" i="37"/>
  <c r="B449" i="37"/>
  <c r="B450" i="37"/>
  <c r="B451" i="37"/>
  <c r="B452" i="37"/>
  <c r="B453" i="37"/>
  <c r="B454" i="37"/>
  <c r="B455" i="37"/>
  <c r="B456" i="37"/>
  <c r="B457" i="37"/>
  <c r="B458" i="37"/>
  <c r="B459" i="37"/>
  <c r="B460" i="37"/>
  <c r="B461" i="37"/>
  <c r="B462" i="37"/>
  <c r="B463" i="37"/>
  <c r="B464" i="37"/>
  <c r="B465" i="37"/>
  <c r="B466" i="37"/>
  <c r="B467" i="37"/>
  <c r="B468" i="37"/>
  <c r="B469" i="37"/>
  <c r="B470" i="37"/>
  <c r="B471" i="37"/>
  <c r="B472" i="37"/>
  <c r="B473" i="37"/>
  <c r="B474" i="37"/>
  <c r="B475" i="37"/>
  <c r="B476" i="37"/>
  <c r="B477" i="37"/>
  <c r="B478" i="37"/>
  <c r="B479" i="37"/>
  <c r="B480" i="37"/>
  <c r="B481" i="37"/>
  <c r="B482" i="37"/>
  <c r="B483" i="37"/>
  <c r="B484" i="37"/>
  <c r="B485" i="37"/>
  <c r="B486" i="37"/>
  <c r="B487" i="37"/>
  <c r="B488" i="37"/>
  <c r="B489" i="37"/>
  <c r="B490" i="37"/>
  <c r="B491" i="37"/>
  <c r="B492" i="37"/>
  <c r="B493" i="37"/>
  <c r="B494" i="37"/>
  <c r="B495" i="37"/>
  <c r="B496" i="37"/>
  <c r="B497" i="37"/>
  <c r="B498" i="37"/>
  <c r="B499" i="37"/>
  <c r="B500" i="37"/>
  <c r="B501" i="37"/>
  <c r="B502" i="37"/>
  <c r="B503" i="37"/>
  <c r="B504" i="37"/>
  <c r="B505" i="37"/>
  <c r="B506" i="37"/>
  <c r="B507" i="37"/>
  <c r="B508" i="37"/>
  <c r="B509" i="37"/>
  <c r="B510" i="37"/>
  <c r="B511" i="37"/>
  <c r="B512" i="37"/>
  <c r="B513" i="37"/>
  <c r="B514" i="37"/>
  <c r="B515" i="37"/>
  <c r="B516" i="37"/>
  <c r="B517" i="37"/>
  <c r="B518" i="37"/>
  <c r="B519" i="37"/>
  <c r="B520" i="37"/>
  <c r="B521" i="37"/>
  <c r="B522" i="37"/>
  <c r="B523" i="37"/>
  <c r="B524" i="37"/>
  <c r="B525" i="37"/>
  <c r="B526" i="37"/>
  <c r="B527" i="37"/>
  <c r="B528" i="37"/>
  <c r="B529" i="37"/>
  <c r="B530" i="37"/>
  <c r="B531" i="37"/>
  <c r="B532" i="37"/>
  <c r="B533" i="37"/>
  <c r="B534" i="37"/>
  <c r="B535" i="37"/>
  <c r="B536" i="37"/>
  <c r="B537" i="37"/>
  <c r="B538" i="37"/>
  <c r="B539" i="37"/>
  <c r="B540" i="37"/>
  <c r="B541" i="37"/>
  <c r="B542" i="37"/>
  <c r="B543" i="37"/>
  <c r="B544" i="37"/>
  <c r="B545" i="37"/>
  <c r="B546" i="37"/>
  <c r="B547" i="37"/>
  <c r="B548" i="37"/>
  <c r="B549" i="37"/>
  <c r="B550" i="37"/>
  <c r="B551" i="37"/>
  <c r="B552" i="37"/>
  <c r="B553" i="37"/>
  <c r="B554" i="37"/>
  <c r="B555" i="37"/>
  <c r="B556" i="37"/>
  <c r="B557" i="37"/>
  <c r="B558" i="37"/>
  <c r="B559" i="37"/>
  <c r="B560" i="37"/>
  <c r="B561" i="37"/>
  <c r="B562" i="37"/>
  <c r="B563" i="37"/>
  <c r="B564" i="37"/>
  <c r="B565" i="37"/>
  <c r="B566" i="37"/>
  <c r="B567" i="37"/>
  <c r="B568" i="37"/>
  <c r="B569" i="37"/>
  <c r="B570" i="37"/>
  <c r="B571" i="37"/>
  <c r="B572" i="37"/>
  <c r="B573" i="37"/>
  <c r="B574" i="37"/>
  <c r="B575" i="37"/>
  <c r="B576" i="37"/>
  <c r="B577" i="37"/>
  <c r="B578" i="37"/>
  <c r="B579" i="37"/>
  <c r="B580" i="37"/>
  <c r="B581" i="37"/>
  <c r="B582" i="37"/>
  <c r="B583" i="37"/>
  <c r="B584" i="37"/>
  <c r="B585" i="37"/>
  <c r="B586" i="37"/>
  <c r="B587" i="37"/>
  <c r="B588" i="37"/>
  <c r="B589" i="37"/>
  <c r="B590" i="37"/>
  <c r="B591" i="37"/>
  <c r="B592" i="37"/>
  <c r="B593" i="37"/>
  <c r="B594" i="37"/>
  <c r="B595" i="37"/>
  <c r="B596" i="37"/>
  <c r="B597" i="37"/>
  <c r="B598" i="37"/>
  <c r="B599" i="37"/>
  <c r="B600" i="37"/>
  <c r="B601" i="37"/>
  <c r="B602" i="37"/>
  <c r="B603" i="37"/>
  <c r="B604" i="37"/>
  <c r="B605" i="37"/>
  <c r="B606" i="37"/>
  <c r="B607" i="37"/>
  <c r="B608" i="37"/>
  <c r="B609" i="37"/>
  <c r="B610" i="37"/>
  <c r="B611" i="37"/>
  <c r="B612" i="37"/>
  <c r="B613" i="37"/>
  <c r="B614" i="37"/>
  <c r="B615" i="37"/>
  <c r="B616" i="37"/>
  <c r="B617" i="37"/>
  <c r="B618" i="37"/>
  <c r="B619" i="37"/>
  <c r="B620" i="37"/>
  <c r="B621" i="37"/>
  <c r="B622" i="37"/>
  <c r="B623" i="37"/>
  <c r="B624" i="37"/>
  <c r="B625" i="37"/>
  <c r="B626" i="37"/>
  <c r="B627" i="37"/>
  <c r="B628" i="37"/>
  <c r="B629" i="37"/>
  <c r="B630" i="37"/>
  <c r="B631" i="37"/>
  <c r="B632" i="37"/>
  <c r="B633" i="37"/>
  <c r="B634" i="37"/>
  <c r="B635" i="37"/>
  <c r="B636" i="37"/>
  <c r="B637" i="37"/>
  <c r="B638" i="37"/>
  <c r="B639" i="37"/>
  <c r="B640" i="37"/>
  <c r="B641" i="37"/>
  <c r="B642" i="37"/>
  <c r="B643" i="37"/>
  <c r="B644" i="37"/>
  <c r="B645" i="37"/>
  <c r="B646" i="37"/>
  <c r="B647" i="37"/>
  <c r="B648" i="37"/>
  <c r="B649" i="37"/>
  <c r="B650" i="37"/>
  <c r="B651" i="37"/>
  <c r="B652" i="37"/>
  <c r="B653" i="37"/>
  <c r="B654" i="37"/>
  <c r="B655" i="37"/>
  <c r="B656" i="37"/>
  <c r="B657" i="37"/>
  <c r="B658" i="37"/>
  <c r="B659" i="37"/>
  <c r="B660" i="37"/>
  <c r="B661" i="37"/>
  <c r="B662" i="37"/>
  <c r="B663" i="37"/>
  <c r="B664" i="37"/>
  <c r="B665" i="37"/>
  <c r="B666" i="37"/>
  <c r="B667" i="37"/>
  <c r="B668" i="37"/>
  <c r="B669" i="37"/>
  <c r="B670" i="37"/>
  <c r="B671" i="37"/>
  <c r="B672" i="37"/>
  <c r="B673" i="37"/>
  <c r="B674" i="37"/>
  <c r="B675" i="37"/>
  <c r="B676" i="37"/>
  <c r="B677" i="37"/>
  <c r="B678" i="37"/>
  <c r="B679" i="37"/>
  <c r="B680" i="37"/>
  <c r="B681" i="37"/>
  <c r="B682" i="37"/>
  <c r="B683" i="37"/>
  <c r="B684" i="37"/>
  <c r="B685" i="37"/>
  <c r="B686" i="37"/>
  <c r="B687" i="37"/>
  <c r="B688" i="37"/>
  <c r="B689" i="37"/>
  <c r="B690" i="37"/>
  <c r="B691" i="37"/>
  <c r="B692" i="37"/>
  <c r="B693" i="37"/>
  <c r="B694" i="37"/>
  <c r="B695" i="37"/>
  <c r="B696" i="37"/>
  <c r="B697" i="37"/>
  <c r="B698" i="37"/>
  <c r="B699" i="37"/>
  <c r="B700" i="37"/>
  <c r="B701" i="37"/>
  <c r="B702" i="37"/>
  <c r="B703" i="37"/>
  <c r="B704" i="37"/>
  <c r="B705" i="37"/>
  <c r="B706" i="37"/>
  <c r="B707" i="37"/>
  <c r="B708" i="37"/>
  <c r="B709" i="37"/>
  <c r="B710" i="37"/>
  <c r="B711" i="37"/>
  <c r="B712" i="37"/>
  <c r="B713" i="37"/>
  <c r="B714" i="37"/>
  <c r="B715" i="37"/>
  <c r="B716" i="37"/>
  <c r="B717" i="37"/>
  <c r="B718" i="37"/>
  <c r="B719" i="37"/>
  <c r="B720" i="37"/>
  <c r="B721" i="37"/>
  <c r="B722" i="37"/>
  <c r="B723" i="37"/>
  <c r="B724" i="37"/>
  <c r="B725" i="37"/>
  <c r="B726" i="37"/>
  <c r="B727" i="37"/>
  <c r="B728" i="37"/>
  <c r="B729" i="37"/>
  <c r="B730" i="37"/>
  <c r="B731" i="37"/>
  <c r="B732" i="37"/>
  <c r="B733" i="37"/>
  <c r="B734" i="37"/>
  <c r="B735" i="37"/>
  <c r="B736" i="37"/>
  <c r="B737" i="37"/>
  <c r="B738" i="37"/>
  <c r="B739" i="37"/>
  <c r="B740" i="37"/>
  <c r="B741" i="37"/>
  <c r="B742" i="37"/>
  <c r="B743" i="37"/>
  <c r="B744" i="37"/>
  <c r="B745" i="37"/>
  <c r="B746" i="37"/>
  <c r="B747" i="37"/>
  <c r="B748" i="37"/>
  <c r="B749" i="37"/>
  <c r="B750" i="37"/>
  <c r="B751" i="37"/>
  <c r="B752" i="37"/>
  <c r="B753" i="37"/>
  <c r="B754" i="37"/>
  <c r="B755" i="37"/>
  <c r="B756" i="37"/>
  <c r="B757" i="37"/>
  <c r="B758" i="37"/>
  <c r="B759" i="37"/>
  <c r="B760" i="37"/>
  <c r="B761" i="37"/>
  <c r="B762" i="37"/>
  <c r="B763" i="37"/>
  <c r="B764" i="37"/>
  <c r="B765" i="37"/>
  <c r="B766" i="37"/>
  <c r="B767" i="37"/>
  <c r="B768" i="37"/>
  <c r="B769" i="37"/>
  <c r="B770" i="37"/>
  <c r="B771" i="37"/>
  <c r="B772" i="37"/>
  <c r="B773" i="37"/>
  <c r="B774" i="37"/>
  <c r="B775" i="37"/>
  <c r="B776" i="37"/>
  <c r="B777" i="37"/>
  <c r="B778" i="37"/>
  <c r="B779" i="37"/>
  <c r="B780" i="37"/>
  <c r="B781" i="37"/>
  <c r="B782" i="37"/>
  <c r="B783" i="37"/>
  <c r="B784" i="37"/>
  <c r="B785" i="37"/>
  <c r="B786" i="37"/>
  <c r="B787" i="37"/>
  <c r="B788" i="37"/>
  <c r="B789" i="37"/>
  <c r="B790" i="37"/>
  <c r="B791" i="37"/>
  <c r="B792" i="37"/>
  <c r="B793" i="37"/>
  <c r="B794" i="37"/>
  <c r="B795" i="37"/>
  <c r="B796" i="37"/>
  <c r="B797" i="37"/>
  <c r="B798" i="37"/>
  <c r="B799" i="37"/>
  <c r="B800" i="37"/>
  <c r="B801" i="37"/>
  <c r="B802" i="37"/>
  <c r="B803" i="37"/>
  <c r="B804" i="37"/>
  <c r="B805" i="37"/>
  <c r="B806" i="37"/>
  <c r="B807" i="37"/>
  <c r="B808" i="37"/>
  <c r="B809" i="37"/>
  <c r="B810" i="37"/>
  <c r="B811" i="37"/>
  <c r="B812" i="37"/>
  <c r="B813" i="37"/>
  <c r="B814" i="37"/>
  <c r="B815" i="37"/>
  <c r="B816" i="37"/>
  <c r="B817" i="37"/>
  <c r="B818" i="37"/>
  <c r="B819" i="37"/>
  <c r="B820" i="37"/>
  <c r="B821" i="37"/>
  <c r="B822" i="37"/>
  <c r="B823" i="37"/>
  <c r="B824" i="37"/>
  <c r="B825" i="37"/>
  <c r="B826" i="37"/>
  <c r="B827" i="37"/>
  <c r="B828" i="37"/>
  <c r="B829" i="37"/>
  <c r="B830" i="37"/>
  <c r="B831" i="37"/>
  <c r="B832" i="37"/>
  <c r="B833" i="37"/>
  <c r="B834" i="37"/>
  <c r="B835" i="37"/>
  <c r="B836" i="37"/>
  <c r="B837" i="37"/>
  <c r="B838" i="37"/>
  <c r="B839" i="37"/>
  <c r="B840" i="37"/>
  <c r="B841" i="37"/>
  <c r="B842" i="37"/>
  <c r="B843" i="37"/>
  <c r="B844" i="37"/>
  <c r="B845" i="37"/>
  <c r="B846" i="37"/>
  <c r="B847" i="37"/>
  <c r="B848" i="37"/>
  <c r="B849" i="37"/>
  <c r="B850" i="37"/>
  <c r="B851" i="37"/>
  <c r="B852" i="37"/>
  <c r="B853" i="37"/>
  <c r="B854" i="37"/>
  <c r="B855" i="37"/>
  <c r="B856" i="37"/>
  <c r="B857" i="37"/>
  <c r="B858" i="37"/>
  <c r="B859" i="37"/>
  <c r="B860" i="37"/>
  <c r="B861" i="37"/>
  <c r="B862" i="37"/>
  <c r="B863" i="37"/>
  <c r="B864" i="37"/>
  <c r="B865" i="37"/>
  <c r="B866" i="37"/>
  <c r="B867" i="37"/>
  <c r="B868" i="37"/>
  <c r="B869" i="37"/>
  <c r="B870" i="37"/>
  <c r="B871" i="37"/>
  <c r="B872" i="37"/>
  <c r="B873" i="37"/>
  <c r="B874" i="37"/>
  <c r="B875" i="37"/>
  <c r="B876" i="37"/>
  <c r="B877" i="37"/>
  <c r="B878" i="37"/>
  <c r="B879" i="37"/>
  <c r="B880" i="37"/>
  <c r="B881" i="37"/>
  <c r="B882" i="37"/>
  <c r="B883" i="37"/>
  <c r="B884" i="37"/>
  <c r="B885" i="37"/>
  <c r="B886" i="37"/>
  <c r="B887" i="37"/>
  <c r="B888" i="37"/>
  <c r="B889" i="37"/>
  <c r="B890" i="37"/>
  <c r="B891" i="37"/>
  <c r="B892" i="37"/>
  <c r="B893" i="37"/>
  <c r="B894" i="37"/>
  <c r="B895" i="37"/>
  <c r="B896" i="37"/>
  <c r="B897" i="37"/>
  <c r="B898" i="37"/>
  <c r="B899" i="37"/>
  <c r="B900" i="37"/>
  <c r="B901" i="37"/>
  <c r="B902" i="37"/>
  <c r="B903" i="37"/>
  <c r="B904" i="37"/>
  <c r="B905" i="37"/>
  <c r="B906" i="37"/>
  <c r="B907" i="37"/>
  <c r="B908" i="37"/>
  <c r="B909" i="37"/>
  <c r="B910" i="37"/>
  <c r="B911" i="37"/>
  <c r="B912" i="37"/>
  <c r="B913" i="37"/>
  <c r="B914" i="37"/>
  <c r="B915" i="37"/>
  <c r="B916" i="37"/>
  <c r="B917" i="37"/>
  <c r="B918" i="37"/>
  <c r="B919" i="37"/>
  <c r="B920" i="37"/>
  <c r="B921" i="37"/>
  <c r="B922" i="37"/>
  <c r="B923" i="37"/>
  <c r="B924" i="37"/>
  <c r="B925" i="37"/>
  <c r="B926" i="37"/>
  <c r="B927" i="37"/>
  <c r="B928" i="37"/>
  <c r="B929" i="37"/>
  <c r="B930" i="37"/>
  <c r="B931" i="37"/>
  <c r="B932" i="37"/>
  <c r="B933" i="37"/>
  <c r="B934" i="37"/>
  <c r="B935" i="37"/>
  <c r="B936" i="37"/>
  <c r="B937" i="37"/>
  <c r="B938" i="37"/>
  <c r="B939" i="37"/>
  <c r="B940" i="37"/>
  <c r="B941" i="37"/>
  <c r="B942" i="37"/>
  <c r="B943" i="37"/>
  <c r="B944" i="37"/>
  <c r="B945" i="37"/>
  <c r="B946" i="37"/>
  <c r="B947" i="37"/>
  <c r="B948" i="37"/>
  <c r="B949" i="37"/>
  <c r="B950" i="37"/>
  <c r="B951" i="37"/>
  <c r="B952" i="37"/>
  <c r="B953" i="37"/>
  <c r="B954" i="37"/>
  <c r="B955" i="37"/>
  <c r="B956" i="37"/>
  <c r="B957" i="37"/>
  <c r="B958" i="37"/>
  <c r="B959" i="37"/>
  <c r="B960" i="37"/>
  <c r="B961" i="37"/>
  <c r="B962" i="37"/>
  <c r="B963" i="37"/>
  <c r="B964" i="37"/>
  <c r="B965" i="37"/>
  <c r="B966" i="37"/>
  <c r="B967" i="37"/>
  <c r="B968" i="37"/>
  <c r="B969" i="37"/>
  <c r="B970" i="37"/>
  <c r="B971" i="37"/>
  <c r="B972" i="37"/>
  <c r="B973" i="37"/>
  <c r="B974" i="37"/>
  <c r="B975" i="37"/>
  <c r="B976" i="37"/>
  <c r="B977" i="37"/>
  <c r="B978" i="37"/>
  <c r="B979" i="37"/>
  <c r="B980" i="37"/>
  <c r="B981" i="37"/>
  <c r="B982" i="37"/>
  <c r="B983" i="37"/>
  <c r="B984" i="37"/>
  <c r="B985" i="37"/>
  <c r="B986" i="37"/>
  <c r="B987" i="37"/>
  <c r="B988" i="37"/>
  <c r="B989" i="37"/>
  <c r="B990" i="37"/>
  <c r="B991" i="37"/>
  <c r="B992" i="37"/>
  <c r="B993" i="37"/>
  <c r="B994" i="37"/>
  <c r="B995" i="37"/>
  <c r="B996" i="37"/>
  <c r="B997" i="37"/>
  <c r="B998" i="37"/>
  <c r="B999" i="37"/>
  <c r="B1000" i="37"/>
  <c r="B1001" i="37"/>
  <c r="B1002" i="37"/>
  <c r="B1003" i="37"/>
  <c r="B1004" i="37"/>
  <c r="B1005" i="37"/>
  <c r="B1006" i="37"/>
  <c r="B1007" i="37"/>
  <c r="B1008" i="37"/>
  <c r="B1009" i="37"/>
  <c r="B1010" i="37"/>
  <c r="B2" i="36"/>
  <c r="B3" i="36"/>
  <c r="B4" i="36"/>
  <c r="B5" i="36"/>
  <c r="B6" i="36"/>
  <c r="B7" i="36"/>
  <c r="B8" i="36"/>
  <c r="B9" i="36"/>
  <c r="B10" i="36"/>
  <c r="B11" i="36"/>
  <c r="B12" i="36"/>
  <c r="B13" i="36"/>
  <c r="B14" i="36"/>
  <c r="B15" i="36"/>
  <c r="B16" i="36"/>
  <c r="B17" i="36"/>
  <c r="B18" i="36"/>
  <c r="B19" i="36"/>
  <c r="B20" i="36"/>
  <c r="B21" i="36"/>
  <c r="B22" i="36"/>
  <c r="B23" i="36"/>
  <c r="B24" i="36"/>
  <c r="B25" i="36"/>
  <c r="B26" i="36"/>
  <c r="B27" i="36"/>
  <c r="B28" i="36"/>
  <c r="B29" i="36"/>
  <c r="B30" i="36"/>
  <c r="B31" i="36"/>
  <c r="B32" i="36"/>
  <c r="B33" i="36"/>
  <c r="B34" i="36"/>
  <c r="B35" i="36"/>
  <c r="B36" i="36"/>
  <c r="B37" i="36"/>
  <c r="B38" i="36"/>
  <c r="B39" i="36"/>
  <c r="B40" i="36"/>
  <c r="B41" i="36"/>
  <c r="B42" i="36"/>
  <c r="B43" i="36"/>
  <c r="B44" i="36"/>
  <c r="B45" i="36"/>
  <c r="B46" i="36"/>
  <c r="B47" i="36"/>
  <c r="B48" i="36"/>
  <c r="B49" i="36"/>
  <c r="B50" i="36"/>
  <c r="B51" i="36"/>
  <c r="B52" i="36"/>
  <c r="B53" i="36"/>
  <c r="B54" i="36"/>
  <c r="B55" i="36"/>
  <c r="B56" i="36"/>
  <c r="B57" i="36"/>
  <c r="B58" i="36"/>
  <c r="B59" i="36"/>
  <c r="B60" i="36"/>
  <c r="B61" i="36"/>
  <c r="B62" i="36"/>
  <c r="B63" i="36"/>
  <c r="B64" i="36"/>
  <c r="B65" i="36"/>
  <c r="B66" i="36"/>
  <c r="B67" i="36"/>
  <c r="B68" i="36"/>
  <c r="B69" i="36"/>
  <c r="B70" i="36"/>
  <c r="B71" i="36"/>
  <c r="B72" i="36"/>
  <c r="B73" i="36"/>
  <c r="B74" i="36"/>
  <c r="B75" i="36"/>
  <c r="B76" i="36"/>
  <c r="B77" i="36"/>
  <c r="B78" i="36"/>
  <c r="B79" i="36"/>
  <c r="B80" i="36"/>
  <c r="B81" i="36"/>
  <c r="B82" i="36"/>
  <c r="B83" i="36"/>
  <c r="B84" i="36"/>
  <c r="B85" i="36"/>
  <c r="B86" i="36"/>
  <c r="B87" i="36"/>
  <c r="B88" i="36"/>
  <c r="B89" i="36"/>
  <c r="B90" i="36"/>
  <c r="B91" i="36"/>
  <c r="B92" i="36"/>
  <c r="B93" i="36"/>
  <c r="B94" i="36"/>
  <c r="B95" i="36"/>
  <c r="B96" i="36"/>
  <c r="B97" i="36"/>
  <c r="B98" i="36"/>
  <c r="B99" i="36"/>
  <c r="B100" i="36"/>
  <c r="B101" i="36"/>
  <c r="B102" i="36"/>
  <c r="B103" i="36"/>
  <c r="B104" i="36"/>
  <c r="B105" i="36"/>
  <c r="B106" i="36"/>
  <c r="B107" i="36"/>
  <c r="B108" i="36"/>
  <c r="B109" i="36"/>
  <c r="B110" i="36"/>
  <c r="B111" i="36"/>
  <c r="B112" i="36"/>
  <c r="B113" i="36"/>
  <c r="B114" i="36"/>
  <c r="B115" i="36"/>
  <c r="B116" i="36"/>
  <c r="B117" i="36"/>
  <c r="B118" i="36"/>
  <c r="B119" i="36"/>
  <c r="B120" i="36"/>
  <c r="B121" i="36"/>
  <c r="B122" i="36"/>
  <c r="B123" i="36"/>
  <c r="B124" i="36"/>
  <c r="B125" i="36"/>
  <c r="B126" i="36"/>
  <c r="B127" i="36"/>
  <c r="B128" i="36"/>
  <c r="B129" i="36"/>
  <c r="B130" i="36"/>
  <c r="B131" i="36"/>
  <c r="B132" i="36"/>
  <c r="B133" i="36"/>
  <c r="B134" i="36"/>
  <c r="B135" i="36"/>
  <c r="B136" i="36"/>
  <c r="B137" i="36"/>
  <c r="B138" i="36"/>
  <c r="B139" i="36"/>
  <c r="B140" i="36"/>
  <c r="B141" i="36"/>
  <c r="B142" i="36"/>
  <c r="B143" i="36"/>
  <c r="B144" i="36"/>
  <c r="B145" i="36"/>
  <c r="B146" i="36"/>
  <c r="B147" i="36"/>
  <c r="B148" i="36"/>
  <c r="B149" i="36"/>
  <c r="B150" i="36"/>
  <c r="B151" i="36"/>
  <c r="B152" i="36"/>
  <c r="B153" i="36"/>
  <c r="B154" i="36"/>
  <c r="B155" i="36"/>
  <c r="B156" i="36"/>
  <c r="B157" i="36"/>
  <c r="B158" i="36"/>
  <c r="B159" i="36"/>
  <c r="B160" i="36"/>
  <c r="B161" i="36"/>
  <c r="B162" i="36"/>
  <c r="B163" i="36"/>
  <c r="B164" i="36"/>
  <c r="B165" i="36"/>
  <c r="B166" i="36"/>
  <c r="B167" i="36"/>
  <c r="B168" i="36"/>
  <c r="B169" i="36"/>
  <c r="B170" i="36"/>
  <c r="B171" i="36"/>
  <c r="B172" i="36"/>
  <c r="B173" i="36"/>
  <c r="B174" i="36"/>
  <c r="B175" i="36"/>
  <c r="B176" i="36"/>
  <c r="B177" i="36"/>
  <c r="B178" i="36"/>
  <c r="B179" i="36"/>
  <c r="B180" i="36"/>
  <c r="B181" i="36"/>
  <c r="B182" i="36"/>
  <c r="B183" i="36"/>
  <c r="B184" i="36"/>
  <c r="B185" i="36"/>
  <c r="B186" i="36"/>
  <c r="B187" i="36"/>
  <c r="B188" i="36"/>
  <c r="B189" i="36"/>
  <c r="B190" i="36"/>
  <c r="B191" i="36"/>
  <c r="B192" i="36"/>
  <c r="B193" i="36"/>
  <c r="B194" i="36"/>
  <c r="B195" i="36"/>
  <c r="B196" i="36"/>
  <c r="B197" i="36"/>
  <c r="B198" i="36"/>
  <c r="B199" i="36"/>
  <c r="B200" i="36"/>
  <c r="B201" i="36"/>
  <c r="B202" i="36"/>
  <c r="B203" i="36"/>
  <c r="B204" i="36"/>
  <c r="B205" i="36"/>
  <c r="B206" i="36"/>
  <c r="B207" i="36"/>
  <c r="B208" i="36"/>
  <c r="B209" i="36"/>
  <c r="B210" i="36"/>
  <c r="B211" i="36"/>
  <c r="B212" i="36"/>
  <c r="B213" i="36"/>
  <c r="B214" i="36"/>
  <c r="B215" i="36"/>
  <c r="B216" i="36"/>
  <c r="B217" i="36"/>
  <c r="B218" i="36"/>
  <c r="B219" i="36"/>
  <c r="B220" i="36"/>
  <c r="B221" i="36"/>
  <c r="B222" i="36"/>
  <c r="B223" i="36"/>
  <c r="B224" i="36"/>
  <c r="B225" i="36"/>
  <c r="B226" i="36"/>
  <c r="B227" i="36"/>
  <c r="B228" i="36"/>
  <c r="B229" i="36"/>
  <c r="B230" i="36"/>
  <c r="B231" i="36"/>
  <c r="B232" i="36"/>
  <c r="B233" i="36"/>
  <c r="B234" i="36"/>
  <c r="B235" i="36"/>
  <c r="B236" i="36"/>
  <c r="B237" i="36"/>
  <c r="B238" i="36"/>
  <c r="B239" i="36"/>
  <c r="B240" i="36"/>
  <c r="B241" i="36"/>
  <c r="B242" i="36"/>
  <c r="B243" i="36"/>
  <c r="B244" i="36"/>
  <c r="B245" i="36"/>
  <c r="B246" i="36"/>
  <c r="B247" i="36"/>
  <c r="B248" i="36"/>
  <c r="B249" i="36"/>
  <c r="B250" i="36"/>
  <c r="B251" i="36"/>
  <c r="B252" i="36"/>
  <c r="B253" i="36"/>
  <c r="B254" i="36"/>
  <c r="B255" i="36"/>
  <c r="B256" i="36"/>
  <c r="B257" i="36"/>
  <c r="B258" i="36"/>
  <c r="B259" i="36"/>
  <c r="B260" i="36"/>
  <c r="B261" i="36"/>
  <c r="B262" i="36"/>
  <c r="B263" i="36"/>
  <c r="B264" i="36"/>
  <c r="B265" i="36"/>
  <c r="B266" i="36"/>
  <c r="B267" i="36"/>
  <c r="B268" i="36"/>
  <c r="B269" i="36"/>
  <c r="B270" i="36"/>
  <c r="B271" i="36"/>
  <c r="B272" i="36"/>
  <c r="B273" i="36"/>
  <c r="B274" i="36"/>
  <c r="B275" i="36"/>
  <c r="B276" i="36"/>
  <c r="B277" i="36"/>
  <c r="B278" i="36"/>
  <c r="B279" i="36"/>
  <c r="B280" i="36"/>
  <c r="B281" i="36"/>
  <c r="B282" i="36"/>
  <c r="B283" i="36"/>
  <c r="B284" i="36"/>
  <c r="B285" i="36"/>
  <c r="B286" i="36"/>
  <c r="B287" i="36"/>
  <c r="B288" i="36"/>
  <c r="B289" i="36"/>
  <c r="B290" i="36"/>
  <c r="B291" i="36"/>
  <c r="B292" i="36"/>
  <c r="B293" i="36"/>
  <c r="B294" i="36"/>
  <c r="B295" i="36"/>
  <c r="B296" i="36"/>
  <c r="B297" i="36"/>
  <c r="B298" i="36"/>
  <c r="B299" i="36"/>
  <c r="B300" i="36"/>
  <c r="B301" i="36"/>
  <c r="B302" i="36"/>
  <c r="B303" i="36"/>
  <c r="B304" i="36"/>
  <c r="B305" i="36"/>
  <c r="B306" i="36"/>
  <c r="B307" i="36"/>
  <c r="B308" i="36"/>
  <c r="B309" i="36"/>
  <c r="B310" i="36"/>
  <c r="B311" i="36"/>
  <c r="B312" i="36"/>
  <c r="B313" i="36"/>
  <c r="B314" i="36"/>
  <c r="B315" i="36"/>
  <c r="B316" i="36"/>
  <c r="B317" i="36"/>
  <c r="B318" i="36"/>
  <c r="B319" i="36"/>
  <c r="B320" i="36"/>
  <c r="B321" i="36"/>
  <c r="B322" i="36"/>
  <c r="B323" i="36"/>
  <c r="B324" i="36"/>
  <c r="B325" i="36"/>
  <c r="B326" i="36"/>
  <c r="B327" i="36"/>
  <c r="B328" i="36"/>
  <c r="B329" i="36"/>
  <c r="B330" i="36"/>
  <c r="B331" i="36"/>
  <c r="B332" i="36"/>
  <c r="B333" i="36"/>
  <c r="B334" i="36"/>
  <c r="B335" i="36"/>
  <c r="B336" i="36"/>
  <c r="B337" i="36"/>
  <c r="B338" i="36"/>
  <c r="B339" i="36"/>
  <c r="B340" i="36"/>
  <c r="B341" i="36"/>
  <c r="B342" i="36"/>
  <c r="B343" i="36"/>
  <c r="B344" i="36"/>
  <c r="B345" i="36"/>
  <c r="B346" i="36"/>
  <c r="B347" i="36"/>
  <c r="B348" i="36"/>
  <c r="B349" i="36"/>
  <c r="B350" i="36"/>
  <c r="B351" i="36"/>
  <c r="B352" i="36"/>
  <c r="B353" i="36"/>
  <c r="B354" i="36"/>
  <c r="B355" i="36"/>
  <c r="B356" i="36"/>
  <c r="B357" i="36"/>
  <c r="B358" i="36"/>
  <c r="B359" i="36"/>
  <c r="B360" i="36"/>
  <c r="B361" i="36"/>
  <c r="B362" i="36"/>
  <c r="B363" i="36"/>
  <c r="B364" i="36"/>
  <c r="B365" i="36"/>
  <c r="B366" i="36"/>
  <c r="B367" i="36"/>
  <c r="B368" i="36"/>
  <c r="B369" i="36"/>
  <c r="B370" i="36"/>
  <c r="B371" i="36"/>
  <c r="B372" i="36"/>
  <c r="B373" i="36"/>
  <c r="B374" i="36"/>
  <c r="B375" i="36"/>
  <c r="B376" i="36"/>
  <c r="B377" i="36"/>
  <c r="B378" i="36"/>
  <c r="B379" i="36"/>
  <c r="B380" i="36"/>
  <c r="B381" i="36"/>
  <c r="B382" i="36"/>
  <c r="B383" i="36"/>
  <c r="B384" i="36"/>
  <c r="B385" i="36"/>
  <c r="B386" i="36"/>
  <c r="B387" i="36"/>
  <c r="B388" i="36"/>
  <c r="B389" i="36"/>
  <c r="B390" i="36"/>
  <c r="B391" i="36"/>
  <c r="B392" i="36"/>
  <c r="B393" i="36"/>
  <c r="B394" i="36"/>
  <c r="B395" i="36"/>
  <c r="B396" i="36"/>
  <c r="B397" i="36"/>
  <c r="B398" i="36"/>
  <c r="B399" i="36"/>
  <c r="B400" i="36"/>
  <c r="B401" i="36"/>
  <c r="B402" i="36"/>
  <c r="B403" i="36"/>
  <c r="B404" i="36"/>
  <c r="B405" i="36"/>
  <c r="B406" i="36"/>
  <c r="B407" i="36"/>
  <c r="B408" i="36"/>
  <c r="B409" i="36"/>
  <c r="B410" i="36"/>
  <c r="B411" i="36"/>
  <c r="B412" i="36"/>
  <c r="B413" i="36"/>
  <c r="B414" i="36"/>
  <c r="B415" i="36"/>
  <c r="B416" i="36"/>
  <c r="B417" i="36"/>
  <c r="B418" i="36"/>
  <c r="B419" i="36"/>
  <c r="B420" i="36"/>
  <c r="B421" i="36"/>
  <c r="B422" i="36"/>
  <c r="B423" i="36"/>
  <c r="B424" i="36"/>
  <c r="B425" i="36"/>
  <c r="B426" i="36"/>
  <c r="B427" i="36"/>
  <c r="B428" i="36"/>
  <c r="B429" i="36"/>
  <c r="B430" i="36"/>
  <c r="B431" i="36"/>
  <c r="B432" i="36"/>
  <c r="B433" i="36"/>
  <c r="B434" i="36"/>
  <c r="B435" i="36"/>
  <c r="B436" i="36"/>
  <c r="B437" i="36"/>
  <c r="B438" i="36"/>
  <c r="B439" i="36"/>
  <c r="B440" i="36"/>
  <c r="B441" i="36"/>
  <c r="B442" i="36"/>
  <c r="B443" i="36"/>
  <c r="B444" i="36"/>
  <c r="B445" i="36"/>
  <c r="B446" i="36"/>
  <c r="B447" i="36"/>
  <c r="B448" i="36"/>
  <c r="B449" i="36"/>
  <c r="B450" i="36"/>
  <c r="B451" i="36"/>
  <c r="B452" i="36"/>
  <c r="B453" i="36"/>
  <c r="B454" i="36"/>
  <c r="B455" i="36"/>
  <c r="B456" i="36"/>
  <c r="B457" i="36"/>
  <c r="B458" i="36"/>
  <c r="B459" i="36"/>
  <c r="B460" i="36"/>
  <c r="B461" i="36"/>
  <c r="B462" i="36"/>
  <c r="B463" i="36"/>
  <c r="B464" i="36"/>
  <c r="B465" i="36"/>
  <c r="B466" i="36"/>
  <c r="B467" i="36"/>
  <c r="B468" i="36"/>
  <c r="B469" i="36"/>
  <c r="B470" i="36"/>
  <c r="B471" i="36"/>
  <c r="B472" i="36"/>
  <c r="B473" i="36"/>
  <c r="B474" i="36"/>
  <c r="B475" i="36"/>
  <c r="B476" i="36"/>
  <c r="B477" i="36"/>
  <c r="B478" i="36"/>
  <c r="B479" i="36"/>
  <c r="B480" i="36"/>
  <c r="B481" i="36"/>
  <c r="B482" i="36"/>
  <c r="B483" i="36"/>
  <c r="B484" i="36"/>
  <c r="B485" i="36"/>
  <c r="B486" i="36"/>
  <c r="B487" i="36"/>
  <c r="B488" i="36"/>
  <c r="B489" i="36"/>
  <c r="B490" i="36"/>
  <c r="B491" i="36"/>
  <c r="B492" i="36"/>
  <c r="B493" i="36"/>
  <c r="B494" i="36"/>
  <c r="B495" i="36"/>
  <c r="B496" i="36"/>
  <c r="B497" i="36"/>
  <c r="B498" i="36"/>
  <c r="B499" i="36"/>
  <c r="B500" i="36"/>
  <c r="B501" i="36"/>
  <c r="B502" i="36"/>
  <c r="B503" i="36"/>
  <c r="B504" i="36"/>
  <c r="B505" i="36"/>
  <c r="B506" i="36"/>
  <c r="B507" i="36"/>
  <c r="B508" i="36"/>
  <c r="B509" i="36"/>
  <c r="B510" i="36"/>
  <c r="B511" i="36"/>
  <c r="B512" i="36"/>
  <c r="B513" i="36"/>
  <c r="B514" i="36"/>
  <c r="B515" i="36"/>
  <c r="B516" i="36"/>
  <c r="B517" i="36"/>
  <c r="B518" i="36"/>
  <c r="B519" i="36"/>
  <c r="B520" i="36"/>
  <c r="B521" i="36"/>
  <c r="B522" i="36"/>
  <c r="B523" i="36"/>
  <c r="B524" i="36"/>
  <c r="B525" i="36"/>
  <c r="B526" i="36"/>
  <c r="B527" i="36"/>
  <c r="B528" i="36"/>
  <c r="B529" i="36"/>
  <c r="B530" i="36"/>
  <c r="B531" i="36"/>
  <c r="B532" i="36"/>
  <c r="B533" i="36"/>
  <c r="B534" i="36"/>
  <c r="B535" i="36"/>
  <c r="B536" i="36"/>
  <c r="B537" i="36"/>
  <c r="B538" i="36"/>
  <c r="B539" i="36"/>
  <c r="B540" i="36"/>
  <c r="B541" i="36"/>
  <c r="B542" i="36"/>
  <c r="B543" i="36"/>
  <c r="B544" i="36"/>
  <c r="B545" i="36"/>
  <c r="B546" i="36"/>
  <c r="B547" i="36"/>
  <c r="B548" i="36"/>
  <c r="B549" i="36"/>
  <c r="B550" i="36"/>
  <c r="B551" i="36"/>
  <c r="B552" i="36"/>
  <c r="B553" i="36"/>
  <c r="B554" i="36"/>
  <c r="B555" i="36"/>
  <c r="B556" i="36"/>
  <c r="B557" i="36"/>
  <c r="B558" i="36"/>
  <c r="B559" i="36"/>
  <c r="B560" i="36"/>
  <c r="B561" i="36"/>
  <c r="B562" i="36"/>
  <c r="B563" i="36"/>
  <c r="B564" i="36"/>
  <c r="B565" i="36"/>
  <c r="B566" i="36"/>
  <c r="B567" i="36"/>
  <c r="B568" i="36"/>
  <c r="B569" i="36"/>
  <c r="B570" i="36"/>
  <c r="B571" i="36"/>
  <c r="B572" i="36"/>
  <c r="B573" i="36"/>
  <c r="B574" i="36"/>
  <c r="B575" i="36"/>
  <c r="B576" i="36"/>
  <c r="B577" i="36"/>
  <c r="B578" i="36"/>
  <c r="B579" i="36"/>
  <c r="B580" i="36"/>
  <c r="B581" i="36"/>
  <c r="B582" i="36"/>
  <c r="B583" i="36"/>
  <c r="B584" i="36"/>
  <c r="B585" i="36"/>
  <c r="B586" i="36"/>
  <c r="B587" i="36"/>
  <c r="B588" i="36"/>
  <c r="B589" i="36"/>
  <c r="B590" i="36"/>
  <c r="B591" i="36"/>
  <c r="B592" i="36"/>
  <c r="B593" i="36"/>
  <c r="B594" i="36"/>
  <c r="B595" i="36"/>
  <c r="B596" i="36"/>
  <c r="B597" i="36"/>
  <c r="B598" i="36"/>
  <c r="B599" i="36"/>
  <c r="B600" i="36"/>
  <c r="B601" i="36"/>
  <c r="B602" i="36"/>
  <c r="B603" i="36"/>
  <c r="B604" i="36"/>
  <c r="B605" i="36"/>
  <c r="B606" i="36"/>
  <c r="B607" i="36"/>
  <c r="B608" i="36"/>
  <c r="B609" i="36"/>
  <c r="B610" i="36"/>
  <c r="B611" i="36"/>
  <c r="B612" i="36"/>
  <c r="B613" i="36"/>
  <c r="B614" i="36"/>
  <c r="B615" i="36"/>
  <c r="B616" i="36"/>
  <c r="B617" i="36"/>
  <c r="B618" i="36"/>
  <c r="B619" i="36"/>
  <c r="B620" i="36"/>
  <c r="B621" i="36"/>
  <c r="B622" i="36"/>
  <c r="B623" i="36"/>
  <c r="B624" i="36"/>
  <c r="B625" i="36"/>
  <c r="B626" i="36"/>
  <c r="B627" i="36"/>
  <c r="B628" i="36"/>
  <c r="B629" i="36"/>
  <c r="B630" i="36"/>
  <c r="B631" i="36"/>
  <c r="B632" i="36"/>
  <c r="B633" i="36"/>
  <c r="B634" i="36"/>
  <c r="B635" i="36"/>
  <c r="B636" i="36"/>
  <c r="B637" i="36"/>
  <c r="B638" i="36"/>
  <c r="B639" i="36"/>
  <c r="B640" i="36"/>
  <c r="B641" i="36"/>
  <c r="B642" i="36"/>
  <c r="B643" i="36"/>
  <c r="B644" i="36"/>
  <c r="B645" i="36"/>
  <c r="B646" i="36"/>
  <c r="B647" i="36"/>
  <c r="B648" i="36"/>
  <c r="B649" i="36"/>
  <c r="B650" i="36"/>
  <c r="B651" i="36"/>
  <c r="B652" i="36"/>
  <c r="B653" i="36"/>
  <c r="B654" i="36"/>
  <c r="B655" i="36"/>
  <c r="B656" i="36"/>
  <c r="B657" i="36"/>
  <c r="B658" i="36"/>
  <c r="B659" i="36"/>
  <c r="B660" i="36"/>
  <c r="B661" i="36"/>
  <c r="B662" i="36"/>
  <c r="B663" i="36"/>
  <c r="B664" i="36"/>
  <c r="B665" i="36"/>
  <c r="B666" i="36"/>
  <c r="B667" i="36"/>
  <c r="B668" i="36"/>
  <c r="B669" i="36"/>
  <c r="B670" i="36"/>
  <c r="B671" i="36"/>
  <c r="B672" i="36"/>
  <c r="B673" i="36"/>
  <c r="B674" i="36"/>
  <c r="B675" i="36"/>
  <c r="B676" i="36"/>
  <c r="B677" i="36"/>
  <c r="B678" i="36"/>
  <c r="B679" i="36"/>
  <c r="B680" i="36"/>
  <c r="B681" i="36"/>
  <c r="B682" i="36"/>
  <c r="B683" i="36"/>
  <c r="B684" i="36"/>
  <c r="B685" i="36"/>
  <c r="B686" i="36"/>
  <c r="B687" i="36"/>
  <c r="B688" i="36"/>
  <c r="B689" i="36"/>
  <c r="B690" i="36"/>
  <c r="B691" i="36"/>
  <c r="B692" i="36"/>
  <c r="B693" i="36"/>
  <c r="B694" i="36"/>
  <c r="B695" i="36"/>
  <c r="B696" i="36"/>
  <c r="B697" i="36"/>
  <c r="B698" i="36"/>
  <c r="B699" i="36"/>
  <c r="B700" i="36"/>
  <c r="B701" i="36"/>
  <c r="B702" i="36"/>
  <c r="B703" i="36"/>
  <c r="B704" i="36"/>
  <c r="B705" i="36"/>
  <c r="B706" i="36"/>
  <c r="B707" i="36"/>
  <c r="B708" i="36"/>
  <c r="B709" i="36"/>
  <c r="B710" i="36"/>
  <c r="B711" i="36"/>
  <c r="B712" i="36"/>
  <c r="B713" i="36"/>
  <c r="B714" i="36"/>
  <c r="B715" i="36"/>
  <c r="B716" i="36"/>
  <c r="B717" i="36"/>
  <c r="B718" i="36"/>
  <c r="B719" i="36"/>
  <c r="B720" i="36"/>
  <c r="B721" i="36"/>
  <c r="B722" i="36"/>
  <c r="B723" i="36"/>
  <c r="B724" i="36"/>
  <c r="B725" i="36"/>
  <c r="B726" i="36"/>
  <c r="B727" i="36"/>
  <c r="B728" i="36"/>
  <c r="B729" i="36"/>
  <c r="B730" i="36"/>
  <c r="B731" i="36"/>
  <c r="B732" i="36"/>
  <c r="B733" i="36"/>
  <c r="B734" i="36"/>
  <c r="B735" i="36"/>
  <c r="B736" i="36"/>
  <c r="B737" i="36"/>
  <c r="B738" i="36"/>
  <c r="B739" i="36"/>
  <c r="B740" i="36"/>
  <c r="B741" i="36"/>
  <c r="B742" i="36"/>
  <c r="B743" i="36"/>
  <c r="B744" i="36"/>
  <c r="B745" i="36"/>
  <c r="B746" i="36"/>
  <c r="B747" i="36"/>
  <c r="B748" i="36"/>
  <c r="B749" i="36"/>
  <c r="B750" i="36"/>
  <c r="B751" i="36"/>
  <c r="B752" i="36"/>
  <c r="B753" i="36"/>
  <c r="B754" i="36"/>
  <c r="B755" i="36"/>
  <c r="B756" i="36"/>
  <c r="B757" i="36"/>
  <c r="B758" i="36"/>
  <c r="B759" i="36"/>
  <c r="B760" i="36"/>
  <c r="B761" i="36"/>
  <c r="B762" i="36"/>
  <c r="B763" i="36"/>
  <c r="B764" i="36"/>
  <c r="B765" i="36"/>
  <c r="B766" i="36"/>
  <c r="B767" i="36"/>
  <c r="B768" i="36"/>
  <c r="B769" i="36"/>
  <c r="B770" i="36"/>
  <c r="B771" i="36"/>
  <c r="B772" i="36"/>
  <c r="B773" i="36"/>
  <c r="B774" i="36"/>
  <c r="B775" i="36"/>
  <c r="B776" i="36"/>
  <c r="B777" i="36"/>
  <c r="B778" i="36"/>
  <c r="B779" i="36"/>
  <c r="B780" i="36"/>
  <c r="B781" i="36"/>
  <c r="B782" i="36"/>
  <c r="B783" i="36"/>
  <c r="B784" i="36"/>
  <c r="B785" i="36"/>
  <c r="B786" i="36"/>
  <c r="B787" i="36"/>
  <c r="B788" i="36"/>
  <c r="B789" i="36"/>
  <c r="B790" i="36"/>
  <c r="B791" i="36"/>
  <c r="B792" i="36"/>
  <c r="B793" i="36"/>
  <c r="B794" i="36"/>
  <c r="B795" i="36"/>
  <c r="B796" i="36"/>
  <c r="B797" i="36"/>
  <c r="B798" i="36"/>
  <c r="B799" i="36"/>
  <c r="B800" i="36"/>
  <c r="B801" i="36"/>
  <c r="B802" i="36"/>
  <c r="B803" i="36"/>
  <c r="B804" i="36"/>
  <c r="B805" i="36"/>
  <c r="B806" i="36"/>
  <c r="B807" i="36"/>
  <c r="B808" i="36"/>
  <c r="B809" i="36"/>
  <c r="B810" i="36"/>
  <c r="B811" i="36"/>
  <c r="B812" i="36"/>
  <c r="B813" i="36"/>
  <c r="B814" i="36"/>
  <c r="B815" i="36"/>
  <c r="B816" i="36"/>
  <c r="B817" i="36"/>
  <c r="B818" i="36"/>
  <c r="B819" i="36"/>
  <c r="B820" i="36"/>
  <c r="B821" i="36"/>
  <c r="B822" i="36"/>
  <c r="B823" i="36"/>
  <c r="B824" i="36"/>
  <c r="B825" i="36"/>
  <c r="B826" i="36"/>
  <c r="B827" i="36"/>
  <c r="B828" i="36"/>
  <c r="B829" i="36"/>
  <c r="B830" i="36"/>
  <c r="B831" i="36"/>
  <c r="B832" i="36"/>
  <c r="B833" i="36"/>
  <c r="B834" i="36"/>
  <c r="B835" i="36"/>
  <c r="B836" i="36"/>
  <c r="B837" i="36"/>
  <c r="B838" i="36"/>
  <c r="B839" i="36"/>
  <c r="B840" i="36"/>
  <c r="B841" i="36"/>
  <c r="B842" i="36"/>
  <c r="B843" i="36"/>
  <c r="B844" i="36"/>
  <c r="B845" i="36"/>
  <c r="B846" i="36"/>
  <c r="B847" i="36"/>
  <c r="B848" i="36"/>
  <c r="B849" i="36"/>
  <c r="B850" i="36"/>
  <c r="B851" i="36"/>
  <c r="B852" i="36"/>
  <c r="B853" i="36"/>
  <c r="B854" i="36"/>
  <c r="B855" i="36"/>
  <c r="B856" i="36"/>
  <c r="B857" i="36"/>
  <c r="B858" i="36"/>
  <c r="B859" i="36"/>
  <c r="B860" i="36"/>
  <c r="B861" i="36"/>
  <c r="B862" i="36"/>
  <c r="B863" i="36"/>
  <c r="B864" i="36"/>
  <c r="B865" i="36"/>
  <c r="B866" i="36"/>
  <c r="B867" i="36"/>
  <c r="B868" i="36"/>
  <c r="B869" i="36"/>
  <c r="B870" i="36"/>
  <c r="B871" i="36"/>
  <c r="B872" i="36"/>
  <c r="B873" i="36"/>
  <c r="B874" i="36"/>
  <c r="B875" i="36"/>
  <c r="B876" i="36"/>
  <c r="B877" i="36"/>
  <c r="B878" i="36"/>
  <c r="B879" i="36"/>
  <c r="B880" i="36"/>
  <c r="B881" i="36"/>
  <c r="B882" i="36"/>
  <c r="B883" i="36"/>
  <c r="B884" i="36"/>
  <c r="B885" i="36"/>
  <c r="B886" i="36"/>
  <c r="B887" i="36"/>
  <c r="B888" i="36"/>
  <c r="B889" i="36"/>
  <c r="B890" i="36"/>
  <c r="B891" i="36"/>
  <c r="B892" i="36"/>
  <c r="B893" i="36"/>
  <c r="B894" i="36"/>
  <c r="B895" i="36"/>
  <c r="B896" i="36"/>
  <c r="B897" i="36"/>
  <c r="B898" i="36"/>
  <c r="B899" i="36"/>
  <c r="B900" i="36"/>
  <c r="B901" i="36"/>
  <c r="B902" i="36"/>
  <c r="B903" i="36"/>
  <c r="B904" i="36"/>
  <c r="B905" i="36"/>
  <c r="B906" i="36"/>
  <c r="B907" i="36"/>
  <c r="B908" i="36"/>
  <c r="B909" i="36"/>
  <c r="B910" i="36"/>
  <c r="B911" i="36"/>
  <c r="B912" i="36"/>
  <c r="B913" i="36"/>
  <c r="B914" i="36"/>
  <c r="B915" i="36"/>
  <c r="B916" i="36"/>
  <c r="B917" i="36"/>
  <c r="B918" i="36"/>
  <c r="B919" i="36"/>
  <c r="B920" i="36"/>
  <c r="B921" i="36"/>
  <c r="B922" i="36"/>
  <c r="B923" i="36"/>
  <c r="B924" i="36"/>
  <c r="B925" i="36"/>
  <c r="B926" i="36"/>
  <c r="B927" i="36"/>
  <c r="B928" i="36"/>
  <c r="B929" i="36"/>
  <c r="B930" i="36"/>
  <c r="B931" i="36"/>
  <c r="B932" i="36"/>
  <c r="B933" i="36"/>
  <c r="B934" i="36"/>
  <c r="B935" i="36"/>
  <c r="B936" i="36"/>
  <c r="B937" i="36"/>
  <c r="B938" i="36"/>
  <c r="B939" i="36"/>
  <c r="B940" i="36"/>
  <c r="B941" i="36"/>
  <c r="B942" i="36"/>
  <c r="B943" i="36"/>
  <c r="B944" i="36"/>
  <c r="B945" i="36"/>
  <c r="B946" i="36"/>
  <c r="B947" i="36"/>
  <c r="B948" i="36"/>
  <c r="B949" i="36"/>
  <c r="B950" i="36"/>
  <c r="B951" i="36"/>
  <c r="B952" i="36"/>
  <c r="B953" i="36"/>
  <c r="B954" i="36"/>
  <c r="B955" i="36"/>
  <c r="B956" i="36"/>
  <c r="B957" i="36"/>
  <c r="B958" i="36"/>
  <c r="B959" i="36"/>
  <c r="B960" i="36"/>
  <c r="B961" i="36"/>
  <c r="B962" i="36"/>
  <c r="B963" i="36"/>
  <c r="B964" i="36"/>
  <c r="B965" i="36"/>
  <c r="B966" i="36"/>
  <c r="B967" i="36"/>
  <c r="B968" i="36"/>
  <c r="B969" i="36"/>
  <c r="B970" i="36"/>
  <c r="B971" i="36"/>
  <c r="B972" i="36"/>
  <c r="B973" i="36"/>
  <c r="B974" i="36"/>
  <c r="B975" i="36"/>
  <c r="B976" i="36"/>
  <c r="B977" i="36"/>
  <c r="B978" i="36"/>
  <c r="B979" i="36"/>
  <c r="B980" i="36"/>
  <c r="B981" i="36"/>
  <c r="B982" i="36"/>
  <c r="B983" i="36"/>
  <c r="B984" i="36"/>
  <c r="B985" i="36"/>
  <c r="B986" i="36"/>
  <c r="B987" i="36"/>
  <c r="B988" i="36"/>
  <c r="B989" i="36"/>
  <c r="B990" i="36"/>
  <c r="B991" i="36"/>
  <c r="B992" i="36"/>
  <c r="B993" i="36"/>
  <c r="B994" i="36"/>
  <c r="B995" i="36"/>
  <c r="B996" i="36"/>
  <c r="B997" i="36"/>
  <c r="B998" i="36"/>
  <c r="B999" i="36"/>
  <c r="B1000" i="36"/>
  <c r="B1001" i="36"/>
  <c r="B1002" i="36"/>
  <c r="B1003" i="36"/>
  <c r="B1004" i="36"/>
  <c r="B1005" i="36"/>
  <c r="B1006" i="36"/>
  <c r="B1007" i="36"/>
  <c r="B1008" i="36"/>
  <c r="B1009" i="36"/>
  <c r="B1010" i="36"/>
  <c r="B2" i="35" l="1"/>
  <c r="B3" i="35"/>
  <c r="B4" i="35"/>
  <c r="B5" i="35"/>
  <c r="B6" i="35"/>
  <c r="B7" i="35"/>
  <c r="B8" i="35"/>
  <c r="B9" i="35"/>
  <c r="B10" i="35"/>
  <c r="B11" i="35"/>
  <c r="B12" i="35"/>
  <c r="B13" i="35"/>
  <c r="B14" i="35"/>
  <c r="B15" i="35"/>
  <c r="B16" i="35"/>
  <c r="B17" i="35"/>
  <c r="B18" i="35"/>
  <c r="B19" i="35"/>
  <c r="B20" i="35"/>
  <c r="B21" i="35"/>
  <c r="B22" i="35"/>
  <c r="B23" i="35"/>
  <c r="B24" i="35"/>
  <c r="B25" i="35"/>
  <c r="B26" i="35"/>
  <c r="B27" i="35"/>
  <c r="B28" i="35"/>
  <c r="B29" i="35"/>
  <c r="B30" i="35"/>
  <c r="B31" i="35"/>
  <c r="B32" i="35"/>
  <c r="B33" i="35"/>
  <c r="B34" i="35"/>
  <c r="B35" i="35"/>
  <c r="B36" i="35"/>
  <c r="B37" i="35"/>
  <c r="B38" i="35"/>
  <c r="B39" i="35"/>
  <c r="B40" i="35"/>
  <c r="B41" i="35"/>
  <c r="B42" i="35"/>
  <c r="B43" i="35"/>
  <c r="B44" i="35"/>
  <c r="B45" i="35"/>
  <c r="B46" i="35"/>
  <c r="B47" i="35"/>
  <c r="B48" i="35"/>
  <c r="B49" i="35"/>
  <c r="B50" i="35"/>
  <c r="B51" i="35"/>
  <c r="B52" i="35"/>
  <c r="B53" i="35"/>
  <c r="B54" i="35"/>
  <c r="B55" i="35"/>
  <c r="B56" i="35"/>
  <c r="B57" i="35"/>
  <c r="B58" i="35"/>
  <c r="B59" i="35"/>
  <c r="B60" i="35"/>
  <c r="B61" i="35"/>
  <c r="B62" i="35"/>
  <c r="B63" i="35"/>
  <c r="B64" i="35"/>
  <c r="B65" i="35"/>
  <c r="B66" i="35"/>
  <c r="B67" i="35"/>
  <c r="B68" i="35"/>
  <c r="B69" i="35"/>
  <c r="B70" i="35"/>
  <c r="B71" i="35"/>
  <c r="B72" i="35"/>
  <c r="B73" i="35"/>
  <c r="B74" i="35"/>
  <c r="B75" i="35"/>
  <c r="B76" i="35"/>
  <c r="B77" i="35"/>
  <c r="B78" i="35"/>
  <c r="B79" i="35"/>
  <c r="B80" i="35"/>
  <c r="B81" i="35"/>
  <c r="B82" i="35"/>
  <c r="B83" i="35"/>
  <c r="B84" i="35"/>
  <c r="B85" i="35"/>
  <c r="B86" i="35"/>
  <c r="B87" i="35"/>
  <c r="B88" i="35"/>
  <c r="B89" i="35"/>
  <c r="B90" i="35"/>
  <c r="B91" i="35"/>
  <c r="B92" i="35"/>
  <c r="B93" i="35"/>
  <c r="B94" i="35"/>
  <c r="B95" i="35"/>
  <c r="B96" i="35"/>
  <c r="B97" i="35"/>
  <c r="B98" i="35"/>
  <c r="B99" i="35"/>
  <c r="B100" i="35"/>
  <c r="B101" i="35"/>
  <c r="B102" i="35"/>
  <c r="B103" i="35"/>
  <c r="B104" i="35"/>
  <c r="B105" i="35"/>
  <c r="B106" i="35"/>
  <c r="B107" i="35"/>
  <c r="B108" i="35"/>
  <c r="B109" i="35"/>
  <c r="B110" i="35"/>
  <c r="B111" i="35"/>
  <c r="B112" i="35"/>
  <c r="B113" i="35"/>
  <c r="B114" i="35"/>
  <c r="B115" i="35"/>
  <c r="B116" i="35"/>
  <c r="B117" i="35"/>
  <c r="B118" i="35"/>
  <c r="B119" i="35"/>
  <c r="B120" i="35"/>
  <c r="B121" i="35"/>
  <c r="B122" i="35"/>
  <c r="B123" i="35"/>
  <c r="B124" i="35"/>
  <c r="B125" i="35"/>
  <c r="B126" i="35"/>
  <c r="B127" i="35"/>
  <c r="B128" i="35"/>
  <c r="B129" i="35"/>
  <c r="B130" i="35"/>
  <c r="B131" i="35"/>
  <c r="B132" i="35"/>
  <c r="B133" i="35"/>
  <c r="B134" i="35"/>
  <c r="B135" i="35"/>
  <c r="B136" i="35"/>
  <c r="B137" i="35"/>
  <c r="B138" i="35"/>
  <c r="B139" i="35"/>
  <c r="B140" i="35"/>
  <c r="B141" i="35"/>
  <c r="B142" i="35"/>
  <c r="B143" i="35"/>
  <c r="B144" i="35"/>
  <c r="B145" i="35"/>
  <c r="B146" i="35"/>
  <c r="B147" i="35"/>
  <c r="B148" i="35"/>
  <c r="B149" i="35"/>
  <c r="B150" i="35"/>
  <c r="B151" i="35"/>
  <c r="B152" i="35"/>
  <c r="B153" i="35"/>
  <c r="B154" i="35"/>
  <c r="B155" i="35"/>
  <c r="B156" i="35"/>
  <c r="B157" i="35"/>
  <c r="B158" i="35"/>
  <c r="B159" i="35"/>
  <c r="B160" i="35"/>
  <c r="B161" i="35"/>
  <c r="B162" i="35"/>
  <c r="B163" i="35"/>
  <c r="B164" i="35"/>
  <c r="B165" i="35"/>
  <c r="B166" i="35"/>
  <c r="B167" i="35"/>
  <c r="B168" i="35"/>
  <c r="B169" i="35"/>
  <c r="B170" i="35"/>
  <c r="B171" i="35"/>
  <c r="B172" i="35"/>
  <c r="B173" i="35"/>
  <c r="B174" i="35"/>
  <c r="B175" i="35"/>
  <c r="B176" i="35"/>
  <c r="B177" i="35"/>
  <c r="B178" i="35"/>
  <c r="B179" i="35"/>
  <c r="B180" i="35"/>
  <c r="B181" i="35"/>
  <c r="B182" i="35"/>
  <c r="B183" i="35"/>
  <c r="B184" i="35"/>
  <c r="B185" i="35"/>
  <c r="B186" i="35"/>
  <c r="B187" i="35"/>
  <c r="B188" i="35"/>
  <c r="B189" i="35"/>
  <c r="B190" i="35"/>
  <c r="B191" i="35"/>
  <c r="B192" i="35"/>
  <c r="B193" i="35"/>
  <c r="B194" i="35"/>
  <c r="B195" i="35"/>
  <c r="B196" i="35"/>
  <c r="B197" i="35"/>
  <c r="B198" i="35"/>
  <c r="B199" i="35"/>
  <c r="B200" i="35"/>
  <c r="B201" i="35"/>
  <c r="B202" i="35"/>
  <c r="B203" i="35"/>
  <c r="B204" i="35"/>
  <c r="B205" i="35"/>
  <c r="B206" i="35"/>
  <c r="B207" i="35"/>
  <c r="B208" i="35"/>
  <c r="B209" i="35"/>
  <c r="B210" i="35"/>
  <c r="B211" i="35"/>
  <c r="B212" i="35"/>
  <c r="B213" i="35"/>
  <c r="B214" i="35"/>
  <c r="B215" i="35"/>
  <c r="B216" i="35"/>
  <c r="B217" i="35"/>
  <c r="B218" i="35"/>
  <c r="B219" i="35"/>
  <c r="B220" i="35"/>
  <c r="B221" i="35"/>
  <c r="B222" i="35"/>
  <c r="B223" i="35"/>
  <c r="B224" i="35"/>
  <c r="B225" i="35"/>
  <c r="B226" i="35"/>
  <c r="B227" i="35"/>
  <c r="B228" i="35"/>
  <c r="B229" i="35"/>
  <c r="B230" i="35"/>
  <c r="B231" i="35"/>
  <c r="B232" i="35"/>
  <c r="B233" i="35"/>
  <c r="B234" i="35"/>
  <c r="B235" i="35"/>
  <c r="B236" i="35"/>
  <c r="B237" i="35"/>
  <c r="B238" i="35"/>
  <c r="B239" i="35"/>
  <c r="B240" i="35"/>
  <c r="B241" i="35"/>
  <c r="B242" i="35"/>
  <c r="B243" i="35"/>
  <c r="B244" i="35"/>
  <c r="B245" i="35"/>
  <c r="B246" i="35"/>
  <c r="B247" i="35"/>
  <c r="B248" i="35"/>
  <c r="B249" i="35"/>
  <c r="B250" i="35"/>
  <c r="B251" i="35"/>
  <c r="B252" i="35"/>
  <c r="B253" i="35"/>
  <c r="B254" i="35"/>
  <c r="B255" i="35"/>
  <c r="B256" i="35"/>
  <c r="B257" i="35"/>
  <c r="B258" i="35"/>
  <c r="B259" i="35"/>
  <c r="B260" i="35"/>
  <c r="B261" i="35"/>
  <c r="B262" i="35"/>
  <c r="B263" i="35"/>
  <c r="B264" i="35"/>
  <c r="B265" i="35"/>
  <c r="B266" i="35"/>
  <c r="B267" i="35"/>
  <c r="B268" i="35"/>
  <c r="B269" i="35"/>
  <c r="B270" i="35"/>
  <c r="B271" i="35"/>
  <c r="B272" i="35"/>
  <c r="B273" i="35"/>
  <c r="B274" i="35"/>
  <c r="B275" i="35"/>
  <c r="B276" i="35"/>
  <c r="B277" i="35"/>
  <c r="B278" i="35"/>
  <c r="B279" i="35"/>
  <c r="B280" i="35"/>
  <c r="B281" i="35"/>
  <c r="B282" i="35"/>
  <c r="B283" i="35"/>
  <c r="B284" i="35"/>
  <c r="B285" i="35"/>
  <c r="B286" i="35"/>
  <c r="B287" i="35"/>
  <c r="B288" i="35"/>
  <c r="B289" i="35"/>
  <c r="B290" i="35"/>
  <c r="B291" i="35"/>
  <c r="B292" i="35"/>
  <c r="B293" i="35"/>
  <c r="B294" i="35"/>
  <c r="B295" i="35"/>
  <c r="B296" i="35"/>
  <c r="B297" i="35"/>
  <c r="B298" i="35"/>
  <c r="B299" i="35"/>
  <c r="B300" i="35"/>
  <c r="B301" i="35"/>
  <c r="B302" i="35"/>
  <c r="B303" i="35"/>
  <c r="B304" i="35"/>
  <c r="B305" i="35"/>
  <c r="B306" i="35"/>
  <c r="B307" i="35"/>
  <c r="B308" i="35"/>
  <c r="B309" i="35"/>
  <c r="B310" i="35"/>
  <c r="B311" i="35"/>
  <c r="B312" i="35"/>
  <c r="B313" i="35"/>
  <c r="B314" i="35"/>
  <c r="B315" i="35"/>
  <c r="B316" i="35"/>
  <c r="B317" i="35"/>
  <c r="B318" i="35"/>
  <c r="B319" i="35"/>
  <c r="B320" i="35"/>
  <c r="B321" i="35"/>
  <c r="B322" i="35"/>
  <c r="B323" i="35"/>
  <c r="B324" i="35"/>
  <c r="B325" i="35"/>
  <c r="B326" i="35"/>
  <c r="B327" i="35"/>
  <c r="B328" i="35"/>
  <c r="B329" i="35"/>
  <c r="B330" i="35"/>
  <c r="B331" i="35"/>
  <c r="B332" i="35"/>
  <c r="B333" i="35"/>
  <c r="B334" i="35"/>
  <c r="B335" i="35"/>
  <c r="B336" i="35"/>
  <c r="B337" i="35"/>
  <c r="B338" i="35"/>
  <c r="B339" i="35"/>
  <c r="B340" i="35"/>
  <c r="B341" i="35"/>
  <c r="B342" i="35"/>
  <c r="B343" i="35"/>
  <c r="B344" i="35"/>
  <c r="B345" i="35"/>
  <c r="B346" i="35"/>
  <c r="B347" i="35"/>
  <c r="B348" i="35"/>
  <c r="B349" i="35"/>
  <c r="B350" i="35"/>
  <c r="B351" i="35"/>
  <c r="B352" i="35"/>
  <c r="B353" i="35"/>
  <c r="B354" i="35"/>
  <c r="B355" i="35"/>
  <c r="B356" i="35"/>
  <c r="B357" i="35"/>
  <c r="B358" i="35"/>
  <c r="B359" i="35"/>
  <c r="B360" i="35"/>
  <c r="B361" i="35"/>
  <c r="B362" i="35"/>
  <c r="B363" i="35"/>
  <c r="B364" i="35"/>
  <c r="B365" i="35"/>
  <c r="B366" i="35"/>
  <c r="B367" i="35"/>
  <c r="B368" i="35"/>
  <c r="B369" i="35"/>
  <c r="B370" i="35"/>
  <c r="B371" i="35"/>
  <c r="B372" i="35"/>
  <c r="B373" i="35"/>
  <c r="B374" i="35"/>
  <c r="B375" i="35"/>
  <c r="B376" i="35"/>
  <c r="B377" i="35"/>
  <c r="B378" i="35"/>
  <c r="B379" i="35"/>
  <c r="B380" i="35"/>
  <c r="B381" i="35"/>
  <c r="B382" i="35"/>
  <c r="B383" i="35"/>
  <c r="B384" i="35"/>
  <c r="B385" i="35"/>
  <c r="B386" i="35"/>
  <c r="B387" i="35"/>
  <c r="B388" i="35"/>
  <c r="B389" i="35"/>
  <c r="B390" i="35"/>
  <c r="B391" i="35"/>
  <c r="B392" i="35"/>
  <c r="B393" i="35"/>
  <c r="B394" i="35"/>
  <c r="B395" i="35"/>
  <c r="B396" i="35"/>
  <c r="B397" i="35"/>
  <c r="B398" i="35"/>
  <c r="B399" i="35"/>
  <c r="B400" i="35"/>
  <c r="B401" i="35"/>
  <c r="B402" i="35"/>
  <c r="B403" i="35"/>
  <c r="B404" i="35"/>
  <c r="B405" i="35"/>
  <c r="B406" i="35"/>
  <c r="B407" i="35"/>
  <c r="B408" i="35"/>
  <c r="B409" i="35"/>
  <c r="B410" i="35"/>
  <c r="B411" i="35"/>
  <c r="B412" i="35"/>
  <c r="B413" i="35"/>
  <c r="B414" i="35"/>
  <c r="B415" i="35"/>
  <c r="B416" i="35"/>
  <c r="B417" i="35"/>
  <c r="B418" i="35"/>
  <c r="B419" i="35"/>
  <c r="B420" i="35"/>
  <c r="B421" i="35"/>
  <c r="B422" i="35"/>
  <c r="B423" i="35"/>
  <c r="B424" i="35"/>
  <c r="B425" i="35"/>
  <c r="B426" i="35"/>
  <c r="B427" i="35"/>
  <c r="B428" i="35"/>
  <c r="B429" i="35"/>
  <c r="B430" i="35"/>
  <c r="B431" i="35"/>
  <c r="B432" i="35"/>
  <c r="B433" i="35"/>
  <c r="B434" i="35"/>
  <c r="B435" i="35"/>
  <c r="B436" i="35"/>
  <c r="B437" i="35"/>
  <c r="B438" i="35"/>
  <c r="B439" i="35"/>
  <c r="B440" i="35"/>
  <c r="B441" i="35"/>
  <c r="B442" i="35"/>
  <c r="B443" i="35"/>
  <c r="B444" i="35"/>
  <c r="B445" i="35"/>
  <c r="B446" i="35"/>
  <c r="B447" i="35"/>
  <c r="B448" i="35"/>
  <c r="B449" i="35"/>
  <c r="B450" i="35"/>
  <c r="B451" i="35"/>
  <c r="B452" i="35"/>
  <c r="B453" i="35"/>
  <c r="B454" i="35"/>
  <c r="B455" i="35"/>
  <c r="B456" i="35"/>
  <c r="B457" i="35"/>
  <c r="B458" i="35"/>
  <c r="B459" i="35"/>
  <c r="B460" i="35"/>
  <c r="B461" i="35"/>
  <c r="B462" i="35"/>
  <c r="B463" i="35"/>
  <c r="B464" i="35"/>
  <c r="B465" i="35"/>
  <c r="B466" i="35"/>
  <c r="B467" i="35"/>
  <c r="B468" i="35"/>
  <c r="B469" i="35"/>
  <c r="B470" i="35"/>
  <c r="B471" i="35"/>
  <c r="B472" i="35"/>
  <c r="B473" i="35"/>
  <c r="B474" i="35"/>
  <c r="B475" i="35"/>
  <c r="B476" i="35"/>
  <c r="B477" i="35"/>
  <c r="B478" i="35"/>
  <c r="B479" i="35"/>
  <c r="B480" i="35"/>
  <c r="B481" i="35"/>
  <c r="B482" i="35"/>
  <c r="B483" i="35"/>
  <c r="B484" i="35"/>
  <c r="B485" i="35"/>
  <c r="B486" i="35"/>
  <c r="B487" i="35"/>
  <c r="B488" i="35"/>
  <c r="B489" i="35"/>
  <c r="B490" i="35"/>
  <c r="B491" i="35"/>
  <c r="B492" i="35"/>
  <c r="B493" i="35"/>
  <c r="B494" i="35"/>
  <c r="B495" i="35"/>
  <c r="B496" i="35"/>
  <c r="B497" i="35"/>
  <c r="B498" i="35"/>
  <c r="B499" i="35"/>
  <c r="B500" i="35"/>
  <c r="B501" i="35"/>
  <c r="B502" i="35"/>
  <c r="B503" i="35"/>
  <c r="B504" i="35"/>
  <c r="B505" i="35"/>
  <c r="B506" i="35"/>
  <c r="B507" i="35"/>
  <c r="B508" i="35"/>
  <c r="B509" i="35"/>
  <c r="B510" i="35"/>
  <c r="B511" i="35"/>
  <c r="B512" i="35"/>
  <c r="B513" i="35"/>
  <c r="B514" i="35"/>
  <c r="B515" i="35"/>
  <c r="B516" i="35"/>
  <c r="B517" i="35"/>
  <c r="B518" i="35"/>
  <c r="B519" i="35"/>
  <c r="B520" i="35"/>
  <c r="B521" i="35"/>
  <c r="B522" i="35"/>
  <c r="B523" i="35"/>
  <c r="B524" i="35"/>
  <c r="B525" i="35"/>
  <c r="B526" i="35"/>
  <c r="B527" i="35"/>
  <c r="B528" i="35"/>
  <c r="B529" i="35"/>
  <c r="B530" i="35"/>
  <c r="B531" i="35"/>
  <c r="B532" i="35"/>
  <c r="B533" i="35"/>
  <c r="B534" i="35"/>
  <c r="B535" i="35"/>
  <c r="B536" i="35"/>
  <c r="B537" i="35"/>
  <c r="B538" i="35"/>
  <c r="B539" i="35"/>
  <c r="B540" i="35"/>
  <c r="B541" i="35"/>
  <c r="B542" i="35"/>
  <c r="B543" i="35"/>
  <c r="B544" i="35"/>
  <c r="B545" i="35"/>
  <c r="B546" i="35"/>
  <c r="B547" i="35"/>
  <c r="B548" i="35"/>
  <c r="B549" i="35"/>
  <c r="B550" i="35"/>
  <c r="B551" i="35"/>
  <c r="B552" i="35"/>
  <c r="B553" i="35"/>
  <c r="B554" i="35"/>
  <c r="B555" i="35"/>
  <c r="B556" i="35"/>
  <c r="B557" i="35"/>
  <c r="B558" i="35"/>
  <c r="B559" i="35"/>
  <c r="B560" i="35"/>
  <c r="B561" i="35"/>
  <c r="B562" i="35"/>
  <c r="B563" i="35"/>
  <c r="B564" i="35"/>
  <c r="B565" i="35"/>
  <c r="B566" i="35"/>
  <c r="B567" i="35"/>
  <c r="B568" i="35"/>
  <c r="B569" i="35"/>
  <c r="B570" i="35"/>
  <c r="B571" i="35"/>
  <c r="B572" i="35"/>
  <c r="B573" i="35"/>
  <c r="B574" i="35"/>
  <c r="B575" i="35"/>
  <c r="B576" i="35"/>
  <c r="B577" i="35"/>
  <c r="B578" i="35"/>
  <c r="B579" i="35"/>
  <c r="B580" i="35"/>
  <c r="B581" i="35"/>
  <c r="B582" i="35"/>
  <c r="B583" i="35"/>
  <c r="B584" i="35"/>
  <c r="B585" i="35"/>
  <c r="B586" i="35"/>
  <c r="B587" i="35"/>
  <c r="B588" i="35"/>
  <c r="B589" i="35"/>
  <c r="B590" i="35"/>
  <c r="B591" i="35"/>
  <c r="B592" i="35"/>
  <c r="B593" i="35"/>
  <c r="B594" i="35"/>
  <c r="B595" i="35"/>
  <c r="B596" i="35"/>
  <c r="B597" i="35"/>
  <c r="B598" i="35"/>
  <c r="B599" i="35"/>
  <c r="B600" i="35"/>
  <c r="B601" i="35"/>
  <c r="B602" i="35"/>
  <c r="B603" i="35"/>
  <c r="B604" i="35"/>
  <c r="B605" i="35"/>
  <c r="B606" i="35"/>
  <c r="B607" i="35"/>
  <c r="B608" i="35"/>
  <c r="B609" i="35"/>
  <c r="B610" i="35"/>
  <c r="B611" i="35"/>
  <c r="B612" i="35"/>
  <c r="B613" i="35"/>
  <c r="B614" i="35"/>
  <c r="B615" i="35"/>
  <c r="B616" i="35"/>
  <c r="B617" i="35"/>
  <c r="B618" i="35"/>
  <c r="B619" i="35"/>
  <c r="B620" i="35"/>
  <c r="B621" i="35"/>
  <c r="B622" i="35"/>
  <c r="B623" i="35"/>
  <c r="B624" i="35"/>
  <c r="B625" i="35"/>
  <c r="B626" i="35"/>
  <c r="B627" i="35"/>
  <c r="B628" i="35"/>
  <c r="B629" i="35"/>
  <c r="B630" i="35"/>
  <c r="B631" i="35"/>
  <c r="B632" i="35"/>
  <c r="B633" i="35"/>
  <c r="B634" i="35"/>
  <c r="B635" i="35"/>
  <c r="B636" i="35"/>
  <c r="B637" i="35"/>
  <c r="B638" i="35"/>
  <c r="B639" i="35"/>
  <c r="B640" i="35"/>
  <c r="B641" i="35"/>
  <c r="B642" i="35"/>
  <c r="B643" i="35"/>
  <c r="B644" i="35"/>
  <c r="B645" i="35"/>
  <c r="B646" i="35"/>
  <c r="B647" i="35"/>
  <c r="B648" i="35"/>
  <c r="B649" i="35"/>
  <c r="B650" i="35"/>
  <c r="B651" i="35"/>
  <c r="B652" i="35"/>
  <c r="B653" i="35"/>
  <c r="B654" i="35"/>
  <c r="B655" i="35"/>
  <c r="B656" i="35"/>
  <c r="B657" i="35"/>
  <c r="B658" i="35"/>
  <c r="B659" i="35"/>
  <c r="B660" i="35"/>
  <c r="B661" i="35"/>
  <c r="B662" i="35"/>
  <c r="B663" i="35"/>
  <c r="B664" i="35"/>
  <c r="B665" i="35"/>
  <c r="B666" i="35"/>
  <c r="B667" i="35"/>
  <c r="B668" i="35"/>
  <c r="B669" i="35"/>
  <c r="B670" i="35"/>
  <c r="B671" i="35"/>
  <c r="B672" i="35"/>
  <c r="B673" i="35"/>
  <c r="B674" i="35"/>
  <c r="B675" i="35"/>
  <c r="B676" i="35"/>
  <c r="B677" i="35"/>
  <c r="B678" i="35"/>
  <c r="B679" i="35"/>
  <c r="B680" i="35"/>
  <c r="B681" i="35"/>
  <c r="B682" i="35"/>
  <c r="B683" i="35"/>
  <c r="B684" i="35"/>
  <c r="B685" i="35"/>
  <c r="B686" i="35"/>
  <c r="B687" i="35"/>
  <c r="B688" i="35"/>
  <c r="B689" i="35"/>
  <c r="B690" i="35"/>
  <c r="B691" i="35"/>
  <c r="B692" i="35"/>
  <c r="B693" i="35"/>
  <c r="B694" i="35"/>
  <c r="B695" i="35"/>
  <c r="B696" i="35"/>
  <c r="B697" i="35"/>
  <c r="B698" i="35"/>
  <c r="B699" i="35"/>
  <c r="B700" i="35"/>
  <c r="B701" i="35"/>
  <c r="B702" i="35"/>
  <c r="B703" i="35"/>
  <c r="B704" i="35"/>
  <c r="B705" i="35"/>
  <c r="B706" i="35"/>
  <c r="B707" i="35"/>
  <c r="B708" i="35"/>
  <c r="B709" i="35"/>
  <c r="B710" i="35"/>
  <c r="B711" i="35"/>
  <c r="B712" i="35"/>
  <c r="B713" i="35"/>
  <c r="B714" i="35"/>
  <c r="B715" i="35"/>
  <c r="B716" i="35"/>
  <c r="B717" i="35"/>
  <c r="B718" i="35"/>
  <c r="B719" i="35"/>
  <c r="B720" i="35"/>
  <c r="B721" i="35"/>
  <c r="B722" i="35"/>
  <c r="B723" i="35"/>
  <c r="B724" i="35"/>
  <c r="B725" i="35"/>
  <c r="B726" i="35"/>
  <c r="B727" i="35"/>
  <c r="B728" i="35"/>
  <c r="B729" i="35"/>
  <c r="B730" i="35"/>
  <c r="B731" i="35"/>
  <c r="B732" i="35"/>
  <c r="B733" i="35"/>
  <c r="B734" i="35"/>
  <c r="B735" i="35"/>
  <c r="B736" i="35"/>
  <c r="B737" i="35"/>
  <c r="B738" i="35"/>
  <c r="B739" i="35"/>
  <c r="B740" i="35"/>
  <c r="B741" i="35"/>
  <c r="B742" i="35"/>
  <c r="B743" i="35"/>
  <c r="B744" i="35"/>
  <c r="B745" i="35"/>
  <c r="B746" i="35"/>
  <c r="B747" i="35"/>
  <c r="B748" i="35"/>
  <c r="B749" i="35"/>
  <c r="B750" i="35"/>
  <c r="B751" i="35"/>
  <c r="B752" i="35"/>
  <c r="B753" i="35"/>
  <c r="B754" i="35"/>
  <c r="B755" i="35"/>
  <c r="B756" i="35"/>
  <c r="B757" i="35"/>
  <c r="B758" i="35"/>
  <c r="B759" i="35"/>
  <c r="B760" i="35"/>
  <c r="B761" i="35"/>
  <c r="B762" i="35"/>
  <c r="B763" i="35"/>
  <c r="B764" i="35"/>
  <c r="B765" i="35"/>
  <c r="B766" i="35"/>
  <c r="B767" i="35"/>
  <c r="B768" i="35"/>
  <c r="B769" i="35"/>
  <c r="B770" i="35"/>
  <c r="B771" i="35"/>
  <c r="B772" i="35"/>
  <c r="B773" i="35"/>
  <c r="B774" i="35"/>
  <c r="B775" i="35"/>
  <c r="B776" i="35"/>
  <c r="B777" i="35"/>
  <c r="B778" i="35"/>
  <c r="B779" i="35"/>
  <c r="B780" i="35"/>
  <c r="B781" i="35"/>
  <c r="B782" i="35"/>
  <c r="B783" i="35"/>
  <c r="B784" i="35"/>
  <c r="B785" i="35"/>
  <c r="B786" i="35"/>
  <c r="B787" i="35"/>
  <c r="B788" i="35"/>
  <c r="B789" i="35"/>
  <c r="B790" i="35"/>
  <c r="B791" i="35"/>
  <c r="B792" i="35"/>
  <c r="B793" i="35"/>
  <c r="B794" i="35"/>
  <c r="B795" i="35"/>
  <c r="B796" i="35"/>
  <c r="B797" i="35"/>
  <c r="B798" i="35"/>
  <c r="B799" i="35"/>
  <c r="B800" i="35"/>
  <c r="B801" i="35"/>
  <c r="B802" i="35"/>
  <c r="B803" i="35"/>
  <c r="B804" i="35"/>
  <c r="B805" i="35"/>
  <c r="B806" i="35"/>
  <c r="B807" i="35"/>
  <c r="B808" i="35"/>
  <c r="B809" i="35"/>
  <c r="B810" i="35"/>
  <c r="B811" i="35"/>
  <c r="B812" i="35"/>
  <c r="B813" i="35"/>
  <c r="B814" i="35"/>
  <c r="B815" i="35"/>
  <c r="B816" i="35"/>
  <c r="B817" i="35"/>
  <c r="B818" i="35"/>
  <c r="B819" i="35"/>
  <c r="B820" i="35"/>
  <c r="B821" i="35"/>
  <c r="B822" i="35"/>
  <c r="B823" i="35"/>
  <c r="B824" i="35"/>
  <c r="B825" i="35"/>
  <c r="B826" i="35"/>
  <c r="B827" i="35"/>
  <c r="B828" i="35"/>
  <c r="B829" i="35"/>
  <c r="B830" i="35"/>
  <c r="B831" i="35"/>
  <c r="B832" i="35"/>
  <c r="B833" i="35"/>
  <c r="B834" i="35"/>
  <c r="B835" i="35"/>
  <c r="B836" i="35"/>
  <c r="B837" i="35"/>
  <c r="B838" i="35"/>
  <c r="B839" i="35"/>
  <c r="B840" i="35"/>
  <c r="B841" i="35"/>
  <c r="B842" i="35"/>
  <c r="B843" i="35"/>
  <c r="B844" i="35"/>
  <c r="B845" i="35"/>
  <c r="B846" i="35"/>
  <c r="B847" i="35"/>
  <c r="B848" i="35"/>
  <c r="B849" i="35"/>
  <c r="B850" i="35"/>
  <c r="B851" i="35"/>
  <c r="B852" i="35"/>
  <c r="B853" i="35"/>
  <c r="B854" i="35"/>
  <c r="B855" i="35"/>
  <c r="B856" i="35"/>
  <c r="B857" i="35"/>
  <c r="B858" i="35"/>
  <c r="B859" i="35"/>
  <c r="B860" i="35"/>
  <c r="B861" i="35"/>
  <c r="B862" i="35"/>
  <c r="B863" i="35"/>
  <c r="B864" i="35"/>
  <c r="B865" i="35"/>
  <c r="B866" i="35"/>
  <c r="B867" i="35"/>
  <c r="B868" i="35"/>
  <c r="B869" i="35"/>
  <c r="B870" i="35"/>
  <c r="B871" i="35"/>
  <c r="B872" i="35"/>
  <c r="B873" i="35"/>
  <c r="B874" i="35"/>
  <c r="B875" i="35"/>
  <c r="B876" i="35"/>
  <c r="B877" i="35"/>
  <c r="B878" i="35"/>
  <c r="B879" i="35"/>
  <c r="B880" i="35"/>
  <c r="B881" i="35"/>
  <c r="B882" i="35"/>
  <c r="B883" i="35"/>
  <c r="B884" i="35"/>
  <c r="B885" i="35"/>
  <c r="B886" i="35"/>
  <c r="B887" i="35"/>
  <c r="B888" i="35"/>
  <c r="B889" i="35"/>
  <c r="B890" i="35"/>
  <c r="B891" i="35"/>
  <c r="B892" i="35"/>
  <c r="B893" i="35"/>
  <c r="B894" i="35"/>
  <c r="B895" i="35"/>
  <c r="B896" i="35"/>
  <c r="B897" i="35"/>
  <c r="B898" i="35"/>
  <c r="B899" i="35"/>
  <c r="B900" i="35"/>
  <c r="B901" i="35"/>
  <c r="B902" i="35"/>
  <c r="B903" i="35"/>
  <c r="B904" i="35"/>
  <c r="B905" i="35"/>
  <c r="B906" i="35"/>
  <c r="B907" i="35"/>
  <c r="B908" i="35"/>
  <c r="B909" i="35"/>
  <c r="B910" i="35"/>
  <c r="B911" i="35"/>
  <c r="B912" i="35"/>
  <c r="B913" i="35"/>
  <c r="B914" i="35"/>
  <c r="B915" i="35"/>
  <c r="B916" i="35"/>
  <c r="B917" i="35"/>
  <c r="B918" i="35"/>
  <c r="B919" i="35"/>
  <c r="B920" i="35"/>
  <c r="B921" i="35"/>
  <c r="B922" i="35"/>
  <c r="B923" i="35"/>
  <c r="B924" i="35"/>
  <c r="B925" i="35"/>
  <c r="B926" i="35"/>
  <c r="B927" i="35"/>
  <c r="B928" i="35"/>
  <c r="B929" i="35"/>
  <c r="B930" i="35"/>
  <c r="B931" i="35"/>
  <c r="B932" i="35"/>
  <c r="B933" i="35"/>
  <c r="B934" i="35"/>
  <c r="B935" i="35"/>
  <c r="B936" i="35"/>
  <c r="B937" i="35"/>
  <c r="B938" i="35"/>
  <c r="B939" i="35"/>
  <c r="B940" i="35"/>
  <c r="B941" i="35"/>
  <c r="B942" i="35"/>
  <c r="B943" i="35"/>
  <c r="B944" i="35"/>
  <c r="B945" i="35"/>
  <c r="B946" i="35"/>
  <c r="B947" i="35"/>
  <c r="B948" i="35"/>
  <c r="B949" i="35"/>
  <c r="B950" i="35"/>
  <c r="B951" i="35"/>
  <c r="B952" i="35"/>
  <c r="B953" i="35"/>
  <c r="B954" i="35"/>
  <c r="B955" i="35"/>
  <c r="B956" i="35"/>
  <c r="B957" i="35"/>
  <c r="B958" i="35"/>
  <c r="B959" i="35"/>
  <c r="B960" i="35"/>
  <c r="B961" i="35"/>
  <c r="B962" i="35"/>
  <c r="B963" i="35"/>
  <c r="B964" i="35"/>
  <c r="B965" i="35"/>
  <c r="B966" i="35"/>
  <c r="B967" i="35"/>
  <c r="B968" i="35"/>
  <c r="B969" i="35"/>
  <c r="B970" i="35"/>
  <c r="B971" i="35"/>
  <c r="B972" i="35"/>
  <c r="B973" i="35"/>
  <c r="B974" i="35"/>
  <c r="B975" i="35"/>
  <c r="B976" i="35"/>
  <c r="B977" i="35"/>
  <c r="B978" i="35"/>
  <c r="B979" i="35"/>
  <c r="B980" i="35"/>
  <c r="B981" i="35"/>
  <c r="B982" i="35"/>
  <c r="B983" i="35"/>
  <c r="B984" i="35"/>
  <c r="B985" i="35"/>
  <c r="B986" i="35"/>
  <c r="B987" i="35"/>
  <c r="B988" i="35"/>
  <c r="B989" i="35"/>
  <c r="B990" i="35"/>
  <c r="B991" i="35"/>
  <c r="B992" i="35"/>
  <c r="B993" i="35"/>
  <c r="B994" i="35"/>
  <c r="B995" i="35"/>
  <c r="B996" i="35"/>
  <c r="B997" i="35"/>
  <c r="B998" i="35"/>
  <c r="B999" i="35"/>
  <c r="B1000" i="35"/>
  <c r="B1001" i="35"/>
  <c r="B1002" i="35"/>
  <c r="B1003" i="35"/>
  <c r="B1004" i="35"/>
  <c r="B1005" i="35"/>
  <c r="B1006" i="35"/>
  <c r="B1007" i="35"/>
  <c r="B1008" i="35"/>
  <c r="B1009" i="35"/>
  <c r="B1010" i="35"/>
  <c r="B1011" i="35"/>
  <c r="B1012" i="35"/>
  <c r="B1013" i="35"/>
  <c r="B1014" i="35"/>
  <c r="B1015" i="35"/>
  <c r="B1016" i="35"/>
  <c r="B1017" i="35"/>
  <c r="B1018" i="35"/>
  <c r="B1019" i="35"/>
  <c r="B1020" i="35"/>
  <c r="B1021" i="35"/>
  <c r="B1022" i="35"/>
  <c r="B1023" i="35"/>
  <c r="B1024" i="35"/>
  <c r="B1025" i="35"/>
  <c r="B1026" i="35"/>
  <c r="B1027" i="35"/>
  <c r="B1028" i="35"/>
  <c r="B1029" i="35"/>
  <c r="B1030" i="35"/>
  <c r="B1031" i="35"/>
  <c r="B1032" i="35"/>
  <c r="B1033" i="35"/>
  <c r="B1034" i="35"/>
  <c r="B1035" i="35"/>
  <c r="B1036" i="35"/>
  <c r="B1037" i="35"/>
  <c r="B1038" i="35"/>
  <c r="B1039" i="35"/>
  <c r="B1040" i="35"/>
  <c r="B1041" i="35"/>
  <c r="B1042" i="35"/>
  <c r="B1043" i="35"/>
  <c r="B1044" i="35"/>
  <c r="B1045" i="35"/>
  <c r="B1046" i="35"/>
  <c r="B1047" i="35"/>
  <c r="B1048" i="35"/>
  <c r="B1049" i="35"/>
  <c r="B1050" i="35"/>
  <c r="B1051" i="35"/>
  <c r="B1052" i="35"/>
  <c r="B1053" i="35"/>
  <c r="B1054" i="35"/>
  <c r="B1055" i="35"/>
  <c r="B1056" i="35"/>
  <c r="B1057" i="35"/>
  <c r="B1058" i="35"/>
  <c r="B1059" i="35"/>
  <c r="B1060" i="35"/>
  <c r="B1061" i="35"/>
  <c r="B1062" i="35"/>
  <c r="B1063" i="35"/>
  <c r="B1064" i="35"/>
  <c r="B1065" i="35"/>
  <c r="B1066" i="35"/>
  <c r="B1067" i="35"/>
  <c r="B1068" i="35"/>
  <c r="B1069" i="35"/>
  <c r="B1070" i="35"/>
  <c r="B1071" i="35"/>
  <c r="B1072" i="35"/>
  <c r="B1073" i="35"/>
  <c r="B1074" i="35"/>
  <c r="B1075" i="35"/>
  <c r="B1076" i="35"/>
  <c r="B1077" i="35"/>
  <c r="B1078" i="35"/>
  <c r="B1079" i="35"/>
  <c r="B1080" i="35"/>
  <c r="B1081" i="35"/>
  <c r="B1082" i="35"/>
  <c r="B1083" i="35"/>
  <c r="B1084" i="35"/>
  <c r="B1085" i="35"/>
  <c r="B1086" i="35"/>
  <c r="B1087" i="35"/>
  <c r="B1088" i="35"/>
  <c r="B1089" i="35"/>
  <c r="B1090" i="35"/>
  <c r="B1091" i="35"/>
  <c r="B1092" i="35"/>
  <c r="B1093" i="35"/>
  <c r="B1094" i="35"/>
  <c r="B1095" i="35"/>
  <c r="B1096" i="35"/>
  <c r="B1097" i="35"/>
  <c r="B1098" i="35"/>
  <c r="B1099" i="35"/>
  <c r="B1100" i="35"/>
  <c r="B1101" i="35"/>
  <c r="B1102" i="35"/>
  <c r="B1103" i="35"/>
  <c r="B1104" i="35"/>
  <c r="B1105" i="35"/>
  <c r="B1106" i="35"/>
  <c r="B1107" i="35"/>
  <c r="B1108" i="35"/>
  <c r="B1109" i="35"/>
  <c r="B1110" i="35"/>
  <c r="B1111" i="35"/>
  <c r="B1112" i="35"/>
  <c r="B1113" i="35"/>
  <c r="B1114" i="35"/>
  <c r="B1115" i="35"/>
  <c r="B1116" i="35"/>
  <c r="B1117" i="35"/>
  <c r="B1118" i="35"/>
  <c r="B1119" i="35"/>
  <c r="B1120" i="35"/>
  <c r="B1121" i="35"/>
  <c r="B1122" i="35"/>
  <c r="B1123" i="35"/>
  <c r="B1124" i="35"/>
  <c r="B1125" i="35"/>
  <c r="B1126" i="35"/>
  <c r="B1127" i="35"/>
  <c r="B1128" i="35"/>
  <c r="B1129" i="35"/>
  <c r="B1130" i="35"/>
  <c r="B1131" i="35"/>
  <c r="B1132" i="35"/>
  <c r="B1133" i="35"/>
  <c r="B1134" i="35"/>
  <c r="B1135" i="35"/>
  <c r="B1136" i="35"/>
  <c r="B1137" i="35"/>
  <c r="B1138" i="35"/>
  <c r="B1139" i="35"/>
  <c r="B1140" i="35"/>
  <c r="B1141" i="35"/>
  <c r="B1142" i="35"/>
  <c r="B1143" i="35"/>
  <c r="B1144" i="35"/>
  <c r="B1145" i="35"/>
  <c r="B1146" i="35"/>
  <c r="B1147" i="35"/>
  <c r="B1148" i="35"/>
  <c r="B1149" i="35"/>
  <c r="B1150" i="35"/>
  <c r="B1151" i="35"/>
  <c r="B1152" i="35"/>
  <c r="B1153" i="35"/>
  <c r="B1154" i="35"/>
  <c r="B1155" i="35"/>
  <c r="B1156" i="35"/>
  <c r="B1157" i="35"/>
  <c r="B1158" i="35"/>
  <c r="B1159" i="35"/>
  <c r="B1160" i="35"/>
  <c r="B1161" i="35"/>
  <c r="B1162" i="35"/>
  <c r="B1163" i="35"/>
  <c r="B1164" i="35"/>
  <c r="B1165" i="35"/>
  <c r="B1166" i="35"/>
  <c r="B1167" i="35"/>
  <c r="B1168" i="35"/>
  <c r="B1169" i="35"/>
  <c r="B1170" i="35"/>
  <c r="B1171" i="35"/>
  <c r="B1172" i="35"/>
  <c r="B1173" i="35"/>
  <c r="B1174" i="35"/>
  <c r="B1175" i="35"/>
  <c r="B1176" i="35"/>
  <c r="B1177" i="35"/>
  <c r="B1178" i="35"/>
  <c r="B1179" i="35"/>
  <c r="B1180" i="35"/>
  <c r="B1181" i="35"/>
  <c r="B1182" i="35"/>
  <c r="B1183" i="35"/>
  <c r="B1184" i="35"/>
  <c r="B1185" i="35"/>
  <c r="B1186" i="35"/>
  <c r="B1187" i="35"/>
  <c r="B1188" i="35"/>
  <c r="B1189" i="35"/>
  <c r="B1190" i="35"/>
  <c r="B1191" i="35"/>
  <c r="B1192" i="35"/>
  <c r="B1193" i="35"/>
  <c r="B1194" i="35"/>
  <c r="B1195" i="35"/>
  <c r="B1196" i="35"/>
  <c r="B1197" i="35"/>
  <c r="B1198" i="35"/>
  <c r="B1199" i="35"/>
  <c r="B1200" i="35"/>
  <c r="B1201" i="35"/>
  <c r="B1202" i="35"/>
  <c r="B1203" i="35"/>
  <c r="B1204" i="35"/>
  <c r="B1205" i="35"/>
  <c r="B1206" i="35"/>
  <c r="B1207" i="35"/>
  <c r="B1208" i="35"/>
  <c r="B1209" i="35"/>
  <c r="B1210" i="35"/>
  <c r="B1211" i="35"/>
  <c r="B1212" i="35"/>
  <c r="B1213" i="35"/>
  <c r="B1214" i="35"/>
  <c r="B1215" i="35"/>
  <c r="B1216" i="35"/>
  <c r="B1217" i="35"/>
  <c r="B1218" i="35"/>
  <c r="B1219" i="35"/>
  <c r="B1220" i="35"/>
  <c r="B1221" i="35"/>
  <c r="B1222" i="35"/>
  <c r="B1223" i="35"/>
  <c r="B1224" i="35"/>
  <c r="B1225" i="35"/>
  <c r="B1226" i="35"/>
  <c r="B1227" i="35"/>
  <c r="B1228" i="35"/>
  <c r="B1229" i="35"/>
  <c r="B1230" i="35"/>
  <c r="B1231" i="35"/>
  <c r="B1232" i="35"/>
  <c r="B1233" i="35"/>
  <c r="B1234" i="35"/>
  <c r="B1235" i="35"/>
  <c r="B1236" i="35"/>
  <c r="B1237" i="35"/>
  <c r="B1238" i="35"/>
  <c r="B1239" i="35"/>
  <c r="B1240" i="35"/>
  <c r="B1241" i="35"/>
  <c r="B1242" i="35"/>
  <c r="B1243" i="35"/>
  <c r="B1244" i="35"/>
  <c r="B1245" i="35"/>
  <c r="B1246" i="35"/>
  <c r="B1247" i="35"/>
  <c r="B1248" i="35"/>
  <c r="B1249" i="35"/>
  <c r="B1250" i="35"/>
  <c r="B1251" i="35"/>
  <c r="B1252" i="35"/>
  <c r="B1253" i="35"/>
  <c r="B1254" i="35"/>
  <c r="B1255" i="35"/>
  <c r="B1256" i="35"/>
  <c r="B1257" i="35"/>
  <c r="B1258" i="35"/>
  <c r="B1259" i="35"/>
  <c r="B1260" i="35"/>
  <c r="B1261" i="35"/>
  <c r="B1262" i="35"/>
  <c r="B1263" i="35"/>
  <c r="B1264" i="35"/>
  <c r="B1265" i="35"/>
  <c r="B1266" i="35"/>
  <c r="B1267" i="35"/>
  <c r="B1268" i="35"/>
  <c r="B1269" i="35"/>
  <c r="B1270" i="35"/>
  <c r="B1271" i="35"/>
  <c r="B1272" i="35"/>
  <c r="B1273" i="35"/>
  <c r="B1274" i="35"/>
  <c r="B1275" i="35"/>
  <c r="B1276" i="35"/>
  <c r="B1277" i="35"/>
  <c r="B1278" i="35"/>
  <c r="B1279" i="35"/>
  <c r="B1280" i="35"/>
  <c r="B1281" i="35"/>
  <c r="B1282" i="35"/>
  <c r="B1283" i="35"/>
  <c r="B1284" i="35"/>
  <c r="B1285" i="35"/>
  <c r="B1286" i="35"/>
  <c r="B1287" i="35"/>
  <c r="B1288" i="35"/>
  <c r="B1289" i="35"/>
  <c r="B1290" i="35"/>
  <c r="B1291" i="35"/>
  <c r="B1292" i="35"/>
  <c r="B1293" i="35"/>
  <c r="B1294" i="35"/>
  <c r="B1295" i="35"/>
  <c r="B1296" i="35"/>
  <c r="B1297" i="35"/>
  <c r="B1298" i="35"/>
  <c r="B1299" i="35"/>
  <c r="B1300" i="35"/>
  <c r="B1301" i="35"/>
  <c r="B1302" i="35"/>
  <c r="B1303" i="35"/>
  <c r="B1304" i="35"/>
  <c r="B1305" i="35"/>
  <c r="B1306" i="35"/>
  <c r="B1307" i="35"/>
  <c r="B1308" i="35"/>
  <c r="B1309" i="35"/>
  <c r="B1310" i="35"/>
  <c r="B1311" i="35"/>
  <c r="B1312" i="35"/>
  <c r="B1313" i="35"/>
  <c r="B1314" i="35"/>
  <c r="B1315" i="35"/>
  <c r="B1316" i="35"/>
  <c r="B1317" i="35"/>
  <c r="B1318" i="35"/>
  <c r="B1319" i="35"/>
  <c r="B1320" i="35"/>
  <c r="B1321" i="35"/>
  <c r="B1322" i="35"/>
  <c r="B1323" i="35"/>
  <c r="B1324" i="35"/>
  <c r="B1325" i="35"/>
  <c r="B1326" i="35"/>
  <c r="B1327" i="35"/>
  <c r="B1328" i="35"/>
  <c r="B1329" i="35"/>
  <c r="B1330" i="35"/>
  <c r="B1331" i="35"/>
  <c r="B1332" i="35"/>
  <c r="B1333" i="35"/>
  <c r="B1334" i="35"/>
  <c r="B1335" i="35"/>
  <c r="B1336" i="35"/>
  <c r="B1337" i="35"/>
  <c r="B1338" i="35"/>
  <c r="B1339" i="35"/>
  <c r="B1340" i="35"/>
  <c r="B1341" i="35"/>
  <c r="B1342" i="35"/>
  <c r="B1343" i="35"/>
  <c r="B1344" i="35"/>
  <c r="B1345" i="35"/>
  <c r="B1346" i="35"/>
  <c r="B1347" i="35"/>
  <c r="B1348" i="35"/>
  <c r="B1349" i="35"/>
  <c r="B1350" i="35"/>
  <c r="B1351" i="35"/>
  <c r="B1352" i="35"/>
  <c r="B1353" i="35"/>
  <c r="B1354" i="35"/>
  <c r="B1355" i="35"/>
  <c r="B1356" i="35"/>
  <c r="B1357" i="35"/>
  <c r="B1358" i="35"/>
  <c r="B1359" i="35"/>
  <c r="B1360" i="35"/>
  <c r="B1361" i="35"/>
  <c r="B1362" i="35"/>
  <c r="B1363" i="35"/>
  <c r="B1364" i="35"/>
  <c r="B1365" i="35"/>
  <c r="B1366" i="35"/>
  <c r="B1367" i="35"/>
  <c r="B1368" i="35"/>
  <c r="B1369" i="35"/>
  <c r="B1370" i="35"/>
  <c r="B1371" i="35"/>
  <c r="B1372" i="35"/>
  <c r="B1373" i="35"/>
  <c r="B1374" i="35"/>
  <c r="B1375" i="35"/>
  <c r="B1376" i="35"/>
  <c r="B1377" i="35"/>
  <c r="B1378" i="35"/>
  <c r="B1379" i="35"/>
  <c r="B1380" i="35"/>
  <c r="B1381" i="35"/>
  <c r="B1382" i="35"/>
  <c r="B1383" i="35"/>
  <c r="B1384" i="35"/>
  <c r="B1385" i="35"/>
  <c r="B1386" i="35"/>
  <c r="B1387" i="35"/>
  <c r="B1388" i="35"/>
  <c r="B1389" i="35"/>
  <c r="B1390" i="35"/>
  <c r="B1391" i="35"/>
  <c r="B1392" i="35"/>
  <c r="B1393" i="35"/>
  <c r="B1394" i="35"/>
  <c r="B1395" i="35"/>
  <c r="B1396" i="35"/>
  <c r="B1397" i="35"/>
  <c r="B1398" i="35"/>
  <c r="B1399" i="35"/>
  <c r="B1400" i="35"/>
  <c r="B1401" i="35"/>
  <c r="B1402" i="35"/>
  <c r="B1403" i="35"/>
  <c r="B1404" i="35"/>
  <c r="B1405" i="35"/>
  <c r="B1406" i="35"/>
  <c r="B1407" i="35"/>
  <c r="B1408" i="35"/>
  <c r="B1409" i="35"/>
  <c r="B1410" i="35"/>
  <c r="B1411" i="35"/>
  <c r="B1412" i="35"/>
  <c r="B1413" i="35"/>
  <c r="B1414" i="35"/>
  <c r="B1415" i="35"/>
  <c r="B1416" i="35"/>
  <c r="B1417" i="35"/>
  <c r="B1418" i="35"/>
  <c r="B1419" i="35"/>
  <c r="B1420" i="35"/>
  <c r="B1421" i="35"/>
  <c r="B1422" i="35"/>
  <c r="B1423" i="35"/>
  <c r="B1424" i="35"/>
  <c r="B1425" i="35"/>
  <c r="B1426" i="35"/>
  <c r="B1427" i="35"/>
  <c r="B1428" i="35"/>
  <c r="B1429" i="35"/>
  <c r="B1430" i="35"/>
  <c r="B1431" i="35"/>
  <c r="B1432" i="35"/>
  <c r="B1433" i="35"/>
  <c r="B1434" i="35"/>
  <c r="B1435" i="35"/>
  <c r="B1436" i="35"/>
  <c r="B1437" i="35"/>
  <c r="B1438" i="35"/>
  <c r="B1439" i="35"/>
  <c r="B1440" i="35"/>
  <c r="B1441" i="35"/>
  <c r="B1442" i="35"/>
  <c r="B1443" i="35"/>
  <c r="B1444" i="35"/>
  <c r="B1445" i="35"/>
  <c r="B1446" i="35"/>
  <c r="B1447" i="35"/>
  <c r="B1448" i="35"/>
  <c r="B1449" i="35"/>
  <c r="B1450" i="35"/>
  <c r="B1451" i="35"/>
  <c r="B1452" i="35"/>
  <c r="B1453" i="35"/>
  <c r="B1454" i="35"/>
  <c r="B1455" i="35"/>
  <c r="B1456" i="35"/>
  <c r="B1457" i="35"/>
  <c r="B1458" i="35"/>
  <c r="B1459" i="35"/>
  <c r="B1460" i="35"/>
  <c r="B1461" i="35"/>
  <c r="B1462" i="35"/>
  <c r="B1463" i="35"/>
  <c r="B1464" i="35"/>
  <c r="B1465" i="35"/>
  <c r="B1466" i="35"/>
  <c r="B1467" i="35"/>
  <c r="B1468" i="35"/>
  <c r="B1469" i="35"/>
  <c r="B1470" i="35"/>
  <c r="B1471" i="35"/>
  <c r="B1472" i="35"/>
  <c r="B1473" i="35"/>
  <c r="B1474" i="35"/>
  <c r="B1475" i="35"/>
  <c r="B1476" i="35"/>
  <c r="B1477" i="35"/>
  <c r="B1478" i="35"/>
  <c r="B1479" i="35"/>
  <c r="B1480" i="35"/>
  <c r="B1481" i="35"/>
  <c r="B1482" i="35"/>
  <c r="B1483" i="35"/>
  <c r="B1484" i="35"/>
  <c r="B1485" i="35"/>
  <c r="B1486" i="35"/>
  <c r="B1487" i="35"/>
  <c r="B1488" i="35"/>
  <c r="B1489" i="35"/>
  <c r="B1490" i="35"/>
  <c r="B1491" i="35"/>
  <c r="B1492" i="35"/>
  <c r="B1493" i="35"/>
  <c r="B1494" i="35"/>
  <c r="B1495" i="35"/>
  <c r="B1496" i="35"/>
  <c r="B1497" i="35"/>
  <c r="B1498" i="35"/>
  <c r="B1499" i="35"/>
  <c r="B1500" i="35"/>
  <c r="B1501" i="35"/>
  <c r="B1502" i="35"/>
  <c r="B1503" i="35"/>
  <c r="B1504" i="35"/>
  <c r="B1505" i="35"/>
  <c r="B1506" i="35"/>
  <c r="B1507" i="35"/>
  <c r="B1508" i="35"/>
  <c r="B1509" i="35"/>
  <c r="B1510" i="35"/>
  <c r="B1511" i="35"/>
  <c r="B1512" i="35"/>
  <c r="B1513" i="35"/>
  <c r="B1514" i="35"/>
  <c r="B1515" i="35"/>
  <c r="B1516" i="35"/>
  <c r="B1517" i="35"/>
  <c r="B1518" i="35"/>
  <c r="B1519" i="35"/>
  <c r="B1520" i="35"/>
  <c r="B1521" i="35"/>
  <c r="B1522" i="35"/>
  <c r="B1523" i="35"/>
  <c r="B1524" i="35"/>
  <c r="B1525" i="35"/>
  <c r="B1526" i="35"/>
  <c r="B1527" i="35"/>
  <c r="B1528" i="35"/>
  <c r="B1529" i="35"/>
  <c r="B1530" i="35"/>
  <c r="B1531" i="35"/>
  <c r="B1532" i="35"/>
  <c r="B1533" i="35"/>
  <c r="B1534" i="35"/>
  <c r="B1535" i="35"/>
  <c r="B1536" i="35"/>
  <c r="B1537" i="35"/>
  <c r="B1538" i="35"/>
  <c r="B1539" i="35"/>
  <c r="B1540" i="35"/>
  <c r="B1541" i="35"/>
  <c r="B1542" i="35"/>
  <c r="B1543" i="35"/>
  <c r="B1544" i="35"/>
  <c r="B1545" i="35"/>
  <c r="B1546" i="35"/>
  <c r="B1547" i="35"/>
  <c r="B1548" i="35"/>
  <c r="B1549" i="35"/>
  <c r="B1550" i="35"/>
  <c r="B1551" i="35"/>
  <c r="B1552" i="35"/>
  <c r="B1553" i="35"/>
  <c r="B1554" i="35"/>
  <c r="B1555" i="35"/>
  <c r="B1556" i="35"/>
  <c r="B1557" i="35"/>
  <c r="B4" i="33" l="1"/>
  <c r="B4" i="23" l="1"/>
  <c r="B4" i="1"/>
  <c r="H4" i="33" l="1"/>
  <c r="H4" i="23"/>
  <c r="H4" i="1"/>
  <c r="G4" i="33"/>
  <c r="G4" i="23"/>
  <c r="G4" i="1"/>
  <c r="C4" i="33"/>
  <c r="C4" i="23"/>
  <c r="C4" i="1"/>
  <c r="D4" i="33"/>
  <c r="D4" i="23"/>
  <c r="D4" i="1"/>
  <c r="F4" i="33" l="1"/>
  <c r="F4" i="23"/>
  <c r="F4" i="1"/>
  <c r="E4" i="33"/>
  <c r="E4" i="23"/>
  <c r="E4" i="1"/>
  <c r="I4" i="33"/>
  <c r="I4" i="23"/>
  <c r="A1010" i="37"/>
  <c r="A1009" i="37"/>
  <c r="A1008" i="37"/>
  <c r="A1007" i="37"/>
  <c r="A1006" i="37"/>
  <c r="A1005" i="37"/>
  <c r="A1004" i="37"/>
  <c r="A1003" i="37"/>
  <c r="A1002" i="37"/>
  <c r="A1001" i="37"/>
  <c r="A1000" i="37"/>
  <c r="A999" i="37"/>
  <c r="A998" i="37"/>
  <c r="A997" i="37"/>
  <c r="A996" i="37"/>
  <c r="A995" i="37"/>
  <c r="A994" i="37"/>
  <c r="A993" i="37"/>
  <c r="A992" i="37"/>
  <c r="A991" i="37"/>
  <c r="A990" i="37"/>
  <c r="A989" i="37"/>
  <c r="A988" i="37"/>
  <c r="A987" i="37"/>
  <c r="A986" i="37"/>
  <c r="A985" i="37"/>
  <c r="A984" i="37"/>
  <c r="A983" i="37"/>
  <c r="A982" i="37"/>
  <c r="A981" i="37"/>
  <c r="A980" i="37"/>
  <c r="A979" i="37"/>
  <c r="A978" i="37"/>
  <c r="A977" i="37"/>
  <c r="A976" i="37"/>
  <c r="A975" i="37"/>
  <c r="A974" i="37"/>
  <c r="A973" i="37"/>
  <c r="A972" i="37"/>
  <c r="A971" i="37"/>
  <c r="A970" i="37"/>
  <c r="A969" i="37"/>
  <c r="A968" i="37"/>
  <c r="A967" i="37"/>
  <c r="A966" i="37"/>
  <c r="A965" i="37"/>
  <c r="A964" i="37"/>
  <c r="A963" i="37"/>
  <c r="A962" i="37"/>
  <c r="A961" i="37"/>
  <c r="A960" i="37"/>
  <c r="A959" i="37"/>
  <c r="A958" i="37"/>
  <c r="A957" i="37"/>
  <c r="A956" i="37"/>
  <c r="A955" i="37"/>
  <c r="A954" i="37"/>
  <c r="A953" i="37"/>
  <c r="A952" i="37"/>
  <c r="A951" i="37"/>
  <c r="A950" i="37"/>
  <c r="A949" i="37"/>
  <c r="A948" i="37"/>
  <c r="A947" i="37"/>
  <c r="A946" i="37"/>
  <c r="A945" i="37"/>
  <c r="A944" i="37"/>
  <c r="A943" i="37"/>
  <c r="A942" i="37"/>
  <c r="A941" i="37"/>
  <c r="A940" i="37"/>
  <c r="A939" i="37"/>
  <c r="A938" i="37"/>
  <c r="A937" i="37"/>
  <c r="A936" i="37"/>
  <c r="A935" i="37"/>
  <c r="A934" i="37"/>
  <c r="A933" i="37"/>
  <c r="A932" i="37"/>
  <c r="A931" i="37"/>
  <c r="A930" i="37"/>
  <c r="A929" i="37"/>
  <c r="A928" i="37"/>
  <c r="A927" i="37"/>
  <c r="A926" i="37"/>
  <c r="A925" i="37"/>
  <c r="A924" i="37"/>
  <c r="A923" i="37"/>
  <c r="A922" i="37"/>
  <c r="A921" i="37"/>
  <c r="A920" i="37"/>
  <c r="A919" i="37"/>
  <c r="A918" i="37"/>
  <c r="A917" i="37"/>
  <c r="A916" i="37"/>
  <c r="A915" i="37"/>
  <c r="A914" i="37"/>
  <c r="A913" i="37"/>
  <c r="A912" i="37"/>
  <c r="A911" i="37"/>
  <c r="A910" i="37"/>
  <c r="A909" i="37"/>
  <c r="A908" i="37"/>
  <c r="A907" i="37"/>
  <c r="A906" i="37"/>
  <c r="A905" i="37"/>
  <c r="A904" i="37"/>
  <c r="A903" i="37"/>
  <c r="A902" i="37"/>
  <c r="A901" i="37"/>
  <c r="A900" i="37"/>
  <c r="A899" i="37"/>
  <c r="A898" i="37"/>
  <c r="A897" i="37"/>
  <c r="A896" i="37"/>
  <c r="A895" i="37"/>
  <c r="A894" i="37"/>
  <c r="A893" i="37"/>
  <c r="A892" i="37"/>
  <c r="A891" i="37"/>
  <c r="A890" i="37"/>
  <c r="A889" i="37"/>
  <c r="A888" i="37"/>
  <c r="A887" i="37"/>
  <c r="A886" i="37"/>
  <c r="A885" i="37"/>
  <c r="A884" i="37"/>
  <c r="A883" i="37"/>
  <c r="A882" i="37"/>
  <c r="A881" i="37"/>
  <c r="A880" i="37"/>
  <c r="A879" i="37"/>
  <c r="A878" i="37"/>
  <c r="A877" i="37"/>
  <c r="A876" i="37"/>
  <c r="A875" i="37"/>
  <c r="A874" i="37"/>
  <c r="A873" i="37"/>
  <c r="A872" i="37"/>
  <c r="A871" i="37"/>
  <c r="A870" i="37"/>
  <c r="A869" i="37"/>
  <c r="A868" i="37"/>
  <c r="A867" i="37"/>
  <c r="A866" i="37"/>
  <c r="A865" i="37"/>
  <c r="A864" i="37"/>
  <c r="A863" i="37"/>
  <c r="A862" i="37"/>
  <c r="A861" i="37"/>
  <c r="A860" i="37"/>
  <c r="A859" i="37"/>
  <c r="A858" i="37"/>
  <c r="A857" i="37"/>
  <c r="A856" i="37"/>
  <c r="A855" i="37"/>
  <c r="A854" i="37"/>
  <c r="A853" i="37"/>
  <c r="A852" i="37"/>
  <c r="A851" i="37"/>
  <c r="A850" i="37"/>
  <c r="A849" i="37"/>
  <c r="A848" i="37"/>
  <c r="A847" i="37"/>
  <c r="A846" i="37"/>
  <c r="A845" i="37"/>
  <c r="A844" i="37"/>
  <c r="A843" i="37"/>
  <c r="A842" i="37"/>
  <c r="A841" i="37"/>
  <c r="A840" i="37"/>
  <c r="A839" i="37"/>
  <c r="A838" i="37"/>
  <c r="A837" i="37"/>
  <c r="A836" i="37"/>
  <c r="A835" i="37"/>
  <c r="A834" i="37"/>
  <c r="A833" i="37"/>
  <c r="A832" i="37"/>
  <c r="A831" i="37"/>
  <c r="A830" i="37"/>
  <c r="A829" i="37"/>
  <c r="A828" i="37"/>
  <c r="A827" i="37"/>
  <c r="A826" i="37"/>
  <c r="A825" i="37"/>
  <c r="A824" i="37"/>
  <c r="A823" i="37"/>
  <c r="A822" i="37"/>
  <c r="A821" i="37"/>
  <c r="A820" i="37"/>
  <c r="A819" i="37"/>
  <c r="A818" i="37"/>
  <c r="A817" i="37"/>
  <c r="A816" i="37"/>
  <c r="A815" i="37"/>
  <c r="A814" i="37"/>
  <c r="A813" i="37"/>
  <c r="A812" i="37"/>
  <c r="A811" i="37"/>
  <c r="A810" i="37"/>
  <c r="A809" i="37"/>
  <c r="A808" i="37"/>
  <c r="A807" i="37"/>
  <c r="A806" i="37"/>
  <c r="A805" i="37"/>
  <c r="A804" i="37"/>
  <c r="A803" i="37"/>
  <c r="A802" i="37"/>
  <c r="A801" i="37"/>
  <c r="A800" i="37"/>
  <c r="A799" i="37"/>
  <c r="A798" i="37"/>
  <c r="A797" i="37"/>
  <c r="A796" i="37"/>
  <c r="A795" i="37"/>
  <c r="A794" i="37"/>
  <c r="A793" i="37"/>
  <c r="A792" i="37"/>
  <c r="A791" i="37"/>
  <c r="A790" i="37"/>
  <c r="A789" i="37"/>
  <c r="A788" i="37"/>
  <c r="A787" i="37"/>
  <c r="A786" i="37"/>
  <c r="A785" i="37"/>
  <c r="A784" i="37"/>
  <c r="A783" i="37"/>
  <c r="A782" i="37"/>
  <c r="A781" i="37"/>
  <c r="A780" i="37"/>
  <c r="A779" i="37"/>
  <c r="A778" i="37"/>
  <c r="A777" i="37"/>
  <c r="A776" i="37"/>
  <c r="A775" i="37"/>
  <c r="A774" i="37"/>
  <c r="A773" i="37"/>
  <c r="A772" i="37"/>
  <c r="A771" i="37"/>
  <c r="A770" i="37"/>
  <c r="A769" i="37"/>
  <c r="A768" i="37"/>
  <c r="A767" i="37"/>
  <c r="A766" i="37"/>
  <c r="A765" i="37"/>
  <c r="A764" i="37"/>
  <c r="A763" i="37"/>
  <c r="A762" i="37"/>
  <c r="A761" i="37"/>
  <c r="A760" i="37"/>
  <c r="A759" i="37"/>
  <c r="A758" i="37"/>
  <c r="A757" i="37"/>
  <c r="A756" i="37"/>
  <c r="A755" i="37"/>
  <c r="A754" i="37"/>
  <c r="A753" i="37"/>
  <c r="A752" i="37"/>
  <c r="A751" i="37"/>
  <c r="A750" i="37"/>
  <c r="A749" i="37"/>
  <c r="A748" i="37"/>
  <c r="A747" i="37"/>
  <c r="A746" i="37"/>
  <c r="A745" i="37"/>
  <c r="A744" i="37"/>
  <c r="A743" i="37"/>
  <c r="A742" i="37"/>
  <c r="A741" i="37"/>
  <c r="A740" i="37"/>
  <c r="A739" i="37"/>
  <c r="A738" i="37"/>
  <c r="A737" i="37"/>
  <c r="A736" i="37"/>
  <c r="A735" i="37"/>
  <c r="A734" i="37"/>
  <c r="A733" i="37"/>
  <c r="A732" i="37"/>
  <c r="A731" i="37"/>
  <c r="A730" i="37"/>
  <c r="A729" i="37"/>
  <c r="A728" i="37"/>
  <c r="A727" i="37"/>
  <c r="A726" i="37"/>
  <c r="A725" i="37"/>
  <c r="A724" i="37"/>
  <c r="A723" i="37"/>
  <c r="A722" i="37"/>
  <c r="A721" i="37"/>
  <c r="A720" i="37"/>
  <c r="A719" i="37"/>
  <c r="A718" i="37"/>
  <c r="A717" i="37"/>
  <c r="A716" i="37"/>
  <c r="A715" i="37"/>
  <c r="A714" i="37"/>
  <c r="A713" i="37"/>
  <c r="A712" i="37"/>
  <c r="A711" i="37"/>
  <c r="A710" i="37"/>
  <c r="A709" i="37"/>
  <c r="A708" i="37"/>
  <c r="A707" i="37"/>
  <c r="A706" i="37"/>
  <c r="A705" i="37"/>
  <c r="A704" i="37"/>
  <c r="A703" i="37"/>
  <c r="A702" i="37"/>
  <c r="A701" i="37"/>
  <c r="A700" i="37"/>
  <c r="A699" i="37"/>
  <c r="A698" i="37"/>
  <c r="A697" i="37"/>
  <c r="A696" i="37"/>
  <c r="A695" i="37"/>
  <c r="A694" i="37"/>
  <c r="A693" i="37"/>
  <c r="A692" i="37"/>
  <c r="A691" i="37"/>
  <c r="A690" i="37"/>
  <c r="A689" i="37"/>
  <c r="A688" i="37"/>
  <c r="A687" i="37"/>
  <c r="A686" i="37"/>
  <c r="A685" i="37"/>
  <c r="A684" i="37"/>
  <c r="A683" i="37"/>
  <c r="A682" i="37"/>
  <c r="A681" i="37"/>
  <c r="A680" i="37"/>
  <c r="A679" i="37"/>
  <c r="A678" i="37"/>
  <c r="A677" i="37"/>
  <c r="A676" i="37"/>
  <c r="A675" i="37"/>
  <c r="A674" i="37"/>
  <c r="A673" i="37"/>
  <c r="A672" i="37"/>
  <c r="A671" i="37"/>
  <c r="A670" i="37"/>
  <c r="A669" i="37"/>
  <c r="A668" i="37"/>
  <c r="A667" i="37"/>
  <c r="A666" i="37"/>
  <c r="A665" i="37"/>
  <c r="A664" i="37"/>
  <c r="A663" i="37"/>
  <c r="A662" i="37"/>
  <c r="A661" i="37"/>
  <c r="A660" i="37"/>
  <c r="A659" i="37"/>
  <c r="A658" i="37"/>
  <c r="A657" i="37"/>
  <c r="A656" i="37"/>
  <c r="A655" i="37"/>
  <c r="A654" i="37"/>
  <c r="A653" i="37"/>
  <c r="A652" i="37"/>
  <c r="A651" i="37"/>
  <c r="A650" i="37"/>
  <c r="A649" i="37"/>
  <c r="A648" i="37"/>
  <c r="A647" i="37"/>
  <c r="A646" i="37"/>
  <c r="A645" i="37"/>
  <c r="A644" i="37"/>
  <c r="A643" i="37"/>
  <c r="A642" i="37"/>
  <c r="A641" i="37"/>
  <c r="A640" i="37"/>
  <c r="A639" i="37"/>
  <c r="A638" i="37"/>
  <c r="A637" i="37"/>
  <c r="A636" i="37"/>
  <c r="A635" i="37"/>
  <c r="A634" i="37"/>
  <c r="A633" i="37"/>
  <c r="A632" i="37"/>
  <c r="A631" i="37"/>
  <c r="A630" i="37"/>
  <c r="A629" i="37"/>
  <c r="A628" i="37"/>
  <c r="A627" i="37"/>
  <c r="A626" i="37"/>
  <c r="A625" i="37"/>
  <c r="A624" i="37"/>
  <c r="A623" i="37"/>
  <c r="A622" i="37"/>
  <c r="A621" i="37"/>
  <c r="A620" i="37"/>
  <c r="A619" i="37"/>
  <c r="A618" i="37"/>
  <c r="A617" i="37"/>
  <c r="A616" i="37"/>
  <c r="A615" i="37"/>
  <c r="A614" i="37"/>
  <c r="A613" i="37"/>
  <c r="A612" i="37"/>
  <c r="A611" i="37"/>
  <c r="A610" i="37"/>
  <c r="A609" i="37"/>
  <c r="A608" i="37"/>
  <c r="A607" i="37"/>
  <c r="A606" i="37"/>
  <c r="A605" i="37"/>
  <c r="A604" i="37"/>
  <c r="A603" i="37"/>
  <c r="A602" i="37"/>
  <c r="A601" i="37"/>
  <c r="A600" i="37"/>
  <c r="A599" i="37"/>
  <c r="A598" i="37"/>
  <c r="A597" i="37"/>
  <c r="A596" i="37"/>
  <c r="A595" i="37"/>
  <c r="A594" i="37"/>
  <c r="A593" i="37"/>
  <c r="A592" i="37"/>
  <c r="A591" i="37"/>
  <c r="A590" i="37"/>
  <c r="A589" i="37"/>
  <c r="A588" i="37"/>
  <c r="A587" i="37"/>
  <c r="A586" i="37"/>
  <c r="A585" i="37"/>
  <c r="A584" i="37"/>
  <c r="A583" i="37"/>
  <c r="A582" i="37"/>
  <c r="A581" i="37"/>
  <c r="A580" i="37"/>
  <c r="A579" i="37"/>
  <c r="A578" i="37"/>
  <c r="A577" i="37"/>
  <c r="A576" i="37"/>
  <c r="A575" i="37"/>
  <c r="A574" i="37"/>
  <c r="A573" i="37"/>
  <c r="A572" i="37"/>
  <c r="A571" i="37"/>
  <c r="A570" i="37"/>
  <c r="A569" i="37"/>
  <c r="A568" i="37"/>
  <c r="A567" i="37"/>
  <c r="A566" i="37"/>
  <c r="A565" i="37"/>
  <c r="A564" i="37"/>
  <c r="A563" i="37"/>
  <c r="A562" i="37"/>
  <c r="A561" i="37"/>
  <c r="A560" i="37"/>
  <c r="A559" i="37"/>
  <c r="A558" i="37"/>
  <c r="A557" i="37"/>
  <c r="A556" i="37"/>
  <c r="A555" i="37"/>
  <c r="A554" i="37"/>
  <c r="A553" i="37"/>
  <c r="A552" i="37"/>
  <c r="A551" i="37"/>
  <c r="A550" i="37"/>
  <c r="A549" i="37"/>
  <c r="A548" i="37"/>
  <c r="A547" i="37"/>
  <c r="A546" i="37"/>
  <c r="A545" i="37"/>
  <c r="A544" i="37"/>
  <c r="A543" i="37"/>
  <c r="A542" i="37"/>
  <c r="A541" i="37"/>
  <c r="A540" i="37"/>
  <c r="A539" i="37"/>
  <c r="A538" i="37"/>
  <c r="A537" i="37"/>
  <c r="A536" i="37"/>
  <c r="A535" i="37"/>
  <c r="A534" i="37"/>
  <c r="A533" i="37"/>
  <c r="A532" i="37"/>
  <c r="A531" i="37"/>
  <c r="A530" i="37"/>
  <c r="A529" i="37"/>
  <c r="A528" i="37"/>
  <c r="A527" i="37"/>
  <c r="A526" i="37"/>
  <c r="A525" i="37"/>
  <c r="A524" i="37"/>
  <c r="A523" i="37"/>
  <c r="A522" i="37"/>
  <c r="A521" i="37"/>
  <c r="A520" i="37"/>
  <c r="A519" i="37"/>
  <c r="A518" i="37"/>
  <c r="A517" i="37"/>
  <c r="A516" i="37"/>
  <c r="A515" i="37"/>
  <c r="A514" i="37"/>
  <c r="A513" i="37"/>
  <c r="A512" i="37"/>
  <c r="A511" i="37"/>
  <c r="A510" i="37"/>
  <c r="A509" i="37"/>
  <c r="A508" i="37"/>
  <c r="A507" i="37"/>
  <c r="A506" i="37"/>
  <c r="A505" i="37"/>
  <c r="A504" i="37"/>
  <c r="A503" i="37"/>
  <c r="A502" i="37"/>
  <c r="A501" i="37"/>
  <c r="A500" i="37"/>
  <c r="A499" i="37"/>
  <c r="A498" i="37"/>
  <c r="A497" i="37"/>
  <c r="A496" i="37"/>
  <c r="A495" i="37"/>
  <c r="A494" i="37"/>
  <c r="A493" i="37"/>
  <c r="A492" i="37"/>
  <c r="A491" i="37"/>
  <c r="A490" i="37"/>
  <c r="A489" i="37"/>
  <c r="A488" i="37"/>
  <c r="A487" i="37"/>
  <c r="A486" i="37"/>
  <c r="A485" i="37"/>
  <c r="A484" i="37"/>
  <c r="A483" i="37"/>
  <c r="A482" i="37"/>
  <c r="A481" i="37"/>
  <c r="A480" i="37"/>
  <c r="A479" i="37"/>
  <c r="A478" i="37"/>
  <c r="A477" i="37"/>
  <c r="A476" i="37"/>
  <c r="A475" i="37"/>
  <c r="A474" i="37"/>
  <c r="A473" i="37"/>
  <c r="A472" i="37"/>
  <c r="A471" i="37"/>
  <c r="A470" i="37"/>
  <c r="A469" i="37"/>
  <c r="A468" i="37"/>
  <c r="A467" i="37"/>
  <c r="A466" i="37"/>
  <c r="A465" i="37"/>
  <c r="A464" i="37"/>
  <c r="A463" i="37"/>
  <c r="A462" i="37"/>
  <c r="A461" i="37"/>
  <c r="A460" i="37"/>
  <c r="A459" i="37"/>
  <c r="A458" i="37"/>
  <c r="A457" i="37"/>
  <c r="A456" i="37"/>
  <c r="A455" i="37"/>
  <c r="A454" i="37"/>
  <c r="A453" i="37"/>
  <c r="A452" i="37"/>
  <c r="A451" i="37"/>
  <c r="A450" i="37"/>
  <c r="A449" i="37"/>
  <c r="A448" i="37"/>
  <c r="A447" i="37"/>
  <c r="A446" i="37"/>
  <c r="A445" i="37"/>
  <c r="A444" i="37"/>
  <c r="A443" i="37"/>
  <c r="A442" i="37"/>
  <c r="A441" i="37"/>
  <c r="A440" i="37"/>
  <c r="A439" i="37"/>
  <c r="A438" i="37"/>
  <c r="A437" i="37"/>
  <c r="A436" i="37"/>
  <c r="A435" i="37"/>
  <c r="A434" i="37"/>
  <c r="A433" i="37"/>
  <c r="A432" i="37"/>
  <c r="A431" i="37"/>
  <c r="A430" i="37"/>
  <c r="A429" i="37"/>
  <c r="A428" i="37"/>
  <c r="A427" i="37"/>
  <c r="A426" i="37"/>
  <c r="A425" i="37"/>
  <c r="A424" i="37"/>
  <c r="A423" i="37"/>
  <c r="A422" i="37"/>
  <c r="A421" i="37"/>
  <c r="A420" i="37"/>
  <c r="A419" i="37"/>
  <c r="A418" i="37"/>
  <c r="A417" i="37"/>
  <c r="A416" i="37"/>
  <c r="A415" i="37"/>
  <c r="A414" i="37"/>
  <c r="A413" i="37"/>
  <c r="A412" i="37"/>
  <c r="A411" i="37"/>
  <c r="A410" i="37"/>
  <c r="A409" i="37"/>
  <c r="A408" i="37"/>
  <c r="A407" i="37"/>
  <c r="A406" i="37"/>
  <c r="A405" i="37"/>
  <c r="A404" i="37"/>
  <c r="A403" i="37"/>
  <c r="A402" i="37"/>
  <c r="A401" i="37"/>
  <c r="A400" i="37"/>
  <c r="A399" i="37"/>
  <c r="A398" i="37"/>
  <c r="A397" i="37"/>
  <c r="A396" i="37"/>
  <c r="A395" i="37"/>
  <c r="A394" i="37"/>
  <c r="A393" i="37"/>
  <c r="A392" i="37"/>
  <c r="A391" i="37"/>
  <c r="A390" i="37"/>
  <c r="A389" i="37"/>
  <c r="A388" i="37"/>
  <c r="A387" i="37"/>
  <c r="A386" i="37"/>
  <c r="A385" i="37"/>
  <c r="A384" i="37"/>
  <c r="A383" i="37"/>
  <c r="A382" i="37"/>
  <c r="A381" i="37"/>
  <c r="A380" i="37"/>
  <c r="A379" i="37"/>
  <c r="A378" i="37"/>
  <c r="A377" i="37"/>
  <c r="A376" i="37"/>
  <c r="A375" i="37"/>
  <c r="A374" i="37"/>
  <c r="A373" i="37"/>
  <c r="A372" i="37"/>
  <c r="A371" i="37"/>
  <c r="A370" i="37"/>
  <c r="A369" i="37"/>
  <c r="A368" i="37"/>
  <c r="A367" i="37"/>
  <c r="A366" i="37"/>
  <c r="A365" i="37"/>
  <c r="A364" i="37"/>
  <c r="A363" i="37"/>
  <c r="A362" i="37"/>
  <c r="A361" i="37"/>
  <c r="A360" i="37"/>
  <c r="A359" i="37"/>
  <c r="A358" i="37"/>
  <c r="A357" i="37"/>
  <c r="A356" i="37"/>
  <c r="A355" i="37"/>
  <c r="A354" i="37"/>
  <c r="A353" i="37"/>
  <c r="A352" i="37"/>
  <c r="A351" i="37"/>
  <c r="A350" i="37"/>
  <c r="A349" i="37"/>
  <c r="A348" i="37"/>
  <c r="A347" i="37"/>
  <c r="A346" i="37"/>
  <c r="A345" i="37"/>
  <c r="A344" i="37"/>
  <c r="A343" i="37"/>
  <c r="A342" i="37"/>
  <c r="A341" i="37"/>
  <c r="A340" i="37"/>
  <c r="A339" i="37"/>
  <c r="A338" i="37"/>
  <c r="A337" i="37"/>
  <c r="A336" i="37"/>
  <c r="A335" i="37"/>
  <c r="A334" i="37"/>
  <c r="A333" i="37"/>
  <c r="A332" i="37"/>
  <c r="A331" i="37"/>
  <c r="A330" i="37"/>
  <c r="A329" i="37"/>
  <c r="A328" i="37"/>
  <c r="A327" i="37"/>
  <c r="A326" i="37"/>
  <c r="A325" i="37"/>
  <c r="A324" i="37"/>
  <c r="A323" i="37"/>
  <c r="A322" i="37"/>
  <c r="A321" i="37"/>
  <c r="A320" i="37"/>
  <c r="A319" i="37"/>
  <c r="A318" i="37"/>
  <c r="A317" i="37"/>
  <c r="A316" i="37"/>
  <c r="A315" i="37"/>
  <c r="A314" i="37"/>
  <c r="A313" i="37"/>
  <c r="A312" i="37"/>
  <c r="A311" i="37"/>
  <c r="A310" i="37"/>
  <c r="A309" i="37"/>
  <c r="A308" i="37"/>
  <c r="A307" i="37"/>
  <c r="A306" i="37"/>
  <c r="A305" i="37"/>
  <c r="A304" i="37"/>
  <c r="A303" i="37"/>
  <c r="A302" i="37"/>
  <c r="A301" i="37"/>
  <c r="A300" i="37"/>
  <c r="A299" i="37"/>
  <c r="A298" i="37"/>
  <c r="A297" i="37"/>
  <c r="A296" i="37"/>
  <c r="A295" i="37"/>
  <c r="A294" i="37"/>
  <c r="A293" i="37"/>
  <c r="A292" i="37"/>
  <c r="A291" i="37"/>
  <c r="A290" i="37"/>
  <c r="A289" i="37"/>
  <c r="A288" i="37"/>
  <c r="A287" i="37"/>
  <c r="A286" i="37"/>
  <c r="A285" i="37"/>
  <c r="A284" i="37"/>
  <c r="A283" i="37"/>
  <c r="A282" i="37"/>
  <c r="A281" i="37"/>
  <c r="A280" i="37"/>
  <c r="A279" i="37"/>
  <c r="A278" i="37"/>
  <c r="A277" i="37"/>
  <c r="A276" i="37"/>
  <c r="A275" i="37"/>
  <c r="A274" i="37"/>
  <c r="A273" i="37"/>
  <c r="A272" i="37"/>
  <c r="A271" i="37"/>
  <c r="A270" i="37"/>
  <c r="A269" i="37"/>
  <c r="A268" i="37"/>
  <c r="A267" i="37"/>
  <c r="A266" i="37"/>
  <c r="A265" i="37"/>
  <c r="A264" i="37"/>
  <c r="A263" i="37"/>
  <c r="A262" i="37"/>
  <c r="A261" i="37"/>
  <c r="A260" i="37"/>
  <c r="A259" i="37"/>
  <c r="A258" i="37"/>
  <c r="A257" i="37"/>
  <c r="A256" i="37"/>
  <c r="A255" i="37"/>
  <c r="A254" i="37"/>
  <c r="A253" i="37"/>
  <c r="A252" i="37"/>
  <c r="A251" i="37"/>
  <c r="A250" i="37"/>
  <c r="A249" i="37"/>
  <c r="A248" i="37"/>
  <c r="A247" i="37"/>
  <c r="A246" i="37"/>
  <c r="A245" i="37"/>
  <c r="A244" i="37"/>
  <c r="A243" i="37"/>
  <c r="A242" i="37"/>
  <c r="A241" i="37"/>
  <c r="A240" i="37"/>
  <c r="A239" i="37"/>
  <c r="A238" i="37"/>
  <c r="A237" i="37"/>
  <c r="A236" i="37"/>
  <c r="A235" i="37"/>
  <c r="A234" i="37"/>
  <c r="A233" i="37"/>
  <c r="A232" i="37"/>
  <c r="A231" i="37"/>
  <c r="A230" i="37"/>
  <c r="A229" i="37"/>
  <c r="A228" i="37"/>
  <c r="A227" i="37"/>
  <c r="A226" i="37"/>
  <c r="A225" i="37"/>
  <c r="A224" i="37"/>
  <c r="A223" i="37"/>
  <c r="A222" i="37"/>
  <c r="A221" i="37"/>
  <c r="A220" i="37"/>
  <c r="A219" i="37"/>
  <c r="A218" i="37"/>
  <c r="A217" i="37"/>
  <c r="A216" i="37"/>
  <c r="A215" i="37"/>
  <c r="A214" i="37"/>
  <c r="A213" i="37"/>
  <c r="A212" i="37"/>
  <c r="A211" i="37"/>
  <c r="A210" i="37"/>
  <c r="A209" i="37"/>
  <c r="A208" i="37"/>
  <c r="A207" i="37"/>
  <c r="A206" i="37"/>
  <c r="A205" i="37"/>
  <c r="A204" i="37"/>
  <c r="A203" i="37"/>
  <c r="A202" i="37"/>
  <c r="A201" i="37"/>
  <c r="A200" i="37"/>
  <c r="A199" i="37"/>
  <c r="A198" i="37"/>
  <c r="A197" i="37"/>
  <c r="A196" i="37"/>
  <c r="A195" i="37"/>
  <c r="A194" i="37"/>
  <c r="A193" i="37"/>
  <c r="A192" i="37"/>
  <c r="A191" i="37"/>
  <c r="A190" i="37"/>
  <c r="A189" i="37"/>
  <c r="A188" i="37"/>
  <c r="A187" i="37"/>
  <c r="A186" i="37"/>
  <c r="A185" i="37"/>
  <c r="A184" i="37"/>
  <c r="A183" i="37"/>
  <c r="A182" i="37"/>
  <c r="A181" i="37"/>
  <c r="A180" i="37"/>
  <c r="A179" i="37"/>
  <c r="A178" i="37"/>
  <c r="A177" i="37"/>
  <c r="A176" i="37"/>
  <c r="A175" i="37"/>
  <c r="A174" i="37"/>
  <c r="A173" i="37"/>
  <c r="A172" i="37"/>
  <c r="A171" i="37"/>
  <c r="A170" i="37"/>
  <c r="A169" i="37"/>
  <c r="A168" i="37"/>
  <c r="A167" i="37"/>
  <c r="A166" i="37"/>
  <c r="A165" i="37"/>
  <c r="A164" i="37"/>
  <c r="A163" i="37"/>
  <c r="A162" i="37"/>
  <c r="A161" i="37"/>
  <c r="A160" i="37"/>
  <c r="A159" i="37"/>
  <c r="A158" i="37"/>
  <c r="A157" i="37"/>
  <c r="A156" i="37"/>
  <c r="A155" i="37"/>
  <c r="A154" i="37"/>
  <c r="A153" i="37"/>
  <c r="A152" i="37"/>
  <c r="A151" i="37"/>
  <c r="A150" i="37"/>
  <c r="A149" i="37"/>
  <c r="A148" i="37"/>
  <c r="A147" i="37"/>
  <c r="A146" i="37"/>
  <c r="A145" i="37"/>
  <c r="A144" i="37"/>
  <c r="A143" i="37"/>
  <c r="A142" i="37"/>
  <c r="A141" i="37"/>
  <c r="A140" i="37"/>
  <c r="A139" i="37"/>
  <c r="A138" i="37"/>
  <c r="A137" i="37"/>
  <c r="A136" i="37"/>
  <c r="A135" i="37"/>
  <c r="A134" i="37"/>
  <c r="A133" i="37"/>
  <c r="A132" i="37"/>
  <c r="A131" i="37"/>
  <c r="A130" i="37"/>
  <c r="A129" i="37"/>
  <c r="A128" i="37"/>
  <c r="A127" i="37"/>
  <c r="A126" i="37"/>
  <c r="A125" i="37"/>
  <c r="A124" i="37"/>
  <c r="A123" i="37"/>
  <c r="A122" i="37"/>
  <c r="A121" i="37"/>
  <c r="A120" i="37"/>
  <c r="A119" i="37"/>
  <c r="A118" i="37"/>
  <c r="A117" i="37"/>
  <c r="A116" i="37"/>
  <c r="A115" i="37"/>
  <c r="A114" i="37"/>
  <c r="A113" i="37"/>
  <c r="A112" i="37"/>
  <c r="A111" i="37"/>
  <c r="A110" i="37"/>
  <c r="A109" i="37"/>
  <c r="A108" i="37"/>
  <c r="A107" i="37"/>
  <c r="A106" i="37"/>
  <c r="A105" i="37"/>
  <c r="A104" i="37"/>
  <c r="A103" i="37"/>
  <c r="A102" i="37"/>
  <c r="A101" i="37"/>
  <c r="A100" i="37"/>
  <c r="A99" i="37"/>
  <c r="A98" i="37"/>
  <c r="A97" i="37"/>
  <c r="A96" i="37"/>
  <c r="A95" i="37"/>
  <c r="A94" i="37"/>
  <c r="A93" i="37"/>
  <c r="A92" i="37"/>
  <c r="A91" i="37"/>
  <c r="A90" i="37"/>
  <c r="A89" i="37"/>
  <c r="A88" i="37"/>
  <c r="A87" i="37"/>
  <c r="A86" i="37"/>
  <c r="A85" i="37"/>
  <c r="A84" i="37"/>
  <c r="A83" i="37"/>
  <c r="A82" i="37"/>
  <c r="A81" i="37"/>
  <c r="A80" i="37"/>
  <c r="A79" i="37"/>
  <c r="A78" i="37"/>
  <c r="A77" i="37"/>
  <c r="A76" i="37"/>
  <c r="A75" i="37"/>
  <c r="A74" i="37"/>
  <c r="A73" i="37"/>
  <c r="A72" i="37"/>
  <c r="A71" i="37"/>
  <c r="A70" i="37"/>
  <c r="A69" i="37"/>
  <c r="A68" i="37"/>
  <c r="A67" i="37"/>
  <c r="A66" i="37"/>
  <c r="A65" i="37"/>
  <c r="A64" i="37"/>
  <c r="A63" i="37"/>
  <c r="A62" i="37"/>
  <c r="A61" i="37"/>
  <c r="A60" i="37"/>
  <c r="A59" i="37"/>
  <c r="A58" i="37"/>
  <c r="A57" i="37"/>
  <c r="A56" i="37"/>
  <c r="A55" i="37"/>
  <c r="A54" i="37"/>
  <c r="A53" i="37"/>
  <c r="A52" i="37"/>
  <c r="A51" i="37"/>
  <c r="A50" i="37"/>
  <c r="A49" i="37"/>
  <c r="A48" i="37"/>
  <c r="A47" i="37"/>
  <c r="A46" i="37"/>
  <c r="A45" i="37"/>
  <c r="A44" i="37"/>
  <c r="A43" i="37"/>
  <c r="A42" i="37"/>
  <c r="A41" i="37"/>
  <c r="A40" i="37"/>
  <c r="A39" i="37"/>
  <c r="A38" i="37"/>
  <c r="A37" i="37"/>
  <c r="A36" i="37"/>
  <c r="A35" i="37"/>
  <c r="A34" i="37"/>
  <c r="A33" i="37"/>
  <c r="A32" i="37"/>
  <c r="A31" i="37"/>
  <c r="A30" i="37"/>
  <c r="A29" i="37"/>
  <c r="A28" i="37"/>
  <c r="A27" i="37"/>
  <c r="A26" i="37"/>
  <c r="A25" i="37"/>
  <c r="A24" i="37"/>
  <c r="A23" i="37"/>
  <c r="A22" i="37"/>
  <c r="A21" i="37"/>
  <c r="A20" i="37"/>
  <c r="A19" i="37"/>
  <c r="A18" i="37"/>
  <c r="A17" i="37"/>
  <c r="A16" i="37"/>
  <c r="A15" i="37"/>
  <c r="A14" i="37"/>
  <c r="A13" i="37"/>
  <c r="A12" i="37"/>
  <c r="A11" i="37"/>
  <c r="A10" i="37"/>
  <c r="A9" i="37"/>
  <c r="A8" i="37"/>
  <c r="A7" i="37"/>
  <c r="A6" i="37"/>
  <c r="A5" i="37"/>
  <c r="A4" i="37"/>
  <c r="A3" i="37"/>
  <c r="A2" i="37"/>
  <c r="A2" i="36"/>
  <c r="A2" i="35"/>
  <c r="A52" i="33" l="1"/>
  <c r="A45" i="33"/>
  <c r="AK43" i="33"/>
  <c r="AK53" i="4" s="1"/>
  <c r="AJ43" i="33"/>
  <c r="AJ53" i="4" s="1"/>
  <c r="AI43" i="33"/>
  <c r="AI53" i="4" s="1"/>
  <c r="AH43" i="33"/>
  <c r="AH53" i="4" s="1"/>
  <c r="AG43" i="33"/>
  <c r="AG53" i="4" s="1"/>
  <c r="AF43" i="33"/>
  <c r="AF53" i="4" s="1"/>
  <c r="AE43" i="33"/>
  <c r="AE53" i="4" s="1"/>
  <c r="AD43" i="33"/>
  <c r="AD53" i="4" s="1"/>
  <c r="AC43" i="33"/>
  <c r="AC53" i="4" s="1"/>
  <c r="AB43" i="33"/>
  <c r="AB53" i="4" s="1"/>
  <c r="AA43" i="33"/>
  <c r="AA53" i="4" s="1"/>
  <c r="Z43" i="33"/>
  <c r="Z53" i="4" s="1"/>
  <c r="Y43" i="33"/>
  <c r="Y53" i="4" s="1"/>
  <c r="X43" i="33"/>
  <c r="X53" i="4" s="1"/>
  <c r="W43" i="33"/>
  <c r="W53" i="4" s="1"/>
  <c r="V43" i="33"/>
  <c r="V53" i="4" s="1"/>
  <c r="U43" i="33"/>
  <c r="U53" i="4" s="1"/>
  <c r="T43" i="33"/>
  <c r="T53" i="4" s="1"/>
  <c r="S43" i="33"/>
  <c r="S53" i="4" s="1"/>
  <c r="R43" i="33"/>
  <c r="R53" i="4" s="1"/>
  <c r="Q43" i="33"/>
  <c r="Q53" i="4" s="1"/>
  <c r="P43" i="33"/>
  <c r="P53" i="4" s="1"/>
  <c r="M43" i="33"/>
  <c r="M53" i="4" s="1"/>
  <c r="L43" i="33"/>
  <c r="L53" i="4" s="1"/>
  <c r="K43" i="33"/>
  <c r="K53" i="4" s="1"/>
  <c r="J43" i="33"/>
  <c r="J53" i="4" s="1"/>
  <c r="I43" i="33"/>
  <c r="I53" i="4" s="1"/>
  <c r="H43" i="33"/>
  <c r="H53" i="4" s="1"/>
  <c r="G43" i="33"/>
  <c r="G53" i="4" s="1"/>
  <c r="F43" i="33"/>
  <c r="F53" i="4" s="1"/>
  <c r="E43" i="33"/>
  <c r="E53" i="4" s="1"/>
  <c r="D43" i="33"/>
  <c r="D53" i="4" s="1"/>
  <c r="C43" i="33"/>
  <c r="C53" i="4" s="1"/>
  <c r="B43" i="33"/>
  <c r="B53" i="4" s="1"/>
  <c r="AK42" i="33"/>
  <c r="AK52" i="4" s="1"/>
  <c r="AJ42" i="33"/>
  <c r="AJ52" i="4" s="1"/>
  <c r="AI42" i="33"/>
  <c r="AI52" i="4" s="1"/>
  <c r="AH42" i="33"/>
  <c r="AH52" i="4" s="1"/>
  <c r="AG42" i="33"/>
  <c r="AG52" i="4" s="1"/>
  <c r="AF42" i="33"/>
  <c r="AF52" i="4" s="1"/>
  <c r="AE42" i="33"/>
  <c r="AE52" i="4" s="1"/>
  <c r="AD42" i="33"/>
  <c r="AD52" i="4" s="1"/>
  <c r="AC42" i="33"/>
  <c r="AC52" i="4" s="1"/>
  <c r="AB42" i="33"/>
  <c r="AB52" i="4" s="1"/>
  <c r="AA42" i="33"/>
  <c r="AA52" i="4" s="1"/>
  <c r="Z42" i="33"/>
  <c r="Z52" i="4" s="1"/>
  <c r="Y42" i="33"/>
  <c r="Y52" i="4" s="1"/>
  <c r="X42" i="33"/>
  <c r="X52" i="4" s="1"/>
  <c r="W42" i="33"/>
  <c r="W52" i="4" s="1"/>
  <c r="V42" i="33"/>
  <c r="V52" i="4" s="1"/>
  <c r="U42" i="33"/>
  <c r="U52" i="4" s="1"/>
  <c r="T42" i="33"/>
  <c r="T52" i="4" s="1"/>
  <c r="S42" i="33"/>
  <c r="S52" i="4" s="1"/>
  <c r="R42" i="33"/>
  <c r="R52" i="4" s="1"/>
  <c r="Q42" i="33"/>
  <c r="Q52" i="4" s="1"/>
  <c r="P42" i="33"/>
  <c r="P52" i="4" s="1"/>
  <c r="M42" i="33"/>
  <c r="M52" i="4" s="1"/>
  <c r="L42" i="33"/>
  <c r="L52" i="4" s="1"/>
  <c r="K42" i="33"/>
  <c r="K52" i="4" s="1"/>
  <c r="J42" i="33"/>
  <c r="J52" i="4" s="1"/>
  <c r="I42" i="33"/>
  <c r="I52" i="4" s="1"/>
  <c r="H42" i="33"/>
  <c r="H52" i="4" s="1"/>
  <c r="G42" i="33"/>
  <c r="G52" i="4" s="1"/>
  <c r="F42" i="33"/>
  <c r="F52" i="4" s="1"/>
  <c r="E42" i="33"/>
  <c r="E52" i="4" s="1"/>
  <c r="D42" i="33"/>
  <c r="D52" i="4" s="1"/>
  <c r="C42" i="33"/>
  <c r="C52" i="4" s="1"/>
  <c r="B42" i="33"/>
  <c r="B52" i="4" s="1"/>
  <c r="AK41" i="33"/>
  <c r="AK51" i="4" s="1"/>
  <c r="AJ41" i="33"/>
  <c r="AJ51" i="4" s="1"/>
  <c r="AI41" i="33"/>
  <c r="AI51" i="4" s="1"/>
  <c r="AH41" i="33"/>
  <c r="AH51" i="4" s="1"/>
  <c r="AG41" i="33"/>
  <c r="AG51" i="4" s="1"/>
  <c r="AF41" i="33"/>
  <c r="AF51" i="4" s="1"/>
  <c r="AE41" i="33"/>
  <c r="AE51" i="4" s="1"/>
  <c r="AD41" i="33"/>
  <c r="AD51" i="4" s="1"/>
  <c r="AC41" i="33"/>
  <c r="AC51" i="4" s="1"/>
  <c r="AB41" i="33"/>
  <c r="AB51" i="4" s="1"/>
  <c r="AA41" i="33"/>
  <c r="AA51" i="4" s="1"/>
  <c r="Z41" i="33"/>
  <c r="Z51" i="4" s="1"/>
  <c r="Y41" i="33"/>
  <c r="Y51" i="4" s="1"/>
  <c r="X41" i="33"/>
  <c r="X51" i="4" s="1"/>
  <c r="W41" i="33"/>
  <c r="W51" i="4" s="1"/>
  <c r="V41" i="33"/>
  <c r="V51" i="4" s="1"/>
  <c r="U41" i="33"/>
  <c r="U51" i="4" s="1"/>
  <c r="T41" i="33"/>
  <c r="T51" i="4" s="1"/>
  <c r="S41" i="33"/>
  <c r="S51" i="4" s="1"/>
  <c r="R41" i="33"/>
  <c r="R51" i="4" s="1"/>
  <c r="Q41" i="33"/>
  <c r="Q51" i="4" s="1"/>
  <c r="P41" i="33"/>
  <c r="P51" i="4" s="1"/>
  <c r="M41" i="33"/>
  <c r="M51" i="4" s="1"/>
  <c r="L41" i="33"/>
  <c r="L51" i="4" s="1"/>
  <c r="K41" i="33"/>
  <c r="K51" i="4" s="1"/>
  <c r="J41" i="33"/>
  <c r="J51" i="4" s="1"/>
  <c r="I41" i="33"/>
  <c r="I51" i="4" s="1"/>
  <c r="H41" i="33"/>
  <c r="H51" i="4" s="1"/>
  <c r="G41" i="33"/>
  <c r="G51" i="4" s="1"/>
  <c r="F41" i="33"/>
  <c r="F51" i="4" s="1"/>
  <c r="E41" i="33"/>
  <c r="E51" i="4" s="1"/>
  <c r="D41" i="33"/>
  <c r="D51" i="4" s="1"/>
  <c r="C41" i="33"/>
  <c r="C51" i="4" s="1"/>
  <c r="B41" i="33"/>
  <c r="B51" i="4" s="1"/>
  <c r="AK40" i="33"/>
  <c r="AK50" i="4" s="1"/>
  <c r="AJ40" i="33"/>
  <c r="AJ50" i="4" s="1"/>
  <c r="AI40" i="33"/>
  <c r="AI50" i="4" s="1"/>
  <c r="AH40" i="33"/>
  <c r="AH50" i="4" s="1"/>
  <c r="AG40" i="33"/>
  <c r="AG50" i="4" s="1"/>
  <c r="AF40" i="33"/>
  <c r="AF50" i="4" s="1"/>
  <c r="AE40" i="33"/>
  <c r="AE50" i="4" s="1"/>
  <c r="AD40" i="33"/>
  <c r="AD50" i="4" s="1"/>
  <c r="AC40" i="33"/>
  <c r="AC50" i="4" s="1"/>
  <c r="AB40" i="33"/>
  <c r="AB50" i="4" s="1"/>
  <c r="AA40" i="33"/>
  <c r="AA50" i="4" s="1"/>
  <c r="Z40" i="33"/>
  <c r="Z50" i="4" s="1"/>
  <c r="Y40" i="33"/>
  <c r="Y50" i="4" s="1"/>
  <c r="X40" i="33"/>
  <c r="X50" i="4" s="1"/>
  <c r="W40" i="33"/>
  <c r="W50" i="4" s="1"/>
  <c r="V40" i="33"/>
  <c r="V50" i="4" s="1"/>
  <c r="U40" i="33"/>
  <c r="U50" i="4" s="1"/>
  <c r="T40" i="33"/>
  <c r="T50" i="4" s="1"/>
  <c r="S40" i="33"/>
  <c r="S50" i="4" s="1"/>
  <c r="R40" i="33"/>
  <c r="R50" i="4" s="1"/>
  <c r="Q40" i="33"/>
  <c r="Q50" i="4" s="1"/>
  <c r="P40" i="33"/>
  <c r="P50" i="4" s="1"/>
  <c r="M40" i="33"/>
  <c r="M50" i="4" s="1"/>
  <c r="L40" i="33"/>
  <c r="L50" i="4" s="1"/>
  <c r="K40" i="33"/>
  <c r="K50" i="4" s="1"/>
  <c r="J40" i="33"/>
  <c r="J50" i="4" s="1"/>
  <c r="I40" i="33"/>
  <c r="I50" i="4" s="1"/>
  <c r="H40" i="33"/>
  <c r="H50" i="4" s="1"/>
  <c r="G40" i="33"/>
  <c r="G50" i="4" s="1"/>
  <c r="F40" i="33"/>
  <c r="F50" i="4" s="1"/>
  <c r="E40" i="33"/>
  <c r="E50" i="4" s="1"/>
  <c r="D40" i="33"/>
  <c r="D50" i="4" s="1"/>
  <c r="C40" i="33"/>
  <c r="C50" i="4" s="1"/>
  <c r="B40" i="33"/>
  <c r="B50" i="4" s="1"/>
  <c r="AK39" i="33"/>
  <c r="AK49" i="4" s="1"/>
  <c r="AJ39" i="33"/>
  <c r="AJ49" i="4" s="1"/>
  <c r="AI39" i="33"/>
  <c r="AI49" i="4" s="1"/>
  <c r="AH39" i="33"/>
  <c r="AH49" i="4" s="1"/>
  <c r="AG39" i="33"/>
  <c r="AG49" i="4" s="1"/>
  <c r="AF39" i="33"/>
  <c r="AF49" i="4" s="1"/>
  <c r="AE39" i="33"/>
  <c r="AE49" i="4" s="1"/>
  <c r="AD39" i="33"/>
  <c r="AD49" i="4" s="1"/>
  <c r="AC39" i="33"/>
  <c r="AC49" i="4" s="1"/>
  <c r="AB39" i="33"/>
  <c r="AB49" i="4" s="1"/>
  <c r="AA39" i="33"/>
  <c r="AA49" i="4" s="1"/>
  <c r="Z39" i="33"/>
  <c r="Z49" i="4" s="1"/>
  <c r="Y39" i="33"/>
  <c r="Y49" i="4" s="1"/>
  <c r="X39" i="33"/>
  <c r="X49" i="4" s="1"/>
  <c r="W39" i="33"/>
  <c r="W49" i="4" s="1"/>
  <c r="V39" i="33"/>
  <c r="V49" i="4" s="1"/>
  <c r="U39" i="33"/>
  <c r="U49" i="4" s="1"/>
  <c r="T39" i="33"/>
  <c r="T49" i="4" s="1"/>
  <c r="S39" i="33"/>
  <c r="S49" i="4" s="1"/>
  <c r="R39" i="33"/>
  <c r="R49" i="4" s="1"/>
  <c r="Q39" i="33"/>
  <c r="Q49" i="4" s="1"/>
  <c r="P39" i="33"/>
  <c r="P49" i="4" s="1"/>
  <c r="M39" i="33"/>
  <c r="M49" i="4" s="1"/>
  <c r="L39" i="33"/>
  <c r="L49" i="4" s="1"/>
  <c r="K39" i="33"/>
  <c r="K49" i="4" s="1"/>
  <c r="J39" i="33"/>
  <c r="J49" i="4" s="1"/>
  <c r="I39" i="33"/>
  <c r="I49" i="4" s="1"/>
  <c r="H39" i="33"/>
  <c r="H49" i="4" s="1"/>
  <c r="G39" i="33"/>
  <c r="G49" i="4" s="1"/>
  <c r="F39" i="33"/>
  <c r="F49" i="4" s="1"/>
  <c r="E39" i="33"/>
  <c r="E49" i="4" s="1"/>
  <c r="D39" i="33"/>
  <c r="D49" i="4" s="1"/>
  <c r="C39" i="33"/>
  <c r="C49" i="4" s="1"/>
  <c r="B39" i="33"/>
  <c r="B49" i="4" s="1"/>
  <c r="AK38" i="33"/>
  <c r="AK48" i="4" s="1"/>
  <c r="AJ38" i="33"/>
  <c r="AJ48" i="4" s="1"/>
  <c r="AI38" i="33"/>
  <c r="AI48" i="4" s="1"/>
  <c r="AH38" i="33"/>
  <c r="AH48" i="4" s="1"/>
  <c r="AG38" i="33"/>
  <c r="AG48" i="4" s="1"/>
  <c r="AF38" i="33"/>
  <c r="AF48" i="4" s="1"/>
  <c r="AE38" i="33"/>
  <c r="AE48" i="4" s="1"/>
  <c r="AD38" i="33"/>
  <c r="AD48" i="4" s="1"/>
  <c r="AC38" i="33"/>
  <c r="AC48" i="4" s="1"/>
  <c r="AB38" i="33"/>
  <c r="AB48" i="4" s="1"/>
  <c r="AA38" i="33"/>
  <c r="AA48" i="4" s="1"/>
  <c r="Z38" i="33"/>
  <c r="Z48" i="4" s="1"/>
  <c r="Y38" i="33"/>
  <c r="Y48" i="4" s="1"/>
  <c r="X38" i="33"/>
  <c r="X48" i="4" s="1"/>
  <c r="W38" i="33"/>
  <c r="W48" i="4" s="1"/>
  <c r="V38" i="33"/>
  <c r="V48" i="4" s="1"/>
  <c r="U38" i="33"/>
  <c r="U48" i="4" s="1"/>
  <c r="T38" i="33"/>
  <c r="T48" i="4" s="1"/>
  <c r="S38" i="33"/>
  <c r="S48" i="4" s="1"/>
  <c r="R38" i="33"/>
  <c r="R48" i="4" s="1"/>
  <c r="Q38" i="33"/>
  <c r="Q48" i="4" s="1"/>
  <c r="P38" i="33"/>
  <c r="P48" i="4" s="1"/>
  <c r="M38" i="33"/>
  <c r="M48" i="4" s="1"/>
  <c r="L38" i="33"/>
  <c r="L48" i="4" s="1"/>
  <c r="K38" i="33"/>
  <c r="K48" i="4" s="1"/>
  <c r="J38" i="33"/>
  <c r="J48" i="4" s="1"/>
  <c r="I38" i="33"/>
  <c r="I48" i="4" s="1"/>
  <c r="H38" i="33"/>
  <c r="H48" i="4" s="1"/>
  <c r="G38" i="33"/>
  <c r="G48" i="4" s="1"/>
  <c r="F38" i="33"/>
  <c r="F48" i="4" s="1"/>
  <c r="E38" i="33"/>
  <c r="E48" i="4" s="1"/>
  <c r="D38" i="33"/>
  <c r="D48" i="4" s="1"/>
  <c r="C38" i="33"/>
  <c r="C48" i="4" s="1"/>
  <c r="B38" i="33"/>
  <c r="B48" i="4" s="1"/>
  <c r="AK37" i="33"/>
  <c r="AK47" i="4" s="1"/>
  <c r="AJ37" i="33"/>
  <c r="AJ47" i="4" s="1"/>
  <c r="AI37" i="33"/>
  <c r="AI47" i="4" s="1"/>
  <c r="AH37" i="33"/>
  <c r="AH47" i="4" s="1"/>
  <c r="AG37" i="33"/>
  <c r="AG47" i="4" s="1"/>
  <c r="AF37" i="33"/>
  <c r="AF47" i="4" s="1"/>
  <c r="AE37" i="33"/>
  <c r="AE47" i="4" s="1"/>
  <c r="AD37" i="33"/>
  <c r="AD47" i="4" s="1"/>
  <c r="AC37" i="33"/>
  <c r="AC47" i="4" s="1"/>
  <c r="AB37" i="33"/>
  <c r="AB47" i="4" s="1"/>
  <c r="AA37" i="33"/>
  <c r="AA47" i="4" s="1"/>
  <c r="Z37" i="33"/>
  <c r="Z47" i="4" s="1"/>
  <c r="Y37" i="33"/>
  <c r="Y47" i="4" s="1"/>
  <c r="X37" i="33"/>
  <c r="X47" i="4" s="1"/>
  <c r="W37" i="33"/>
  <c r="W47" i="4" s="1"/>
  <c r="V37" i="33"/>
  <c r="V47" i="4" s="1"/>
  <c r="U37" i="33"/>
  <c r="U47" i="4" s="1"/>
  <c r="T37" i="33"/>
  <c r="T47" i="4" s="1"/>
  <c r="S37" i="33"/>
  <c r="S47" i="4" s="1"/>
  <c r="R37" i="33"/>
  <c r="R47" i="4" s="1"/>
  <c r="Q37" i="33"/>
  <c r="Q47" i="4" s="1"/>
  <c r="P37" i="33"/>
  <c r="P47" i="4" s="1"/>
  <c r="M37" i="33"/>
  <c r="M47" i="4" s="1"/>
  <c r="L37" i="33"/>
  <c r="L47" i="4" s="1"/>
  <c r="K37" i="33"/>
  <c r="K47" i="4" s="1"/>
  <c r="J37" i="33"/>
  <c r="J47" i="4" s="1"/>
  <c r="I37" i="33"/>
  <c r="I47" i="4" s="1"/>
  <c r="H37" i="33"/>
  <c r="H47" i="4" s="1"/>
  <c r="G37" i="33"/>
  <c r="G47" i="4" s="1"/>
  <c r="F37" i="33"/>
  <c r="F47" i="4" s="1"/>
  <c r="E37" i="33"/>
  <c r="E47" i="4" s="1"/>
  <c r="D37" i="33"/>
  <c r="D47" i="4" s="1"/>
  <c r="C37" i="33"/>
  <c r="C47" i="4" s="1"/>
  <c r="B37" i="33"/>
  <c r="B47" i="4" s="1"/>
  <c r="AK36" i="33"/>
  <c r="AK46" i="4" s="1"/>
  <c r="AJ36" i="33"/>
  <c r="AJ46" i="4" s="1"/>
  <c r="AI36" i="33"/>
  <c r="AI46" i="4" s="1"/>
  <c r="AH36" i="33"/>
  <c r="AH46" i="4" s="1"/>
  <c r="AG36" i="33"/>
  <c r="AG46" i="4" s="1"/>
  <c r="AF36" i="33"/>
  <c r="AF46" i="4" s="1"/>
  <c r="AE36" i="33"/>
  <c r="AE46" i="4" s="1"/>
  <c r="AD36" i="33"/>
  <c r="AD46" i="4" s="1"/>
  <c r="AC36" i="33"/>
  <c r="AC46" i="4" s="1"/>
  <c r="AB36" i="33"/>
  <c r="AB46" i="4" s="1"/>
  <c r="AA36" i="33"/>
  <c r="AA46" i="4" s="1"/>
  <c r="Z36" i="33"/>
  <c r="Z46" i="4" s="1"/>
  <c r="Y36" i="33"/>
  <c r="Y46" i="4" s="1"/>
  <c r="X36" i="33"/>
  <c r="X46" i="4" s="1"/>
  <c r="W36" i="33"/>
  <c r="W46" i="4" s="1"/>
  <c r="V36" i="33"/>
  <c r="V46" i="4" s="1"/>
  <c r="U36" i="33"/>
  <c r="U46" i="4" s="1"/>
  <c r="T36" i="33"/>
  <c r="T46" i="4" s="1"/>
  <c r="S36" i="33"/>
  <c r="S46" i="4" s="1"/>
  <c r="R36" i="33"/>
  <c r="R46" i="4" s="1"/>
  <c r="Q36" i="33"/>
  <c r="Q46" i="4" s="1"/>
  <c r="P36" i="33"/>
  <c r="P46" i="4" s="1"/>
  <c r="M36" i="33"/>
  <c r="M46" i="4" s="1"/>
  <c r="L36" i="33"/>
  <c r="L46" i="4" s="1"/>
  <c r="K36" i="33"/>
  <c r="K46" i="4" s="1"/>
  <c r="J36" i="33"/>
  <c r="J46" i="4" s="1"/>
  <c r="I36" i="33"/>
  <c r="I46" i="4" s="1"/>
  <c r="H36" i="33"/>
  <c r="H46" i="4" s="1"/>
  <c r="G36" i="33"/>
  <c r="G46" i="4" s="1"/>
  <c r="F36" i="33"/>
  <c r="F46" i="4" s="1"/>
  <c r="E36" i="33"/>
  <c r="E46" i="4" s="1"/>
  <c r="D36" i="33"/>
  <c r="D46" i="4" s="1"/>
  <c r="C36" i="33"/>
  <c r="C46" i="4" s="1"/>
  <c r="B36" i="33"/>
  <c r="B46" i="4" s="1"/>
  <c r="AK35" i="33"/>
  <c r="AK45" i="4" s="1"/>
  <c r="AJ35" i="33"/>
  <c r="AJ45" i="4" s="1"/>
  <c r="AI35" i="33"/>
  <c r="AI45" i="4" s="1"/>
  <c r="AH35" i="33"/>
  <c r="AH45" i="4" s="1"/>
  <c r="AG35" i="33"/>
  <c r="AG45" i="4" s="1"/>
  <c r="AF35" i="33"/>
  <c r="AF45" i="4" s="1"/>
  <c r="AE35" i="33"/>
  <c r="AE45" i="4" s="1"/>
  <c r="AD35" i="33"/>
  <c r="AD45" i="4" s="1"/>
  <c r="AC35" i="33"/>
  <c r="AC45" i="4" s="1"/>
  <c r="AB35" i="33"/>
  <c r="AB45" i="4" s="1"/>
  <c r="AA35" i="33"/>
  <c r="AA45" i="4" s="1"/>
  <c r="Z35" i="33"/>
  <c r="Z45" i="4" s="1"/>
  <c r="Y35" i="33"/>
  <c r="Y45" i="4" s="1"/>
  <c r="X35" i="33"/>
  <c r="X45" i="4" s="1"/>
  <c r="W35" i="33"/>
  <c r="W45" i="4" s="1"/>
  <c r="AK34" i="33"/>
  <c r="AK44" i="4" s="1"/>
  <c r="AJ34" i="33"/>
  <c r="AJ44" i="4" s="1"/>
  <c r="AI34" i="33"/>
  <c r="AI44" i="4" s="1"/>
  <c r="AH34" i="33"/>
  <c r="AH44" i="4" s="1"/>
  <c r="AG34" i="33"/>
  <c r="AG44" i="4" s="1"/>
  <c r="AF34" i="33"/>
  <c r="AF44" i="4" s="1"/>
  <c r="AE34" i="33"/>
  <c r="AE44" i="4" s="1"/>
  <c r="AD34" i="33"/>
  <c r="AD44" i="4" s="1"/>
  <c r="AC34" i="33"/>
  <c r="AC44" i="4" s="1"/>
  <c r="AB34" i="33"/>
  <c r="AB44" i="4" s="1"/>
  <c r="AA34" i="33"/>
  <c r="AA44" i="4" s="1"/>
  <c r="Z34" i="33"/>
  <c r="Z44" i="4" s="1"/>
  <c r="Y34" i="33"/>
  <c r="Y44" i="4" s="1"/>
  <c r="X34" i="33"/>
  <c r="X44" i="4" s="1"/>
  <c r="W34" i="33"/>
  <c r="W44" i="4" s="1"/>
  <c r="I34" i="33"/>
  <c r="I44" i="4" s="1"/>
  <c r="AK33" i="33"/>
  <c r="AK43" i="4" s="1"/>
  <c r="AJ33" i="33"/>
  <c r="AJ43" i="4" s="1"/>
  <c r="AI33" i="33"/>
  <c r="AI43" i="4" s="1"/>
  <c r="AH33" i="33"/>
  <c r="AH43" i="4" s="1"/>
  <c r="AG33" i="33"/>
  <c r="AG43" i="4" s="1"/>
  <c r="AF33" i="33"/>
  <c r="AF43" i="4" s="1"/>
  <c r="AE33" i="33"/>
  <c r="AE43" i="4" s="1"/>
  <c r="AD33" i="33"/>
  <c r="AD43" i="4" s="1"/>
  <c r="AC33" i="33"/>
  <c r="AC43" i="4" s="1"/>
  <c r="AB33" i="33"/>
  <c r="AB43" i="4" s="1"/>
  <c r="AA33" i="33"/>
  <c r="AA43" i="4" s="1"/>
  <c r="Z33" i="33"/>
  <c r="Z43" i="4" s="1"/>
  <c r="Y33" i="33"/>
  <c r="Y43" i="4" s="1"/>
  <c r="X33" i="33"/>
  <c r="X43" i="4" s="1"/>
  <c r="W33" i="33"/>
  <c r="W43" i="4" s="1"/>
  <c r="S33" i="33"/>
  <c r="S43" i="4" s="1"/>
  <c r="R33" i="33"/>
  <c r="R43" i="4" s="1"/>
  <c r="AK32" i="33"/>
  <c r="AK42" i="4" s="1"/>
  <c r="AJ32" i="33"/>
  <c r="AJ42" i="4" s="1"/>
  <c r="AI32" i="33"/>
  <c r="AI42" i="4" s="1"/>
  <c r="AH32" i="33"/>
  <c r="AH42" i="4" s="1"/>
  <c r="AG32" i="33"/>
  <c r="AG42" i="4" s="1"/>
  <c r="AF32" i="33"/>
  <c r="AF42" i="4" s="1"/>
  <c r="AE32" i="33"/>
  <c r="AE42" i="4" s="1"/>
  <c r="AD32" i="33"/>
  <c r="AD42" i="4" s="1"/>
  <c r="AC32" i="33"/>
  <c r="AC42" i="4" s="1"/>
  <c r="AB32" i="33"/>
  <c r="AB42" i="4" s="1"/>
  <c r="AA32" i="33"/>
  <c r="AA42" i="4" s="1"/>
  <c r="Z32" i="33"/>
  <c r="Z42" i="4" s="1"/>
  <c r="Y32" i="33"/>
  <c r="Y42" i="4" s="1"/>
  <c r="X32" i="33"/>
  <c r="X42" i="4" s="1"/>
  <c r="W32" i="33"/>
  <c r="W42" i="4" s="1"/>
  <c r="H32" i="33"/>
  <c r="H42" i="4" s="1"/>
  <c r="AK31" i="33"/>
  <c r="AK41" i="4" s="1"/>
  <c r="AJ31" i="33"/>
  <c r="AJ41" i="4" s="1"/>
  <c r="AI31" i="33"/>
  <c r="AI41" i="4" s="1"/>
  <c r="AH31" i="33"/>
  <c r="AH41" i="4" s="1"/>
  <c r="AG31" i="33"/>
  <c r="AG41" i="4" s="1"/>
  <c r="AF31" i="33"/>
  <c r="AF41" i="4" s="1"/>
  <c r="AE31" i="33"/>
  <c r="AE41" i="4" s="1"/>
  <c r="AD31" i="33"/>
  <c r="AD41" i="4" s="1"/>
  <c r="AC31" i="33"/>
  <c r="AC41" i="4" s="1"/>
  <c r="AB31" i="33"/>
  <c r="AB41" i="4" s="1"/>
  <c r="AA31" i="33"/>
  <c r="AA41" i="4" s="1"/>
  <c r="Z31" i="33"/>
  <c r="Z41" i="4" s="1"/>
  <c r="Y31" i="33"/>
  <c r="Y41" i="4" s="1"/>
  <c r="X31" i="33"/>
  <c r="X41" i="4" s="1"/>
  <c r="W31" i="33"/>
  <c r="W41" i="4" s="1"/>
  <c r="P31" i="33"/>
  <c r="P41" i="4" s="1"/>
  <c r="M31" i="33"/>
  <c r="M41" i="4" s="1"/>
  <c r="B31" i="33"/>
  <c r="B41" i="4" s="1"/>
  <c r="AK30" i="33"/>
  <c r="AK40" i="4" s="1"/>
  <c r="AJ30" i="33"/>
  <c r="AJ40" i="4" s="1"/>
  <c r="AI30" i="33"/>
  <c r="AI40" i="4" s="1"/>
  <c r="AH30" i="33"/>
  <c r="AH40" i="4" s="1"/>
  <c r="AG30" i="33"/>
  <c r="AG40" i="4" s="1"/>
  <c r="AF30" i="33"/>
  <c r="AF40" i="4" s="1"/>
  <c r="AE30" i="33"/>
  <c r="AE40" i="4" s="1"/>
  <c r="AD30" i="33"/>
  <c r="AD40" i="4" s="1"/>
  <c r="AC30" i="33"/>
  <c r="AC40" i="4" s="1"/>
  <c r="AB30" i="33"/>
  <c r="AB40" i="4" s="1"/>
  <c r="AA30" i="33"/>
  <c r="AA40" i="4" s="1"/>
  <c r="Z30" i="33"/>
  <c r="Z40" i="4" s="1"/>
  <c r="Y30" i="33"/>
  <c r="Y40" i="4" s="1"/>
  <c r="X30" i="33"/>
  <c r="X40" i="4" s="1"/>
  <c r="W30" i="33"/>
  <c r="W40" i="4" s="1"/>
  <c r="AK29" i="33"/>
  <c r="AK39" i="4" s="1"/>
  <c r="AJ29" i="33"/>
  <c r="AJ39" i="4" s="1"/>
  <c r="AI29" i="33"/>
  <c r="AI39" i="4" s="1"/>
  <c r="AH29" i="33"/>
  <c r="AH39" i="4" s="1"/>
  <c r="AG29" i="33"/>
  <c r="AG39" i="4" s="1"/>
  <c r="AF29" i="33"/>
  <c r="AF39" i="4" s="1"/>
  <c r="AE29" i="33"/>
  <c r="AE39" i="4" s="1"/>
  <c r="AD29" i="33"/>
  <c r="AD39" i="4" s="1"/>
  <c r="AC29" i="33"/>
  <c r="AC39" i="4" s="1"/>
  <c r="AB29" i="33"/>
  <c r="AB39" i="4" s="1"/>
  <c r="AA29" i="33"/>
  <c r="AA39" i="4" s="1"/>
  <c r="Z29" i="33"/>
  <c r="Z39" i="4" s="1"/>
  <c r="Y29" i="33"/>
  <c r="Y39" i="4" s="1"/>
  <c r="X29" i="33"/>
  <c r="X39" i="4" s="1"/>
  <c r="W29" i="33"/>
  <c r="W39" i="4" s="1"/>
  <c r="Q29" i="33"/>
  <c r="Q39" i="4" s="1"/>
  <c r="L29" i="33"/>
  <c r="L39" i="4" s="1"/>
  <c r="AK28" i="33"/>
  <c r="AJ28" i="33"/>
  <c r="AI28" i="33"/>
  <c r="AH28" i="33"/>
  <c r="AG28" i="33"/>
  <c r="AF28" i="33"/>
  <c r="AE28" i="33"/>
  <c r="AD28" i="33"/>
  <c r="AC28" i="33"/>
  <c r="AB28" i="33"/>
  <c r="AA28" i="33"/>
  <c r="Z28" i="33"/>
  <c r="Y28" i="33"/>
  <c r="X28" i="33"/>
  <c r="W28" i="33"/>
  <c r="AK24" i="33"/>
  <c r="AJ24" i="33"/>
  <c r="AI24" i="33"/>
  <c r="AH24" i="33"/>
  <c r="AG24" i="33"/>
  <c r="AF24" i="33"/>
  <c r="AE24" i="33"/>
  <c r="AD24" i="33"/>
  <c r="AC24" i="33"/>
  <c r="AB24" i="33"/>
  <c r="AA24" i="33"/>
  <c r="Z24" i="33"/>
  <c r="Y24" i="33"/>
  <c r="X24" i="33"/>
  <c r="W24" i="33"/>
  <c r="V24" i="33"/>
  <c r="U24" i="33"/>
  <c r="T24" i="33"/>
  <c r="S24" i="33"/>
  <c r="R24" i="33"/>
  <c r="Q24" i="33"/>
  <c r="P24" i="33"/>
  <c r="O24" i="33"/>
  <c r="L24" i="33"/>
  <c r="J24" i="33"/>
  <c r="I24" i="33"/>
  <c r="H24" i="33"/>
  <c r="G24" i="33"/>
  <c r="F24" i="33"/>
  <c r="E24" i="33"/>
  <c r="D24" i="33"/>
  <c r="C24" i="33"/>
  <c r="B24" i="33"/>
  <c r="AK23" i="33"/>
  <c r="AJ23" i="33"/>
  <c r="AI23" i="33"/>
  <c r="AH23" i="33"/>
  <c r="AG23" i="33"/>
  <c r="AF23" i="33"/>
  <c r="AE23" i="33"/>
  <c r="AD23" i="33"/>
  <c r="AC23" i="33"/>
  <c r="AB23" i="33"/>
  <c r="AA23" i="33"/>
  <c r="Z23" i="33"/>
  <c r="Y23" i="33"/>
  <c r="X23" i="33"/>
  <c r="W23" i="33"/>
  <c r="V23" i="33"/>
  <c r="U23" i="33"/>
  <c r="T23" i="33"/>
  <c r="S23" i="33"/>
  <c r="R23" i="33"/>
  <c r="Q23" i="33"/>
  <c r="P23" i="33"/>
  <c r="O23" i="33"/>
  <c r="F35" i="33" s="1"/>
  <c r="F45" i="4" s="1"/>
  <c r="L23" i="33"/>
  <c r="J23" i="33"/>
  <c r="I23" i="33"/>
  <c r="H23" i="33"/>
  <c r="G23" i="33"/>
  <c r="F23" i="33"/>
  <c r="E23" i="33"/>
  <c r="D23" i="33"/>
  <c r="C23" i="33"/>
  <c r="B23" i="33"/>
  <c r="A22" i="33"/>
  <c r="H22" i="33"/>
  <c r="G45" i="33"/>
  <c r="F27" i="33"/>
  <c r="F52" i="33" s="1"/>
  <c r="E45" i="33"/>
  <c r="D22" i="33"/>
  <c r="C45" i="33"/>
  <c r="B45" i="33"/>
  <c r="X56" i="33"/>
  <c r="Q56" i="33"/>
  <c r="V56" i="33"/>
  <c r="AE56" i="33"/>
  <c r="AK56" i="33"/>
  <c r="AB56" i="33"/>
  <c r="W56" i="33"/>
  <c r="U56" i="33"/>
  <c r="AI56" i="33"/>
  <c r="Z56" i="33"/>
  <c r="T56" i="33"/>
  <c r="AD56" i="33"/>
  <c r="S56" i="33"/>
  <c r="AG56" i="33"/>
  <c r="AC56" i="33"/>
  <c r="O56" i="33"/>
  <c r="AH56" i="33"/>
  <c r="Y56" i="33"/>
  <c r="P56" i="33"/>
  <c r="R56" i="33"/>
  <c r="AF56" i="33"/>
  <c r="AJ56" i="33"/>
  <c r="AA56" i="33"/>
  <c r="S29" i="33" l="1"/>
  <c r="S39" i="4" s="1"/>
  <c r="R31" i="33"/>
  <c r="R41" i="4" s="1"/>
  <c r="U33" i="33"/>
  <c r="U43" i="4" s="1"/>
  <c r="P28" i="33"/>
  <c r="T29" i="33"/>
  <c r="T39" i="4" s="1"/>
  <c r="S31" i="33"/>
  <c r="S41" i="4" s="1"/>
  <c r="V33" i="33"/>
  <c r="V43" i="4" s="1"/>
  <c r="R28" i="33"/>
  <c r="R38" i="4" s="1"/>
  <c r="V29" i="33"/>
  <c r="V39" i="4" s="1"/>
  <c r="P30" i="33"/>
  <c r="P40" i="4" s="1"/>
  <c r="V31" i="33"/>
  <c r="V41" i="4" s="1"/>
  <c r="T34" i="33"/>
  <c r="T44" i="4" s="1"/>
  <c r="S28" i="33"/>
  <c r="R30" i="33"/>
  <c r="R40" i="4" s="1"/>
  <c r="Q32" i="33"/>
  <c r="Q42" i="4" s="1"/>
  <c r="V34" i="33"/>
  <c r="V44" i="4" s="1"/>
  <c r="P35" i="33"/>
  <c r="P45" i="4" s="1"/>
  <c r="U28" i="33"/>
  <c r="S30" i="33"/>
  <c r="S40" i="4" s="1"/>
  <c r="S32" i="33"/>
  <c r="S42" i="4" s="1"/>
  <c r="Q35" i="33"/>
  <c r="Q45" i="4" s="1"/>
  <c r="V28" i="33"/>
  <c r="V30" i="33"/>
  <c r="V40" i="4" s="1"/>
  <c r="T32" i="33"/>
  <c r="T42" i="4" s="1"/>
  <c r="Q33" i="33"/>
  <c r="Q43" i="4" s="1"/>
  <c r="V35" i="33"/>
  <c r="V45" i="4" s="1"/>
  <c r="P29" i="33"/>
  <c r="P39" i="4" s="1"/>
  <c r="Q28" i="33"/>
  <c r="R29" i="33"/>
  <c r="R39" i="4" s="1"/>
  <c r="T30" i="33"/>
  <c r="T40" i="4" s="1"/>
  <c r="T31" i="33"/>
  <c r="T41" i="4" s="1"/>
  <c r="U32" i="33"/>
  <c r="U42" i="4" s="1"/>
  <c r="P34" i="33"/>
  <c r="P44" i="4" s="1"/>
  <c r="R35" i="33"/>
  <c r="R45" i="4" s="1"/>
  <c r="U30" i="33"/>
  <c r="U40" i="4" s="1"/>
  <c r="U31" i="33"/>
  <c r="U41" i="4" s="1"/>
  <c r="V32" i="33"/>
  <c r="V42" i="4" s="1"/>
  <c r="P33" i="33"/>
  <c r="P43" i="4" s="1"/>
  <c r="Q34" i="33"/>
  <c r="Q44" i="4" s="1"/>
  <c r="S35" i="33"/>
  <c r="S45" i="4" s="1"/>
  <c r="R34" i="33"/>
  <c r="R44" i="4" s="1"/>
  <c r="T35" i="33"/>
  <c r="T45" i="4" s="1"/>
  <c r="T28" i="33"/>
  <c r="U29" i="33"/>
  <c r="U39" i="4" s="1"/>
  <c r="P32" i="33"/>
  <c r="P42" i="4" s="1"/>
  <c r="S34" i="33"/>
  <c r="S44" i="4" s="1"/>
  <c r="U35" i="33"/>
  <c r="U45" i="4" s="1"/>
  <c r="Q30" i="33"/>
  <c r="Q40" i="4" s="1"/>
  <c r="Q31" i="33"/>
  <c r="Q41" i="4" s="1"/>
  <c r="R32" i="33"/>
  <c r="R42" i="4" s="1"/>
  <c r="T33" i="33"/>
  <c r="T43" i="4" s="1"/>
  <c r="U34" i="33"/>
  <c r="U44" i="4" s="1"/>
  <c r="L31" i="33"/>
  <c r="L41" i="4" s="1"/>
  <c r="M33" i="33"/>
  <c r="M43" i="4" s="1"/>
  <c r="J30" i="33"/>
  <c r="J40" i="4" s="1"/>
  <c r="J32" i="33"/>
  <c r="J42" i="4" s="1"/>
  <c r="O30" i="33"/>
  <c r="O40" i="4" s="1"/>
  <c r="O32" i="33"/>
  <c r="O42" i="4" s="1"/>
  <c r="I33" i="33"/>
  <c r="I43" i="4" s="1"/>
  <c r="L28" i="33"/>
  <c r="K29" i="33"/>
  <c r="K39" i="4" s="1"/>
  <c r="L34" i="33"/>
  <c r="L44" i="4" s="1"/>
  <c r="K35" i="33"/>
  <c r="K45" i="4" s="1"/>
  <c r="O36" i="33"/>
  <c r="O46" i="4" s="1"/>
  <c r="O37" i="33"/>
  <c r="O47" i="4" s="1"/>
  <c r="O38" i="33"/>
  <c r="O48" i="4" s="1"/>
  <c r="O39" i="33"/>
  <c r="O49" i="4" s="1"/>
  <c r="O40" i="33"/>
  <c r="O50" i="4" s="1"/>
  <c r="O41" i="33"/>
  <c r="O51" i="4" s="1"/>
  <c r="O42" i="33"/>
  <c r="O52" i="4" s="1"/>
  <c r="O43" i="33"/>
  <c r="O53" i="4" s="1"/>
  <c r="I28" i="33"/>
  <c r="I38" i="4" s="1"/>
  <c r="M28" i="33"/>
  <c r="M38" i="4" s="1"/>
  <c r="K30" i="33"/>
  <c r="K40" i="4" s="1"/>
  <c r="I31" i="33"/>
  <c r="I41" i="4" s="1"/>
  <c r="K32" i="33"/>
  <c r="K42" i="4" s="1"/>
  <c r="J33" i="33"/>
  <c r="J43" i="4" s="1"/>
  <c r="O33" i="33"/>
  <c r="O43" i="4" s="1"/>
  <c r="M34" i="33"/>
  <c r="M44" i="4" s="1"/>
  <c r="L35" i="33"/>
  <c r="L45" i="4" s="1"/>
  <c r="J28" i="33"/>
  <c r="O28" i="33"/>
  <c r="O38" i="4" s="1"/>
  <c r="I29" i="33"/>
  <c r="I39" i="4" s="1"/>
  <c r="M29" i="33"/>
  <c r="M39" i="4" s="1"/>
  <c r="L30" i="33"/>
  <c r="L40" i="4" s="1"/>
  <c r="J31" i="33"/>
  <c r="J41" i="4" s="1"/>
  <c r="O31" i="33"/>
  <c r="O41" i="4" s="1"/>
  <c r="L32" i="33"/>
  <c r="L42" i="4" s="1"/>
  <c r="K33" i="33"/>
  <c r="K43" i="4" s="1"/>
  <c r="J34" i="33"/>
  <c r="J44" i="4" s="1"/>
  <c r="O34" i="33"/>
  <c r="O44" i="4" s="1"/>
  <c r="I35" i="33"/>
  <c r="I45" i="4" s="1"/>
  <c r="M35" i="33"/>
  <c r="M45" i="4" s="1"/>
  <c r="K28" i="33"/>
  <c r="J29" i="33"/>
  <c r="J39" i="4" s="1"/>
  <c r="O29" i="33"/>
  <c r="O39" i="4" s="1"/>
  <c r="I30" i="33"/>
  <c r="I40" i="4" s="1"/>
  <c r="M30" i="33"/>
  <c r="M40" i="4" s="1"/>
  <c r="K31" i="33"/>
  <c r="K41" i="4" s="1"/>
  <c r="I32" i="33"/>
  <c r="I42" i="4" s="1"/>
  <c r="M32" i="33"/>
  <c r="M42" i="4" s="1"/>
  <c r="L33" i="33"/>
  <c r="L43" i="4" s="1"/>
  <c r="K34" i="33"/>
  <c r="K44" i="4" s="1"/>
  <c r="J35" i="33"/>
  <c r="J45" i="4" s="1"/>
  <c r="O35" i="33"/>
  <c r="O45" i="4" s="1"/>
  <c r="C28" i="33"/>
  <c r="G28" i="33"/>
  <c r="G38" i="4" s="1"/>
  <c r="C29" i="33"/>
  <c r="C39" i="4" s="1"/>
  <c r="G29" i="33"/>
  <c r="G39" i="4" s="1"/>
  <c r="C30" i="33"/>
  <c r="C40" i="4" s="1"/>
  <c r="G30" i="33"/>
  <c r="G40" i="4" s="1"/>
  <c r="G31" i="33"/>
  <c r="G41" i="4" s="1"/>
  <c r="C32" i="33"/>
  <c r="C42" i="4" s="1"/>
  <c r="C33" i="33"/>
  <c r="C43" i="4" s="1"/>
  <c r="C34" i="33"/>
  <c r="C44" i="4" s="1"/>
  <c r="C35" i="33"/>
  <c r="C45" i="4" s="1"/>
  <c r="D28" i="33"/>
  <c r="D38" i="4" s="1"/>
  <c r="H28" i="33"/>
  <c r="H38" i="4" s="1"/>
  <c r="D29" i="33"/>
  <c r="D39" i="4" s="1"/>
  <c r="H29" i="33"/>
  <c r="H39" i="4" s="1"/>
  <c r="D30" i="33"/>
  <c r="D40" i="4" s="1"/>
  <c r="H30" i="33"/>
  <c r="H40" i="4" s="1"/>
  <c r="D31" i="33"/>
  <c r="D41" i="4" s="1"/>
  <c r="H31" i="33"/>
  <c r="H41" i="4" s="1"/>
  <c r="D32" i="33"/>
  <c r="D42" i="4" s="1"/>
  <c r="D33" i="33"/>
  <c r="D43" i="4" s="1"/>
  <c r="H33" i="33"/>
  <c r="H43" i="4" s="1"/>
  <c r="D34" i="33"/>
  <c r="D44" i="4" s="1"/>
  <c r="H34" i="33"/>
  <c r="H44" i="4" s="1"/>
  <c r="D35" i="33"/>
  <c r="D45" i="4" s="1"/>
  <c r="H35" i="33"/>
  <c r="H45" i="4" s="1"/>
  <c r="E28" i="33"/>
  <c r="E38" i="4" s="1"/>
  <c r="B29" i="33"/>
  <c r="B39" i="4" s="1"/>
  <c r="E29" i="33"/>
  <c r="E39" i="4" s="1"/>
  <c r="B30" i="33"/>
  <c r="B40" i="4" s="1"/>
  <c r="E30" i="33"/>
  <c r="E40" i="4" s="1"/>
  <c r="E31" i="33"/>
  <c r="E41" i="4" s="1"/>
  <c r="B32" i="33"/>
  <c r="B42" i="4" s="1"/>
  <c r="E32" i="33"/>
  <c r="E42" i="4" s="1"/>
  <c r="B33" i="33"/>
  <c r="B43" i="4" s="1"/>
  <c r="E33" i="33"/>
  <c r="E43" i="4" s="1"/>
  <c r="B34" i="33"/>
  <c r="B44" i="4" s="1"/>
  <c r="E34" i="33"/>
  <c r="E44" i="4" s="1"/>
  <c r="B35" i="33"/>
  <c r="B45" i="4" s="1"/>
  <c r="E35" i="33"/>
  <c r="E45" i="4" s="1"/>
  <c r="C31" i="33"/>
  <c r="C41" i="4" s="1"/>
  <c r="G32" i="33"/>
  <c r="G42" i="4" s="1"/>
  <c r="G33" i="33"/>
  <c r="G43" i="4" s="1"/>
  <c r="G34" i="33"/>
  <c r="G44" i="4" s="1"/>
  <c r="G35" i="33"/>
  <c r="G45" i="4" s="1"/>
  <c r="B28" i="33"/>
  <c r="B38" i="4" s="1"/>
  <c r="F28" i="33"/>
  <c r="F38" i="4" s="1"/>
  <c r="F29" i="33"/>
  <c r="F39" i="4" s="1"/>
  <c r="F30" i="33"/>
  <c r="F40" i="4" s="1"/>
  <c r="F31" i="33"/>
  <c r="F41" i="4" s="1"/>
  <c r="F32" i="33"/>
  <c r="F42" i="4" s="1"/>
  <c r="F33" i="33"/>
  <c r="F43" i="4" s="1"/>
  <c r="F34" i="33"/>
  <c r="F44" i="4" s="1"/>
  <c r="U38" i="4"/>
  <c r="Y38" i="4"/>
  <c r="AK38" i="4"/>
  <c r="V38" i="4"/>
  <c r="Z38" i="4"/>
  <c r="AD38" i="4"/>
  <c r="AH38" i="4"/>
  <c r="B22" i="33"/>
  <c r="E22" i="33"/>
  <c r="I45" i="33"/>
  <c r="I52" i="33"/>
  <c r="I27" i="33"/>
  <c r="K38" i="4"/>
  <c r="P46" i="33"/>
  <c r="P53" i="33" s="1"/>
  <c r="P38" i="4"/>
  <c r="P47" i="33"/>
  <c r="P48" i="33" s="1"/>
  <c r="P54" i="33" s="1"/>
  <c r="T38" i="4"/>
  <c r="X38" i="4"/>
  <c r="X47" i="33"/>
  <c r="X48" i="33" s="1"/>
  <c r="X54" i="33" s="1"/>
  <c r="X46" i="33"/>
  <c r="X53" i="33" s="1"/>
  <c r="AB47" i="33"/>
  <c r="AB48" i="33" s="1"/>
  <c r="AB54" i="33" s="1"/>
  <c r="AB38" i="4"/>
  <c r="AB46" i="33"/>
  <c r="AB53" i="33" s="1"/>
  <c r="AF46" i="33"/>
  <c r="AF53" i="33" s="1"/>
  <c r="AF38" i="4"/>
  <c r="AF47" i="33"/>
  <c r="AF48" i="33" s="1"/>
  <c r="AF54" i="33" s="1"/>
  <c r="AJ38" i="4"/>
  <c r="AJ46" i="33"/>
  <c r="AJ53" i="33" s="1"/>
  <c r="AJ47" i="33"/>
  <c r="AJ48" i="33" s="1"/>
  <c r="AJ54" i="33" s="1"/>
  <c r="B27" i="33"/>
  <c r="B52" i="33" s="1"/>
  <c r="L38" i="4"/>
  <c r="Q38" i="4"/>
  <c r="AC46" i="33"/>
  <c r="AC53" i="33" s="1"/>
  <c r="AC38" i="4"/>
  <c r="AG47" i="33"/>
  <c r="AG48" i="33" s="1"/>
  <c r="AG54" i="33" s="1"/>
  <c r="AG38" i="4"/>
  <c r="D27" i="33"/>
  <c r="D52" i="33" s="1"/>
  <c r="I22" i="33"/>
  <c r="E27" i="33"/>
  <c r="E52" i="33" s="1"/>
  <c r="J38" i="4"/>
  <c r="S38" i="4"/>
  <c r="W38" i="4"/>
  <c r="W46" i="33"/>
  <c r="W53" i="33" s="1"/>
  <c r="W47" i="33"/>
  <c r="W48" i="33" s="1"/>
  <c r="W54" i="33" s="1"/>
  <c r="AA38" i="4"/>
  <c r="AA46" i="33"/>
  <c r="AA53" i="33" s="1"/>
  <c r="AA47" i="33"/>
  <c r="AA48" i="33" s="1"/>
  <c r="AA54" i="33" s="1"/>
  <c r="AE38" i="4"/>
  <c r="AE46" i="33"/>
  <c r="AE53" i="33" s="1"/>
  <c r="AE47" i="33"/>
  <c r="AE48" i="33" s="1"/>
  <c r="AE54" i="33" s="1"/>
  <c r="AI38" i="4"/>
  <c r="AI47" i="33"/>
  <c r="AI48" i="33" s="1"/>
  <c r="AI54" i="33" s="1"/>
  <c r="AI46" i="33"/>
  <c r="AI53" i="33" s="1"/>
  <c r="D45" i="33"/>
  <c r="G57" i="33"/>
  <c r="T57" i="33"/>
  <c r="AA57" i="33"/>
  <c r="AI57" i="33"/>
  <c r="H57" i="33"/>
  <c r="O57" i="33"/>
  <c r="U57" i="33"/>
  <c r="AC57" i="33"/>
  <c r="AJ57" i="33"/>
  <c r="C57" i="33"/>
  <c r="J57" i="33"/>
  <c r="P57" i="33"/>
  <c r="X57" i="33"/>
  <c r="AE57" i="33"/>
  <c r="AK57" i="33"/>
  <c r="D57" i="33"/>
  <c r="L57" i="33"/>
  <c r="S57" i="33"/>
  <c r="Y57" i="33"/>
  <c r="AF57" i="33"/>
  <c r="F57" i="33"/>
  <c r="K57" i="33"/>
  <c r="Q57" i="33"/>
  <c r="W57" i="33"/>
  <c r="AB57" i="33"/>
  <c r="AG57" i="33"/>
  <c r="B57" i="33"/>
  <c r="E57" i="33"/>
  <c r="I57" i="33"/>
  <c r="M57" i="33"/>
  <c r="R57" i="33"/>
  <c r="V57" i="33"/>
  <c r="Z57" i="33"/>
  <c r="AD57" i="33"/>
  <c r="AH57" i="33"/>
  <c r="U47" i="33"/>
  <c r="U48" i="33" s="1"/>
  <c r="U54" i="33" s="1"/>
  <c r="Y46" i="33"/>
  <c r="Y53" i="33" s="1"/>
  <c r="Y47" i="33"/>
  <c r="Y48" i="33" s="1"/>
  <c r="Y54" i="33" s="1"/>
  <c r="AK46" i="33"/>
  <c r="AK53" i="33" s="1"/>
  <c r="AK47" i="33"/>
  <c r="AK48" i="33" s="1"/>
  <c r="AK54" i="33" s="1"/>
  <c r="AG46" i="33"/>
  <c r="AG53" i="33" s="1"/>
  <c r="AC47" i="33"/>
  <c r="AC48" i="33" s="1"/>
  <c r="AC54" i="33" s="1"/>
  <c r="F22" i="33"/>
  <c r="Z47" i="33"/>
  <c r="Z48" i="33" s="1"/>
  <c r="Z54" i="33" s="1"/>
  <c r="Z46" i="33"/>
  <c r="Z53" i="33" s="1"/>
  <c r="AD47" i="33"/>
  <c r="AD48" i="33" s="1"/>
  <c r="AD54" i="33" s="1"/>
  <c r="AD46" i="33"/>
  <c r="AD53" i="33" s="1"/>
  <c r="AH47" i="33"/>
  <c r="AH48" i="33" s="1"/>
  <c r="AH54" i="33" s="1"/>
  <c r="AH46" i="33"/>
  <c r="AH53" i="33" s="1"/>
  <c r="F45" i="33"/>
  <c r="G22" i="33"/>
  <c r="G27" i="33"/>
  <c r="G52" i="33" s="1"/>
  <c r="C22" i="33"/>
  <c r="C27" i="33"/>
  <c r="C52" i="33" s="1"/>
  <c r="H27" i="33"/>
  <c r="H52" i="33" s="1"/>
  <c r="H45" i="33"/>
  <c r="U46" i="33" l="1"/>
  <c r="U53" i="33" s="1"/>
  <c r="L47" i="33"/>
  <c r="L48" i="33" s="1"/>
  <c r="L54" i="33" s="1"/>
  <c r="V46" i="33"/>
  <c r="V53" i="33" s="1"/>
  <c r="S47" i="33"/>
  <c r="S48" i="33" s="1"/>
  <c r="S54" i="33" s="1"/>
  <c r="V47" i="33"/>
  <c r="V48" i="33" s="1"/>
  <c r="V54" i="33" s="1"/>
  <c r="S46" i="33"/>
  <c r="S53" i="33" s="1"/>
  <c r="R46" i="33"/>
  <c r="R53" i="33" s="1"/>
  <c r="Q46" i="33"/>
  <c r="Q53" i="33" s="1"/>
  <c r="Q55" i="33" s="1"/>
  <c r="R47" i="33"/>
  <c r="R48" i="33" s="1"/>
  <c r="R54" i="33" s="1"/>
  <c r="B47" i="33"/>
  <c r="T47" i="33"/>
  <c r="T48" i="33" s="1"/>
  <c r="T54" i="33" s="1"/>
  <c r="Q47" i="33"/>
  <c r="Q48" i="33" s="1"/>
  <c r="Q54" i="33" s="1"/>
  <c r="T46" i="33"/>
  <c r="T53" i="33" s="1"/>
  <c r="L46" i="33"/>
  <c r="L53" i="33" s="1"/>
  <c r="O47" i="33"/>
  <c r="O48" i="33" s="1"/>
  <c r="O54" i="33" s="1"/>
  <c r="K46" i="33"/>
  <c r="K53" i="33" s="1"/>
  <c r="M47" i="33"/>
  <c r="M48" i="33" s="1"/>
  <c r="M54" i="33" s="1"/>
  <c r="J47" i="33"/>
  <c r="J48" i="33" s="1"/>
  <c r="J54" i="33" s="1"/>
  <c r="M46" i="33"/>
  <c r="M53" i="33" s="1"/>
  <c r="G46" i="33"/>
  <c r="G53" i="33" s="1"/>
  <c r="B46" i="33"/>
  <c r="B65" i="33" s="1"/>
  <c r="C47" i="33"/>
  <c r="C48" i="33" s="1"/>
  <c r="C54" i="33" s="1"/>
  <c r="I46" i="33"/>
  <c r="I53" i="33" s="1"/>
  <c r="J46" i="33"/>
  <c r="J53" i="33" s="1"/>
  <c r="C46" i="33"/>
  <c r="C53" i="33" s="1"/>
  <c r="I47" i="33"/>
  <c r="I48" i="33" s="1"/>
  <c r="I54" i="33" s="1"/>
  <c r="H46" i="33"/>
  <c r="H53" i="33" s="1"/>
  <c r="O46" i="33"/>
  <c r="O53" i="33" s="1"/>
  <c r="O55" i="33" s="1"/>
  <c r="K47" i="33"/>
  <c r="K48" i="33" s="1"/>
  <c r="K54" i="33" s="1"/>
  <c r="C38" i="4"/>
  <c r="F46" i="33"/>
  <c r="F53" i="33" s="1"/>
  <c r="G47" i="33"/>
  <c r="G48" i="33" s="1"/>
  <c r="G54" i="33" s="1"/>
  <c r="E47" i="33"/>
  <c r="E48" i="33" s="1"/>
  <c r="E54" i="33" s="1"/>
  <c r="H47" i="33"/>
  <c r="H48" i="33" s="1"/>
  <c r="H54" i="33" s="1"/>
  <c r="F47" i="33"/>
  <c r="F48" i="33" s="1"/>
  <c r="F54" i="33" s="1"/>
  <c r="S55" i="33"/>
  <c r="B48" i="33"/>
  <c r="B54" i="33" s="1"/>
  <c r="D47" i="33"/>
  <c r="D48" i="33" s="1"/>
  <c r="D54" i="33" s="1"/>
  <c r="E46" i="33"/>
  <c r="E53" i="33" s="1"/>
  <c r="D46" i="33"/>
  <c r="D53" i="33" s="1"/>
  <c r="AG55" i="33"/>
  <c r="AK55" i="33"/>
  <c r="P55" i="33"/>
  <c r="AH55" i="33"/>
  <c r="R55" i="33"/>
  <c r="O59" i="33"/>
  <c r="J59" i="33"/>
  <c r="F59" i="33"/>
  <c r="I59" i="33"/>
  <c r="D59" i="33"/>
  <c r="H59" i="33"/>
  <c r="M59" i="33"/>
  <c r="G59" i="33"/>
  <c r="L59" i="33"/>
  <c r="E59" i="33"/>
  <c r="K59" i="33"/>
  <c r="C59" i="33"/>
  <c r="AI59" i="33"/>
  <c r="AE59" i="33"/>
  <c r="AA59" i="33"/>
  <c r="W59" i="33"/>
  <c r="S59" i="33"/>
  <c r="AK59" i="33"/>
  <c r="AF59" i="33"/>
  <c r="Z59" i="33"/>
  <c r="U59" i="33"/>
  <c r="P59" i="33"/>
  <c r="AJ59" i="33"/>
  <c r="AC59" i="33"/>
  <c r="V59" i="33"/>
  <c r="AH59" i="33"/>
  <c r="AB59" i="33"/>
  <c r="T59" i="33"/>
  <c r="AG59" i="33"/>
  <c r="Y59" i="33"/>
  <c r="R59" i="33"/>
  <c r="AD59" i="33"/>
  <c r="X59" i="33"/>
  <c r="Q59" i="33"/>
  <c r="V55" i="33" l="1"/>
  <c r="AB55" i="33"/>
  <c r="Y55" i="33"/>
  <c r="T55" i="33"/>
  <c r="B64" i="33"/>
  <c r="AF55" i="33"/>
  <c r="AC55" i="33"/>
  <c r="AJ55" i="33"/>
  <c r="B53" i="33"/>
  <c r="AI55" i="33"/>
  <c r="W55" i="33"/>
  <c r="AE55" i="33"/>
  <c r="Z55" i="33"/>
  <c r="X55" i="33"/>
  <c r="U55" i="33"/>
  <c r="AD55" i="33"/>
  <c r="AA55" i="33"/>
  <c r="M55" i="33"/>
  <c r="V60" i="33"/>
  <c r="V61" i="33" s="1"/>
  <c r="AI60" i="33"/>
  <c r="AI61" i="33" s="1"/>
  <c r="AG60" i="33"/>
  <c r="AG61" i="33" s="1"/>
  <c r="S60" i="33"/>
  <c r="S61" i="33" s="1"/>
  <c r="AD60" i="33"/>
  <c r="AD61" i="33" s="1"/>
  <c r="X60" i="33"/>
  <c r="X61" i="33" s="1"/>
  <c r="U60" i="33"/>
  <c r="U61" i="33" s="1"/>
  <c r="T60" i="33"/>
  <c r="T61" i="33" s="1"/>
  <c r="AC60" i="33"/>
  <c r="AC61" i="33" s="1"/>
  <c r="Z60" i="33"/>
  <c r="Z61" i="33" s="1"/>
  <c r="W60" i="33"/>
  <c r="W61" i="33" s="1"/>
  <c r="R60" i="33"/>
  <c r="R61" i="33" s="1"/>
  <c r="AB60" i="33"/>
  <c r="AB61" i="33" s="1"/>
  <c r="AJ60" i="33"/>
  <c r="AJ61" i="33" s="1"/>
  <c r="AF60" i="33"/>
  <c r="AF61" i="33" s="1"/>
  <c r="AA60" i="33"/>
  <c r="AA61" i="33" s="1"/>
  <c r="Q60" i="33"/>
  <c r="Q61" i="33" s="1"/>
  <c r="Y60" i="33"/>
  <c r="Y61" i="33" s="1"/>
  <c r="AH60" i="33"/>
  <c r="AH61" i="33" s="1"/>
  <c r="P60" i="33"/>
  <c r="P61" i="33" s="1"/>
  <c r="AK60" i="33"/>
  <c r="AK61" i="33" s="1"/>
  <c r="AE60" i="33"/>
  <c r="AE61" i="33" s="1"/>
  <c r="J60" i="33"/>
  <c r="J61" i="33" s="1"/>
  <c r="C60" i="33"/>
  <c r="C61" i="33" s="1"/>
  <c r="E60" i="33"/>
  <c r="E61" i="33" s="1"/>
  <c r="G60" i="33"/>
  <c r="G61" i="33" s="1"/>
  <c r="H60" i="33"/>
  <c r="H61" i="33" s="1"/>
  <c r="D60" i="33"/>
  <c r="D61" i="33" s="1"/>
  <c r="O60" i="33"/>
  <c r="O61" i="33" s="1"/>
  <c r="K60" i="33"/>
  <c r="K61" i="33" s="1"/>
  <c r="L60" i="33"/>
  <c r="L61" i="33" s="1"/>
  <c r="M60" i="33"/>
  <c r="M61" i="33" s="1"/>
  <c r="I60" i="33"/>
  <c r="I61" i="33" s="1"/>
  <c r="F60" i="33"/>
  <c r="F61" i="33" s="1"/>
  <c r="D55" i="33"/>
  <c r="B55" i="33"/>
  <c r="K55" i="33"/>
  <c r="L55" i="33"/>
  <c r="G55" i="33"/>
  <c r="F55" i="33"/>
  <c r="C55" i="33"/>
  <c r="J55" i="33"/>
  <c r="H55" i="33"/>
  <c r="I55" i="33"/>
  <c r="E55" i="33"/>
  <c r="M4" i="33" l="1"/>
  <c r="L4" i="33" l="1"/>
  <c r="L22" i="33" s="1"/>
  <c r="K4" i="33"/>
  <c r="K22" i="33" s="1"/>
  <c r="J4" i="33"/>
  <c r="J52" i="33" s="1"/>
  <c r="M45" i="33"/>
  <c r="M52" i="33"/>
  <c r="M27" i="33"/>
  <c r="M22" i="33"/>
  <c r="K45" i="33"/>
  <c r="K52" i="33" l="1"/>
  <c r="K27" i="33"/>
  <c r="O4" i="33"/>
  <c r="O4" i="23"/>
  <c r="O4" i="1"/>
  <c r="Q4" i="1"/>
  <c r="Q4" i="33"/>
  <c r="Q4" i="23"/>
  <c r="P4" i="33"/>
  <c r="P4" i="23"/>
  <c r="P4" i="1"/>
  <c r="J22" i="33"/>
  <c r="L52" i="33"/>
  <c r="J45" i="33"/>
  <c r="L27" i="33"/>
  <c r="J27" i="33"/>
  <c r="L45" i="33"/>
  <c r="A4" i="28"/>
  <c r="A5" i="28"/>
  <c r="A6" i="28"/>
  <c r="A7" i="28"/>
  <c r="A8" i="28"/>
  <c r="A9" i="28"/>
  <c r="A10" i="28"/>
  <c r="A11" i="28"/>
  <c r="A12" i="28"/>
  <c r="A13" i="28"/>
  <c r="A14" i="28"/>
  <c r="A15" i="28"/>
  <c r="B4" i="28"/>
  <c r="B5" i="28"/>
  <c r="B6" i="28"/>
  <c r="B7" i="28"/>
  <c r="B8" i="28"/>
  <c r="B9" i="28"/>
  <c r="B10" i="28"/>
  <c r="B11" i="28"/>
  <c r="B12" i="28"/>
  <c r="B13" i="28"/>
  <c r="B14" i="28"/>
  <c r="B15" i="28"/>
  <c r="A3" i="28"/>
  <c r="B2" i="28"/>
  <c r="B3" i="28"/>
  <c r="A2" i="28"/>
  <c r="D2" i="28" s="1"/>
  <c r="Q22" i="33" l="1"/>
  <c r="Q45" i="33"/>
  <c r="Q27" i="33"/>
  <c r="Q52" i="33" s="1"/>
  <c r="O27" i="33"/>
  <c r="O52" i="33" s="1"/>
  <c r="O22" i="33"/>
  <c r="O45" i="33"/>
  <c r="P22" i="33"/>
  <c r="P45" i="33"/>
  <c r="P27" i="33"/>
  <c r="P52" i="33" s="1"/>
  <c r="B3" i="27"/>
  <c r="G9" i="27" l="1"/>
  <c r="G10" i="27" s="1"/>
  <c r="E9" i="27"/>
  <c r="E10" i="27" s="1"/>
  <c r="F9" i="27"/>
  <c r="F10" i="27" s="1"/>
  <c r="G6" i="22" l="1"/>
  <c r="G31" i="22" l="1"/>
  <c r="G30" i="22"/>
  <c r="M4" i="28" l="1"/>
  <c r="M8" i="28"/>
  <c r="M12" i="28"/>
  <c r="M5" i="28"/>
  <c r="M9" i="28"/>
  <c r="M13" i="28"/>
  <c r="M6" i="28"/>
  <c r="M10" i="28"/>
  <c r="M14" i="28"/>
  <c r="M3" i="28"/>
  <c r="M7" i="28"/>
  <c r="M11" i="28"/>
  <c r="M15" i="28"/>
  <c r="M2" i="28"/>
  <c r="N4" i="28"/>
  <c r="N8" i="28"/>
  <c r="N12" i="28"/>
  <c r="N3" i="28"/>
  <c r="N5" i="28"/>
  <c r="N9" i="28"/>
  <c r="N13" i="28"/>
  <c r="N2" i="28"/>
  <c r="N6" i="28"/>
  <c r="N10" i="28"/>
  <c r="N14" i="28"/>
  <c r="N7" i="28"/>
  <c r="N11" i="28"/>
  <c r="N15" i="28"/>
  <c r="H14" i="22"/>
  <c r="H24" i="22"/>
  <c r="H26" i="22"/>
  <c r="B3" i="12"/>
  <c r="Q9" i="12" s="1"/>
  <c r="Q10" i="12" s="1"/>
  <c r="P22" i="1"/>
  <c r="Q45" i="1"/>
  <c r="W28" i="23"/>
  <c r="W22" i="4" s="1"/>
  <c r="X28" i="23"/>
  <c r="Y28" i="23"/>
  <c r="Z28" i="23"/>
  <c r="AA28" i="23"/>
  <c r="AA22" i="4" s="1"/>
  <c r="AB28" i="23"/>
  <c r="AC28" i="23"/>
  <c r="AD28" i="23"/>
  <c r="AE28" i="23"/>
  <c r="AE22" i="4" s="1"/>
  <c r="AF28" i="23"/>
  <c r="AG28" i="23"/>
  <c r="AH28" i="23"/>
  <c r="AI28" i="23"/>
  <c r="AJ28" i="23"/>
  <c r="AK28" i="23"/>
  <c r="W29" i="23"/>
  <c r="W23" i="4" s="1"/>
  <c r="X29" i="23"/>
  <c r="X23" i="4" s="1"/>
  <c r="Y29" i="23"/>
  <c r="Y23" i="4" s="1"/>
  <c r="Z29" i="23"/>
  <c r="Z23" i="4" s="1"/>
  <c r="AA29" i="23"/>
  <c r="AB29" i="23"/>
  <c r="AC29" i="23"/>
  <c r="AC23" i="4" s="1"/>
  <c r="AD29" i="23"/>
  <c r="AD23" i="4" s="1"/>
  <c r="AE29" i="23"/>
  <c r="AE23" i="4" s="1"/>
  <c r="AF29" i="23"/>
  <c r="AF23" i="4" s="1"/>
  <c r="AG29" i="23"/>
  <c r="AG23" i="4" s="1"/>
  <c r="AH29" i="23"/>
  <c r="AH23" i="4" s="1"/>
  <c r="AI29" i="23"/>
  <c r="AI23" i="4" s="1"/>
  <c r="AJ29" i="23"/>
  <c r="AJ23" i="4" s="1"/>
  <c r="AK29" i="23"/>
  <c r="AK23" i="4" s="1"/>
  <c r="V30" i="23"/>
  <c r="V24" i="4" s="1"/>
  <c r="W30" i="23"/>
  <c r="W24" i="4" s="1"/>
  <c r="X30" i="23"/>
  <c r="Y30" i="23"/>
  <c r="Y24" i="4" s="1"/>
  <c r="Z30" i="23"/>
  <c r="Z24" i="4" s="1"/>
  <c r="AA30" i="23"/>
  <c r="AA24" i="4" s="1"/>
  <c r="AB30" i="23"/>
  <c r="AC30" i="23"/>
  <c r="AC24" i="4" s="1"/>
  <c r="AD30" i="23"/>
  <c r="AD24" i="4" s="1"/>
  <c r="AE30" i="23"/>
  <c r="AE24" i="4" s="1"/>
  <c r="AF30" i="23"/>
  <c r="AF24" i="4" s="1"/>
  <c r="AG30" i="23"/>
  <c r="AG24" i="4" s="1"/>
  <c r="AH30" i="23"/>
  <c r="AH24" i="4" s="1"/>
  <c r="AI30" i="23"/>
  <c r="AI24" i="4" s="1"/>
  <c r="AJ30" i="23"/>
  <c r="AJ24" i="4" s="1"/>
  <c r="AK30" i="23"/>
  <c r="AK24" i="4" s="1"/>
  <c r="P31" i="23"/>
  <c r="P25" i="4" s="1"/>
  <c r="W31" i="23"/>
  <c r="W25" i="4" s="1"/>
  <c r="X31" i="23"/>
  <c r="X25" i="4" s="1"/>
  <c r="Y31" i="23"/>
  <c r="Y25" i="4" s="1"/>
  <c r="Z31" i="23"/>
  <c r="AA31" i="23"/>
  <c r="AA25" i="4" s="1"/>
  <c r="AB31" i="23"/>
  <c r="AB25" i="4" s="1"/>
  <c r="AC31" i="23"/>
  <c r="AC25" i="4" s="1"/>
  <c r="AD31" i="23"/>
  <c r="AD25" i="4" s="1"/>
  <c r="AE31" i="23"/>
  <c r="AE25" i="4" s="1"/>
  <c r="AF31" i="23"/>
  <c r="AF25" i="4" s="1"/>
  <c r="AG31" i="23"/>
  <c r="AG25" i="4" s="1"/>
  <c r="AH31" i="23"/>
  <c r="AH25" i="4" s="1"/>
  <c r="AI31" i="23"/>
  <c r="AI25" i="4" s="1"/>
  <c r="AJ31" i="23"/>
  <c r="AJ25" i="4" s="1"/>
  <c r="AK31" i="23"/>
  <c r="AK25" i="4" s="1"/>
  <c r="Q32" i="23"/>
  <c r="Q26" i="4" s="1"/>
  <c r="R32" i="23"/>
  <c r="R26" i="4" s="1"/>
  <c r="W32" i="23"/>
  <c r="W26" i="4" s="1"/>
  <c r="X32" i="23"/>
  <c r="Y32" i="23"/>
  <c r="Y26" i="4" s="1"/>
  <c r="Z32" i="23"/>
  <c r="Z26" i="4" s="1"/>
  <c r="AA32" i="23"/>
  <c r="AA26" i="4" s="1"/>
  <c r="AB32" i="23"/>
  <c r="AB26" i="4" s="1"/>
  <c r="AC32" i="23"/>
  <c r="AC26" i="4" s="1"/>
  <c r="AD32" i="23"/>
  <c r="AD26" i="4" s="1"/>
  <c r="AE32" i="23"/>
  <c r="AE26" i="4" s="1"/>
  <c r="AF32" i="23"/>
  <c r="AF26" i="4" s="1"/>
  <c r="AG32" i="23"/>
  <c r="AG26" i="4" s="1"/>
  <c r="AH32" i="23"/>
  <c r="AH26" i="4" s="1"/>
  <c r="AI32" i="23"/>
  <c r="AI26" i="4" s="1"/>
  <c r="AJ32" i="23"/>
  <c r="AJ26" i="4" s="1"/>
  <c r="AK32" i="23"/>
  <c r="AK26" i="4" s="1"/>
  <c r="S33" i="23"/>
  <c r="S27" i="4" s="1"/>
  <c r="W33" i="23"/>
  <c r="W27" i="4" s="1"/>
  <c r="X33" i="23"/>
  <c r="Y33" i="23"/>
  <c r="Y27" i="4" s="1"/>
  <c r="Z33" i="23"/>
  <c r="Z27" i="4" s="1"/>
  <c r="AA33" i="23"/>
  <c r="AA27" i="4" s="1"/>
  <c r="AB33" i="23"/>
  <c r="AC33" i="23"/>
  <c r="AC27" i="4" s="1"/>
  <c r="AD33" i="23"/>
  <c r="AD27" i="4" s="1"/>
  <c r="AE33" i="23"/>
  <c r="AE27" i="4" s="1"/>
  <c r="AF33" i="23"/>
  <c r="AF27" i="4" s="1"/>
  <c r="AG33" i="23"/>
  <c r="AG27" i="4" s="1"/>
  <c r="AH33" i="23"/>
  <c r="AH27" i="4" s="1"/>
  <c r="AI33" i="23"/>
  <c r="AI27" i="4" s="1"/>
  <c r="AJ33" i="23"/>
  <c r="AJ27" i="4" s="1"/>
  <c r="AK33" i="23"/>
  <c r="AK27" i="4" s="1"/>
  <c r="W34" i="23"/>
  <c r="W28" i="4" s="1"/>
  <c r="X34" i="23"/>
  <c r="X28" i="4" s="1"/>
  <c r="Y34" i="23"/>
  <c r="Y28" i="4" s="1"/>
  <c r="Z34" i="23"/>
  <c r="Z28" i="4" s="1"/>
  <c r="AA34" i="23"/>
  <c r="AA28" i="4" s="1"/>
  <c r="AB34" i="23"/>
  <c r="AB28" i="4" s="1"/>
  <c r="AC34" i="23"/>
  <c r="AC28" i="4" s="1"/>
  <c r="AD34" i="23"/>
  <c r="AD28" i="4" s="1"/>
  <c r="AE34" i="23"/>
  <c r="AE28" i="4" s="1"/>
  <c r="AF34" i="23"/>
  <c r="AF28" i="4" s="1"/>
  <c r="AG34" i="23"/>
  <c r="AG28" i="4" s="1"/>
  <c r="AH34" i="23"/>
  <c r="AH28" i="4" s="1"/>
  <c r="AI34" i="23"/>
  <c r="AI28" i="4" s="1"/>
  <c r="AJ34" i="23"/>
  <c r="AJ28" i="4" s="1"/>
  <c r="AK34" i="23"/>
  <c r="AK28" i="4" s="1"/>
  <c r="W35" i="23"/>
  <c r="W29" i="4" s="1"/>
  <c r="X35" i="23"/>
  <c r="X29" i="4" s="1"/>
  <c r="Y35" i="23"/>
  <c r="Y29" i="4" s="1"/>
  <c r="Z35" i="23"/>
  <c r="Z29" i="4" s="1"/>
  <c r="AA35" i="23"/>
  <c r="AA29" i="4" s="1"/>
  <c r="AB35" i="23"/>
  <c r="AB29" i="4" s="1"/>
  <c r="AC35" i="23"/>
  <c r="AC29" i="4" s="1"/>
  <c r="AD35" i="23"/>
  <c r="AD29" i="4" s="1"/>
  <c r="AE35" i="23"/>
  <c r="AE29" i="4" s="1"/>
  <c r="AF35" i="23"/>
  <c r="AF29" i="4" s="1"/>
  <c r="AG35" i="23"/>
  <c r="AG29" i="4" s="1"/>
  <c r="AH35" i="23"/>
  <c r="AH29" i="4" s="1"/>
  <c r="AI35" i="23"/>
  <c r="AI29" i="4" s="1"/>
  <c r="AJ35" i="23"/>
  <c r="AJ29" i="4" s="1"/>
  <c r="AK35" i="23"/>
  <c r="AK29" i="4" s="1"/>
  <c r="P36" i="23"/>
  <c r="P30" i="4" s="1"/>
  <c r="Q36" i="23"/>
  <c r="Q30" i="4" s="1"/>
  <c r="R36" i="23"/>
  <c r="R30" i="4" s="1"/>
  <c r="S36" i="23"/>
  <c r="S30" i="4" s="1"/>
  <c r="T36" i="23"/>
  <c r="T30" i="4" s="1"/>
  <c r="U36" i="23"/>
  <c r="U30" i="4" s="1"/>
  <c r="V36" i="23"/>
  <c r="V30" i="4" s="1"/>
  <c r="W36" i="23"/>
  <c r="W30" i="4" s="1"/>
  <c r="X36" i="23"/>
  <c r="X30" i="4" s="1"/>
  <c r="Y36" i="23"/>
  <c r="Y30" i="4" s="1"/>
  <c r="Z36" i="23"/>
  <c r="Z30" i="4" s="1"/>
  <c r="AA36" i="23"/>
  <c r="AA30" i="4" s="1"/>
  <c r="AB36" i="23"/>
  <c r="AB30" i="4" s="1"/>
  <c r="AC36" i="23"/>
  <c r="AC30" i="4" s="1"/>
  <c r="AD36" i="23"/>
  <c r="AD30" i="4" s="1"/>
  <c r="AE36" i="23"/>
  <c r="AE30" i="4" s="1"/>
  <c r="AF36" i="23"/>
  <c r="AF30" i="4" s="1"/>
  <c r="AG36" i="23"/>
  <c r="AG30" i="4" s="1"/>
  <c r="AH36" i="23"/>
  <c r="AI36" i="23"/>
  <c r="AI30" i="4" s="1"/>
  <c r="AJ36" i="23"/>
  <c r="AJ30" i="4" s="1"/>
  <c r="AK36" i="23"/>
  <c r="AK30" i="4" s="1"/>
  <c r="P37" i="23"/>
  <c r="P31" i="4" s="1"/>
  <c r="Q37" i="23"/>
  <c r="Q31" i="4" s="1"/>
  <c r="R37" i="23"/>
  <c r="R31" i="4" s="1"/>
  <c r="S37" i="23"/>
  <c r="S31" i="4" s="1"/>
  <c r="T37" i="23"/>
  <c r="T31" i="4" s="1"/>
  <c r="U37" i="23"/>
  <c r="U31" i="4" s="1"/>
  <c r="V37" i="23"/>
  <c r="V31" i="4" s="1"/>
  <c r="W37" i="23"/>
  <c r="W31" i="4" s="1"/>
  <c r="X37" i="23"/>
  <c r="X31" i="4" s="1"/>
  <c r="Y37" i="23"/>
  <c r="Y31" i="4" s="1"/>
  <c r="Z37" i="23"/>
  <c r="Z31" i="4" s="1"/>
  <c r="AA37" i="23"/>
  <c r="AA31" i="4" s="1"/>
  <c r="AB37" i="23"/>
  <c r="AB31" i="4" s="1"/>
  <c r="AC37" i="23"/>
  <c r="AC31" i="4" s="1"/>
  <c r="AD37" i="23"/>
  <c r="AD31" i="4" s="1"/>
  <c r="AE37" i="23"/>
  <c r="AE31" i="4" s="1"/>
  <c r="AF37" i="23"/>
  <c r="AF31" i="4" s="1"/>
  <c r="AG37" i="23"/>
  <c r="AG31" i="4" s="1"/>
  <c r="AH37" i="23"/>
  <c r="AH31" i="4" s="1"/>
  <c r="AI37" i="23"/>
  <c r="AI31" i="4" s="1"/>
  <c r="AJ37" i="23"/>
  <c r="AJ31" i="4" s="1"/>
  <c r="AK37" i="23"/>
  <c r="AK31" i="4" s="1"/>
  <c r="P38" i="23"/>
  <c r="P32" i="4" s="1"/>
  <c r="Q38" i="23"/>
  <c r="Q32" i="4" s="1"/>
  <c r="R38" i="23"/>
  <c r="R32" i="4" s="1"/>
  <c r="S38" i="23"/>
  <c r="S32" i="4" s="1"/>
  <c r="T38" i="23"/>
  <c r="T32" i="4" s="1"/>
  <c r="U38" i="23"/>
  <c r="U32" i="4" s="1"/>
  <c r="V38" i="23"/>
  <c r="V32" i="4" s="1"/>
  <c r="W38" i="23"/>
  <c r="W32" i="4" s="1"/>
  <c r="X38" i="23"/>
  <c r="X32" i="4" s="1"/>
  <c r="Y38" i="23"/>
  <c r="Y32" i="4" s="1"/>
  <c r="Z38" i="23"/>
  <c r="Z32" i="4" s="1"/>
  <c r="AA38" i="23"/>
  <c r="AA32" i="4" s="1"/>
  <c r="AB38" i="23"/>
  <c r="AB32" i="4" s="1"/>
  <c r="AC38" i="23"/>
  <c r="AC32" i="4" s="1"/>
  <c r="AD38" i="23"/>
  <c r="AD32" i="4" s="1"/>
  <c r="AE38" i="23"/>
  <c r="AE32" i="4" s="1"/>
  <c r="AF38" i="23"/>
  <c r="AF32" i="4" s="1"/>
  <c r="AG38" i="23"/>
  <c r="AG32" i="4" s="1"/>
  <c r="AH38" i="23"/>
  <c r="AH32" i="4" s="1"/>
  <c r="AI38" i="23"/>
  <c r="AI32" i="4" s="1"/>
  <c r="AJ38" i="23"/>
  <c r="AJ32" i="4" s="1"/>
  <c r="AK38" i="23"/>
  <c r="AK32" i="4" s="1"/>
  <c r="P39" i="23"/>
  <c r="P33" i="4" s="1"/>
  <c r="Q39" i="23"/>
  <c r="Q33" i="4" s="1"/>
  <c r="R39" i="23"/>
  <c r="R33" i="4" s="1"/>
  <c r="S39" i="23"/>
  <c r="S33" i="4" s="1"/>
  <c r="T39" i="23"/>
  <c r="T33" i="4" s="1"/>
  <c r="U39" i="23"/>
  <c r="U33" i="4" s="1"/>
  <c r="V39" i="23"/>
  <c r="W39" i="23"/>
  <c r="W33" i="4" s="1"/>
  <c r="X39" i="23"/>
  <c r="X33" i="4" s="1"/>
  <c r="Y39" i="23"/>
  <c r="Y33" i="4" s="1"/>
  <c r="Z39" i="23"/>
  <c r="Z33" i="4" s="1"/>
  <c r="AA39" i="23"/>
  <c r="AA33" i="4" s="1"/>
  <c r="AB39" i="23"/>
  <c r="AB33" i="4" s="1"/>
  <c r="AC39" i="23"/>
  <c r="AC33" i="4" s="1"/>
  <c r="AD39" i="23"/>
  <c r="AD33" i="4" s="1"/>
  <c r="AE39" i="23"/>
  <c r="AE33" i="4" s="1"/>
  <c r="AF39" i="23"/>
  <c r="AF33" i="4" s="1"/>
  <c r="AG39" i="23"/>
  <c r="AG33" i="4" s="1"/>
  <c r="AH39" i="23"/>
  <c r="AH33" i="4" s="1"/>
  <c r="AI39" i="23"/>
  <c r="AI33" i="4" s="1"/>
  <c r="AJ39" i="23"/>
  <c r="AJ33" i="4" s="1"/>
  <c r="AK39" i="23"/>
  <c r="AK33" i="4" s="1"/>
  <c r="P40" i="23"/>
  <c r="P34" i="4" s="1"/>
  <c r="Q40" i="23"/>
  <c r="Q34" i="4" s="1"/>
  <c r="R40" i="23"/>
  <c r="R34" i="4" s="1"/>
  <c r="S40" i="23"/>
  <c r="S34" i="4" s="1"/>
  <c r="T40" i="23"/>
  <c r="U40" i="23"/>
  <c r="U34" i="4" s="1"/>
  <c r="V40" i="23"/>
  <c r="V34" i="4" s="1"/>
  <c r="W40" i="23"/>
  <c r="W34" i="4" s="1"/>
  <c r="X40" i="23"/>
  <c r="X34" i="4" s="1"/>
  <c r="Y40" i="23"/>
  <c r="Y34" i="4" s="1"/>
  <c r="Z40" i="23"/>
  <c r="Z34" i="4" s="1"/>
  <c r="AA40" i="23"/>
  <c r="AA34" i="4" s="1"/>
  <c r="AB40" i="23"/>
  <c r="AC40" i="23"/>
  <c r="AC34" i="4" s="1"/>
  <c r="AD40" i="23"/>
  <c r="AD34" i="4" s="1"/>
  <c r="AE40" i="23"/>
  <c r="AE34" i="4" s="1"/>
  <c r="AF40" i="23"/>
  <c r="AF34" i="4" s="1"/>
  <c r="AG40" i="23"/>
  <c r="AG34" i="4" s="1"/>
  <c r="AH40" i="23"/>
  <c r="AH34" i="4" s="1"/>
  <c r="AI40" i="23"/>
  <c r="AI34" i="4" s="1"/>
  <c r="AJ40" i="23"/>
  <c r="AJ34" i="4" s="1"/>
  <c r="AK40" i="23"/>
  <c r="AK34" i="4" s="1"/>
  <c r="P41" i="23"/>
  <c r="P35" i="4" s="1"/>
  <c r="Q41" i="23"/>
  <c r="Q35" i="4" s="1"/>
  <c r="R41" i="23"/>
  <c r="R35" i="4" s="1"/>
  <c r="S41" i="23"/>
  <c r="S35" i="4" s="1"/>
  <c r="T41" i="23"/>
  <c r="T35" i="4" s="1"/>
  <c r="U41" i="23"/>
  <c r="U35" i="4" s="1"/>
  <c r="V41" i="23"/>
  <c r="W41" i="23"/>
  <c r="W35" i="4" s="1"/>
  <c r="X41" i="23"/>
  <c r="X35" i="4" s="1"/>
  <c r="Y41" i="23"/>
  <c r="Y35" i="4" s="1"/>
  <c r="Z41" i="23"/>
  <c r="Z35" i="4" s="1"/>
  <c r="AA41" i="23"/>
  <c r="AA35" i="4" s="1"/>
  <c r="AB41" i="23"/>
  <c r="AB35" i="4" s="1"/>
  <c r="AC41" i="23"/>
  <c r="AC35" i="4" s="1"/>
  <c r="AD41" i="23"/>
  <c r="AE41" i="23"/>
  <c r="AE35" i="4" s="1"/>
  <c r="AF41" i="23"/>
  <c r="AF35" i="4" s="1"/>
  <c r="AG41" i="23"/>
  <c r="AG35" i="4" s="1"/>
  <c r="AH41" i="23"/>
  <c r="AH35" i="4" s="1"/>
  <c r="AI41" i="23"/>
  <c r="AI35" i="4" s="1"/>
  <c r="AJ41" i="23"/>
  <c r="AJ35" i="4" s="1"/>
  <c r="AK41" i="23"/>
  <c r="AK35" i="4" s="1"/>
  <c r="P42" i="23"/>
  <c r="P36" i="4" s="1"/>
  <c r="Q42" i="23"/>
  <c r="Q36" i="4" s="1"/>
  <c r="R42" i="23"/>
  <c r="R36" i="4" s="1"/>
  <c r="S42" i="23"/>
  <c r="S36" i="4" s="1"/>
  <c r="T42" i="23"/>
  <c r="T36" i="4" s="1"/>
  <c r="U42" i="23"/>
  <c r="U36" i="4" s="1"/>
  <c r="V42" i="23"/>
  <c r="V36" i="4" s="1"/>
  <c r="W42" i="23"/>
  <c r="W36" i="4" s="1"/>
  <c r="X42" i="23"/>
  <c r="X36" i="4" s="1"/>
  <c r="Y42" i="23"/>
  <c r="Y36" i="4" s="1"/>
  <c r="Z42" i="23"/>
  <c r="Z36" i="4" s="1"/>
  <c r="AA42" i="23"/>
  <c r="AA36" i="4" s="1"/>
  <c r="AB42" i="23"/>
  <c r="AB36" i="4" s="1"/>
  <c r="AC42" i="23"/>
  <c r="AC36" i="4" s="1"/>
  <c r="AD42" i="23"/>
  <c r="AD36" i="4" s="1"/>
  <c r="AE42" i="23"/>
  <c r="AE36" i="4" s="1"/>
  <c r="AF42" i="23"/>
  <c r="AF36" i="4" s="1"/>
  <c r="AG42" i="23"/>
  <c r="AG36" i="4" s="1"/>
  <c r="AH42" i="23"/>
  <c r="AH36" i="4" s="1"/>
  <c r="AI42" i="23"/>
  <c r="AI36" i="4" s="1"/>
  <c r="AJ42" i="23"/>
  <c r="AJ36" i="4" s="1"/>
  <c r="AK42" i="23"/>
  <c r="AK36" i="4" s="1"/>
  <c r="P43" i="23"/>
  <c r="Q43" i="23"/>
  <c r="Q37" i="4" s="1"/>
  <c r="R43" i="23"/>
  <c r="S43" i="23"/>
  <c r="T43" i="23"/>
  <c r="U43" i="23"/>
  <c r="U37" i="4" s="1"/>
  <c r="V43" i="23"/>
  <c r="W43" i="23"/>
  <c r="X43" i="23"/>
  <c r="Y43" i="23"/>
  <c r="Y37" i="4" s="1"/>
  <c r="Z43" i="23"/>
  <c r="AA43" i="23"/>
  <c r="AB43" i="23"/>
  <c r="AC43" i="23"/>
  <c r="AC37" i="4" s="1"/>
  <c r="AD43" i="23"/>
  <c r="AE43" i="23"/>
  <c r="AF43" i="23"/>
  <c r="AG43" i="23"/>
  <c r="AH43" i="23"/>
  <c r="AI43" i="23"/>
  <c r="AJ43" i="23"/>
  <c r="AK43" i="23"/>
  <c r="O36" i="23"/>
  <c r="O30" i="4" s="1"/>
  <c r="K36" i="23"/>
  <c r="K30" i="4" s="1"/>
  <c r="L36" i="23"/>
  <c r="L30" i="4" s="1"/>
  <c r="M36" i="23"/>
  <c r="M30" i="4" s="1"/>
  <c r="K37" i="23"/>
  <c r="K31" i="4" s="1"/>
  <c r="L37" i="23"/>
  <c r="L31" i="4" s="1"/>
  <c r="M37" i="23"/>
  <c r="M31" i="4" s="1"/>
  <c r="K38" i="23"/>
  <c r="K32" i="4" s="1"/>
  <c r="L38" i="23"/>
  <c r="L32" i="4" s="1"/>
  <c r="M38" i="23"/>
  <c r="M32" i="4" s="1"/>
  <c r="K39" i="23"/>
  <c r="K33" i="4" s="1"/>
  <c r="L39" i="23"/>
  <c r="L33" i="4" s="1"/>
  <c r="M39" i="23"/>
  <c r="M33" i="4" s="1"/>
  <c r="K40" i="23"/>
  <c r="K34" i="4" s="1"/>
  <c r="L40" i="23"/>
  <c r="L34" i="4" s="1"/>
  <c r="M40" i="23"/>
  <c r="M34" i="4" s="1"/>
  <c r="K41" i="23"/>
  <c r="K35" i="4" s="1"/>
  <c r="L41" i="23"/>
  <c r="L35" i="4" s="1"/>
  <c r="M41" i="23"/>
  <c r="M35" i="4" s="1"/>
  <c r="K42" i="23"/>
  <c r="K36" i="4" s="1"/>
  <c r="L42" i="23"/>
  <c r="L36" i="4" s="1"/>
  <c r="M42" i="23"/>
  <c r="M36" i="4" s="1"/>
  <c r="K43" i="23"/>
  <c r="L43" i="23"/>
  <c r="M43" i="23"/>
  <c r="W28" i="1"/>
  <c r="X28" i="1"/>
  <c r="Y28" i="1"/>
  <c r="Z28" i="1"/>
  <c r="AA28" i="1"/>
  <c r="AB28" i="1"/>
  <c r="AC28" i="1"/>
  <c r="AD28" i="1"/>
  <c r="AE28" i="1"/>
  <c r="AF28" i="1"/>
  <c r="AG28" i="1"/>
  <c r="AH28" i="1"/>
  <c r="AI28" i="1"/>
  <c r="AJ28" i="1"/>
  <c r="AK28" i="1"/>
  <c r="W29" i="1"/>
  <c r="W7" i="4" s="1"/>
  <c r="X29" i="1"/>
  <c r="Y29" i="1"/>
  <c r="Y7" i="4" s="1"/>
  <c r="Z29" i="1"/>
  <c r="Z7" i="4" s="1"/>
  <c r="AA29" i="1"/>
  <c r="AA7" i="4" s="1"/>
  <c r="AB29" i="1"/>
  <c r="AB7" i="4" s="1"/>
  <c r="AC29" i="1"/>
  <c r="AC7" i="4" s="1"/>
  <c r="AD29" i="1"/>
  <c r="AD7" i="4" s="1"/>
  <c r="AE29" i="1"/>
  <c r="AE7" i="4" s="1"/>
  <c r="AF29" i="1"/>
  <c r="AF7" i="4" s="1"/>
  <c r="AG29" i="1"/>
  <c r="AG7" i="4" s="1"/>
  <c r="AH29" i="1"/>
  <c r="AH7" i="4" s="1"/>
  <c r="AI29" i="1"/>
  <c r="AI7" i="4" s="1"/>
  <c r="AJ29" i="1"/>
  <c r="AJ7" i="4" s="1"/>
  <c r="AK29" i="1"/>
  <c r="AK7" i="4" s="1"/>
  <c r="W30" i="1"/>
  <c r="W8" i="4" s="1"/>
  <c r="X30" i="1"/>
  <c r="X8" i="4" s="1"/>
  <c r="Y30" i="1"/>
  <c r="Y8" i="4" s="1"/>
  <c r="Z30" i="1"/>
  <c r="Z8" i="4" s="1"/>
  <c r="AA30" i="1"/>
  <c r="AA8" i="4" s="1"/>
  <c r="AB30" i="1"/>
  <c r="AB8" i="4" s="1"/>
  <c r="AC30" i="1"/>
  <c r="AC8" i="4" s="1"/>
  <c r="AD30" i="1"/>
  <c r="AD8" i="4" s="1"/>
  <c r="AE30" i="1"/>
  <c r="AE8" i="4" s="1"/>
  <c r="AF30" i="1"/>
  <c r="AF8" i="4" s="1"/>
  <c r="AG30" i="1"/>
  <c r="AG8" i="4" s="1"/>
  <c r="AH30" i="1"/>
  <c r="AH8" i="4" s="1"/>
  <c r="AI30" i="1"/>
  <c r="AI8" i="4" s="1"/>
  <c r="AJ30" i="1"/>
  <c r="AJ8" i="4" s="1"/>
  <c r="AK30" i="1"/>
  <c r="AK8" i="4" s="1"/>
  <c r="W31" i="1"/>
  <c r="W9" i="4" s="1"/>
  <c r="X31" i="1"/>
  <c r="X9" i="4" s="1"/>
  <c r="Y31" i="1"/>
  <c r="Y9" i="4" s="1"/>
  <c r="Z31" i="1"/>
  <c r="Z9" i="4" s="1"/>
  <c r="AA31" i="1"/>
  <c r="AA9" i="4" s="1"/>
  <c r="AB31" i="1"/>
  <c r="AB9" i="4" s="1"/>
  <c r="AC31" i="1"/>
  <c r="AC9" i="4" s="1"/>
  <c r="AD31" i="1"/>
  <c r="AD9" i="4" s="1"/>
  <c r="AE31" i="1"/>
  <c r="AE9" i="4" s="1"/>
  <c r="AF31" i="1"/>
  <c r="AG31" i="1"/>
  <c r="AG9" i="4" s="1"/>
  <c r="AH31" i="1"/>
  <c r="AH9" i="4" s="1"/>
  <c r="AI31" i="1"/>
  <c r="AI9" i="4" s="1"/>
  <c r="AJ31" i="1"/>
  <c r="AJ9" i="4" s="1"/>
  <c r="AK31" i="1"/>
  <c r="AK9" i="4" s="1"/>
  <c r="W32" i="1"/>
  <c r="W10" i="4" s="1"/>
  <c r="X32" i="1"/>
  <c r="X10" i="4" s="1"/>
  <c r="Y32" i="1"/>
  <c r="Y10" i="4" s="1"/>
  <c r="Z32" i="1"/>
  <c r="Z10" i="4" s="1"/>
  <c r="AA32" i="1"/>
  <c r="AA10" i="4" s="1"/>
  <c r="AB32" i="1"/>
  <c r="AB10" i="4" s="1"/>
  <c r="AC32" i="1"/>
  <c r="AC10" i="4" s="1"/>
  <c r="AD32" i="1"/>
  <c r="AD10" i="4" s="1"/>
  <c r="AE32" i="1"/>
  <c r="AE10" i="4" s="1"/>
  <c r="AF32" i="1"/>
  <c r="AF10" i="4" s="1"/>
  <c r="AG32" i="1"/>
  <c r="AG10" i="4" s="1"/>
  <c r="AH32" i="1"/>
  <c r="AH10" i="4" s="1"/>
  <c r="AI32" i="1"/>
  <c r="AI10" i="4" s="1"/>
  <c r="AJ32" i="1"/>
  <c r="AJ10" i="4" s="1"/>
  <c r="AK32" i="1"/>
  <c r="AK10" i="4" s="1"/>
  <c r="W33" i="1"/>
  <c r="W11" i="4" s="1"/>
  <c r="X33" i="1"/>
  <c r="Y33" i="1"/>
  <c r="Y11" i="4" s="1"/>
  <c r="Z33" i="1"/>
  <c r="Z11" i="4" s="1"/>
  <c r="AA33" i="1"/>
  <c r="AA11" i="4" s="1"/>
  <c r="AB33" i="1"/>
  <c r="AB11" i="4" s="1"/>
  <c r="AC33" i="1"/>
  <c r="AC11" i="4" s="1"/>
  <c r="AD33" i="1"/>
  <c r="AD11" i="4" s="1"/>
  <c r="AE33" i="1"/>
  <c r="AE11" i="4" s="1"/>
  <c r="AF33" i="1"/>
  <c r="AF11" i="4" s="1"/>
  <c r="AG33" i="1"/>
  <c r="AH33" i="1"/>
  <c r="AH11" i="4" s="1"/>
  <c r="AI33" i="1"/>
  <c r="AI11" i="4" s="1"/>
  <c r="AJ33" i="1"/>
  <c r="AJ11" i="4" s="1"/>
  <c r="AK33" i="1"/>
  <c r="AK11" i="4" s="1"/>
  <c r="W34" i="1"/>
  <c r="W12" i="4" s="1"/>
  <c r="X34" i="1"/>
  <c r="X12" i="4" s="1"/>
  <c r="Y34" i="1"/>
  <c r="Z34" i="1"/>
  <c r="Z12" i="4" s="1"/>
  <c r="AA34" i="1"/>
  <c r="AA12" i="4" s="1"/>
  <c r="AB34" i="1"/>
  <c r="AB12" i="4" s="1"/>
  <c r="AC34" i="1"/>
  <c r="AC12" i="4" s="1"/>
  <c r="AD34" i="1"/>
  <c r="AD12" i="4" s="1"/>
  <c r="AE34" i="1"/>
  <c r="AE12" i="4" s="1"/>
  <c r="AF34" i="1"/>
  <c r="AF12" i="4" s="1"/>
  <c r="AG34" i="1"/>
  <c r="AG12" i="4" s="1"/>
  <c r="AH34" i="1"/>
  <c r="AH12" i="4" s="1"/>
  <c r="AI34" i="1"/>
  <c r="AI12" i="4" s="1"/>
  <c r="AJ34" i="1"/>
  <c r="AJ12" i="4" s="1"/>
  <c r="AK34" i="1"/>
  <c r="AK12" i="4" s="1"/>
  <c r="W35" i="1"/>
  <c r="W13" i="4" s="1"/>
  <c r="X35" i="1"/>
  <c r="X13" i="4" s="1"/>
  <c r="Y35" i="1"/>
  <c r="Y13" i="4" s="1"/>
  <c r="Z35" i="1"/>
  <c r="Z13" i="4" s="1"/>
  <c r="AA35" i="1"/>
  <c r="AA13" i="4" s="1"/>
  <c r="AB35" i="1"/>
  <c r="AB13" i="4" s="1"/>
  <c r="AC35" i="1"/>
  <c r="AC13" i="4" s="1"/>
  <c r="AD35" i="1"/>
  <c r="AD13" i="4" s="1"/>
  <c r="AE35" i="1"/>
  <c r="AE13" i="4" s="1"/>
  <c r="AF35" i="1"/>
  <c r="AF13" i="4" s="1"/>
  <c r="AG35" i="1"/>
  <c r="AG13" i="4" s="1"/>
  <c r="AH35" i="1"/>
  <c r="AH13" i="4" s="1"/>
  <c r="AI35" i="1"/>
  <c r="AI13" i="4" s="1"/>
  <c r="AJ35" i="1"/>
  <c r="AJ13" i="4" s="1"/>
  <c r="AK35" i="1"/>
  <c r="AK13" i="4" s="1"/>
  <c r="S36" i="1"/>
  <c r="S14" i="4" s="1"/>
  <c r="T36" i="1"/>
  <c r="T14" i="4" s="1"/>
  <c r="U36" i="1"/>
  <c r="U14" i="4" s="1"/>
  <c r="V36" i="1"/>
  <c r="V14" i="4" s="1"/>
  <c r="W36" i="1"/>
  <c r="W14" i="4" s="1"/>
  <c r="X36" i="1"/>
  <c r="X14" i="4" s="1"/>
  <c r="Y36" i="1"/>
  <c r="Y14" i="4" s="1"/>
  <c r="Z36" i="1"/>
  <c r="Z14" i="4" s="1"/>
  <c r="AA36" i="1"/>
  <c r="AA14" i="4" s="1"/>
  <c r="AB36" i="1"/>
  <c r="AB14" i="4" s="1"/>
  <c r="AC36" i="1"/>
  <c r="AC14" i="4" s="1"/>
  <c r="AD36" i="1"/>
  <c r="AD14" i="4" s="1"/>
  <c r="AE36" i="1"/>
  <c r="AE14" i="4" s="1"/>
  <c r="AF36" i="1"/>
  <c r="AF14" i="4" s="1"/>
  <c r="AG36" i="1"/>
  <c r="AG14" i="4" s="1"/>
  <c r="AH36" i="1"/>
  <c r="AH14" i="4" s="1"/>
  <c r="AI36" i="1"/>
  <c r="AI14" i="4" s="1"/>
  <c r="AJ36" i="1"/>
  <c r="AJ14" i="4" s="1"/>
  <c r="AK36" i="1"/>
  <c r="AK14" i="4" s="1"/>
  <c r="S37" i="1"/>
  <c r="S15" i="4" s="1"/>
  <c r="T37" i="1"/>
  <c r="T15" i="4" s="1"/>
  <c r="U37" i="1"/>
  <c r="U15" i="4" s="1"/>
  <c r="V37" i="1"/>
  <c r="V15" i="4" s="1"/>
  <c r="W37" i="1"/>
  <c r="W15" i="4" s="1"/>
  <c r="X37" i="1"/>
  <c r="X15" i="4" s="1"/>
  <c r="Y37" i="1"/>
  <c r="Y15" i="4" s="1"/>
  <c r="Z37" i="1"/>
  <c r="Z15" i="4" s="1"/>
  <c r="AA37" i="1"/>
  <c r="AA15" i="4" s="1"/>
  <c r="AB37" i="1"/>
  <c r="AB15" i="4" s="1"/>
  <c r="AC37" i="1"/>
  <c r="AC15" i="4" s="1"/>
  <c r="AD37" i="1"/>
  <c r="AD15" i="4" s="1"/>
  <c r="AE37" i="1"/>
  <c r="AE15" i="4" s="1"/>
  <c r="AF37" i="1"/>
  <c r="AF15" i="4" s="1"/>
  <c r="AG37" i="1"/>
  <c r="AG15" i="4" s="1"/>
  <c r="AH37" i="1"/>
  <c r="AH15" i="4" s="1"/>
  <c r="AI37" i="1"/>
  <c r="AI15" i="4" s="1"/>
  <c r="AJ37" i="1"/>
  <c r="AJ15" i="4" s="1"/>
  <c r="AK37" i="1"/>
  <c r="AK15" i="4" s="1"/>
  <c r="S38" i="1"/>
  <c r="S16" i="4" s="1"/>
  <c r="T38" i="1"/>
  <c r="T16" i="4" s="1"/>
  <c r="U38" i="1"/>
  <c r="U16" i="4" s="1"/>
  <c r="V38" i="1"/>
  <c r="V16" i="4" s="1"/>
  <c r="W38" i="1"/>
  <c r="W16" i="4" s="1"/>
  <c r="X38" i="1"/>
  <c r="X16" i="4" s="1"/>
  <c r="Y38" i="1"/>
  <c r="Y16" i="4" s="1"/>
  <c r="Z38" i="1"/>
  <c r="Z16" i="4" s="1"/>
  <c r="AA38" i="1"/>
  <c r="AA16" i="4" s="1"/>
  <c r="AB38" i="1"/>
  <c r="AB16" i="4" s="1"/>
  <c r="AC38" i="1"/>
  <c r="AC16" i="4" s="1"/>
  <c r="AD38" i="1"/>
  <c r="AD16" i="4" s="1"/>
  <c r="AE38" i="1"/>
  <c r="AE16" i="4" s="1"/>
  <c r="AF38" i="1"/>
  <c r="AF16" i="4" s="1"/>
  <c r="AG38" i="1"/>
  <c r="AG16" i="4" s="1"/>
  <c r="AH38" i="1"/>
  <c r="AH16" i="4" s="1"/>
  <c r="AI38" i="1"/>
  <c r="AI16" i="4" s="1"/>
  <c r="AJ38" i="1"/>
  <c r="AJ16" i="4" s="1"/>
  <c r="AK38" i="1"/>
  <c r="AK16" i="4" s="1"/>
  <c r="S39" i="1"/>
  <c r="S17" i="4" s="1"/>
  <c r="T39" i="1"/>
  <c r="T17" i="4" s="1"/>
  <c r="U39" i="1"/>
  <c r="U17" i="4" s="1"/>
  <c r="V39" i="1"/>
  <c r="V17" i="4" s="1"/>
  <c r="W39" i="1"/>
  <c r="W17" i="4" s="1"/>
  <c r="X39" i="1"/>
  <c r="X17" i="4" s="1"/>
  <c r="Y39" i="1"/>
  <c r="Y17" i="4" s="1"/>
  <c r="Z39" i="1"/>
  <c r="Z17" i="4" s="1"/>
  <c r="AA39" i="1"/>
  <c r="AA17" i="4" s="1"/>
  <c r="AB39" i="1"/>
  <c r="AB17" i="4" s="1"/>
  <c r="AC39" i="1"/>
  <c r="AC17" i="4" s="1"/>
  <c r="AD39" i="1"/>
  <c r="AD17" i="4" s="1"/>
  <c r="AE39" i="1"/>
  <c r="AE17" i="4" s="1"/>
  <c r="AF39" i="1"/>
  <c r="AF17" i="4" s="1"/>
  <c r="AG39" i="1"/>
  <c r="AG17" i="4" s="1"/>
  <c r="AH39" i="1"/>
  <c r="AH17" i="4" s="1"/>
  <c r="AI39" i="1"/>
  <c r="AI17" i="4" s="1"/>
  <c r="AJ39" i="1"/>
  <c r="AJ17" i="4" s="1"/>
  <c r="AK39" i="1"/>
  <c r="AK17" i="4" s="1"/>
  <c r="S40" i="1"/>
  <c r="S18" i="4" s="1"/>
  <c r="T40" i="1"/>
  <c r="T18" i="4" s="1"/>
  <c r="U40" i="1"/>
  <c r="U18" i="4" s="1"/>
  <c r="V40" i="1"/>
  <c r="V18" i="4" s="1"/>
  <c r="W40" i="1"/>
  <c r="W18" i="4" s="1"/>
  <c r="X40" i="1"/>
  <c r="X18" i="4" s="1"/>
  <c r="Y40" i="1"/>
  <c r="Y18" i="4" s="1"/>
  <c r="Z40" i="1"/>
  <c r="Z18" i="4" s="1"/>
  <c r="AA40" i="1"/>
  <c r="AA18" i="4" s="1"/>
  <c r="AB40" i="1"/>
  <c r="AB18" i="4" s="1"/>
  <c r="AC40" i="1"/>
  <c r="AC18" i="4" s="1"/>
  <c r="AD40" i="1"/>
  <c r="AD18" i="4" s="1"/>
  <c r="AE40" i="1"/>
  <c r="AE18" i="4" s="1"/>
  <c r="AF40" i="1"/>
  <c r="AF18" i="4" s="1"/>
  <c r="AG40" i="1"/>
  <c r="AG18" i="4" s="1"/>
  <c r="AH40" i="1"/>
  <c r="AH18" i="4" s="1"/>
  <c r="AI40" i="1"/>
  <c r="AI18" i="4" s="1"/>
  <c r="AJ40" i="1"/>
  <c r="AJ18" i="4" s="1"/>
  <c r="AK40" i="1"/>
  <c r="AK18" i="4" s="1"/>
  <c r="S41" i="1"/>
  <c r="S19" i="4" s="1"/>
  <c r="T41" i="1"/>
  <c r="T19" i="4" s="1"/>
  <c r="U41" i="1"/>
  <c r="U19" i="4" s="1"/>
  <c r="V41" i="1"/>
  <c r="V19" i="4" s="1"/>
  <c r="W41" i="1"/>
  <c r="W19" i="4" s="1"/>
  <c r="X41" i="1"/>
  <c r="X19" i="4" s="1"/>
  <c r="Y41" i="1"/>
  <c r="Y19" i="4" s="1"/>
  <c r="Z41" i="1"/>
  <c r="Z19" i="4" s="1"/>
  <c r="AA41" i="1"/>
  <c r="AA19" i="4" s="1"/>
  <c r="AB41" i="1"/>
  <c r="AB19" i="4" s="1"/>
  <c r="AC41" i="1"/>
  <c r="AC19" i="4" s="1"/>
  <c r="AD41" i="1"/>
  <c r="AD19" i="4" s="1"/>
  <c r="AE41" i="1"/>
  <c r="AE19" i="4" s="1"/>
  <c r="AF41" i="1"/>
  <c r="AF19" i="4" s="1"/>
  <c r="AG41" i="1"/>
  <c r="AG19" i="4" s="1"/>
  <c r="AH41" i="1"/>
  <c r="AH19" i="4" s="1"/>
  <c r="AI41" i="1"/>
  <c r="AI19" i="4" s="1"/>
  <c r="AJ41" i="1"/>
  <c r="AJ19" i="4" s="1"/>
  <c r="AK41" i="1"/>
  <c r="AK19" i="4" s="1"/>
  <c r="S42" i="1"/>
  <c r="S20" i="4" s="1"/>
  <c r="T42" i="1"/>
  <c r="T20" i="4" s="1"/>
  <c r="U42" i="1"/>
  <c r="U20" i="4" s="1"/>
  <c r="V42" i="1"/>
  <c r="V20" i="4" s="1"/>
  <c r="W42" i="1"/>
  <c r="W20" i="4" s="1"/>
  <c r="X42" i="1"/>
  <c r="X20" i="4" s="1"/>
  <c r="Y42" i="1"/>
  <c r="Y20" i="4" s="1"/>
  <c r="Z42" i="1"/>
  <c r="Z20" i="4" s="1"/>
  <c r="AA42" i="1"/>
  <c r="AA20" i="4" s="1"/>
  <c r="AB42" i="1"/>
  <c r="AB20" i="4" s="1"/>
  <c r="AC42" i="1"/>
  <c r="AC20" i="4" s="1"/>
  <c r="AD42" i="1"/>
  <c r="AD20" i="4" s="1"/>
  <c r="AE42" i="1"/>
  <c r="AE20" i="4" s="1"/>
  <c r="AF42" i="1"/>
  <c r="AF20" i="4" s="1"/>
  <c r="AG42" i="1"/>
  <c r="AG20" i="4" s="1"/>
  <c r="AH42" i="1"/>
  <c r="AH20" i="4" s="1"/>
  <c r="AI42" i="1"/>
  <c r="AI20" i="4" s="1"/>
  <c r="AJ42" i="1"/>
  <c r="AJ20" i="4" s="1"/>
  <c r="AK42" i="1"/>
  <c r="AK20" i="4" s="1"/>
  <c r="S43" i="1"/>
  <c r="S21" i="4" s="1"/>
  <c r="T43" i="1"/>
  <c r="U43" i="1"/>
  <c r="V43" i="1"/>
  <c r="W43" i="1"/>
  <c r="W21" i="4" s="1"/>
  <c r="X43" i="1"/>
  <c r="Y43" i="1"/>
  <c r="Z43" i="1"/>
  <c r="AA43" i="1"/>
  <c r="AA21" i="4" s="1"/>
  <c r="AB43" i="1"/>
  <c r="AC43" i="1"/>
  <c r="AD43" i="1"/>
  <c r="AE43" i="1"/>
  <c r="AF43" i="1"/>
  <c r="AG43" i="1"/>
  <c r="AH43" i="1"/>
  <c r="AI43" i="1"/>
  <c r="AJ43" i="1"/>
  <c r="AK43" i="1"/>
  <c r="K36" i="1"/>
  <c r="K14" i="4" s="1"/>
  <c r="L36" i="1"/>
  <c r="L14" i="4" s="1"/>
  <c r="M36" i="1"/>
  <c r="M14" i="4" s="1"/>
  <c r="K37" i="1"/>
  <c r="K15" i="4" s="1"/>
  <c r="L37" i="1"/>
  <c r="L15" i="4" s="1"/>
  <c r="M37" i="1"/>
  <c r="M15" i="4" s="1"/>
  <c r="K38" i="1"/>
  <c r="K16" i="4" s="1"/>
  <c r="L38" i="1"/>
  <c r="L16" i="4" s="1"/>
  <c r="M38" i="1"/>
  <c r="M16" i="4" s="1"/>
  <c r="K39" i="1"/>
  <c r="K17" i="4" s="1"/>
  <c r="L39" i="1"/>
  <c r="L17" i="4" s="1"/>
  <c r="M39" i="1"/>
  <c r="M17" i="4" s="1"/>
  <c r="K40" i="1"/>
  <c r="K18" i="4" s="1"/>
  <c r="L40" i="1"/>
  <c r="L18" i="4" s="1"/>
  <c r="M40" i="1"/>
  <c r="M18" i="4" s="1"/>
  <c r="K41" i="1"/>
  <c r="K19" i="4" s="1"/>
  <c r="L41" i="1"/>
  <c r="L19" i="4" s="1"/>
  <c r="M41" i="1"/>
  <c r="M19" i="4" s="1"/>
  <c r="K42" i="1"/>
  <c r="K20" i="4" s="1"/>
  <c r="L42" i="1"/>
  <c r="L20" i="4" s="1"/>
  <c r="M42" i="1"/>
  <c r="M20" i="4" s="1"/>
  <c r="K43" i="1"/>
  <c r="L43" i="1"/>
  <c r="M43" i="1"/>
  <c r="AE23" i="23"/>
  <c r="AF23" i="23"/>
  <c r="AG23" i="23"/>
  <c r="AH23" i="23"/>
  <c r="AI23" i="23"/>
  <c r="AJ23" i="23"/>
  <c r="AK23" i="23"/>
  <c r="AE24" i="23"/>
  <c r="AF24" i="23"/>
  <c r="AG24" i="23"/>
  <c r="AH24" i="23"/>
  <c r="AI24" i="23"/>
  <c r="AJ24" i="23"/>
  <c r="AK24" i="23"/>
  <c r="AF23" i="1"/>
  <c r="AG23" i="1"/>
  <c r="AH23" i="1"/>
  <c r="AI23" i="1"/>
  <c r="AJ23" i="1"/>
  <c r="AK23" i="1"/>
  <c r="AF24" i="1"/>
  <c r="AG24" i="1"/>
  <c r="AH24" i="1"/>
  <c r="AI24" i="1"/>
  <c r="AJ24" i="1"/>
  <c r="AK24" i="1"/>
  <c r="N45" i="1"/>
  <c r="A45" i="1"/>
  <c r="A45" i="23"/>
  <c r="A22" i="23"/>
  <c r="A22" i="1"/>
  <c r="B1" i="4"/>
  <c r="A52" i="23"/>
  <c r="I43" i="23"/>
  <c r="H43" i="23"/>
  <c r="G43" i="23"/>
  <c r="F43" i="23"/>
  <c r="E43" i="23"/>
  <c r="D43" i="23"/>
  <c r="C43" i="23"/>
  <c r="B43" i="23"/>
  <c r="I42" i="23"/>
  <c r="I36" i="4" s="1"/>
  <c r="H42" i="23"/>
  <c r="H36" i="4" s="1"/>
  <c r="G42" i="23"/>
  <c r="G36" i="4" s="1"/>
  <c r="F42" i="23"/>
  <c r="F36" i="4" s="1"/>
  <c r="E42" i="23"/>
  <c r="E36" i="4" s="1"/>
  <c r="D42" i="23"/>
  <c r="D36" i="4" s="1"/>
  <c r="C42" i="23"/>
  <c r="C36" i="4" s="1"/>
  <c r="B42" i="23"/>
  <c r="B36" i="4" s="1"/>
  <c r="AD35" i="4"/>
  <c r="V35" i="4"/>
  <c r="I41" i="23"/>
  <c r="I35" i="4" s="1"/>
  <c r="H41" i="23"/>
  <c r="H35" i="4" s="1"/>
  <c r="G41" i="23"/>
  <c r="G35" i="4" s="1"/>
  <c r="F41" i="23"/>
  <c r="F35" i="4" s="1"/>
  <c r="E41" i="23"/>
  <c r="E35" i="4" s="1"/>
  <c r="D41" i="23"/>
  <c r="D35" i="4" s="1"/>
  <c r="C41" i="23"/>
  <c r="C35" i="4" s="1"/>
  <c r="B41" i="23"/>
  <c r="B35" i="4" s="1"/>
  <c r="AB34" i="4"/>
  <c r="T34" i="4"/>
  <c r="I40" i="23"/>
  <c r="I34" i="4" s="1"/>
  <c r="H40" i="23"/>
  <c r="H34" i="4" s="1"/>
  <c r="G40" i="23"/>
  <c r="G34" i="4" s="1"/>
  <c r="F40" i="23"/>
  <c r="F34" i="4" s="1"/>
  <c r="E40" i="23"/>
  <c r="E34" i="4" s="1"/>
  <c r="D40" i="23"/>
  <c r="D34" i="4" s="1"/>
  <c r="C40" i="23"/>
  <c r="C34" i="4" s="1"/>
  <c r="B40" i="23"/>
  <c r="B34" i="4" s="1"/>
  <c r="V33" i="4"/>
  <c r="I39" i="23"/>
  <c r="I33" i="4" s="1"/>
  <c r="H39" i="23"/>
  <c r="H33" i="4" s="1"/>
  <c r="G39" i="23"/>
  <c r="G33" i="4" s="1"/>
  <c r="F39" i="23"/>
  <c r="F33" i="4" s="1"/>
  <c r="E39" i="23"/>
  <c r="E33" i="4" s="1"/>
  <c r="D39" i="23"/>
  <c r="D33" i="4" s="1"/>
  <c r="C39" i="23"/>
  <c r="C33" i="4" s="1"/>
  <c r="B39" i="23"/>
  <c r="B33" i="4" s="1"/>
  <c r="I38" i="23"/>
  <c r="I32" i="4" s="1"/>
  <c r="H38" i="23"/>
  <c r="H32" i="4" s="1"/>
  <c r="G38" i="23"/>
  <c r="G32" i="4" s="1"/>
  <c r="F38" i="23"/>
  <c r="F32" i="4" s="1"/>
  <c r="E38" i="23"/>
  <c r="E32" i="4" s="1"/>
  <c r="D38" i="23"/>
  <c r="D32" i="4" s="1"/>
  <c r="C38" i="23"/>
  <c r="C32" i="4" s="1"/>
  <c r="I37" i="23"/>
  <c r="I31" i="4" s="1"/>
  <c r="H37" i="23"/>
  <c r="H31" i="4" s="1"/>
  <c r="G37" i="23"/>
  <c r="G31" i="4" s="1"/>
  <c r="F37" i="23"/>
  <c r="F31" i="4" s="1"/>
  <c r="E37" i="23"/>
  <c r="E31" i="4" s="1"/>
  <c r="D37" i="23"/>
  <c r="D31" i="4" s="1"/>
  <c r="C37" i="23"/>
  <c r="C31" i="4" s="1"/>
  <c r="B37" i="23"/>
  <c r="B31" i="4" s="1"/>
  <c r="I36" i="23"/>
  <c r="I30" i="4" s="1"/>
  <c r="H36" i="23"/>
  <c r="H30" i="4" s="1"/>
  <c r="G36" i="23"/>
  <c r="G30" i="4" s="1"/>
  <c r="F36" i="23"/>
  <c r="F30" i="4" s="1"/>
  <c r="E36" i="23"/>
  <c r="E30" i="4" s="1"/>
  <c r="D36" i="23"/>
  <c r="D30" i="4" s="1"/>
  <c r="C36" i="23"/>
  <c r="C30" i="4" s="1"/>
  <c r="B36" i="23"/>
  <c r="B30" i="4" s="1"/>
  <c r="Z25" i="4"/>
  <c r="AB24" i="4"/>
  <c r="AD24" i="23"/>
  <c r="AC24" i="23"/>
  <c r="AB24" i="23"/>
  <c r="AA24" i="23"/>
  <c r="Z24" i="23"/>
  <c r="Y24" i="23"/>
  <c r="X24" i="23"/>
  <c r="W24" i="23"/>
  <c r="V24" i="23"/>
  <c r="U24" i="23"/>
  <c r="T24" i="23"/>
  <c r="S24" i="23"/>
  <c r="R24" i="23"/>
  <c r="Q24" i="23"/>
  <c r="P24" i="23"/>
  <c r="O24" i="23"/>
  <c r="L24" i="23"/>
  <c r="J24" i="23"/>
  <c r="I24" i="23"/>
  <c r="H24" i="23"/>
  <c r="G24" i="23"/>
  <c r="F24" i="23"/>
  <c r="E24" i="23"/>
  <c r="D24" i="23"/>
  <c r="C24" i="23"/>
  <c r="B24" i="23"/>
  <c r="AD23" i="23"/>
  <c r="AC23" i="23"/>
  <c r="AB23" i="23"/>
  <c r="AA23" i="23"/>
  <c r="Z23" i="23"/>
  <c r="Y23" i="23"/>
  <c r="X23" i="23"/>
  <c r="W23" i="23"/>
  <c r="V23" i="23"/>
  <c r="U23" i="23"/>
  <c r="T23" i="23"/>
  <c r="S23" i="23"/>
  <c r="R23" i="23"/>
  <c r="Q23" i="23"/>
  <c r="P23" i="23"/>
  <c r="O23" i="23"/>
  <c r="B32" i="23" s="1"/>
  <c r="B26" i="4" s="1"/>
  <c r="L23" i="23"/>
  <c r="J23" i="23"/>
  <c r="I23" i="23"/>
  <c r="H23" i="23"/>
  <c r="G23" i="23"/>
  <c r="F23" i="23"/>
  <c r="E23" i="23"/>
  <c r="D23" i="23"/>
  <c r="C23" i="23"/>
  <c r="B23" i="23"/>
  <c r="Q45" i="23"/>
  <c r="P45" i="23"/>
  <c r="O45" i="23"/>
  <c r="I22" i="23"/>
  <c r="H27" i="23"/>
  <c r="H52" i="23" s="1"/>
  <c r="G45" i="23"/>
  <c r="F27" i="23"/>
  <c r="F52" i="23" s="1"/>
  <c r="E45" i="23"/>
  <c r="C45" i="23"/>
  <c r="B45" i="23"/>
  <c r="E30" i="23"/>
  <c r="E24" i="4" s="1"/>
  <c r="C28" i="23"/>
  <c r="J40" i="23"/>
  <c r="J34" i="4" s="1"/>
  <c r="J36" i="23"/>
  <c r="J30" i="4" s="1"/>
  <c r="C35" i="23"/>
  <c r="C29" i="4" s="1"/>
  <c r="E33" i="23"/>
  <c r="E27" i="4" s="1"/>
  <c r="X26" i="4"/>
  <c r="J32" i="23"/>
  <c r="J26" i="4" s="1"/>
  <c r="G31" i="23"/>
  <c r="G25" i="4" s="1"/>
  <c r="H30" i="23"/>
  <c r="H24" i="4" s="1"/>
  <c r="F28" i="23"/>
  <c r="J42" i="23"/>
  <c r="J36" i="4" s="1"/>
  <c r="J38" i="23"/>
  <c r="J32" i="4" s="1"/>
  <c r="I31" i="23"/>
  <c r="I25" i="4" s="1"/>
  <c r="J41" i="23"/>
  <c r="J35" i="4" s="1"/>
  <c r="J37" i="23"/>
  <c r="J31" i="4" s="1"/>
  <c r="H35" i="23"/>
  <c r="H29" i="4" s="1"/>
  <c r="E34" i="23"/>
  <c r="E28" i="4" s="1"/>
  <c r="C32" i="23"/>
  <c r="C26" i="4" s="1"/>
  <c r="J43" i="23"/>
  <c r="J39" i="23"/>
  <c r="J33" i="4" s="1"/>
  <c r="F35" i="23"/>
  <c r="F29" i="4" s="1"/>
  <c r="C34" i="23"/>
  <c r="C28" i="4" s="1"/>
  <c r="H33" i="23"/>
  <c r="H27" i="4" s="1"/>
  <c r="I32" i="23"/>
  <c r="I26" i="4" s="1"/>
  <c r="E32" i="23"/>
  <c r="E26" i="4" s="1"/>
  <c r="J31" i="23"/>
  <c r="J25" i="4" s="1"/>
  <c r="F31" i="23"/>
  <c r="F25" i="4" s="1"/>
  <c r="G30" i="23"/>
  <c r="G24" i="4" s="1"/>
  <c r="C30" i="23"/>
  <c r="C24" i="4" s="1"/>
  <c r="H29" i="23"/>
  <c r="H23" i="4" s="1"/>
  <c r="D29" i="23"/>
  <c r="D23" i="4" s="1"/>
  <c r="I28" i="23"/>
  <c r="E28" i="23"/>
  <c r="I35" i="23"/>
  <c r="I29" i="4" s="1"/>
  <c r="E35" i="23"/>
  <c r="E29" i="4" s="1"/>
  <c r="G33" i="23"/>
  <c r="G27" i="4" s="1"/>
  <c r="D32" i="23"/>
  <c r="D26" i="4" s="1"/>
  <c r="X24" i="4"/>
  <c r="G29" i="23"/>
  <c r="G23" i="4" s="1"/>
  <c r="H28" i="23"/>
  <c r="D35" i="23"/>
  <c r="D29" i="4" s="1"/>
  <c r="J33" i="23"/>
  <c r="J27" i="4" s="1"/>
  <c r="F33" i="23"/>
  <c r="F27" i="4" s="1"/>
  <c r="G32" i="23"/>
  <c r="G26" i="4" s="1"/>
  <c r="H31" i="23"/>
  <c r="H25" i="4" s="1"/>
  <c r="G28" i="23"/>
  <c r="I30" i="23"/>
  <c r="I24" i="4" s="1"/>
  <c r="P22" i="23"/>
  <c r="S23" i="1"/>
  <c r="T23" i="1"/>
  <c r="U23" i="1"/>
  <c r="V23" i="1"/>
  <c r="W23" i="1"/>
  <c r="X23" i="1"/>
  <c r="Y23" i="1"/>
  <c r="Z23" i="1"/>
  <c r="AA23" i="1"/>
  <c r="AB23" i="1"/>
  <c r="AC23" i="1"/>
  <c r="AD23" i="1"/>
  <c r="S24" i="1"/>
  <c r="T24" i="1"/>
  <c r="U24" i="1"/>
  <c r="V24" i="1"/>
  <c r="W24" i="1"/>
  <c r="X24" i="1"/>
  <c r="Y24" i="1"/>
  <c r="Z24" i="1"/>
  <c r="AA24" i="1"/>
  <c r="AB24" i="1"/>
  <c r="AC24" i="1"/>
  <c r="AD24" i="1"/>
  <c r="L23" i="1"/>
  <c r="M23" i="1"/>
  <c r="L24" i="1"/>
  <c r="M24" i="1"/>
  <c r="O9" i="12"/>
  <c r="O10" i="12" s="1"/>
  <c r="I23" i="1"/>
  <c r="I24" i="1"/>
  <c r="C36" i="1"/>
  <c r="C14" i="4" s="1"/>
  <c r="D36" i="1"/>
  <c r="D14" i="4" s="1"/>
  <c r="E36" i="1"/>
  <c r="E14" i="4" s="1"/>
  <c r="F36" i="1"/>
  <c r="F14" i="4" s="1"/>
  <c r="G36" i="1"/>
  <c r="G14" i="4" s="1"/>
  <c r="H36" i="1"/>
  <c r="H14" i="4" s="1"/>
  <c r="I36" i="1"/>
  <c r="I14" i="4" s="1"/>
  <c r="J36" i="1"/>
  <c r="J14" i="4" s="1"/>
  <c r="C37" i="1"/>
  <c r="C15" i="4" s="1"/>
  <c r="D37" i="1"/>
  <c r="D15" i="4" s="1"/>
  <c r="E37" i="1"/>
  <c r="E15" i="4" s="1"/>
  <c r="F37" i="1"/>
  <c r="F15" i="4" s="1"/>
  <c r="G37" i="1"/>
  <c r="G15" i="4" s="1"/>
  <c r="H37" i="1"/>
  <c r="H15" i="4" s="1"/>
  <c r="I37" i="1"/>
  <c r="I15" i="4" s="1"/>
  <c r="J37" i="1"/>
  <c r="J15" i="4" s="1"/>
  <c r="C38" i="1"/>
  <c r="C16" i="4" s="1"/>
  <c r="D38" i="1"/>
  <c r="D16" i="4" s="1"/>
  <c r="E38" i="1"/>
  <c r="E16" i="4" s="1"/>
  <c r="F38" i="1"/>
  <c r="F16" i="4" s="1"/>
  <c r="G38" i="1"/>
  <c r="G16" i="4" s="1"/>
  <c r="H38" i="1"/>
  <c r="H16" i="4" s="1"/>
  <c r="I38" i="1"/>
  <c r="I16" i="4" s="1"/>
  <c r="J38" i="1"/>
  <c r="J16" i="4" s="1"/>
  <c r="C39" i="1"/>
  <c r="C17" i="4" s="1"/>
  <c r="D39" i="1"/>
  <c r="E39" i="1"/>
  <c r="E17" i="4" s="1"/>
  <c r="F39" i="1"/>
  <c r="F17" i="4" s="1"/>
  <c r="G39" i="1"/>
  <c r="G17" i="4" s="1"/>
  <c r="H39" i="1"/>
  <c r="H17" i="4" s="1"/>
  <c r="I39" i="1"/>
  <c r="I17" i="4" s="1"/>
  <c r="J39" i="1"/>
  <c r="J17" i="4" s="1"/>
  <c r="C40" i="1"/>
  <c r="C18" i="4" s="1"/>
  <c r="D40" i="1"/>
  <c r="D18" i="4" s="1"/>
  <c r="E40" i="1"/>
  <c r="E18" i="4" s="1"/>
  <c r="F40" i="1"/>
  <c r="F18" i="4" s="1"/>
  <c r="G40" i="1"/>
  <c r="G18" i="4" s="1"/>
  <c r="H40" i="1"/>
  <c r="H18" i="4" s="1"/>
  <c r="I40" i="1"/>
  <c r="I18" i="4" s="1"/>
  <c r="J40" i="1"/>
  <c r="J18" i="4" s="1"/>
  <c r="C41" i="1"/>
  <c r="C19" i="4" s="1"/>
  <c r="D41" i="1"/>
  <c r="D19" i="4" s="1"/>
  <c r="E41" i="1"/>
  <c r="E19" i="4" s="1"/>
  <c r="F41" i="1"/>
  <c r="F19" i="4" s="1"/>
  <c r="G41" i="1"/>
  <c r="G19" i="4" s="1"/>
  <c r="H41" i="1"/>
  <c r="H19" i="4" s="1"/>
  <c r="I41" i="1"/>
  <c r="I19" i="4" s="1"/>
  <c r="J41" i="1"/>
  <c r="J19" i="4" s="1"/>
  <c r="C42" i="1"/>
  <c r="C20" i="4" s="1"/>
  <c r="D42" i="1"/>
  <c r="D20" i="4" s="1"/>
  <c r="E42" i="1"/>
  <c r="E20" i="4" s="1"/>
  <c r="F42" i="1"/>
  <c r="F20" i="4" s="1"/>
  <c r="G42" i="1"/>
  <c r="G20" i="4" s="1"/>
  <c r="H42" i="1"/>
  <c r="H20" i="4" s="1"/>
  <c r="I42" i="1"/>
  <c r="I20" i="4" s="1"/>
  <c r="J42" i="1"/>
  <c r="J20" i="4" s="1"/>
  <c r="C43" i="1"/>
  <c r="D43" i="1"/>
  <c r="E43" i="1"/>
  <c r="F43" i="1"/>
  <c r="G43" i="1"/>
  <c r="H43" i="1"/>
  <c r="I43" i="1"/>
  <c r="J43" i="1"/>
  <c r="I45" i="1"/>
  <c r="Q36" i="1"/>
  <c r="Q14" i="4" s="1"/>
  <c r="R36" i="1"/>
  <c r="R14" i="4" s="1"/>
  <c r="Q37" i="1"/>
  <c r="Q15" i="4" s="1"/>
  <c r="P38" i="1"/>
  <c r="P16" i="4" s="1"/>
  <c r="Q38" i="1"/>
  <c r="Q16" i="4" s="1"/>
  <c r="P39" i="1"/>
  <c r="P17" i="4" s="1"/>
  <c r="Q39" i="1"/>
  <c r="Q17" i="4" s="1"/>
  <c r="R39" i="1"/>
  <c r="R17" i="4" s="1"/>
  <c r="P40" i="1"/>
  <c r="P18" i="4" s="1"/>
  <c r="Q40" i="1"/>
  <c r="Q18" i="4" s="1"/>
  <c r="R40" i="1"/>
  <c r="R18" i="4" s="1"/>
  <c r="P41" i="1"/>
  <c r="P19" i="4" s="1"/>
  <c r="Q41" i="1"/>
  <c r="Q19" i="4" s="1"/>
  <c r="P42" i="1"/>
  <c r="P20" i="4" s="1"/>
  <c r="Q42" i="1"/>
  <c r="Q20" i="4" s="1"/>
  <c r="P43" i="1"/>
  <c r="Q43" i="1"/>
  <c r="R43" i="1"/>
  <c r="B36" i="1"/>
  <c r="B14" i="4" s="1"/>
  <c r="B37" i="1"/>
  <c r="B15" i="4" s="1"/>
  <c r="B38" i="1"/>
  <c r="B16" i="4" s="1"/>
  <c r="B39" i="1"/>
  <c r="B17" i="4" s="1"/>
  <c r="B40" i="1"/>
  <c r="B18" i="4" s="1"/>
  <c r="B41" i="1"/>
  <c r="B19" i="4" s="1"/>
  <c r="B42" i="1"/>
  <c r="B20" i="4" s="1"/>
  <c r="B43" i="1"/>
  <c r="B23" i="1"/>
  <c r="B4" i="4"/>
  <c r="B62" i="4" s="1"/>
  <c r="A52" i="1"/>
  <c r="O22" i="1"/>
  <c r="Q24" i="1"/>
  <c r="P24" i="1"/>
  <c r="O24" i="1"/>
  <c r="Q23" i="1"/>
  <c r="P23" i="1"/>
  <c r="O23" i="1"/>
  <c r="C29" i="1" s="1"/>
  <c r="C7" i="4" s="1"/>
  <c r="H27" i="1"/>
  <c r="H52" i="1" s="1"/>
  <c r="G27" i="1"/>
  <c r="G52" i="1" s="1"/>
  <c r="F27" i="1"/>
  <c r="F52" i="1" s="1"/>
  <c r="E4" i="4"/>
  <c r="D22" i="1"/>
  <c r="C45" i="1"/>
  <c r="G34" i="1"/>
  <c r="G12" i="4" s="1"/>
  <c r="O39" i="1"/>
  <c r="O17" i="4" s="1"/>
  <c r="Q34" i="1"/>
  <c r="Q12" i="4" s="1"/>
  <c r="Q35" i="1"/>
  <c r="Q13" i="4" s="1"/>
  <c r="O38" i="1"/>
  <c r="O16" i="4" s="1"/>
  <c r="Q27" i="1"/>
  <c r="Q52" i="1" s="1"/>
  <c r="K24" i="1"/>
  <c r="J24" i="1"/>
  <c r="H24" i="1"/>
  <c r="G24" i="1"/>
  <c r="F24" i="1"/>
  <c r="E24" i="1"/>
  <c r="D24" i="1"/>
  <c r="C24" i="1"/>
  <c r="B24" i="1"/>
  <c r="K23" i="1"/>
  <c r="J23" i="1"/>
  <c r="H23" i="1"/>
  <c r="G23" i="1"/>
  <c r="F23" i="1"/>
  <c r="E23" i="1"/>
  <c r="D23" i="1"/>
  <c r="C23" i="1"/>
  <c r="AE24" i="1"/>
  <c r="R24" i="1"/>
  <c r="AE23" i="1"/>
  <c r="R23" i="1"/>
  <c r="K4" i="4"/>
  <c r="K62" i="4" s="1"/>
  <c r="L4" i="4"/>
  <c r="K4" i="23"/>
  <c r="K52" i="23" s="1"/>
  <c r="L4" i="23"/>
  <c r="L27" i="23" s="1"/>
  <c r="T56" i="23"/>
  <c r="S56" i="23"/>
  <c r="AG56" i="23"/>
  <c r="AD56" i="1"/>
  <c r="AC56" i="1"/>
  <c r="Q56" i="23"/>
  <c r="AK56" i="1"/>
  <c r="AF56" i="1"/>
  <c r="U56" i="23"/>
  <c r="AB56" i="1"/>
  <c r="AJ56" i="1"/>
  <c r="J56" i="1"/>
  <c r="AK56" i="23"/>
  <c r="P56" i="23"/>
  <c r="AG56" i="1"/>
  <c r="AB56" i="23"/>
  <c r="I56" i="23"/>
  <c r="G56" i="23"/>
  <c r="E56" i="23"/>
  <c r="AE56" i="1"/>
  <c r="AA56" i="1"/>
  <c r="U56" i="1"/>
  <c r="W56" i="1"/>
  <c r="L56" i="1"/>
  <c r="M56" i="1"/>
  <c r="W56" i="23"/>
  <c r="L56" i="23"/>
  <c r="AI56" i="1"/>
  <c r="K56" i="1"/>
  <c r="M56" i="23"/>
  <c r="AJ56" i="23"/>
  <c r="AI56" i="23"/>
  <c r="Z56" i="23"/>
  <c r="V56" i="23"/>
  <c r="Z56" i="1"/>
  <c r="Y56" i="23"/>
  <c r="AH56" i="1"/>
  <c r="C56" i="23"/>
  <c r="X56" i="1"/>
  <c r="F56" i="23"/>
  <c r="AC56" i="23"/>
  <c r="AE56" i="23"/>
  <c r="S56" i="1"/>
  <c r="R56" i="23"/>
  <c r="H56" i="23"/>
  <c r="X56" i="23"/>
  <c r="T56" i="1"/>
  <c r="AD56" i="23"/>
  <c r="V56" i="1"/>
  <c r="AA56" i="23"/>
  <c r="D56" i="23"/>
  <c r="K56" i="23"/>
  <c r="J56" i="23"/>
  <c r="AH56" i="23"/>
  <c r="Y56" i="1"/>
  <c r="AF56" i="23"/>
  <c r="U34" i="23" l="1"/>
  <c r="U28" i="4" s="1"/>
  <c r="T33" i="23"/>
  <c r="U30" i="23"/>
  <c r="U24" i="4" s="1"/>
  <c r="T29" i="23"/>
  <c r="T23" i="4" s="1"/>
  <c r="S29" i="23"/>
  <c r="S23" i="4" s="1"/>
  <c r="R28" i="23"/>
  <c r="R22" i="4" s="1"/>
  <c r="K30" i="23"/>
  <c r="K24" i="4" s="1"/>
  <c r="Q28" i="23"/>
  <c r="O41" i="23"/>
  <c r="O35" i="4" s="1"/>
  <c r="P35" i="23"/>
  <c r="P29" i="4" s="1"/>
  <c r="V34" i="23"/>
  <c r="V28" i="4" s="1"/>
  <c r="Q31" i="1"/>
  <c r="Q9" i="4" s="1"/>
  <c r="S35" i="1"/>
  <c r="S13" i="4" s="1"/>
  <c r="V34" i="1"/>
  <c r="V12" i="4" s="1"/>
  <c r="T32" i="1"/>
  <c r="T10" i="4" s="1"/>
  <c r="U29" i="1"/>
  <c r="U7" i="4" s="1"/>
  <c r="Q33" i="1"/>
  <c r="Q11" i="4" s="1"/>
  <c r="U34" i="1"/>
  <c r="U12" i="4" s="1"/>
  <c r="S32" i="1"/>
  <c r="S10" i="4" s="1"/>
  <c r="V31" i="1"/>
  <c r="V9" i="4" s="1"/>
  <c r="T29" i="1"/>
  <c r="T7" i="4" s="1"/>
  <c r="Q28" i="1"/>
  <c r="P34" i="1"/>
  <c r="P12" i="4" s="1"/>
  <c r="P33" i="1"/>
  <c r="P11" i="4" s="1"/>
  <c r="P28" i="1"/>
  <c r="O41" i="1"/>
  <c r="O19" i="4" s="1"/>
  <c r="T35" i="1"/>
  <c r="T13" i="4" s="1"/>
  <c r="U32" i="1"/>
  <c r="U10" i="4" s="1"/>
  <c r="S30" i="1"/>
  <c r="S8" i="4" s="1"/>
  <c r="V29" i="1"/>
  <c r="V7" i="4" s="1"/>
  <c r="L35" i="23"/>
  <c r="L29" i="4" s="1"/>
  <c r="Q35" i="23"/>
  <c r="Q29" i="4" s="1"/>
  <c r="U33" i="23"/>
  <c r="U27" i="4" s="1"/>
  <c r="S32" i="23"/>
  <c r="S26" i="4" s="1"/>
  <c r="Q31" i="23"/>
  <c r="Q25" i="4" s="1"/>
  <c r="U29" i="23"/>
  <c r="U23" i="4" s="1"/>
  <c r="S28" i="23"/>
  <c r="S22" i="4" s="1"/>
  <c r="P30" i="1"/>
  <c r="P8" i="4" s="1"/>
  <c r="R33" i="1"/>
  <c r="R11" i="4" s="1"/>
  <c r="T34" i="1"/>
  <c r="T12" i="4" s="1"/>
  <c r="U31" i="1"/>
  <c r="U9" i="4" s="1"/>
  <c r="S29" i="1"/>
  <c r="S7" i="4" s="1"/>
  <c r="V28" i="1"/>
  <c r="V46" i="1" s="1"/>
  <c r="V53" i="1" s="1"/>
  <c r="V35" i="23"/>
  <c r="V29" i="4" s="1"/>
  <c r="T34" i="23"/>
  <c r="T28" i="4" s="1"/>
  <c r="R33" i="23"/>
  <c r="R27" i="4" s="1"/>
  <c r="P32" i="23"/>
  <c r="P26" i="4" s="1"/>
  <c r="V31" i="23"/>
  <c r="V25" i="4" s="1"/>
  <c r="T30" i="23"/>
  <c r="T24" i="4" s="1"/>
  <c r="R29" i="23"/>
  <c r="R23" i="4" s="1"/>
  <c r="P28" i="23"/>
  <c r="S34" i="1"/>
  <c r="S12" i="4" s="1"/>
  <c r="V33" i="1"/>
  <c r="V11" i="4" s="1"/>
  <c r="T31" i="1"/>
  <c r="T9" i="4" s="1"/>
  <c r="U28" i="1"/>
  <c r="U6" i="4" s="1"/>
  <c r="U35" i="23"/>
  <c r="S34" i="23"/>
  <c r="S28" i="4" s="1"/>
  <c r="Q33" i="23"/>
  <c r="Q27" i="4" s="1"/>
  <c r="U31" i="23"/>
  <c r="U25" i="4" s="1"/>
  <c r="S30" i="23"/>
  <c r="S24" i="4" s="1"/>
  <c r="Q29" i="23"/>
  <c r="Q23" i="4" s="1"/>
  <c r="U33" i="1"/>
  <c r="U11" i="4" s="1"/>
  <c r="S31" i="1"/>
  <c r="S9" i="4" s="1"/>
  <c r="V30" i="1"/>
  <c r="V8" i="4" s="1"/>
  <c r="T28" i="1"/>
  <c r="T35" i="23"/>
  <c r="T29" i="4" s="1"/>
  <c r="R34" i="23"/>
  <c r="R28" i="4" s="1"/>
  <c r="P33" i="23"/>
  <c r="P27" i="4" s="1"/>
  <c r="V32" i="23"/>
  <c r="V26" i="4" s="1"/>
  <c r="T31" i="23"/>
  <c r="T25" i="4" s="1"/>
  <c r="R30" i="23"/>
  <c r="R24" i="4" s="1"/>
  <c r="P29" i="23"/>
  <c r="P23" i="4" s="1"/>
  <c r="V28" i="23"/>
  <c r="V22" i="4" s="1"/>
  <c r="V35" i="1"/>
  <c r="V13" i="4" s="1"/>
  <c r="T33" i="1"/>
  <c r="T11" i="4" s="1"/>
  <c r="U30" i="1"/>
  <c r="U8" i="4" s="1"/>
  <c r="S28" i="1"/>
  <c r="S35" i="23"/>
  <c r="S29" i="4" s="1"/>
  <c r="Q34" i="23"/>
  <c r="Q28" i="4" s="1"/>
  <c r="U32" i="23"/>
  <c r="U26" i="4" s="1"/>
  <c r="S31" i="23"/>
  <c r="S25" i="4" s="1"/>
  <c r="Q30" i="23"/>
  <c r="Q24" i="4" s="1"/>
  <c r="U28" i="23"/>
  <c r="U22" i="4" s="1"/>
  <c r="U35" i="1"/>
  <c r="U13" i="4" s="1"/>
  <c r="S33" i="1"/>
  <c r="S11" i="4" s="1"/>
  <c r="V32" i="1"/>
  <c r="V10" i="4" s="1"/>
  <c r="T30" i="1"/>
  <c r="T8" i="4" s="1"/>
  <c r="R35" i="23"/>
  <c r="R29" i="4" s="1"/>
  <c r="P34" i="23"/>
  <c r="P28" i="4" s="1"/>
  <c r="V33" i="23"/>
  <c r="V27" i="4" s="1"/>
  <c r="T32" i="23"/>
  <c r="T26" i="4" s="1"/>
  <c r="R31" i="23"/>
  <c r="R25" i="4" s="1"/>
  <c r="P30" i="23"/>
  <c r="P24" i="4" s="1"/>
  <c r="V29" i="23"/>
  <c r="V23" i="4" s="1"/>
  <c r="T28" i="23"/>
  <c r="T22" i="4" s="1"/>
  <c r="J30" i="23"/>
  <c r="J24" i="4" s="1"/>
  <c r="F34" i="23"/>
  <c r="F28" i="4" s="1"/>
  <c r="E29" i="23"/>
  <c r="E23" i="4" s="1"/>
  <c r="D31" i="23"/>
  <c r="D25" i="4" s="1"/>
  <c r="K34" i="23"/>
  <c r="K28" i="4" s="1"/>
  <c r="M28" i="23"/>
  <c r="O40" i="23"/>
  <c r="O34" i="4" s="1"/>
  <c r="M32" i="23"/>
  <c r="M26" i="4" s="1"/>
  <c r="O43" i="23"/>
  <c r="O37" i="4" s="1"/>
  <c r="O39" i="23"/>
  <c r="O33" i="4" s="1"/>
  <c r="D28" i="23"/>
  <c r="C33" i="23"/>
  <c r="C27" i="4" s="1"/>
  <c r="D34" i="23"/>
  <c r="D28" i="4" s="1"/>
  <c r="J29" i="23"/>
  <c r="J23" i="4" s="1"/>
  <c r="L31" i="23"/>
  <c r="L25" i="4" s="1"/>
  <c r="O42" i="23"/>
  <c r="O36" i="4" s="1"/>
  <c r="J35" i="23"/>
  <c r="J29" i="4" s="1"/>
  <c r="C29" i="23"/>
  <c r="C23" i="4" s="1"/>
  <c r="E31" i="23"/>
  <c r="E25" i="4" s="1"/>
  <c r="I29" i="23"/>
  <c r="I23" i="4" s="1"/>
  <c r="C31" i="23"/>
  <c r="C25" i="4" s="1"/>
  <c r="H34" i="23"/>
  <c r="H28" i="4" s="1"/>
  <c r="F29" i="23"/>
  <c r="F23" i="4" s="1"/>
  <c r="K35" i="23"/>
  <c r="K29" i="4" s="1"/>
  <c r="M33" i="23"/>
  <c r="M27" i="4" s="1"/>
  <c r="L32" i="23"/>
  <c r="L26" i="4" s="1"/>
  <c r="K31" i="23"/>
  <c r="K25" i="4" s="1"/>
  <c r="M29" i="23"/>
  <c r="M23" i="4" s="1"/>
  <c r="L28" i="23"/>
  <c r="L22" i="4" s="1"/>
  <c r="O35" i="23"/>
  <c r="O29" i="4" s="1"/>
  <c r="M34" i="23"/>
  <c r="M28" i="4" s="1"/>
  <c r="L33" i="23"/>
  <c r="L27" i="4" s="1"/>
  <c r="K32" i="23"/>
  <c r="K26" i="4" s="1"/>
  <c r="M30" i="23"/>
  <c r="M24" i="4" s="1"/>
  <c r="L29" i="23"/>
  <c r="L23" i="4" s="1"/>
  <c r="K28" i="23"/>
  <c r="K22" i="4" s="1"/>
  <c r="O33" i="23"/>
  <c r="O27" i="4" s="1"/>
  <c r="D33" i="23"/>
  <c r="D27" i="4" s="1"/>
  <c r="G34" i="23"/>
  <c r="G28" i="4" s="1"/>
  <c r="I34" i="23"/>
  <c r="I28" i="4" s="1"/>
  <c r="F30" i="23"/>
  <c r="F24" i="4" s="1"/>
  <c r="H32" i="23"/>
  <c r="H26" i="4" s="1"/>
  <c r="J34" i="23"/>
  <c r="J28" i="4" s="1"/>
  <c r="J28" i="23"/>
  <c r="D30" i="23"/>
  <c r="D24" i="4" s="1"/>
  <c r="F32" i="23"/>
  <c r="F26" i="4" s="1"/>
  <c r="I33" i="23"/>
  <c r="I27" i="4" s="1"/>
  <c r="G35" i="23"/>
  <c r="G29" i="4" s="1"/>
  <c r="M35" i="23"/>
  <c r="M29" i="4" s="1"/>
  <c r="L34" i="23"/>
  <c r="L28" i="4" s="1"/>
  <c r="K33" i="23"/>
  <c r="K27" i="4" s="1"/>
  <c r="M31" i="23"/>
  <c r="M25" i="4" s="1"/>
  <c r="L30" i="23"/>
  <c r="L24" i="4" s="1"/>
  <c r="K29" i="23"/>
  <c r="K23" i="4" s="1"/>
  <c r="O29" i="23"/>
  <c r="O23" i="4" s="1"/>
  <c r="O40" i="1"/>
  <c r="O18" i="4" s="1"/>
  <c r="O43" i="1"/>
  <c r="O21" i="4" s="1"/>
  <c r="O42" i="1"/>
  <c r="O20" i="4" s="1"/>
  <c r="G35" i="1"/>
  <c r="G13" i="4" s="1"/>
  <c r="H33" i="1"/>
  <c r="H11" i="4" s="1"/>
  <c r="H30" i="1"/>
  <c r="H8" i="4" s="1"/>
  <c r="K35" i="1"/>
  <c r="K13" i="4" s="1"/>
  <c r="L32" i="1"/>
  <c r="L10" i="4" s="1"/>
  <c r="M29" i="1"/>
  <c r="M7" i="4" s="1"/>
  <c r="E33" i="1"/>
  <c r="E11" i="4" s="1"/>
  <c r="E35" i="1"/>
  <c r="E13" i="4" s="1"/>
  <c r="M33" i="1"/>
  <c r="M11" i="4" s="1"/>
  <c r="K31" i="1"/>
  <c r="K9" i="4" s="1"/>
  <c r="L28" i="1"/>
  <c r="L6" i="4" s="1"/>
  <c r="F33" i="1"/>
  <c r="F11" i="4" s="1"/>
  <c r="C35" i="1"/>
  <c r="C13" i="4" s="1"/>
  <c r="H32" i="1"/>
  <c r="H10" i="4" s="1"/>
  <c r="F35" i="1"/>
  <c r="F13" i="4" s="1"/>
  <c r="D33" i="1"/>
  <c r="D11" i="4" s="1"/>
  <c r="D35" i="1"/>
  <c r="D13" i="4" s="1"/>
  <c r="H34" i="1"/>
  <c r="H12" i="4" s="1"/>
  <c r="G29" i="1"/>
  <c r="J35" i="1"/>
  <c r="J13" i="4" s="1"/>
  <c r="J31" i="1"/>
  <c r="J9" i="4" s="1"/>
  <c r="J28" i="1"/>
  <c r="J6" i="4" s="1"/>
  <c r="M34" i="1"/>
  <c r="M12" i="4" s="1"/>
  <c r="L33" i="1"/>
  <c r="L11" i="4" s="1"/>
  <c r="K32" i="1"/>
  <c r="K10" i="4" s="1"/>
  <c r="M30" i="1"/>
  <c r="M8" i="4" s="1"/>
  <c r="L29" i="1"/>
  <c r="L7" i="4" s="1"/>
  <c r="K28" i="1"/>
  <c r="E29" i="1"/>
  <c r="E7" i="4" s="1"/>
  <c r="H35" i="1"/>
  <c r="H13" i="4" s="1"/>
  <c r="J32" i="1"/>
  <c r="J10" i="4" s="1"/>
  <c r="O32" i="1"/>
  <c r="O10" i="4" s="1"/>
  <c r="G30" i="1"/>
  <c r="G8" i="4" s="1"/>
  <c r="F34" i="1"/>
  <c r="F12" i="4" s="1"/>
  <c r="F30" i="1"/>
  <c r="I30" i="1"/>
  <c r="I8" i="4" s="1"/>
  <c r="E32" i="1"/>
  <c r="E10" i="4" s="1"/>
  <c r="C33" i="1"/>
  <c r="C11" i="4" s="1"/>
  <c r="J34" i="1"/>
  <c r="J12" i="4" s="1"/>
  <c r="J30" i="1"/>
  <c r="J8" i="4" s="1"/>
  <c r="M35" i="1"/>
  <c r="M13" i="4" s="1"/>
  <c r="L34" i="1"/>
  <c r="L12" i="4" s="1"/>
  <c r="K33" i="1"/>
  <c r="K11" i="4" s="1"/>
  <c r="M31" i="1"/>
  <c r="M9" i="4" s="1"/>
  <c r="L30" i="1"/>
  <c r="L8" i="4" s="1"/>
  <c r="K29" i="1"/>
  <c r="K7" i="4" s="1"/>
  <c r="B33" i="1"/>
  <c r="B11" i="4" s="1"/>
  <c r="F29" i="1"/>
  <c r="F7" i="4" s="1"/>
  <c r="I33" i="1"/>
  <c r="I11" i="4" s="1"/>
  <c r="I29" i="1"/>
  <c r="I34" i="1"/>
  <c r="I12" i="4" s="1"/>
  <c r="E30" i="1"/>
  <c r="E8" i="4" s="1"/>
  <c r="H31" i="1"/>
  <c r="F32" i="1"/>
  <c r="F10" i="4" s="1"/>
  <c r="J33" i="1"/>
  <c r="J11" i="4" s="1"/>
  <c r="J29" i="1"/>
  <c r="J7" i="4" s="1"/>
  <c r="L35" i="1"/>
  <c r="L13" i="4" s="1"/>
  <c r="K34" i="1"/>
  <c r="K12" i="4" s="1"/>
  <c r="M32" i="1"/>
  <c r="M10" i="4" s="1"/>
  <c r="L31" i="1"/>
  <c r="L9" i="4" s="1"/>
  <c r="K30" i="1"/>
  <c r="K8" i="4" s="1"/>
  <c r="M28" i="1"/>
  <c r="E22" i="4"/>
  <c r="F22" i="4"/>
  <c r="AJ6" i="4"/>
  <c r="AF6" i="4"/>
  <c r="AB6" i="4"/>
  <c r="X6" i="4"/>
  <c r="M22" i="4"/>
  <c r="P6" i="4"/>
  <c r="Q6" i="4"/>
  <c r="H22" i="4"/>
  <c r="I22" i="4"/>
  <c r="D22" i="4"/>
  <c r="C22" i="4"/>
  <c r="K6" i="4"/>
  <c r="AE6" i="4"/>
  <c r="AA6" i="4"/>
  <c r="S6" i="4"/>
  <c r="AH22" i="4"/>
  <c r="AD22" i="4"/>
  <c r="Z22" i="4"/>
  <c r="AH6" i="4"/>
  <c r="AD6" i="4"/>
  <c r="AK22" i="4"/>
  <c r="AG22" i="4"/>
  <c r="AC22" i="4"/>
  <c r="Y22" i="4"/>
  <c r="Q22" i="4"/>
  <c r="G22" i="4"/>
  <c r="M6" i="4"/>
  <c r="AK6" i="4"/>
  <c r="AG6" i="4"/>
  <c r="AC6" i="4"/>
  <c r="Y6" i="4"/>
  <c r="AJ22" i="4"/>
  <c r="AF22" i="4"/>
  <c r="AB22" i="4"/>
  <c r="X22" i="4"/>
  <c r="P22" i="4"/>
  <c r="AI4" i="33"/>
  <c r="AI27" i="33" s="1"/>
  <c r="AI52" i="33" s="1"/>
  <c r="AH4" i="33"/>
  <c r="AH22" i="33" s="1"/>
  <c r="AJ4" i="33"/>
  <c r="AJ22" i="33" s="1"/>
  <c r="AF4" i="33"/>
  <c r="AF27" i="33" s="1"/>
  <c r="AF52" i="33" s="1"/>
  <c r="AB4" i="33"/>
  <c r="AB27" i="33" s="1"/>
  <c r="AB52" i="33" s="1"/>
  <c r="X4" i="33"/>
  <c r="X45" i="33" s="1"/>
  <c r="T4" i="33"/>
  <c r="T22" i="33" s="1"/>
  <c r="Q22" i="1"/>
  <c r="S9" i="12"/>
  <c r="S10" i="12" s="1"/>
  <c r="N9" i="12"/>
  <c r="N10" i="12" s="1"/>
  <c r="M9" i="12"/>
  <c r="M10" i="12" s="1"/>
  <c r="I9" i="12"/>
  <c r="I10" i="12" s="1"/>
  <c r="P9" i="12"/>
  <c r="P10" i="12" s="1"/>
  <c r="R35" i="1"/>
  <c r="R13" i="4" s="1"/>
  <c r="G32" i="1"/>
  <c r="G10" i="4" s="1"/>
  <c r="H29" i="1"/>
  <c r="E28" i="1"/>
  <c r="D34" i="1"/>
  <c r="D12" i="4" s="1"/>
  <c r="I31" i="1"/>
  <c r="I9" i="4" s="1"/>
  <c r="F28" i="1"/>
  <c r="R41" i="1"/>
  <c r="R19" i="4" s="1"/>
  <c r="R37" i="1"/>
  <c r="R15" i="4" s="1"/>
  <c r="Q29" i="1"/>
  <c r="O37" i="1"/>
  <c r="O15" i="4" s="1"/>
  <c r="P29" i="1"/>
  <c r="B34" i="1"/>
  <c r="B12" i="4" s="1"/>
  <c r="B35" i="1"/>
  <c r="B13" i="4" s="1"/>
  <c r="C34" i="1"/>
  <c r="C12" i="4" s="1"/>
  <c r="I28" i="1"/>
  <c r="G31" i="1"/>
  <c r="G9" i="4" s="1"/>
  <c r="H28" i="1"/>
  <c r="E34" i="1"/>
  <c r="F31" i="1"/>
  <c r="G28" i="1"/>
  <c r="I32" i="1"/>
  <c r="I10" i="4" s="1"/>
  <c r="I35" i="1"/>
  <c r="G33" i="1"/>
  <c r="E31" i="1"/>
  <c r="E9" i="4" s="1"/>
  <c r="R42" i="1"/>
  <c r="R20" i="4" s="1"/>
  <c r="R38" i="1"/>
  <c r="R16" i="4" s="1"/>
  <c r="R34" i="1"/>
  <c r="R12" i="4" s="1"/>
  <c r="L74" i="4"/>
  <c r="H2" i="12" s="1"/>
  <c r="L62" i="4"/>
  <c r="E55" i="4"/>
  <c r="E62" i="4"/>
  <c r="K9" i="12"/>
  <c r="K10" i="12" s="1"/>
  <c r="P21" i="4"/>
  <c r="I52" i="23"/>
  <c r="R4" i="33"/>
  <c r="AD4" i="33"/>
  <c r="Z4" i="33"/>
  <c r="X21" i="4"/>
  <c r="AD37" i="4"/>
  <c r="Z37" i="4"/>
  <c r="V37" i="4"/>
  <c r="R37" i="4"/>
  <c r="K37" i="4"/>
  <c r="I45" i="23"/>
  <c r="AK4" i="33"/>
  <c r="AG4" i="33"/>
  <c r="AC4" i="33"/>
  <c r="U4" i="33"/>
  <c r="R21" i="4"/>
  <c r="Q21" i="4"/>
  <c r="AE4" i="33"/>
  <c r="AA4" i="33"/>
  <c r="S4" i="33"/>
  <c r="C27" i="23"/>
  <c r="C52" i="23" s="1"/>
  <c r="I27" i="23"/>
  <c r="AD21" i="4"/>
  <c r="AB21" i="4"/>
  <c r="Z21" i="4"/>
  <c r="V21" i="4"/>
  <c r="T21" i="4"/>
  <c r="B21" i="4"/>
  <c r="O37" i="23"/>
  <c r="O31" i="4" s="1"/>
  <c r="O34" i="23"/>
  <c r="O28" i="4" s="1"/>
  <c r="O38" i="23"/>
  <c r="AB37" i="4"/>
  <c r="T37" i="4"/>
  <c r="B38" i="23"/>
  <c r="F37" i="4"/>
  <c r="AA37" i="4"/>
  <c r="AH37" i="4"/>
  <c r="L37" i="4"/>
  <c r="X37" i="4"/>
  <c r="P37" i="4"/>
  <c r="W37" i="4"/>
  <c r="S37" i="4"/>
  <c r="J37" i="4"/>
  <c r="H37" i="4"/>
  <c r="M37" i="4"/>
  <c r="AK37" i="4"/>
  <c r="Q4" i="4"/>
  <c r="Q62" i="4" s="1"/>
  <c r="H7" i="22"/>
  <c r="Z4" i="1"/>
  <c r="Z4" i="4" s="1"/>
  <c r="Z74" i="4" s="1"/>
  <c r="A44" i="22"/>
  <c r="H22" i="22"/>
  <c r="H19" i="22"/>
  <c r="H15" i="22"/>
  <c r="H25" i="22"/>
  <c r="H21" i="22"/>
  <c r="H18" i="22"/>
  <c r="P27" i="23"/>
  <c r="P52" i="23" s="1"/>
  <c r="H20" i="22"/>
  <c r="H17" i="22"/>
  <c r="H23" i="22"/>
  <c r="H16" i="22"/>
  <c r="A49" i="22"/>
  <c r="J4" i="4"/>
  <c r="J4" i="23"/>
  <c r="J45" i="23" s="1"/>
  <c r="M4" i="23"/>
  <c r="M27" i="23" s="1"/>
  <c r="H10" i="22"/>
  <c r="M4" i="4"/>
  <c r="H13" i="22"/>
  <c r="H12" i="22"/>
  <c r="H11" i="22"/>
  <c r="L45" i="1"/>
  <c r="L27" i="1"/>
  <c r="L52" i="1" s="1"/>
  <c r="H9" i="22"/>
  <c r="H8" i="22"/>
  <c r="O32" i="23"/>
  <c r="O31" i="23"/>
  <c r="O25" i="4" s="1"/>
  <c r="O30" i="23"/>
  <c r="O24" i="4" s="1"/>
  <c r="B33" i="23"/>
  <c r="B27" i="4" s="1"/>
  <c r="B28" i="23"/>
  <c r="B30" i="23"/>
  <c r="B24" i="4" s="1"/>
  <c r="B34" i="23"/>
  <c r="B28" i="4" s="1"/>
  <c r="B35" i="23"/>
  <c r="AA46" i="23"/>
  <c r="AA53" i="23" s="1"/>
  <c r="O28" i="23"/>
  <c r="B31" i="23"/>
  <c r="B25" i="4" s="1"/>
  <c r="B29" i="23"/>
  <c r="B23" i="4" s="1"/>
  <c r="Q32" i="1"/>
  <c r="P32" i="1"/>
  <c r="P10" i="4" s="1"/>
  <c r="D4" i="4"/>
  <c r="O29" i="1"/>
  <c r="O7" i="4" s="1"/>
  <c r="B27" i="23"/>
  <c r="B52" i="23" s="1"/>
  <c r="K45" i="23"/>
  <c r="E27" i="23"/>
  <c r="E52" i="23" s="1"/>
  <c r="Q30" i="1"/>
  <c r="Q8" i="4" s="1"/>
  <c r="B29" i="1"/>
  <c r="B7" i="4" s="1"/>
  <c r="P35" i="1"/>
  <c r="P13" i="4" s="1"/>
  <c r="P31" i="1"/>
  <c r="P9" i="4" s="1"/>
  <c r="H22" i="23"/>
  <c r="AA23" i="4"/>
  <c r="AB47" i="23"/>
  <c r="AB48" i="23" s="1"/>
  <c r="AB54" i="23" s="1"/>
  <c r="Z47" i="23"/>
  <c r="Z48" i="23" s="1"/>
  <c r="Z54" i="23" s="1"/>
  <c r="P37" i="1"/>
  <c r="F22" i="23"/>
  <c r="AF46" i="23"/>
  <c r="AF53" i="23" s="1"/>
  <c r="AD47" i="23"/>
  <c r="AD48" i="23" s="1"/>
  <c r="AD54" i="23" s="1"/>
  <c r="E46" i="23"/>
  <c r="E53" i="23" s="1"/>
  <c r="O36" i="1"/>
  <c r="H45" i="23"/>
  <c r="AK47" i="23"/>
  <c r="AK48" i="23" s="1"/>
  <c r="AK54" i="23" s="1"/>
  <c r="AA47" i="23"/>
  <c r="AA48" i="23" s="1"/>
  <c r="AA54" i="23" s="1"/>
  <c r="AB23" i="4"/>
  <c r="AB46" i="23"/>
  <c r="AB53" i="23" s="1"/>
  <c r="X47" i="23"/>
  <c r="X48" i="23" s="1"/>
  <c r="X54" i="23" s="1"/>
  <c r="R31" i="1"/>
  <c r="R9" i="4" s="1"/>
  <c r="X27" i="4"/>
  <c r="AB27" i="4"/>
  <c r="U29" i="4"/>
  <c r="AJ46" i="23"/>
  <c r="AJ53" i="23" s="1"/>
  <c r="AF47" i="23"/>
  <c r="AF48" i="23" s="1"/>
  <c r="AF54" i="23" s="1"/>
  <c r="AC46" i="23"/>
  <c r="AC53" i="23" s="1"/>
  <c r="T27" i="4"/>
  <c r="X46" i="23"/>
  <c r="X53" i="23" s="1"/>
  <c r="Y47" i="23"/>
  <c r="Y48" i="23" s="1"/>
  <c r="Y54" i="23" s="1"/>
  <c r="AJ47" i="23"/>
  <c r="AJ48" i="23" s="1"/>
  <c r="AJ54" i="23" s="1"/>
  <c r="AG46" i="23"/>
  <c r="AG53" i="23" s="1"/>
  <c r="AG47" i="23"/>
  <c r="AG48" i="23" s="1"/>
  <c r="AG54" i="23" s="1"/>
  <c r="AK46" i="23"/>
  <c r="AK53" i="23" s="1"/>
  <c r="J57" i="1"/>
  <c r="E57" i="23"/>
  <c r="M57" i="1"/>
  <c r="AH57" i="1"/>
  <c r="AD57" i="1"/>
  <c r="Z57" i="1"/>
  <c r="V57" i="1"/>
  <c r="AJ57" i="23"/>
  <c r="AG57" i="23"/>
  <c r="AC57" i="23"/>
  <c r="Y57" i="23"/>
  <c r="U57" i="23"/>
  <c r="Q57" i="23"/>
  <c r="J57" i="23"/>
  <c r="H57" i="23"/>
  <c r="L57" i="1"/>
  <c r="AK57" i="1"/>
  <c r="AG57" i="1"/>
  <c r="AC57" i="1"/>
  <c r="Y57" i="1"/>
  <c r="U57" i="1"/>
  <c r="M57" i="23"/>
  <c r="AI57" i="23"/>
  <c r="AF57" i="23"/>
  <c r="AB57" i="23"/>
  <c r="X57" i="23"/>
  <c r="T57" i="23"/>
  <c r="P57" i="23"/>
  <c r="C57" i="23"/>
  <c r="F57" i="23"/>
  <c r="I57" i="23"/>
  <c r="K57" i="1"/>
  <c r="AJ57" i="1"/>
  <c r="AF57" i="1"/>
  <c r="AB57" i="1"/>
  <c r="X57" i="1"/>
  <c r="T57" i="1"/>
  <c r="L57" i="23"/>
  <c r="AE57" i="23"/>
  <c r="AA57" i="23"/>
  <c r="W57" i="23"/>
  <c r="S57" i="23"/>
  <c r="D57" i="23"/>
  <c r="G57" i="23"/>
  <c r="AI57" i="1"/>
  <c r="AE57" i="1"/>
  <c r="AA57" i="1"/>
  <c r="W57" i="1"/>
  <c r="S57" i="1"/>
  <c r="K57" i="23"/>
  <c r="AK57" i="23"/>
  <c r="AH57" i="23"/>
  <c r="AD57" i="23"/>
  <c r="Z57" i="23"/>
  <c r="V57" i="23"/>
  <c r="R57" i="23"/>
  <c r="J21" i="4"/>
  <c r="E37" i="4"/>
  <c r="M21" i="4"/>
  <c r="R28" i="1"/>
  <c r="AJ37" i="4"/>
  <c r="AG37" i="4"/>
  <c r="R30" i="1"/>
  <c r="R8" i="4" s="1"/>
  <c r="L21" i="4"/>
  <c r="AG21" i="4"/>
  <c r="AC21" i="4"/>
  <c r="Y21" i="4"/>
  <c r="U21" i="4"/>
  <c r="AI37" i="4"/>
  <c r="AF37" i="4"/>
  <c r="R29" i="1"/>
  <c r="R7" i="4" s="1"/>
  <c r="D21" i="4"/>
  <c r="C37" i="4"/>
  <c r="I37" i="4"/>
  <c r="K21" i="4"/>
  <c r="AE37" i="4"/>
  <c r="P36" i="1"/>
  <c r="P14" i="4" s="1"/>
  <c r="R32" i="1"/>
  <c r="C21" i="4"/>
  <c r="B37" i="4"/>
  <c r="D37" i="4"/>
  <c r="G37" i="4"/>
  <c r="O34" i="1"/>
  <c r="O12" i="4" s="1"/>
  <c r="O35" i="1"/>
  <c r="O13" i="4" s="1"/>
  <c r="O33" i="1"/>
  <c r="O11" i="4" s="1"/>
  <c r="O30" i="1"/>
  <c r="O8" i="4" s="1"/>
  <c r="B31" i="1"/>
  <c r="B9" i="4" s="1"/>
  <c r="O31" i="1"/>
  <c r="O9" i="4" s="1"/>
  <c r="W47" i="1"/>
  <c r="W48" i="1" s="1"/>
  <c r="W54" i="1" s="1"/>
  <c r="X46" i="1"/>
  <c r="X53" i="1" s="1"/>
  <c r="Y46" i="1"/>
  <c r="Y53" i="1" s="1"/>
  <c r="B32" i="1"/>
  <c r="D28" i="1"/>
  <c r="C32" i="1"/>
  <c r="X7" i="4"/>
  <c r="AH46" i="1"/>
  <c r="AH53" i="1" s="1"/>
  <c r="B28" i="1"/>
  <c r="D32" i="1"/>
  <c r="X47" i="1"/>
  <c r="X48" i="1" s="1"/>
  <c r="X54" i="1" s="1"/>
  <c r="B30" i="1"/>
  <c r="B8" i="4" s="1"/>
  <c r="C28" i="1"/>
  <c r="D31" i="1"/>
  <c r="D9" i="4" s="1"/>
  <c r="AB47" i="1"/>
  <c r="AB48" i="1" s="1"/>
  <c r="AB54" i="1" s="1"/>
  <c r="AI6" i="4"/>
  <c r="AI47" i="1"/>
  <c r="AI48" i="1" s="1"/>
  <c r="AI54" i="1" s="1"/>
  <c r="AI46" i="1"/>
  <c r="AI53" i="1" s="1"/>
  <c r="AA46" i="1"/>
  <c r="AA53" i="1" s="1"/>
  <c r="AA47" i="1"/>
  <c r="AA48" i="1" s="1"/>
  <c r="AA54" i="1" s="1"/>
  <c r="W46" i="1"/>
  <c r="W53" i="1" s="1"/>
  <c r="Z46" i="1"/>
  <c r="Z53" i="1" s="1"/>
  <c r="Z47" i="1"/>
  <c r="Z48" i="1" s="1"/>
  <c r="Z54" i="1" s="1"/>
  <c r="Z6" i="4"/>
  <c r="O28" i="1"/>
  <c r="C30" i="1"/>
  <c r="C8" i="4" s="1"/>
  <c r="C31" i="1"/>
  <c r="C9" i="4" s="1"/>
  <c r="D29" i="1"/>
  <c r="D7" i="4" s="1"/>
  <c r="D30" i="1"/>
  <c r="AC47" i="1"/>
  <c r="AC48" i="1" s="1"/>
  <c r="AC54" i="1" s="1"/>
  <c r="AB46" i="1"/>
  <c r="AB53" i="1" s="1"/>
  <c r="Y12" i="4"/>
  <c r="X11" i="4"/>
  <c r="AH47" i="1"/>
  <c r="AH48" i="1" s="1"/>
  <c r="AH54" i="1" s="1"/>
  <c r="AF9" i="4"/>
  <c r="AF46" i="1"/>
  <c r="AF53" i="1" s="1"/>
  <c r="AF47" i="1"/>
  <c r="AF48" i="1" s="1"/>
  <c r="AF54" i="1" s="1"/>
  <c r="AD46" i="1"/>
  <c r="AD53" i="1" s="1"/>
  <c r="AD47" i="1"/>
  <c r="AD48" i="1" s="1"/>
  <c r="AD54" i="1" s="1"/>
  <c r="V6" i="4"/>
  <c r="Y47" i="1"/>
  <c r="Y48" i="1" s="1"/>
  <c r="Y54" i="1" s="1"/>
  <c r="W6" i="4"/>
  <c r="AG46" i="1"/>
  <c r="AG53" i="1" s="1"/>
  <c r="AG11" i="4"/>
  <c r="AG47" i="1"/>
  <c r="AG48" i="1" s="1"/>
  <c r="AG54" i="1" s="1"/>
  <c r="AC46" i="1"/>
  <c r="AC53" i="1" s="1"/>
  <c r="AH21" i="4"/>
  <c r="AE21" i="4"/>
  <c r="G21" i="4"/>
  <c r="AK21" i="4"/>
  <c r="I21" i="4"/>
  <c r="F21" i="4"/>
  <c r="AJ21" i="4"/>
  <c r="H21" i="4"/>
  <c r="E21" i="4"/>
  <c r="AI21" i="4"/>
  <c r="AF21" i="4"/>
  <c r="L52" i="23"/>
  <c r="D17" i="4"/>
  <c r="F8" i="4"/>
  <c r="H9" i="4"/>
  <c r="G7" i="4"/>
  <c r="C4" i="4"/>
  <c r="E47" i="23"/>
  <c r="E48" i="23" s="1"/>
  <c r="E54" i="23" s="1"/>
  <c r="A47" i="22"/>
  <c r="C46" i="23"/>
  <c r="C53" i="23" s="1"/>
  <c r="G27" i="23"/>
  <c r="G52" i="23" s="1"/>
  <c r="A50" i="22"/>
  <c r="H50" i="22" s="1"/>
  <c r="AC47" i="23"/>
  <c r="AC48" i="23" s="1"/>
  <c r="AC54" i="23" s="1"/>
  <c r="Y46" i="23"/>
  <c r="Y53" i="23" s="1"/>
  <c r="K27" i="23"/>
  <c r="L22" i="1"/>
  <c r="I7" i="4"/>
  <c r="D27" i="1"/>
  <c r="D52" i="1" s="1"/>
  <c r="D45" i="1"/>
  <c r="D22" i="23"/>
  <c r="D45" i="23"/>
  <c r="D27" i="23"/>
  <c r="D52" i="23" s="1"/>
  <c r="W47" i="23"/>
  <c r="W48" i="23" s="1"/>
  <c r="W54" i="23" s="1"/>
  <c r="AD46" i="23"/>
  <c r="AD53" i="23" s="1"/>
  <c r="AE47" i="23"/>
  <c r="AE48" i="23" s="1"/>
  <c r="AE54" i="23" s="1"/>
  <c r="AK46" i="1"/>
  <c r="AK53" i="1" s="1"/>
  <c r="AE46" i="1"/>
  <c r="AE53" i="1" s="1"/>
  <c r="F45" i="23"/>
  <c r="AE47" i="1"/>
  <c r="AE48" i="1" s="1"/>
  <c r="AE54" i="1" s="1"/>
  <c r="AK47" i="1"/>
  <c r="AK48" i="1" s="1"/>
  <c r="AK54" i="1" s="1"/>
  <c r="AH47" i="23"/>
  <c r="AH48" i="23" s="1"/>
  <c r="AH54" i="23" s="1"/>
  <c r="W46" i="23"/>
  <c r="W53" i="23" s="1"/>
  <c r="AI46" i="23"/>
  <c r="AI53" i="23" s="1"/>
  <c r="AI22" i="4"/>
  <c r="AI47" i="23"/>
  <c r="AI48" i="23" s="1"/>
  <c r="AI54" i="23" s="1"/>
  <c r="Z46" i="23"/>
  <c r="Z53" i="23" s="1"/>
  <c r="E22" i="23"/>
  <c r="AJ47" i="1"/>
  <c r="AJ48" i="1" s="1"/>
  <c r="AJ54" i="1" s="1"/>
  <c r="AJ46" i="1"/>
  <c r="AJ53" i="1" s="1"/>
  <c r="AE46" i="23"/>
  <c r="AE53" i="23" s="1"/>
  <c r="AH30" i="4"/>
  <c r="AH46" i="23"/>
  <c r="AH53" i="23" s="1"/>
  <c r="G22" i="23"/>
  <c r="K22" i="23"/>
  <c r="L45" i="23"/>
  <c r="O22" i="23"/>
  <c r="Q22" i="23"/>
  <c r="B22" i="23"/>
  <c r="C22" i="23"/>
  <c r="L22" i="23"/>
  <c r="Q27" i="23"/>
  <c r="Q52" i="23" s="1"/>
  <c r="O27" i="23"/>
  <c r="O52" i="23" s="1"/>
  <c r="E45" i="1"/>
  <c r="B27" i="1"/>
  <c r="B52" i="1" s="1"/>
  <c r="K27" i="1"/>
  <c r="K52" i="1" s="1"/>
  <c r="F4" i="4"/>
  <c r="G22" i="1"/>
  <c r="F45" i="1"/>
  <c r="C22" i="1"/>
  <c r="B22" i="1"/>
  <c r="G45" i="1"/>
  <c r="E27" i="1"/>
  <c r="E52" i="1" s="1"/>
  <c r="E22" i="1"/>
  <c r="I22" i="1"/>
  <c r="I27" i="1"/>
  <c r="P27" i="1"/>
  <c r="P52" i="1" s="1"/>
  <c r="H4" i="4"/>
  <c r="F22" i="1"/>
  <c r="I4" i="4"/>
  <c r="G4" i="4"/>
  <c r="C27" i="1"/>
  <c r="C52" i="1" s="1"/>
  <c r="B45" i="1"/>
  <c r="K74" i="4"/>
  <c r="G2" i="12" s="1"/>
  <c r="K22" i="1"/>
  <c r="H22" i="1"/>
  <c r="O4" i="4"/>
  <c r="H45" i="1"/>
  <c r="O45" i="1"/>
  <c r="P4" i="4"/>
  <c r="K45" i="1"/>
  <c r="P45" i="1"/>
  <c r="O27" i="1"/>
  <c r="O52" i="1" s="1"/>
  <c r="I52" i="1"/>
  <c r="K55" i="4"/>
  <c r="B55" i="4"/>
  <c r="H9" i="12"/>
  <c r="H10" i="12" s="1"/>
  <c r="G9" i="12"/>
  <c r="G10" i="12" s="1"/>
  <c r="E9" i="12"/>
  <c r="E10" i="12" s="1"/>
  <c r="L55" i="4"/>
  <c r="E74" i="4"/>
  <c r="B74" i="4"/>
  <c r="T9" i="12"/>
  <c r="T10" i="12" s="1"/>
  <c r="F9" i="12"/>
  <c r="F10" i="12" s="1"/>
  <c r="L9" i="12"/>
  <c r="L10" i="12" s="1"/>
  <c r="J9" i="12"/>
  <c r="J10" i="12" s="1"/>
  <c r="R9" i="12"/>
  <c r="R10" i="12" s="1"/>
  <c r="H56" i="1"/>
  <c r="B56" i="1"/>
  <c r="G56" i="1"/>
  <c r="B56" i="23"/>
  <c r="I56" i="1"/>
  <c r="O56" i="1"/>
  <c r="R56" i="1"/>
  <c r="C56" i="1"/>
  <c r="D56" i="1"/>
  <c r="E56" i="1"/>
  <c r="P56" i="1"/>
  <c r="Q56" i="1"/>
  <c r="F56" i="1"/>
  <c r="O56" i="23"/>
  <c r="V78" i="4"/>
  <c r="AB78" i="4"/>
  <c r="S78" i="4"/>
  <c r="M78" i="4"/>
  <c r="U78" i="4"/>
  <c r="AJ78" i="4"/>
  <c r="AE78" i="4"/>
  <c r="T78" i="4"/>
  <c r="AA78" i="4"/>
  <c r="L78" i="4"/>
  <c r="AG78" i="4"/>
  <c r="Y78" i="4"/>
  <c r="Z78" i="4"/>
  <c r="AC78" i="4"/>
  <c r="AD78" i="4"/>
  <c r="K78" i="4"/>
  <c r="AH78" i="4"/>
  <c r="X78" i="4"/>
  <c r="AK78" i="4"/>
  <c r="AI78" i="4"/>
  <c r="W78" i="4"/>
  <c r="AF78" i="4"/>
  <c r="P46" i="23" l="1"/>
  <c r="P53" i="23" s="1"/>
  <c r="S47" i="23"/>
  <c r="S48" i="23" s="1"/>
  <c r="S54" i="23" s="1"/>
  <c r="Q46" i="23"/>
  <c r="Q53" i="23" s="1"/>
  <c r="V47" i="23"/>
  <c r="V48" i="23" s="1"/>
  <c r="V54" i="23" s="1"/>
  <c r="S46" i="23"/>
  <c r="S53" i="23" s="1"/>
  <c r="T46" i="23"/>
  <c r="T53" i="23" s="1"/>
  <c r="P47" i="23"/>
  <c r="P48" i="23" s="1"/>
  <c r="P54" i="23" s="1"/>
  <c r="T46" i="1"/>
  <c r="T53" i="1" s="1"/>
  <c r="L47" i="1"/>
  <c r="L48" i="1" s="1"/>
  <c r="L54" i="1" s="1"/>
  <c r="S47" i="1"/>
  <c r="S48" i="1" s="1"/>
  <c r="S54" i="1" s="1"/>
  <c r="V46" i="23"/>
  <c r="V53" i="23" s="1"/>
  <c r="F46" i="23"/>
  <c r="F53" i="23" s="1"/>
  <c r="J46" i="1"/>
  <c r="J53" i="1" s="1"/>
  <c r="K46" i="1"/>
  <c r="K53" i="1" s="1"/>
  <c r="T47" i="23"/>
  <c r="T48" i="23" s="1"/>
  <c r="T54" i="23" s="1"/>
  <c r="T6" i="4"/>
  <c r="T56" i="4" s="1"/>
  <c r="T75" i="4" s="1"/>
  <c r="U46" i="1"/>
  <c r="U53" i="1" s="1"/>
  <c r="H46" i="23"/>
  <c r="H53" i="23" s="1"/>
  <c r="U46" i="23"/>
  <c r="U53" i="23" s="1"/>
  <c r="L47" i="23"/>
  <c r="L48" i="23" s="1"/>
  <c r="L54" i="23" s="1"/>
  <c r="U47" i="23"/>
  <c r="U48" i="23" s="1"/>
  <c r="U54" i="23" s="1"/>
  <c r="U47" i="1"/>
  <c r="U48" i="1" s="1"/>
  <c r="U54" i="1" s="1"/>
  <c r="R46" i="23"/>
  <c r="R53" i="23" s="1"/>
  <c r="F47" i="23"/>
  <c r="F48" i="23" s="1"/>
  <c r="F54" i="23" s="1"/>
  <c r="S46" i="1"/>
  <c r="S53" i="1" s="1"/>
  <c r="Q47" i="23"/>
  <c r="Q48" i="23" s="1"/>
  <c r="Q54" i="23" s="1"/>
  <c r="J47" i="23"/>
  <c r="J48" i="23" s="1"/>
  <c r="J54" i="23" s="1"/>
  <c r="V47" i="1"/>
  <c r="V48" i="1" s="1"/>
  <c r="V54" i="1" s="1"/>
  <c r="T47" i="1"/>
  <c r="T48" i="1" s="1"/>
  <c r="T54" i="1" s="1"/>
  <c r="H47" i="23"/>
  <c r="H48" i="23" s="1"/>
  <c r="H54" i="23" s="1"/>
  <c r="R47" i="23"/>
  <c r="R48" i="23" s="1"/>
  <c r="R54" i="23" s="1"/>
  <c r="AI45" i="33"/>
  <c r="AB45" i="33"/>
  <c r="AI22" i="33"/>
  <c r="AB22" i="33"/>
  <c r="D47" i="23"/>
  <c r="D48" i="23" s="1"/>
  <c r="D54" i="23" s="1"/>
  <c r="D46" i="23"/>
  <c r="D53" i="23" s="1"/>
  <c r="C47" i="23"/>
  <c r="C48" i="23" s="1"/>
  <c r="C54" i="23" s="1"/>
  <c r="I47" i="23"/>
  <c r="I48" i="23" s="1"/>
  <c r="I54" i="23" s="1"/>
  <c r="L46" i="23"/>
  <c r="L53" i="23" s="1"/>
  <c r="K47" i="23"/>
  <c r="K48" i="23" s="1"/>
  <c r="K54" i="23" s="1"/>
  <c r="G47" i="23"/>
  <c r="G48" i="23" s="1"/>
  <c r="G54" i="23" s="1"/>
  <c r="J22" i="4"/>
  <c r="J56" i="4" s="1"/>
  <c r="J75" i="4" s="1"/>
  <c r="J46" i="23"/>
  <c r="J53" i="23" s="1"/>
  <c r="K46" i="23"/>
  <c r="K53" i="23" s="1"/>
  <c r="G46" i="23"/>
  <c r="G53" i="23" s="1"/>
  <c r="I46" i="23"/>
  <c r="I53" i="23" s="1"/>
  <c r="W63" i="4"/>
  <c r="W64" i="4" s="1"/>
  <c r="M47" i="23"/>
  <c r="M48" i="23" s="1"/>
  <c r="M54" i="23" s="1"/>
  <c r="M46" i="23"/>
  <c r="M53" i="23" s="1"/>
  <c r="AJ63" i="4"/>
  <c r="AJ64" i="4" s="1"/>
  <c r="AE63" i="4"/>
  <c r="AE64" i="4" s="1"/>
  <c r="K47" i="1"/>
  <c r="K48" i="1" s="1"/>
  <c r="K54" i="1" s="1"/>
  <c r="L46" i="1"/>
  <c r="L53" i="1" s="1"/>
  <c r="J47" i="1"/>
  <c r="J48" i="1" s="1"/>
  <c r="J54" i="1" s="1"/>
  <c r="AC63" i="4"/>
  <c r="AC64" i="4" s="1"/>
  <c r="M46" i="1"/>
  <c r="M53" i="1" s="1"/>
  <c r="Y57" i="4"/>
  <c r="Y58" i="4" s="1"/>
  <c r="Y76" i="4" s="1"/>
  <c r="M63" i="4"/>
  <c r="M64" i="4" s="1"/>
  <c r="L63" i="4"/>
  <c r="L64" i="4" s="1"/>
  <c r="M47" i="1"/>
  <c r="M48" i="1" s="1"/>
  <c r="M54" i="1" s="1"/>
  <c r="S63" i="4"/>
  <c r="S64" i="4" s="1"/>
  <c r="F46" i="1"/>
  <c r="F53" i="1" s="1"/>
  <c r="AK63" i="4"/>
  <c r="AK64" i="4" s="1"/>
  <c r="P47" i="1"/>
  <c r="P48" i="1" s="1"/>
  <c r="P54" i="1" s="1"/>
  <c r="AA63" i="4"/>
  <c r="AA64" i="4" s="1"/>
  <c r="AG63" i="4"/>
  <c r="AG64" i="4" s="1"/>
  <c r="AD63" i="4"/>
  <c r="AD64" i="4" s="1"/>
  <c r="D6" i="4"/>
  <c r="R6" i="4"/>
  <c r="C6" i="4"/>
  <c r="B22" i="4"/>
  <c r="I6" i="4"/>
  <c r="P7" i="4"/>
  <c r="E6" i="4"/>
  <c r="H6" i="4"/>
  <c r="F6" i="4"/>
  <c r="O6" i="4"/>
  <c r="B6" i="4"/>
  <c r="G6" i="4"/>
  <c r="Q7" i="4"/>
  <c r="AF63" i="4"/>
  <c r="AF64" i="4" s="1"/>
  <c r="X63" i="4"/>
  <c r="X64" i="4" s="1"/>
  <c r="K63" i="4"/>
  <c r="K64" i="4" s="1"/>
  <c r="U63" i="4"/>
  <c r="U64" i="4" s="1"/>
  <c r="AB63" i="4"/>
  <c r="AB64" i="4" s="1"/>
  <c r="J63" i="4"/>
  <c r="J64" i="4" s="1"/>
  <c r="AH63" i="4"/>
  <c r="AH64" i="4" s="1"/>
  <c r="V63" i="4"/>
  <c r="V64" i="4" s="1"/>
  <c r="T63" i="4"/>
  <c r="T64" i="4" s="1"/>
  <c r="Z63" i="4"/>
  <c r="Z64" i="4" s="1"/>
  <c r="AI63" i="4"/>
  <c r="AI64" i="4" s="1"/>
  <c r="AC56" i="4"/>
  <c r="Y63" i="4"/>
  <c r="Y64" i="4" s="1"/>
  <c r="AH27" i="33"/>
  <c r="AH52" i="33" s="1"/>
  <c r="AJ27" i="33"/>
  <c r="AJ52" i="33" s="1"/>
  <c r="H47" i="22"/>
  <c r="H49" i="22"/>
  <c r="H44" i="22"/>
  <c r="AH45" i="33"/>
  <c r="AF45" i="33"/>
  <c r="A46" i="22"/>
  <c r="H46" i="22" s="1"/>
  <c r="AD4" i="1"/>
  <c r="AD22" i="1" s="1"/>
  <c r="T27" i="33"/>
  <c r="T52" i="33" s="1"/>
  <c r="AF22" i="33"/>
  <c r="AJ45" i="33"/>
  <c r="A34" i="22"/>
  <c r="H34" i="22" s="1"/>
  <c r="A35" i="22"/>
  <c r="H35" i="22" s="1"/>
  <c r="AE4" i="1"/>
  <c r="AE45" i="1" s="1"/>
  <c r="T45" i="33"/>
  <c r="A38" i="22"/>
  <c r="H38" i="22" s="1"/>
  <c r="X27" i="33"/>
  <c r="X52" i="33" s="1"/>
  <c r="A42" i="22"/>
  <c r="H42" i="22" s="1"/>
  <c r="X22" i="33"/>
  <c r="AD4" i="23"/>
  <c r="AD22" i="23" s="1"/>
  <c r="A40" i="22"/>
  <c r="H40" i="22" s="1"/>
  <c r="I47" i="1"/>
  <c r="I48" i="1" s="1"/>
  <c r="I54" i="1" s="1"/>
  <c r="F47" i="1"/>
  <c r="F48" i="1" s="1"/>
  <c r="F54" i="1" s="1"/>
  <c r="G47" i="1"/>
  <c r="G48" i="1" s="1"/>
  <c r="G54" i="1" s="1"/>
  <c r="E47" i="1"/>
  <c r="E48" i="1" s="1"/>
  <c r="E54" i="1" s="1"/>
  <c r="Q46" i="1"/>
  <c r="Q53" i="1" s="1"/>
  <c r="E46" i="1"/>
  <c r="E53" i="1" s="1"/>
  <c r="Q47" i="1"/>
  <c r="Q48" i="1" s="1"/>
  <c r="Q54" i="1" s="1"/>
  <c r="I46" i="1"/>
  <c r="I53" i="1" s="1"/>
  <c r="Q74" i="4"/>
  <c r="A51" i="22"/>
  <c r="H51" i="22" s="1"/>
  <c r="AE4" i="23"/>
  <c r="AE27" i="23" s="1"/>
  <c r="AE52" i="23" s="1"/>
  <c r="Z4" i="23"/>
  <c r="Z45" i="23" s="1"/>
  <c r="A45" i="22"/>
  <c r="H45" i="22" s="1"/>
  <c r="M57" i="4"/>
  <c r="M58" i="4" s="1"/>
  <c r="M76" i="4" s="1"/>
  <c r="AH56" i="4"/>
  <c r="AH75" i="4" s="1"/>
  <c r="AG56" i="4"/>
  <c r="AG75" i="4" s="1"/>
  <c r="T57" i="4"/>
  <c r="T58" i="4" s="1"/>
  <c r="T76" i="4" s="1"/>
  <c r="H57" i="1"/>
  <c r="G57" i="1"/>
  <c r="F57" i="1"/>
  <c r="I57" i="1"/>
  <c r="E57" i="1"/>
  <c r="H7" i="4"/>
  <c r="G46" i="1"/>
  <c r="G53" i="1" s="1"/>
  <c r="H46" i="1"/>
  <c r="H53" i="1" s="1"/>
  <c r="H47" i="1"/>
  <c r="H48" i="1" s="1"/>
  <c r="H54" i="1" s="1"/>
  <c r="G11" i="4"/>
  <c r="F9" i="4"/>
  <c r="AF57" i="4"/>
  <c r="AF58" i="4" s="1"/>
  <c r="AF76" i="4" s="1"/>
  <c r="X56" i="4"/>
  <c r="X75" i="4" s="1"/>
  <c r="I13" i="4"/>
  <c r="E12" i="4"/>
  <c r="I55" i="4"/>
  <c r="I62" i="4"/>
  <c r="V57" i="4"/>
  <c r="V58" i="4" s="1"/>
  <c r="V76" i="4" s="1"/>
  <c r="V56" i="4"/>
  <c r="V75" i="4" s="1"/>
  <c r="Z55" i="4"/>
  <c r="Z62" i="4"/>
  <c r="W4" i="1"/>
  <c r="W45" i="1" s="1"/>
  <c r="W4" i="33"/>
  <c r="AC22" i="33"/>
  <c r="AC45" i="33"/>
  <c r="AC27" i="33"/>
  <c r="AC52" i="33" s="1"/>
  <c r="Z45" i="33"/>
  <c r="Z27" i="33"/>
  <c r="Z52" i="33" s="1"/>
  <c r="Z22" i="33"/>
  <c r="U57" i="4"/>
  <c r="U58" i="4" s="1"/>
  <c r="U76" i="4" s="1"/>
  <c r="AK57" i="4"/>
  <c r="AK58" i="4" s="1"/>
  <c r="AK76" i="4" s="1"/>
  <c r="X57" i="4"/>
  <c r="X58" i="4" s="1"/>
  <c r="X76" i="4" s="1"/>
  <c r="L56" i="4"/>
  <c r="L75" i="4" s="1"/>
  <c r="AD57" i="4"/>
  <c r="AD58" i="4" s="1"/>
  <c r="AD76" i="4" s="1"/>
  <c r="AB56" i="4"/>
  <c r="AB75" i="4" s="1"/>
  <c r="S56" i="4"/>
  <c r="S75" i="4" s="1"/>
  <c r="K57" i="4"/>
  <c r="K58" i="4" s="1"/>
  <c r="K76" i="4" s="1"/>
  <c r="O55" i="4"/>
  <c r="O62" i="4"/>
  <c r="F55" i="4"/>
  <c r="F62" i="4"/>
  <c r="W56" i="4"/>
  <c r="W75" i="4" s="1"/>
  <c r="W57" i="4"/>
  <c r="W58" i="4" s="1"/>
  <c r="W76" i="4" s="1"/>
  <c r="AC75" i="4"/>
  <c r="M55" i="4"/>
  <c r="M62" i="4"/>
  <c r="J55" i="4"/>
  <c r="J62" i="4"/>
  <c r="AA27" i="33"/>
  <c r="AA52" i="33" s="1"/>
  <c r="AA22" i="33"/>
  <c r="AA45" i="33"/>
  <c r="AG22" i="33"/>
  <c r="AG27" i="33"/>
  <c r="AG52" i="33" s="1"/>
  <c r="AG45" i="33"/>
  <c r="AD45" i="33"/>
  <c r="AD27" i="33"/>
  <c r="AD52" i="33" s="1"/>
  <c r="AD22" i="33"/>
  <c r="Y56" i="4"/>
  <c r="Y75" i="4" s="1"/>
  <c r="AG57" i="4"/>
  <c r="AG58" i="4" s="1"/>
  <c r="AG76" i="4" s="1"/>
  <c r="L57" i="4"/>
  <c r="L58" i="4" s="1"/>
  <c r="L76" i="4" s="1"/>
  <c r="AB57" i="4"/>
  <c r="AB58" i="4" s="1"/>
  <c r="AB76" i="4" s="1"/>
  <c r="AE57" i="4"/>
  <c r="AE58" i="4" s="1"/>
  <c r="AE76" i="4" s="1"/>
  <c r="K56" i="4"/>
  <c r="K75" i="4" s="1"/>
  <c r="J57" i="4"/>
  <c r="J58" i="4" s="1"/>
  <c r="J76" i="4" s="1"/>
  <c r="AJ56" i="4"/>
  <c r="AJ75" i="4" s="1"/>
  <c r="P55" i="4"/>
  <c r="P62" i="4"/>
  <c r="G55" i="4"/>
  <c r="G62" i="4"/>
  <c r="H74" i="4"/>
  <c r="H62" i="4"/>
  <c r="AE27" i="33"/>
  <c r="AE52" i="33" s="1"/>
  <c r="AE22" i="33"/>
  <c r="AE45" i="33"/>
  <c r="U22" i="33"/>
  <c r="U45" i="33"/>
  <c r="U27" i="33"/>
  <c r="U52" i="33" s="1"/>
  <c r="AK22" i="33"/>
  <c r="AK45" i="33"/>
  <c r="AK27" i="33"/>
  <c r="AK52" i="33" s="1"/>
  <c r="R45" i="33"/>
  <c r="R27" i="33"/>
  <c r="R52" i="33" s="1"/>
  <c r="R22" i="33"/>
  <c r="U56" i="4"/>
  <c r="U75" i="4" s="1"/>
  <c r="AC57" i="4"/>
  <c r="AC58" i="4" s="1"/>
  <c r="AC76" i="4" s="1"/>
  <c r="AK56" i="4"/>
  <c r="AK75" i="4" s="1"/>
  <c r="M56" i="4"/>
  <c r="M75" i="4" s="1"/>
  <c r="AH57" i="4"/>
  <c r="AH58" i="4" s="1"/>
  <c r="AH76" i="4" s="1"/>
  <c r="AA57" i="4"/>
  <c r="AA58" i="4" s="1"/>
  <c r="AA76" i="4" s="1"/>
  <c r="AE56" i="4"/>
  <c r="AE75" i="4" s="1"/>
  <c r="AF56" i="4"/>
  <c r="AF75" i="4" s="1"/>
  <c r="AJ57" i="4"/>
  <c r="AJ58" i="4" s="1"/>
  <c r="AJ76" i="4" s="1"/>
  <c r="C74" i="4"/>
  <c r="C62" i="4"/>
  <c r="Z56" i="4"/>
  <c r="Z75" i="4" s="1"/>
  <c r="Z57" i="4"/>
  <c r="Z58" i="4" s="1"/>
  <c r="Z76" i="4" s="1"/>
  <c r="AI56" i="4"/>
  <c r="AI75" i="4" s="1"/>
  <c r="AI57" i="4"/>
  <c r="AI58" i="4" s="1"/>
  <c r="AI76" i="4" s="1"/>
  <c r="D55" i="4"/>
  <c r="D62" i="4"/>
  <c r="S27" i="33"/>
  <c r="S52" i="33" s="1"/>
  <c r="S22" i="33"/>
  <c r="S45" i="33"/>
  <c r="Y4" i="23"/>
  <c r="Y45" i="23" s="1"/>
  <c r="Y4" i="33"/>
  <c r="A36" i="22"/>
  <c r="H36" i="22" s="1"/>
  <c r="V4" i="33"/>
  <c r="AD56" i="4"/>
  <c r="AD75" i="4" s="1"/>
  <c r="S57" i="4"/>
  <c r="S58" i="4" s="1"/>
  <c r="S76" i="4" s="1"/>
  <c r="AA56" i="4"/>
  <c r="AA75" i="4" s="1"/>
  <c r="Q55" i="4"/>
  <c r="V4" i="1"/>
  <c r="V45" i="1" s="1"/>
  <c r="O32" i="4"/>
  <c r="Q10" i="4"/>
  <c r="B32" i="4"/>
  <c r="H55" i="4"/>
  <c r="R10" i="4"/>
  <c r="O14" i="4"/>
  <c r="P15" i="4"/>
  <c r="V4" i="23"/>
  <c r="V45" i="23" s="1"/>
  <c r="Z45" i="1"/>
  <c r="Z22" i="1"/>
  <c r="Z27" i="1"/>
  <c r="Z52" i="1" s="1"/>
  <c r="W4" i="23"/>
  <c r="W22" i="23" s="1"/>
  <c r="Y79" i="4"/>
  <c r="Z79" i="4"/>
  <c r="AD79" i="4"/>
  <c r="K79" i="4"/>
  <c r="AC79" i="4"/>
  <c r="B10" i="4"/>
  <c r="A32" i="22"/>
  <c r="H32" i="22" s="1"/>
  <c r="D13" i="28"/>
  <c r="D9" i="28"/>
  <c r="D5" i="28"/>
  <c r="D14" i="28"/>
  <c r="D10" i="28"/>
  <c r="D6" i="28"/>
  <c r="D15" i="28"/>
  <c r="D11" i="28"/>
  <c r="D7" i="28"/>
  <c r="D3" i="28"/>
  <c r="D12" i="28"/>
  <c r="D8" i="28"/>
  <c r="D4" i="28"/>
  <c r="W79" i="4"/>
  <c r="L79" i="4"/>
  <c r="AE79" i="4"/>
  <c r="AJ79" i="4"/>
  <c r="V79" i="4"/>
  <c r="M79" i="4"/>
  <c r="AA79" i="4"/>
  <c r="AG79" i="4"/>
  <c r="AF79" i="4"/>
  <c r="U79" i="4"/>
  <c r="T79" i="4"/>
  <c r="AI79" i="4"/>
  <c r="AK79" i="4"/>
  <c r="S79" i="4"/>
  <c r="X79" i="4"/>
  <c r="AH79" i="4"/>
  <c r="AB79" i="4"/>
  <c r="O26" i="4"/>
  <c r="P46" i="1"/>
  <c r="P53" i="1" s="1"/>
  <c r="A37" i="22"/>
  <c r="H37" i="22" s="1"/>
  <c r="AF4" i="23"/>
  <c r="AF22" i="23" s="1"/>
  <c r="AI4" i="23"/>
  <c r="AI22" i="23" s="1"/>
  <c r="U4" i="1"/>
  <c r="U22" i="1" s="1"/>
  <c r="AJ4" i="1"/>
  <c r="AJ4" i="4" s="1"/>
  <c r="AJ62" i="4" s="1"/>
  <c r="AI4" i="1"/>
  <c r="AI22" i="1" s="1"/>
  <c r="M74" i="4"/>
  <c r="I2" i="12" s="1"/>
  <c r="M27" i="1"/>
  <c r="M52" i="1" s="1"/>
  <c r="M22" i="1"/>
  <c r="J52" i="1"/>
  <c r="J74" i="4"/>
  <c r="F2" i="12" s="1"/>
  <c r="J27" i="1"/>
  <c r="J45" i="1"/>
  <c r="AH4" i="1"/>
  <c r="AH22" i="1" s="1"/>
  <c r="A48" i="22"/>
  <c r="H48" i="22" s="1"/>
  <c r="S4" i="1"/>
  <c r="A33" i="22"/>
  <c r="H33" i="22" s="1"/>
  <c r="S4" i="23"/>
  <c r="AC4" i="1"/>
  <c r="A43" i="22"/>
  <c r="H43" i="22" s="1"/>
  <c r="AC4" i="23"/>
  <c r="AC27" i="23" s="1"/>
  <c r="AC52" i="23" s="1"/>
  <c r="AF4" i="1"/>
  <c r="AF4" i="4" s="1"/>
  <c r="AF62" i="4" s="1"/>
  <c r="AA4" i="23"/>
  <c r="A41" i="22"/>
  <c r="H41" i="22" s="1"/>
  <c r="Y4" i="1"/>
  <c r="A39" i="22"/>
  <c r="H39" i="22" s="1"/>
  <c r="C55" i="4"/>
  <c r="AJ4" i="23"/>
  <c r="AJ27" i="23" s="1"/>
  <c r="AJ52" i="23" s="1"/>
  <c r="U4" i="23"/>
  <c r="U22" i="23" s="1"/>
  <c r="AA4" i="1"/>
  <c r="AA22" i="1" s="1"/>
  <c r="J22" i="23"/>
  <c r="J52" i="23"/>
  <c r="J22" i="1"/>
  <c r="J27" i="23"/>
  <c r="R4" i="1"/>
  <c r="R22" i="1" s="1"/>
  <c r="R4" i="23"/>
  <c r="R22" i="23" s="1"/>
  <c r="AH4" i="23"/>
  <c r="AH45" i="23" s="1"/>
  <c r="M52" i="23"/>
  <c r="M22" i="23"/>
  <c r="M45" i="23"/>
  <c r="L2" i="12"/>
  <c r="M45" i="1"/>
  <c r="B46" i="23"/>
  <c r="B53" i="23" s="1"/>
  <c r="B55" i="23" s="1"/>
  <c r="O46" i="23"/>
  <c r="O53" i="23" s="1"/>
  <c r="O55" i="23" s="1"/>
  <c r="O47" i="23"/>
  <c r="O48" i="23" s="1"/>
  <c r="O54" i="23" s="1"/>
  <c r="B47" i="23"/>
  <c r="B48" i="23" s="1"/>
  <c r="B54" i="23" s="1"/>
  <c r="B57" i="23"/>
  <c r="O57" i="23"/>
  <c r="W59" i="23" s="1"/>
  <c r="W60" i="23" s="1"/>
  <c r="B29" i="4"/>
  <c r="O22" i="4"/>
  <c r="R47" i="1"/>
  <c r="R48" i="1" s="1"/>
  <c r="R54" i="1" s="1"/>
  <c r="Q57" i="1"/>
  <c r="D74" i="4"/>
  <c r="M2" i="12"/>
  <c r="R46" i="1"/>
  <c r="R53" i="1" s="1"/>
  <c r="J2" i="12"/>
  <c r="C47" i="1"/>
  <c r="C48" i="1" s="1"/>
  <c r="C54" i="1" s="1"/>
  <c r="G74" i="4"/>
  <c r="D57" i="1"/>
  <c r="R57" i="1"/>
  <c r="P57" i="1"/>
  <c r="O57" i="1"/>
  <c r="C57" i="1"/>
  <c r="D10" i="4"/>
  <c r="C10" i="4"/>
  <c r="B57" i="1"/>
  <c r="C46" i="1"/>
  <c r="C53" i="1" s="1"/>
  <c r="B46" i="1"/>
  <c r="B53" i="1" s="1"/>
  <c r="B47" i="1"/>
  <c r="B48" i="1" s="1"/>
  <c r="B54" i="1" s="1"/>
  <c r="D46" i="1"/>
  <c r="D53" i="1" s="1"/>
  <c r="O47" i="1"/>
  <c r="O48" i="1" s="1"/>
  <c r="O54" i="1" s="1"/>
  <c r="O46" i="1"/>
  <c r="O53" i="1" s="1"/>
  <c r="O55" i="1" s="1"/>
  <c r="D47" i="1"/>
  <c r="D48" i="1" s="1"/>
  <c r="D54" i="1" s="1"/>
  <c r="D8" i="4"/>
  <c r="X4" i="23"/>
  <c r="X4" i="1"/>
  <c r="AG4" i="1"/>
  <c r="AG4" i="23"/>
  <c r="AB4" i="23"/>
  <c r="AB4" i="1"/>
  <c r="T4" i="1"/>
  <c r="T4" i="23"/>
  <c r="AK4" i="1"/>
  <c r="AK4" i="23"/>
  <c r="F74" i="4"/>
  <c r="I74" i="4"/>
  <c r="O74" i="4"/>
  <c r="P74" i="4"/>
  <c r="AD2" i="12"/>
  <c r="J78" i="4"/>
  <c r="H78" i="4"/>
  <c r="G78" i="4"/>
  <c r="Q78" i="4"/>
  <c r="D78" i="4"/>
  <c r="F78" i="4"/>
  <c r="B78" i="4"/>
  <c r="P78" i="4"/>
  <c r="E78" i="4"/>
  <c r="I78" i="4"/>
  <c r="C78" i="4"/>
  <c r="R78" i="4"/>
  <c r="O78" i="4"/>
  <c r="F55" i="23" l="1"/>
  <c r="J79" i="4"/>
  <c r="J80" i="4" s="1"/>
  <c r="C55" i="23"/>
  <c r="AE27" i="1"/>
  <c r="AE52" i="1" s="1"/>
  <c r="V4" i="4"/>
  <c r="V55" i="4" s="1"/>
  <c r="G55" i="1"/>
  <c r="C63" i="4"/>
  <c r="C64" i="4" s="1"/>
  <c r="F63" i="4"/>
  <c r="F64" i="4" s="1"/>
  <c r="H56" i="4"/>
  <c r="H75" i="4" s="1"/>
  <c r="I57" i="4"/>
  <c r="I58" i="4" s="1"/>
  <c r="I76" i="4" s="1"/>
  <c r="J4" i="12" s="1"/>
  <c r="R63" i="4"/>
  <c r="R64" i="4" s="1"/>
  <c r="I63" i="4"/>
  <c r="I64" i="4" s="1"/>
  <c r="P55" i="23"/>
  <c r="V55" i="23"/>
  <c r="AE55" i="1"/>
  <c r="Q55" i="23"/>
  <c r="AK55" i="23"/>
  <c r="AD55" i="1"/>
  <c r="AJ55" i="1"/>
  <c r="U55" i="23"/>
  <c r="T55" i="1"/>
  <c r="AB55" i="23"/>
  <c r="AA55" i="1"/>
  <c r="AK55" i="1"/>
  <c r="R55" i="23"/>
  <c r="W55" i="23"/>
  <c r="T55" i="23"/>
  <c r="X55" i="1"/>
  <c r="W55" i="1"/>
  <c r="AC55" i="1"/>
  <c r="AH55" i="23"/>
  <c r="X55" i="23"/>
  <c r="AI55" i="1"/>
  <c r="V55" i="1"/>
  <c r="R55" i="1"/>
  <c r="P55" i="1"/>
  <c r="AJ55" i="23"/>
  <c r="S55" i="1"/>
  <c r="AE55" i="23"/>
  <c r="AC55" i="23"/>
  <c r="Y55" i="1"/>
  <c r="AB55" i="1"/>
  <c r="AI55" i="23"/>
  <c r="U55" i="1"/>
  <c r="AG55" i="1"/>
  <c r="Q55" i="1"/>
  <c r="Y55" i="23"/>
  <c r="S55" i="23"/>
  <c r="AA55" i="23"/>
  <c r="AG55" i="23"/>
  <c r="AH55" i="1"/>
  <c r="AF55" i="1"/>
  <c r="Z55" i="23"/>
  <c r="AF55" i="23"/>
  <c r="Z55" i="1"/>
  <c r="AD55" i="23"/>
  <c r="D63" i="4"/>
  <c r="D64" i="4" s="1"/>
  <c r="B63" i="4"/>
  <c r="B64" i="4" s="1"/>
  <c r="O63" i="4"/>
  <c r="O64" i="4" s="1"/>
  <c r="G56" i="4"/>
  <c r="G75" i="4" s="1"/>
  <c r="H57" i="4"/>
  <c r="H58" i="4" s="1"/>
  <c r="H76" i="4" s="1"/>
  <c r="H63" i="4"/>
  <c r="H64" i="4" s="1"/>
  <c r="P63" i="4"/>
  <c r="P64" i="4" s="1"/>
  <c r="G63" i="4"/>
  <c r="G64" i="4" s="1"/>
  <c r="E63" i="4"/>
  <c r="E64" i="4" s="1"/>
  <c r="Q63" i="4"/>
  <c r="Q64" i="4" s="1"/>
  <c r="AJ45" i="23"/>
  <c r="Y27" i="23"/>
  <c r="Y52" i="23" s="1"/>
  <c r="W27" i="1"/>
  <c r="W52" i="1" s="1"/>
  <c r="Y22" i="23"/>
  <c r="AD27" i="1"/>
  <c r="AD52" i="1" s="1"/>
  <c r="AD45" i="23"/>
  <c r="V27" i="23"/>
  <c r="V52" i="23" s="1"/>
  <c r="I56" i="4"/>
  <c r="I75" i="4" s="1"/>
  <c r="AE22" i="1"/>
  <c r="AE4" i="4"/>
  <c r="AE62" i="4" s="1"/>
  <c r="Z27" i="23"/>
  <c r="Z52" i="23" s="1"/>
  <c r="AD4" i="4"/>
  <c r="AD55" i="4" s="1"/>
  <c r="AD45" i="1"/>
  <c r="W4" i="4"/>
  <c r="W62" i="4" s="1"/>
  <c r="AI27" i="1"/>
  <c r="AI52" i="1" s="1"/>
  <c r="AE22" i="23"/>
  <c r="AD27" i="23"/>
  <c r="AD52" i="23" s="1"/>
  <c r="Z22" i="23"/>
  <c r="AE45" i="23"/>
  <c r="AI4" i="4"/>
  <c r="AI62" i="4" s="1"/>
  <c r="U45" i="1"/>
  <c r="V22" i="1"/>
  <c r="W22" i="1"/>
  <c r="V22" i="23"/>
  <c r="V27" i="1"/>
  <c r="V52" i="1" s="1"/>
  <c r="AG80" i="4"/>
  <c r="G57" i="4"/>
  <c r="G58" i="4" s="1"/>
  <c r="G76" i="4" s="1"/>
  <c r="AB80" i="4"/>
  <c r="F57" i="4"/>
  <c r="F58" i="4" s="1"/>
  <c r="F76" i="4" s="1"/>
  <c r="B56" i="4"/>
  <c r="E79" i="4"/>
  <c r="G79" i="4"/>
  <c r="I79" i="4"/>
  <c r="H79" i="4"/>
  <c r="F79" i="4"/>
  <c r="E57" i="4"/>
  <c r="E58" i="4" s="1"/>
  <c r="E76" i="4" s="1"/>
  <c r="E56" i="4"/>
  <c r="E75" i="4" s="1"/>
  <c r="W80" i="4"/>
  <c r="F56" i="4"/>
  <c r="F75" i="4" s="1"/>
  <c r="P57" i="4"/>
  <c r="P58" i="4" s="1"/>
  <c r="P76" i="4" s="1"/>
  <c r="R56" i="4"/>
  <c r="R75" i="4" s="1"/>
  <c r="D56" i="4"/>
  <c r="D75" i="4" s="1"/>
  <c r="B57" i="4"/>
  <c r="B58" i="4" s="1"/>
  <c r="B76" i="4" s="1"/>
  <c r="V45" i="33"/>
  <c r="V27" i="33"/>
  <c r="V52" i="33" s="1"/>
  <c r="V22" i="33"/>
  <c r="D57" i="4"/>
  <c r="D58" i="4" s="1"/>
  <c r="D76" i="4" s="1"/>
  <c r="W27" i="33"/>
  <c r="W52" i="33" s="1"/>
  <c r="W22" i="33"/>
  <c r="W45" i="33"/>
  <c r="O57" i="4"/>
  <c r="O58" i="4" s="1"/>
  <c r="O76" i="4" s="1"/>
  <c r="C57" i="4"/>
  <c r="C58" i="4" s="1"/>
  <c r="C76" i="4" s="1"/>
  <c r="Q2" i="12"/>
  <c r="P2" i="12"/>
  <c r="Q56" i="4"/>
  <c r="Q75" i="4" s="1"/>
  <c r="O56" i="4"/>
  <c r="O75" i="4" s="1"/>
  <c r="C56" i="4"/>
  <c r="C75" i="4" s="1"/>
  <c r="R2" i="12"/>
  <c r="Y22" i="33"/>
  <c r="Y45" i="33"/>
  <c r="Y27" i="33"/>
  <c r="Y52" i="33" s="1"/>
  <c r="P56" i="4"/>
  <c r="R57" i="4"/>
  <c r="R58" i="4" s="1"/>
  <c r="R76" i="4" s="1"/>
  <c r="Q57" i="4"/>
  <c r="Q58" i="4" s="1"/>
  <c r="Q76" i="4" s="1"/>
  <c r="Q79" i="4"/>
  <c r="P79" i="4"/>
  <c r="R79" i="4"/>
  <c r="R80" i="4" s="1"/>
  <c r="AJ45" i="1"/>
  <c r="AF27" i="1"/>
  <c r="AF52" i="1" s="1"/>
  <c r="AF45" i="23"/>
  <c r="U4" i="4"/>
  <c r="AF45" i="1"/>
  <c r="AJ22" i="1"/>
  <c r="AJ27" i="1"/>
  <c r="AJ52" i="1" s="1"/>
  <c r="AH27" i="1"/>
  <c r="AH52" i="1" s="1"/>
  <c r="F2" i="27"/>
  <c r="AJ22" i="23"/>
  <c r="AH45" i="1"/>
  <c r="O2" i="12"/>
  <c r="AF27" i="23"/>
  <c r="AF52" i="23" s="1"/>
  <c r="AC22" i="23"/>
  <c r="U27" i="1"/>
  <c r="U52" i="1" s="1"/>
  <c r="W27" i="23"/>
  <c r="W52" i="23" s="1"/>
  <c r="W45" i="23"/>
  <c r="C79" i="4"/>
  <c r="D79" i="4"/>
  <c r="K15" i="28"/>
  <c r="K13" i="28"/>
  <c r="K11" i="28"/>
  <c r="K9" i="28"/>
  <c r="L14" i="28"/>
  <c r="L12" i="28"/>
  <c r="L10" i="28"/>
  <c r="L8" i="28"/>
  <c r="L15" i="28"/>
  <c r="L13" i="28"/>
  <c r="L11" i="28"/>
  <c r="L9" i="28"/>
  <c r="K14" i="28"/>
  <c r="K12" i="28"/>
  <c r="K10" i="28"/>
  <c r="K8" i="28"/>
  <c r="L55" i="23"/>
  <c r="D55" i="23"/>
  <c r="H55" i="23"/>
  <c r="K55" i="23"/>
  <c r="J55" i="23"/>
  <c r="M55" i="23"/>
  <c r="G55" i="23"/>
  <c r="E55" i="23"/>
  <c r="I55" i="23"/>
  <c r="AA59" i="23"/>
  <c r="AA60" i="23" s="1"/>
  <c r="AF59" i="23"/>
  <c r="AF60" i="23" s="1"/>
  <c r="R59" i="23"/>
  <c r="R60" i="23" s="1"/>
  <c r="O79" i="4"/>
  <c r="B79" i="4"/>
  <c r="B64" i="23"/>
  <c r="W61" i="23"/>
  <c r="L59" i="23"/>
  <c r="L60" i="23" s="1"/>
  <c r="F59" i="23"/>
  <c r="F60" i="23" s="1"/>
  <c r="AC59" i="23"/>
  <c r="AC60" i="23" s="1"/>
  <c r="AH59" i="23"/>
  <c r="AH60" i="23" s="1"/>
  <c r="X59" i="23"/>
  <c r="X60" i="23" s="1"/>
  <c r="Q59" i="23"/>
  <c r="Q60" i="23" s="1"/>
  <c r="AG59" i="23"/>
  <c r="AG60" i="23" s="1"/>
  <c r="V59" i="23"/>
  <c r="V60" i="23" s="1"/>
  <c r="P59" i="23"/>
  <c r="P60" i="23" s="1"/>
  <c r="AE59" i="23"/>
  <c r="AE60" i="23" s="1"/>
  <c r="T59" i="23"/>
  <c r="T60" i="23" s="1"/>
  <c r="U59" i="23"/>
  <c r="U60" i="23" s="1"/>
  <c r="AK59" i="23"/>
  <c r="AK60" i="23" s="1"/>
  <c r="Z59" i="23"/>
  <c r="Z60" i="23" s="1"/>
  <c r="S59" i="23"/>
  <c r="S60" i="23" s="1"/>
  <c r="AI59" i="23"/>
  <c r="AI60" i="23" s="1"/>
  <c r="AB59" i="23"/>
  <c r="AB60" i="23" s="1"/>
  <c r="Y59" i="23"/>
  <c r="Y60" i="23" s="1"/>
  <c r="AJ59" i="23"/>
  <c r="AJ60" i="23" s="1"/>
  <c r="AD59" i="23"/>
  <c r="AD60" i="23" s="1"/>
  <c r="B65" i="23"/>
  <c r="AH4" i="4"/>
  <c r="AH55" i="4" s="1"/>
  <c r="AF22" i="1"/>
  <c r="AH22" i="23"/>
  <c r="AI45" i="1"/>
  <c r="AI45" i="23"/>
  <c r="AH27" i="23"/>
  <c r="AH52" i="23" s="1"/>
  <c r="AI27" i="23"/>
  <c r="AI52" i="23" s="1"/>
  <c r="N2" i="12"/>
  <c r="R45" i="23"/>
  <c r="AC4" i="4"/>
  <c r="AC62" i="4" s="1"/>
  <c r="AC27" i="1"/>
  <c r="AC52" i="1" s="1"/>
  <c r="AC22" i="1"/>
  <c r="AC45" i="1"/>
  <c r="S4" i="4"/>
  <c r="S62" i="4" s="1"/>
  <c r="S45" i="1"/>
  <c r="S27" i="1"/>
  <c r="S52" i="1" s="1"/>
  <c r="S22" i="1"/>
  <c r="AA27" i="23"/>
  <c r="AA52" i="23" s="1"/>
  <c r="AA22" i="23"/>
  <c r="AA45" i="23"/>
  <c r="AA45" i="1"/>
  <c r="AA27" i="1"/>
  <c r="AA52" i="1" s="1"/>
  <c r="S2" i="12"/>
  <c r="AC45" i="23"/>
  <c r="U27" i="23"/>
  <c r="U52" i="23" s="1"/>
  <c r="U45" i="23"/>
  <c r="Y27" i="1"/>
  <c r="Y52" i="1" s="1"/>
  <c r="Y4" i="4"/>
  <c r="Y62" i="4" s="1"/>
  <c r="Y45" i="1"/>
  <c r="Y22" i="1"/>
  <c r="S45" i="23"/>
  <c r="S27" i="23"/>
  <c r="S52" i="23" s="1"/>
  <c r="S22" i="23"/>
  <c r="AA4" i="4"/>
  <c r="R45" i="1"/>
  <c r="R4" i="4"/>
  <c r="R62" i="4" s="1"/>
  <c r="R27" i="1"/>
  <c r="R52" i="1" s="1"/>
  <c r="R27" i="23"/>
  <c r="R52" i="23" s="1"/>
  <c r="C59" i="23"/>
  <c r="C60" i="23" s="1"/>
  <c r="E59" i="23"/>
  <c r="E60" i="23" s="1"/>
  <c r="J59" i="23"/>
  <c r="J60" i="23" s="1"/>
  <c r="K59" i="23"/>
  <c r="K60" i="23" s="1"/>
  <c r="D59" i="23"/>
  <c r="D60" i="23" s="1"/>
  <c r="I59" i="23"/>
  <c r="I60" i="23" s="1"/>
  <c r="O59" i="23"/>
  <c r="O60" i="23" s="1"/>
  <c r="G59" i="23"/>
  <c r="G60" i="23" s="1"/>
  <c r="H59" i="23"/>
  <c r="H60" i="23" s="1"/>
  <c r="M59" i="23"/>
  <c r="M60" i="23" s="1"/>
  <c r="C55" i="1"/>
  <c r="H55" i="1"/>
  <c r="F55" i="1"/>
  <c r="I55" i="1"/>
  <c r="L55" i="1"/>
  <c r="J55" i="1"/>
  <c r="D55" i="1"/>
  <c r="K55" i="1"/>
  <c r="E55" i="1"/>
  <c r="O59" i="1"/>
  <c r="O60" i="1" s="1"/>
  <c r="J59" i="1"/>
  <c r="J60" i="1" s="1"/>
  <c r="F59" i="1"/>
  <c r="F60" i="1" s="1"/>
  <c r="M59" i="1"/>
  <c r="M60" i="1" s="1"/>
  <c r="I59" i="1"/>
  <c r="I60" i="1" s="1"/>
  <c r="E59" i="1"/>
  <c r="E60" i="1" s="1"/>
  <c r="L59" i="1"/>
  <c r="L60" i="1" s="1"/>
  <c r="H59" i="1"/>
  <c r="H60" i="1" s="1"/>
  <c r="D59" i="1"/>
  <c r="D60" i="1" s="1"/>
  <c r="K59" i="1"/>
  <c r="K60" i="1" s="1"/>
  <c r="C59" i="1"/>
  <c r="C60" i="1" s="1"/>
  <c r="G59" i="1"/>
  <c r="G60" i="1" s="1"/>
  <c r="M55" i="1"/>
  <c r="AJ59" i="1"/>
  <c r="AJ60" i="1" s="1"/>
  <c r="AF59" i="1"/>
  <c r="AF60" i="1" s="1"/>
  <c r="AB59" i="1"/>
  <c r="AB60" i="1" s="1"/>
  <c r="X59" i="1"/>
  <c r="X60" i="1" s="1"/>
  <c r="T59" i="1"/>
  <c r="T60" i="1" s="1"/>
  <c r="P59" i="1"/>
  <c r="P60" i="1" s="1"/>
  <c r="AI59" i="1"/>
  <c r="AI60" i="1" s="1"/>
  <c r="AE59" i="1"/>
  <c r="AE60" i="1" s="1"/>
  <c r="AA59" i="1"/>
  <c r="AA60" i="1" s="1"/>
  <c r="W59" i="1"/>
  <c r="W60" i="1" s="1"/>
  <c r="S59" i="1"/>
  <c r="S60" i="1" s="1"/>
  <c r="AH59" i="1"/>
  <c r="AH60" i="1" s="1"/>
  <c r="AD59" i="1"/>
  <c r="AD60" i="1" s="1"/>
  <c r="Z59" i="1"/>
  <c r="Z60" i="1" s="1"/>
  <c r="V59" i="1"/>
  <c r="V60" i="1" s="1"/>
  <c r="R59" i="1"/>
  <c r="R60" i="1" s="1"/>
  <c r="Y59" i="1"/>
  <c r="Y60" i="1" s="1"/>
  <c r="AK59" i="1"/>
  <c r="AK60" i="1" s="1"/>
  <c r="U59" i="1"/>
  <c r="U60" i="1" s="1"/>
  <c r="AC59" i="1"/>
  <c r="AC60" i="1" s="1"/>
  <c r="AG59" i="1"/>
  <c r="AG60" i="1" s="1"/>
  <c r="Q59" i="1"/>
  <c r="Q60" i="1" s="1"/>
  <c r="B65" i="1"/>
  <c r="B64" i="1"/>
  <c r="B55" i="1"/>
  <c r="AB45" i="23"/>
  <c r="AB27" i="23"/>
  <c r="AB52" i="23" s="1"/>
  <c r="AB22" i="23"/>
  <c r="AG22" i="23"/>
  <c r="AG27" i="23"/>
  <c r="AG52" i="23" s="1"/>
  <c r="AG45" i="23"/>
  <c r="X45" i="23"/>
  <c r="X27" i="23"/>
  <c r="X52" i="23" s="1"/>
  <c r="X22" i="23"/>
  <c r="AG4" i="4"/>
  <c r="AG62" i="4" s="1"/>
  <c r="AG45" i="1"/>
  <c r="AG27" i="1"/>
  <c r="AG52" i="1" s="1"/>
  <c r="AG22" i="1"/>
  <c r="X27" i="1"/>
  <c r="X52" i="1" s="1"/>
  <c r="X22" i="1"/>
  <c r="X45" i="1"/>
  <c r="X4" i="4"/>
  <c r="X62" i="4" s="1"/>
  <c r="AB22" i="1"/>
  <c r="AB45" i="1"/>
  <c r="AB4" i="4"/>
  <c r="AB62" i="4" s="1"/>
  <c r="AB27" i="1"/>
  <c r="AB52" i="1" s="1"/>
  <c r="AJ74" i="4"/>
  <c r="AJ55" i="4"/>
  <c r="T27" i="23"/>
  <c r="T52" i="23" s="1"/>
  <c r="T45" i="23"/>
  <c r="T22" i="23"/>
  <c r="AK22" i="23"/>
  <c r="AK27" i="23"/>
  <c r="AK52" i="23" s="1"/>
  <c r="AK45" i="23"/>
  <c r="T27" i="1"/>
  <c r="T52" i="1" s="1"/>
  <c r="T45" i="1"/>
  <c r="T4" i="4"/>
  <c r="T62" i="4" s="1"/>
  <c r="T22" i="1"/>
  <c r="AK4" i="4"/>
  <c r="AK62" i="4" s="1"/>
  <c r="AK22" i="1"/>
  <c r="AK27" i="1"/>
  <c r="AK52" i="1" s="1"/>
  <c r="AK45" i="1"/>
  <c r="AF74" i="4"/>
  <c r="AF55" i="4"/>
  <c r="F3" i="12" l="1"/>
  <c r="V62" i="4"/>
  <c r="W74" i="4"/>
  <c r="AA2" i="12" s="1"/>
  <c r="T77" i="4"/>
  <c r="V74" i="4"/>
  <c r="Z2" i="12" s="1"/>
  <c r="O4" i="12"/>
  <c r="P4" i="12"/>
  <c r="R4" i="12"/>
  <c r="Q4" i="12"/>
  <c r="S4" i="12"/>
  <c r="H3" i="12"/>
  <c r="F4" i="27"/>
  <c r="G3" i="12"/>
  <c r="L4" i="12"/>
  <c r="F4" i="12"/>
  <c r="J3" i="12"/>
  <c r="H4" i="12"/>
  <c r="M4" i="12"/>
  <c r="I3" i="12"/>
  <c r="N4" i="12"/>
  <c r="I4" i="12"/>
  <c r="G4" i="12"/>
  <c r="AD74" i="4"/>
  <c r="AH2" i="12" s="1"/>
  <c r="W55" i="4"/>
  <c r="AE55" i="4"/>
  <c r="AE74" i="4"/>
  <c r="AI74" i="4"/>
  <c r="AD62" i="4"/>
  <c r="AI55" i="4"/>
  <c r="B80" i="4"/>
  <c r="P75" i="4"/>
  <c r="B5" i="12" s="1"/>
  <c r="O81" i="4"/>
  <c r="AH74" i="4"/>
  <c r="AH62" i="4"/>
  <c r="AA74" i="4"/>
  <c r="AE2" i="12" s="1"/>
  <c r="AA62" i="4"/>
  <c r="U74" i="4"/>
  <c r="Y2" i="12" s="1"/>
  <c r="U62" i="4"/>
  <c r="B6" i="12"/>
  <c r="B6" i="27"/>
  <c r="R61" i="23"/>
  <c r="AF61" i="23"/>
  <c r="AA61" i="23"/>
  <c r="U55" i="4"/>
  <c r="F3" i="27"/>
  <c r="AK77" i="4"/>
  <c r="AB77" i="4"/>
  <c r="AH77" i="4"/>
  <c r="W77" i="4"/>
  <c r="V77" i="4"/>
  <c r="U77" i="4"/>
  <c r="Z77" i="4"/>
  <c r="X77" i="4"/>
  <c r="O77" i="4"/>
  <c r="AA77" i="4"/>
  <c r="AC77" i="4"/>
  <c r="S77" i="4"/>
  <c r="AD77" i="4"/>
  <c r="Y77" i="4"/>
  <c r="Q77" i="4"/>
  <c r="AJ77" i="4"/>
  <c r="AI77" i="4"/>
  <c r="R77" i="4"/>
  <c r="AF77" i="4"/>
  <c r="AG77" i="4"/>
  <c r="AE77" i="4"/>
  <c r="AK81" i="4"/>
  <c r="AK82" i="4" s="1"/>
  <c r="W81" i="4"/>
  <c r="W82" i="4" s="1"/>
  <c r="Y81" i="4"/>
  <c r="Y82" i="4" s="1"/>
  <c r="T81" i="4"/>
  <c r="AG81" i="4"/>
  <c r="AG82" i="4" s="1"/>
  <c r="AA81" i="4"/>
  <c r="AA82" i="4" s="1"/>
  <c r="AF81" i="4"/>
  <c r="AF82" i="4" s="1"/>
  <c r="AH81" i="4"/>
  <c r="AH82" i="4" s="1"/>
  <c r="AJ81" i="4"/>
  <c r="AJ82" i="4" s="1"/>
  <c r="AD81" i="4"/>
  <c r="AD82" i="4" s="1"/>
  <c r="U81" i="4"/>
  <c r="AI81" i="4"/>
  <c r="AI82" i="4" s="1"/>
  <c r="AC81" i="4"/>
  <c r="AC82" i="4" s="1"/>
  <c r="AE81" i="4"/>
  <c r="AE82" i="4" s="1"/>
  <c r="P81" i="4"/>
  <c r="V81" i="4"/>
  <c r="AB81" i="4"/>
  <c r="AB82" i="4" s="1"/>
  <c r="S81" i="4"/>
  <c r="X81" i="4"/>
  <c r="X82" i="4" s="1"/>
  <c r="Z81" i="4"/>
  <c r="Z82" i="4" s="1"/>
  <c r="Q81" i="4"/>
  <c r="R81" i="4"/>
  <c r="B86" i="4"/>
  <c r="B87" i="4"/>
  <c r="B75" i="4"/>
  <c r="H94" i="4" s="1"/>
  <c r="M81" i="4"/>
  <c r="J81" i="4"/>
  <c r="K81" i="4"/>
  <c r="L81" i="4"/>
  <c r="M61" i="23"/>
  <c r="I61" i="23"/>
  <c r="E61" i="23"/>
  <c r="AD61" i="23"/>
  <c r="Z61" i="23"/>
  <c r="AG61" i="23"/>
  <c r="AC61" i="23"/>
  <c r="D61" i="23"/>
  <c r="C61" i="23"/>
  <c r="AJ61" i="23"/>
  <c r="AK61" i="23"/>
  <c r="AE61" i="23"/>
  <c r="Q61" i="23"/>
  <c r="Y61" i="23"/>
  <c r="AI61" i="23"/>
  <c r="U61" i="23"/>
  <c r="P61" i="23"/>
  <c r="X61" i="23"/>
  <c r="F61" i="23"/>
  <c r="H61" i="23"/>
  <c r="K61" i="23"/>
  <c r="G61" i="23"/>
  <c r="J61" i="23"/>
  <c r="AB61" i="23"/>
  <c r="S61" i="23"/>
  <c r="T61" i="23"/>
  <c r="V61" i="23"/>
  <c r="AH61" i="23"/>
  <c r="L61" i="23"/>
  <c r="AC61" i="1"/>
  <c r="AH61" i="1"/>
  <c r="X61" i="1"/>
  <c r="D61" i="1"/>
  <c r="U61" i="1"/>
  <c r="S61" i="1"/>
  <c r="AI61" i="1"/>
  <c r="G61" i="1"/>
  <c r="M61" i="1"/>
  <c r="AK61" i="1"/>
  <c r="Z61" i="1"/>
  <c r="W61" i="1"/>
  <c r="AF61" i="1"/>
  <c r="L61" i="1"/>
  <c r="AG61" i="1"/>
  <c r="Y61" i="1"/>
  <c r="AD61" i="1"/>
  <c r="AA61" i="1"/>
  <c r="T61" i="1"/>
  <c r="AJ61" i="1"/>
  <c r="E61" i="1"/>
  <c r="F61" i="1"/>
  <c r="AE61" i="1"/>
  <c r="K61" i="1"/>
  <c r="I61" i="1"/>
  <c r="J61" i="1"/>
  <c r="V61" i="1"/>
  <c r="AB61" i="1"/>
  <c r="H61" i="1"/>
  <c r="AA55" i="4"/>
  <c r="O3" i="12"/>
  <c r="R3" i="12"/>
  <c r="S3" i="12"/>
  <c r="N3" i="12"/>
  <c r="M3" i="12"/>
  <c r="L3" i="12"/>
  <c r="Y55" i="4"/>
  <c r="Y74" i="4"/>
  <c r="AC2" i="12" s="1"/>
  <c r="S55" i="4"/>
  <c r="S74" i="4"/>
  <c r="W2" i="12" s="1"/>
  <c r="AC55" i="4"/>
  <c r="AC74" i="4"/>
  <c r="AG2" i="12" s="1"/>
  <c r="R55" i="4"/>
  <c r="R74" i="4"/>
  <c r="P3" i="12"/>
  <c r="Q3" i="12"/>
  <c r="K2" i="12"/>
  <c r="K4" i="12" s="1"/>
  <c r="B4" i="27"/>
  <c r="B4" i="12"/>
  <c r="O61" i="1"/>
  <c r="Q61" i="1"/>
  <c r="P61" i="1"/>
  <c r="C61" i="1"/>
  <c r="R61" i="1"/>
  <c r="X55" i="4"/>
  <c r="X74" i="4"/>
  <c r="AB2" i="12" s="1"/>
  <c r="AG55" i="4"/>
  <c r="AG74" i="4"/>
  <c r="AB74" i="4"/>
  <c r="AF2" i="12" s="1"/>
  <c r="AB55" i="4"/>
  <c r="T55" i="4"/>
  <c r="T74" i="4"/>
  <c r="AK74" i="4"/>
  <c r="AK55" i="4"/>
  <c r="N94" i="4" l="1"/>
  <c r="B94" i="4"/>
  <c r="T94" i="4"/>
  <c r="M94" i="4"/>
  <c r="U94" i="4"/>
  <c r="S94" i="4"/>
  <c r="L94" i="4"/>
  <c r="K94" i="4"/>
  <c r="V94" i="4"/>
  <c r="J94" i="4"/>
  <c r="O94" i="4"/>
  <c r="G94" i="4"/>
  <c r="R94" i="4"/>
  <c r="I94" i="4"/>
  <c r="C94" i="4"/>
  <c r="B5" i="27"/>
  <c r="P94" i="4"/>
  <c r="E94" i="4"/>
  <c r="F94" i="4"/>
  <c r="D94" i="4"/>
  <c r="Q94" i="4"/>
  <c r="AB4" i="12"/>
  <c r="AD4" i="12"/>
  <c r="P77" i="4"/>
  <c r="AE4" i="12"/>
  <c r="Z4" i="12"/>
  <c r="W4" i="12"/>
  <c r="AG4" i="12"/>
  <c r="AC4" i="12"/>
  <c r="AH4" i="12"/>
  <c r="AF4" i="12"/>
  <c r="Y4" i="12"/>
  <c r="AA4" i="12"/>
  <c r="I81" i="4"/>
  <c r="F3" i="28" s="1"/>
  <c r="F81" i="4"/>
  <c r="F83" i="4" s="1"/>
  <c r="G81" i="4"/>
  <c r="H81" i="4"/>
  <c r="D81" i="4"/>
  <c r="D83" i="4" s="1"/>
  <c r="E81" i="4"/>
  <c r="C81" i="4"/>
  <c r="K77" i="4"/>
  <c r="J77" i="4"/>
  <c r="E4" i="28" s="1"/>
  <c r="G77" i="4"/>
  <c r="F77" i="4"/>
  <c r="L77" i="4"/>
  <c r="B77" i="4"/>
  <c r="B2" i="27"/>
  <c r="G6" i="27" s="1"/>
  <c r="M77" i="4"/>
  <c r="E7" i="28" s="1"/>
  <c r="I77" i="4"/>
  <c r="E3" i="28" s="1"/>
  <c r="B2" i="12"/>
  <c r="E6" i="12" s="1"/>
  <c r="H77" i="4"/>
  <c r="D77" i="4"/>
  <c r="C77" i="4"/>
  <c r="E77" i="4"/>
  <c r="AG8" i="12"/>
  <c r="AG9" i="12" s="1"/>
  <c r="AG10" i="12" s="1"/>
  <c r="U8" i="12"/>
  <c r="U9" i="12" s="1"/>
  <c r="U10" i="12" s="1"/>
  <c r="AJ8" i="12"/>
  <c r="AJ9" i="12" s="1"/>
  <c r="AJ10" i="12" s="1"/>
  <c r="AB8" i="12"/>
  <c r="AB9" i="12" s="1"/>
  <c r="AB10" i="12" s="1"/>
  <c r="Z8" i="12"/>
  <c r="Z9" i="12" s="1"/>
  <c r="Z10" i="12" s="1"/>
  <c r="AC8" i="12"/>
  <c r="AC9" i="12" s="1"/>
  <c r="AC10" i="12" s="1"/>
  <c r="V8" i="12"/>
  <c r="V9" i="12" s="1"/>
  <c r="V10" i="12" s="1"/>
  <c r="X8" i="12"/>
  <c r="X9" i="12" s="1"/>
  <c r="X10" i="12" s="1"/>
  <c r="AH8" i="12"/>
  <c r="AH9" i="12" s="1"/>
  <c r="AH10" i="12" s="1"/>
  <c r="AD8" i="12"/>
  <c r="AD9" i="12" s="1"/>
  <c r="AD10" i="12" s="1"/>
  <c r="AI8" i="12"/>
  <c r="AI9" i="12" s="1"/>
  <c r="AI10" i="12" s="1"/>
  <c r="W8" i="12"/>
  <c r="W9" i="12" s="1"/>
  <c r="W10" i="12" s="1"/>
  <c r="Y8" i="12"/>
  <c r="Y9" i="12" s="1"/>
  <c r="Y10" i="12" s="1"/>
  <c r="AE8" i="12"/>
  <c r="AE9" i="12" s="1"/>
  <c r="AE10" i="12" s="1"/>
  <c r="AA8" i="12"/>
  <c r="AA9" i="12" s="1"/>
  <c r="AA10" i="12" s="1"/>
  <c r="AF8" i="12"/>
  <c r="AF9" i="12" s="1"/>
  <c r="AF10" i="12" s="1"/>
  <c r="H8" i="27"/>
  <c r="J8" i="27"/>
  <c r="J9" i="27" s="1"/>
  <c r="J10" i="27" s="1"/>
  <c r="I8" i="27"/>
  <c r="AB83" i="4"/>
  <c r="AJ83" i="4"/>
  <c r="AG83" i="4"/>
  <c r="L83" i="4"/>
  <c r="V83" i="4"/>
  <c r="AI83" i="4"/>
  <c r="T83" i="4"/>
  <c r="M83" i="4"/>
  <c r="X83" i="4"/>
  <c r="P83" i="4"/>
  <c r="U83" i="4"/>
  <c r="AF83" i="4"/>
  <c r="Y83" i="4"/>
  <c r="S5" i="12"/>
  <c r="Q83" i="4"/>
  <c r="AC83" i="4"/>
  <c r="AK83" i="4"/>
  <c r="Z83" i="4"/>
  <c r="AH83" i="4"/>
  <c r="K83" i="4"/>
  <c r="J83" i="4"/>
  <c r="R83" i="4"/>
  <c r="S83" i="4"/>
  <c r="AE83" i="4"/>
  <c r="AD83" i="4"/>
  <c r="AA83" i="4"/>
  <c r="W83" i="4"/>
  <c r="O83" i="4"/>
  <c r="O61" i="23"/>
  <c r="AG3" i="12"/>
  <c r="AD3" i="12"/>
  <c r="AE3" i="12"/>
  <c r="AC3" i="12"/>
  <c r="W3" i="12"/>
  <c r="Y3" i="12"/>
  <c r="I2" i="27"/>
  <c r="I4" i="27" s="1"/>
  <c r="V2" i="12"/>
  <c r="V4" i="12" s="1"/>
  <c r="J2" i="28"/>
  <c r="K3" i="12"/>
  <c r="F2" i="28"/>
  <c r="J3" i="28"/>
  <c r="Z3" i="12"/>
  <c r="AA3" i="12"/>
  <c r="AH3" i="12"/>
  <c r="I3" i="28"/>
  <c r="I2" i="28"/>
  <c r="AH7" i="12"/>
  <c r="AD7" i="12"/>
  <c r="AC7" i="12"/>
  <c r="V7" i="12"/>
  <c r="AI7" i="12"/>
  <c r="AG7" i="12"/>
  <c r="W7" i="12"/>
  <c r="X7" i="12"/>
  <c r="Y7" i="12"/>
  <c r="U7" i="12"/>
  <c r="AA7" i="12"/>
  <c r="AE7" i="12"/>
  <c r="Z7" i="12"/>
  <c r="AF7" i="12"/>
  <c r="AB7" i="12"/>
  <c r="AJ7" i="12"/>
  <c r="I7" i="27"/>
  <c r="H7" i="27"/>
  <c r="J7" i="27"/>
  <c r="AF3" i="12"/>
  <c r="F15" i="28"/>
  <c r="E14" i="28"/>
  <c r="F8" i="28"/>
  <c r="AB3" i="12"/>
  <c r="F9" i="28"/>
  <c r="E10" i="28"/>
  <c r="F13" i="28"/>
  <c r="J13" i="28"/>
  <c r="E8" i="28"/>
  <c r="F5" i="28"/>
  <c r="I11" i="28"/>
  <c r="F4" i="28"/>
  <c r="E5" i="28"/>
  <c r="J11" i="28"/>
  <c r="I6" i="28"/>
  <c r="J9" i="28"/>
  <c r="I8" i="28"/>
  <c r="F14" i="28"/>
  <c r="F12" i="28"/>
  <c r="J6" i="28"/>
  <c r="J7" i="28"/>
  <c r="E12" i="28"/>
  <c r="I10" i="28"/>
  <c r="I13" i="28"/>
  <c r="E15" i="28"/>
  <c r="E11" i="28"/>
  <c r="F11" i="28"/>
  <c r="F6" i="28"/>
  <c r="E6" i="28"/>
  <c r="J14" i="28"/>
  <c r="I15" i="28"/>
  <c r="I9" i="28"/>
  <c r="J5" i="28"/>
  <c r="J8" i="28"/>
  <c r="F10" i="28"/>
  <c r="I5" i="28"/>
  <c r="I4" i="28"/>
  <c r="I7" i="28"/>
  <c r="E13" i="28"/>
  <c r="E9" i="28"/>
  <c r="J10" i="28"/>
  <c r="I14" i="28"/>
  <c r="J4" i="28"/>
  <c r="J12" i="28"/>
  <c r="I12" i="28"/>
  <c r="F7" i="28"/>
  <c r="J15" i="28"/>
  <c r="AI2" i="12"/>
  <c r="AI4" i="12" s="1"/>
  <c r="X2" i="12"/>
  <c r="X4" i="12" s="1"/>
  <c r="H9" i="27" l="1"/>
  <c r="H10" i="27" s="1"/>
  <c r="I9" i="27"/>
  <c r="I10" i="27" s="1"/>
  <c r="R5" i="12"/>
  <c r="Q5" i="12"/>
  <c r="P5" i="12"/>
  <c r="G83" i="4"/>
  <c r="I83" i="4"/>
  <c r="E83" i="4"/>
  <c r="C83" i="4"/>
  <c r="H83" i="4"/>
  <c r="E2" i="28"/>
  <c r="T6" i="12"/>
  <c r="R6" i="12"/>
  <c r="K6" i="12"/>
  <c r="I6" i="12"/>
  <c r="O6" i="12"/>
  <c r="Q6" i="12"/>
  <c r="F6" i="27"/>
  <c r="H6" i="12"/>
  <c r="F6" i="12"/>
  <c r="M6" i="12"/>
  <c r="G6" i="12"/>
  <c r="E6" i="27"/>
  <c r="S6" i="12"/>
  <c r="P6" i="12"/>
  <c r="L6" i="12"/>
  <c r="N6" i="12"/>
  <c r="J6" i="12"/>
  <c r="F49" i="22"/>
  <c r="F40" i="22"/>
  <c r="F44" i="22"/>
  <c r="F43" i="22"/>
  <c r="F47" i="22"/>
  <c r="AG5" i="12"/>
  <c r="AF5" i="12"/>
  <c r="Y5" i="12"/>
  <c r="F42" i="22"/>
  <c r="F37" i="22"/>
  <c r="F41" i="22"/>
  <c r="F48" i="22"/>
  <c r="AA5" i="12"/>
  <c r="Z5" i="12"/>
  <c r="AE5" i="12"/>
  <c r="F36" i="22"/>
  <c r="F35" i="22"/>
  <c r="F46" i="22"/>
  <c r="F34" i="22"/>
  <c r="F45" i="22"/>
  <c r="AH5" i="12"/>
  <c r="AB5" i="12"/>
  <c r="W5" i="12"/>
  <c r="F32" i="22"/>
  <c r="AC5" i="12"/>
  <c r="F33" i="22"/>
  <c r="F51" i="22"/>
  <c r="F39" i="22"/>
  <c r="F50" i="22"/>
  <c r="F38" i="22"/>
  <c r="AD5" i="12"/>
  <c r="O5" i="12"/>
  <c r="V3" i="12"/>
  <c r="V5" i="12"/>
  <c r="I3" i="27"/>
  <c r="I5" i="27"/>
  <c r="X3" i="12"/>
  <c r="X5" i="12"/>
  <c r="AI3" i="12"/>
  <c r="AI5" i="12"/>
  <c r="F26" i="22" l="1"/>
  <c r="G26" i="22" s="1"/>
  <c r="F7" i="22"/>
  <c r="G7" i="22" s="1"/>
  <c r="F19" i="22"/>
  <c r="G19" i="22" s="1"/>
  <c r="F23" i="22"/>
  <c r="G23" i="22" s="1"/>
  <c r="N5" i="12"/>
  <c r="M5" i="12"/>
  <c r="I5" i="12"/>
  <c r="F20" i="22"/>
  <c r="I20" i="22" s="1"/>
  <c r="F9" i="22"/>
  <c r="F12" i="22"/>
  <c r="I12" i="22" s="1"/>
  <c r="F16" i="22"/>
  <c r="G16" i="22" s="1"/>
  <c r="F22" i="22"/>
  <c r="I22" i="22" s="1"/>
  <c r="J5" i="12"/>
  <c r="F15" i="22"/>
  <c r="I15" i="22" s="1"/>
  <c r="L5" i="12"/>
  <c r="F21" i="22"/>
  <c r="G21" i="22" s="1"/>
  <c r="F5" i="12"/>
  <c r="F24" i="22"/>
  <c r="K24" i="22" s="1"/>
  <c r="M24" i="22" s="1"/>
  <c r="F10" i="22"/>
  <c r="F11" i="22"/>
  <c r="F13" i="22"/>
  <c r="I13" i="22" s="1"/>
  <c r="F14" i="22"/>
  <c r="I14" i="22" s="1"/>
  <c r="F18" i="22"/>
  <c r="G18" i="22" s="1"/>
  <c r="F8" i="22"/>
  <c r="G8" i="22" s="1"/>
  <c r="F5" i="27"/>
  <c r="F25" i="22"/>
  <c r="K25" i="22" s="1"/>
  <c r="M25" i="22" s="1"/>
  <c r="G5" i="12"/>
  <c r="H5" i="12"/>
  <c r="F17" i="22"/>
  <c r="K17" i="22" s="1"/>
  <c r="M17" i="22" s="1"/>
  <c r="K5" i="12"/>
  <c r="G51" i="22"/>
  <c r="J51" i="22" s="1"/>
  <c r="I51" i="22"/>
  <c r="M51" i="22" s="1"/>
  <c r="K51" i="22"/>
  <c r="N51" i="22" s="1"/>
  <c r="G44" i="22"/>
  <c r="J44" i="22" s="1"/>
  <c r="I44" i="22"/>
  <c r="M44" i="22" s="1"/>
  <c r="K44" i="22"/>
  <c r="N44" i="22" s="1"/>
  <c r="G38" i="22"/>
  <c r="J38" i="22" s="1"/>
  <c r="I38" i="22"/>
  <c r="M38" i="22" s="1"/>
  <c r="K38" i="22"/>
  <c r="N38" i="22" s="1"/>
  <c r="G33" i="22"/>
  <c r="J33" i="22" s="1"/>
  <c r="G46" i="22"/>
  <c r="J46" i="22" s="1"/>
  <c r="I46" i="22"/>
  <c r="M46" i="22" s="1"/>
  <c r="K46" i="22"/>
  <c r="N46" i="22" s="1"/>
  <c r="G37" i="22"/>
  <c r="J37" i="22" s="1"/>
  <c r="I37" i="22"/>
  <c r="M37" i="22" s="1"/>
  <c r="K37" i="22"/>
  <c r="N37" i="22" s="1"/>
  <c r="G40" i="22"/>
  <c r="J40" i="22" s="1"/>
  <c r="I40" i="22"/>
  <c r="M40" i="22" s="1"/>
  <c r="K40" i="22"/>
  <c r="N40" i="22" s="1"/>
  <c r="G41" i="22"/>
  <c r="J41" i="22" s="1"/>
  <c r="I41" i="22"/>
  <c r="M41" i="22" s="1"/>
  <c r="K41" i="22"/>
  <c r="N41" i="22" s="1"/>
  <c r="G50" i="22"/>
  <c r="J50" i="22" s="1"/>
  <c r="I50" i="22"/>
  <c r="M50" i="22" s="1"/>
  <c r="K50" i="22"/>
  <c r="N50" i="22" s="1"/>
  <c r="G35" i="22"/>
  <c r="J35" i="22" s="1"/>
  <c r="G42" i="22"/>
  <c r="J42" i="22" s="1"/>
  <c r="I42" i="22"/>
  <c r="M42" i="22" s="1"/>
  <c r="K42" i="22"/>
  <c r="N42" i="22" s="1"/>
  <c r="G47" i="22"/>
  <c r="J47" i="22" s="1"/>
  <c r="I47" i="22"/>
  <c r="M47" i="22" s="1"/>
  <c r="K47" i="22"/>
  <c r="N47" i="22" s="1"/>
  <c r="G49" i="22"/>
  <c r="J49" i="22" s="1"/>
  <c r="I49" i="22"/>
  <c r="M49" i="22" s="1"/>
  <c r="K49" i="22"/>
  <c r="N49" i="22" s="1"/>
  <c r="G34" i="22"/>
  <c r="J34" i="22" s="1"/>
  <c r="K16" i="22"/>
  <c r="M16" i="22" s="1"/>
  <c r="G39" i="22"/>
  <c r="J39" i="22" s="1"/>
  <c r="I39" i="22"/>
  <c r="M39" i="22" s="1"/>
  <c r="K39" i="22"/>
  <c r="N39" i="22" s="1"/>
  <c r="G32" i="22"/>
  <c r="J32" i="22" s="1"/>
  <c r="G45" i="22"/>
  <c r="J45" i="22" s="1"/>
  <c r="I45" i="22"/>
  <c r="M45" i="22" s="1"/>
  <c r="K45" i="22"/>
  <c r="N45" i="22" s="1"/>
  <c r="G36" i="22"/>
  <c r="J36" i="22" s="1"/>
  <c r="G48" i="22"/>
  <c r="J48" i="22" s="1"/>
  <c r="I48" i="22"/>
  <c r="M48" i="22" s="1"/>
  <c r="K48" i="22"/>
  <c r="N48" i="22" s="1"/>
  <c r="G43" i="22"/>
  <c r="J43" i="22" s="1"/>
  <c r="I43" i="22"/>
  <c r="M43" i="22" s="1"/>
  <c r="K43" i="22"/>
  <c r="N43" i="22" s="1"/>
  <c r="I19" i="22" l="1"/>
  <c r="K26" i="22"/>
  <c r="M26" i="22" s="1"/>
  <c r="I36" i="22"/>
  <c r="K36" i="22" s="1"/>
  <c r="L7" i="28" s="1"/>
  <c r="I33" i="22"/>
  <c r="K33" i="22" s="1"/>
  <c r="N33" i="22" s="1"/>
  <c r="I32" i="22"/>
  <c r="K3" i="28" s="1"/>
  <c r="K15" i="22"/>
  <c r="M15" i="22" s="1"/>
  <c r="I35" i="22"/>
  <c r="K35" i="22" s="1"/>
  <c r="L6" i="28" s="1"/>
  <c r="I34" i="22"/>
  <c r="K34" i="22" s="1"/>
  <c r="N34" i="22" s="1"/>
  <c r="K7" i="28"/>
  <c r="G12" i="22"/>
  <c r="K18" i="22"/>
  <c r="M18" i="22" s="1"/>
  <c r="K12" i="22"/>
  <c r="M12" i="22" s="1"/>
  <c r="G15" i="22"/>
  <c r="G14" i="22"/>
  <c r="G13" i="22"/>
  <c r="K19" i="22"/>
  <c r="M19" i="22" s="1"/>
  <c r="I18" i="22"/>
  <c r="G10" i="22"/>
  <c r="I10" i="22" s="1"/>
  <c r="K14" i="22"/>
  <c r="M14" i="22" s="1"/>
  <c r="I25" i="22"/>
  <c r="K7" i="22"/>
  <c r="M7" i="22" s="1"/>
  <c r="G25" i="22"/>
  <c r="G9" i="22"/>
  <c r="I9" i="22" s="1"/>
  <c r="I24" i="22"/>
  <c r="I7" i="22"/>
  <c r="G3" i="28" s="1"/>
  <c r="G24" i="22"/>
  <c r="G22" i="22"/>
  <c r="K21" i="22"/>
  <c r="M21" i="22" s="1"/>
  <c r="G11" i="22"/>
  <c r="I11" i="22" s="1"/>
  <c r="I17" i="22"/>
  <c r="I26" i="22"/>
  <c r="G17" i="22"/>
  <c r="K13" i="22"/>
  <c r="M13" i="22" s="1"/>
  <c r="I16" i="22"/>
  <c r="G20" i="22"/>
  <c r="K8" i="22"/>
  <c r="M8" i="22" s="1"/>
  <c r="K23" i="22"/>
  <c r="M23" i="22" s="1"/>
  <c r="I21" i="22"/>
  <c r="K22" i="22"/>
  <c r="M22" i="22" s="1"/>
  <c r="I8" i="22"/>
  <c r="G4" i="28" s="1"/>
  <c r="I23" i="22"/>
  <c r="K20" i="22"/>
  <c r="M20" i="22" s="1"/>
  <c r="N24" i="22"/>
  <c r="N16" i="22"/>
  <c r="N25" i="22"/>
  <c r="N17" i="22"/>
  <c r="L2" i="28"/>
  <c r="K2" i="28"/>
  <c r="G13" i="28"/>
  <c r="G14" i="28"/>
  <c r="G8" i="28"/>
  <c r="G11" i="28"/>
  <c r="G12" i="28"/>
  <c r="G9" i="28"/>
  <c r="G15" i="28"/>
  <c r="G10" i="28"/>
  <c r="H15" i="28"/>
  <c r="H12" i="28"/>
  <c r="H9" i="28"/>
  <c r="H14" i="28"/>
  <c r="H10" i="28"/>
  <c r="H13" i="28"/>
  <c r="H11" i="28"/>
  <c r="H8" i="28"/>
  <c r="N26" i="22" l="1"/>
  <c r="M36" i="22"/>
  <c r="N36" i="22"/>
  <c r="K4" i="28"/>
  <c r="L4" i="28"/>
  <c r="M33" i="22"/>
  <c r="K5" i="28"/>
  <c r="K32" i="22"/>
  <c r="M32" i="22" s="1"/>
  <c r="G7" i="28"/>
  <c r="K11" i="22"/>
  <c r="M11" i="22" s="1"/>
  <c r="L5" i="28"/>
  <c r="G6" i="28"/>
  <c r="K10" i="22"/>
  <c r="G5" i="28"/>
  <c r="K9" i="22"/>
  <c r="M9" i="22" s="1"/>
  <c r="N35" i="22"/>
  <c r="K6" i="28"/>
  <c r="M35" i="22"/>
  <c r="N15" i="22"/>
  <c r="M34" i="22"/>
  <c r="H4" i="28"/>
  <c r="N18" i="22"/>
  <c r="H2" i="28"/>
  <c r="H3" i="28"/>
  <c r="N12" i="22"/>
  <c r="N21" i="22"/>
  <c r="N19" i="22"/>
  <c r="N14" i="22"/>
  <c r="N7" i="22"/>
  <c r="N8" i="22"/>
  <c r="N20" i="22"/>
  <c r="N13" i="22"/>
  <c r="G2" i="28"/>
  <c r="N11" i="22"/>
  <c r="N23" i="22"/>
  <c r="N22" i="22"/>
  <c r="N9" i="22" l="1"/>
  <c r="H7" i="28"/>
  <c r="L3" i="28"/>
  <c r="N32" i="22"/>
  <c r="H5" i="28"/>
  <c r="N10" i="22"/>
  <c r="H6" i="28"/>
  <c r="M10" i="2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68" authorId="0" shapeId="0" xr:uid="{00000000-0006-0000-0B00-000001000000}">
      <text>
        <r>
          <rPr>
            <b/>
            <sz val="9"/>
            <color indexed="81"/>
            <rFont val="Tahoma"/>
            <family val="2"/>
          </rPr>
          <t>A modifier si erreur dans le doc word - peut etre c'est Testo le témoin de référence</t>
        </r>
      </text>
    </comment>
    <comment ref="A69" authorId="0" shapeId="0" xr:uid="{00000000-0006-0000-0B00-000002000000}">
      <text>
        <r>
          <rPr>
            <b/>
            <sz val="9"/>
            <color indexed="81"/>
            <rFont val="Tahoma"/>
            <family val="2"/>
          </rPr>
          <t>A modifier si erreur dans le doc word - peut etre c'est Testo le témoin de référence</t>
        </r>
      </text>
    </comment>
  </commentList>
</comments>
</file>

<file path=xl/sharedStrings.xml><?xml version="1.0" encoding="utf-8"?>
<sst xmlns="http://schemas.openxmlformats.org/spreadsheetml/2006/main" count="7651" uniqueCount="4450">
  <si>
    <t>mean</t>
  </si>
  <si>
    <t>SD</t>
  </si>
  <si>
    <t>SEM</t>
  </si>
  <si>
    <t>avec testo</t>
  </si>
  <si>
    <t>Rep1</t>
  </si>
  <si>
    <t>Rep2</t>
  </si>
  <si>
    <t>Non dopé</t>
  </si>
  <si>
    <t>Code WF</t>
  </si>
  <si>
    <t>N°BDC :</t>
  </si>
  <si>
    <t>Etiquettes</t>
  </si>
  <si>
    <t>Moyenne</t>
  </si>
  <si>
    <t>STAT</t>
  </si>
  <si>
    <t>Témoin Evian</t>
  </si>
  <si>
    <t>Témoin Testo</t>
  </si>
  <si>
    <t>Zone rouge anti</t>
  </si>
  <si>
    <t>Zone verte</t>
  </si>
  <si>
    <t>Zone rouge pro</t>
  </si>
  <si>
    <t>R1</t>
  </si>
  <si>
    <t>R2</t>
  </si>
  <si>
    <t>Concentration</t>
  </si>
  <si>
    <t xml:space="preserve">Testo </t>
  </si>
  <si>
    <t>Date de réalisation :</t>
  </si>
  <si>
    <t>R3</t>
  </si>
  <si>
    <t>LOD</t>
  </si>
  <si>
    <t>LOQ</t>
  </si>
  <si>
    <t>ng/L EE2</t>
  </si>
  <si>
    <t>upper limit</t>
  </si>
  <si>
    <t>lower limit</t>
  </si>
  <si>
    <t>EE2 64ng/L</t>
  </si>
  <si>
    <t>Testosterone</t>
  </si>
  <si>
    <t>Testo+ Fad</t>
  </si>
  <si>
    <t>Testo+ EE2</t>
  </si>
  <si>
    <t>Mean</t>
  </si>
  <si>
    <t>Données brutes</t>
  </si>
  <si>
    <t>Données normalisées sur la moyenne du groupe "Testo"</t>
  </si>
  <si>
    <t>Nom sur le graphique</t>
  </si>
  <si>
    <t>1. Expérimentateur 1 : copier et coller le n° de prestation et renseigner la date de réalisation de chaque réplica ainsi que le visa de l'expérimentateur.</t>
  </si>
  <si>
    <t>2. Expérimentateur 1 : copier et coller la dilution appliquée et le nom donné pour chaque des échantillons par le client. Conserver la mise en forme de l'exemple en italique. Ne pas remplir la colonne "nom sur graphique".</t>
  </si>
  <si>
    <t>4. Expérimentateur 1 : réaliser les tests statistiques avec les données normalisées et renseigner les résultats ainsi que le test statistique utilisé dans le tableau violet.</t>
  </si>
  <si>
    <t>Eléments pour la mise en forme conditionnelles des résutats - calcul équivalent hormonal (eqH)</t>
  </si>
  <si>
    <t>3. Expérimentateur 1 : copier et coller les valeurs des intensités totales de fluorescences obtenues dans le fichier raw data lors du traitement des images.</t>
  </si>
  <si>
    <t>Noms des groupes</t>
  </si>
  <si>
    <t>EqH - testo</t>
  </si>
  <si>
    <t>6. Expérimentateur 2 : copier et coller les valeurs des intensités totales de fluorescences obtenues dans le fichier raw data lors du traitement des images. Ne pas supprimer les colonnes correspondant aux concentrations non lues.</t>
  </si>
  <si>
    <t>7. Expérimentateur 2 : réaliser les tests statistiques avec les données normalisées et renseigner les résultats ainsi que le test statistique utilisé dans le tableau violet.</t>
  </si>
  <si>
    <t>8. Expérimentateur 2 : se reporter à l'onglet "pooled normalised values".</t>
  </si>
  <si>
    <t>9. Expérimentateur 2 : vérifier que le nombre de valeurs est &gt; ou égale à 14. Vérifier que le nombre de valeurs est &gt; ou égale à 27 pour le groupe "Testo".</t>
  </si>
  <si>
    <t>Nom des groupes</t>
  </si>
  <si>
    <t>Moy.</t>
  </si>
  <si>
    <t>Nbre de valeurs</t>
  </si>
  <si>
    <t xml:space="preserve"> + Testostérone</t>
  </si>
  <si>
    <t>Nom de l'échantillon donné par le client</t>
  </si>
  <si>
    <t>5. Expérimentateur 1 : remplissage du suivi qualité (SQ) et transmission à l'expérimenteur 2.</t>
  </si>
  <si>
    <r>
      <t xml:space="preserve">11. Expérimentateur 2 : </t>
    </r>
    <r>
      <rPr>
        <b/>
        <sz val="20"/>
        <color rgb="FFFF0000"/>
        <rFont val="Calibri"/>
        <family val="2"/>
        <scheme val="minor"/>
      </rPr>
      <t>vérifier les valeurs des écarts type. En cas de valeur abbéantes ou incohérent, consulter le référent test.</t>
    </r>
  </si>
  <si>
    <t>12. Expérimentateur 2 : réaliser les tests statistiques avec les données du pool et renseigner les résultats ainsi que le test statistique utilisé dans le tableau violet.</t>
  </si>
  <si>
    <t xml:space="preserve">13. Expérimentateur 2 : masquer les colonnes de la feuille R1 et R2 correspondant au groupe des échantilons n'ayant été lu que sur le réplica 1.  </t>
  </si>
  <si>
    <r>
      <t xml:space="preserve">14. Expérimentateur 2 : vérifier la cohérence des deux réplicas et des réplicas avec le pool à l'aide des graphiques "Graph". En cas de divergences consulter </t>
    </r>
    <r>
      <rPr>
        <b/>
        <sz val="20"/>
        <color rgb="FFFF0000"/>
        <rFont val="Calibri"/>
        <family val="2"/>
        <scheme val="minor"/>
      </rPr>
      <t>le référent test.</t>
    </r>
  </si>
  <si>
    <r>
      <t xml:space="preserve">15. Expérimentateur 2 : réaliser le calcul de l'équivalent hormonal (eqh) à l'aide </t>
    </r>
    <r>
      <rPr>
        <b/>
        <sz val="20"/>
        <color rgb="FFFF0000"/>
        <rFont val="Calibri"/>
        <family val="2"/>
        <scheme val="minor"/>
      </rPr>
      <t>du logiciel et PRISM</t>
    </r>
    <r>
      <rPr>
        <b/>
        <sz val="20"/>
        <color theme="1"/>
        <rFont val="Calibri"/>
        <family val="2"/>
        <scheme val="minor"/>
      </rPr>
      <t>. Seules les moyennes des témoins, des échantillons non dopées apparraissant en vert et les moyennes des échantillons dopées étant statiquement différentes des témoins (*, **, ***) pourrons être calculées en eqh. Se reporter à l'onglet "summary results".</t>
    </r>
  </si>
  <si>
    <t>10. Expérimentateur 2 : vérifier que le calcul des ratio s'affiche en vert.</t>
  </si>
  <si>
    <t>Evian/EE2 488 ng /L &gt;=</t>
  </si>
  <si>
    <t>18. Expérimentateur 2 : transmission des résultats avec le SQ rempli au responsable du laboratoire.</t>
  </si>
  <si>
    <t>Ratio à atteindre</t>
  </si>
  <si>
    <t>Evian/Testo + EE2 64 ng/L &gt;=</t>
  </si>
  <si>
    <t>Evian/ Testo + FAD &lt;=</t>
  </si>
  <si>
    <t>Valeur fluo extrapolée</t>
  </si>
  <si>
    <t>Dilution</t>
  </si>
  <si>
    <t>EqH Extrapolation à 100%</t>
  </si>
  <si>
    <t xml:space="preserve">% atteinte du seuil </t>
  </si>
  <si>
    <t>Valeur échelle</t>
  </si>
  <si>
    <t>Etiquette</t>
  </si>
  <si>
    <t>Evian</t>
  </si>
  <si>
    <t>EE2 64ng/l</t>
  </si>
  <si>
    <t>Testostérone</t>
  </si>
  <si>
    <t>Testostérone+EE2</t>
  </si>
  <si>
    <t>Testostérone+FAD</t>
  </si>
  <si>
    <t>Unité</t>
  </si>
  <si>
    <t>Numéro ligne</t>
  </si>
  <si>
    <t>Valeur du seuil de référence</t>
  </si>
  <si>
    <t>Dopage (+Testostérone / + EE2, ….)</t>
  </si>
  <si>
    <t>% induction</t>
  </si>
  <si>
    <t>Résultat stat si NS</t>
  </si>
  <si>
    <t>Test de normalité : valeur du p</t>
  </si>
  <si>
    <t>Test statistique utilisé</t>
  </si>
  <si>
    <t>Test statistique : valeur du p</t>
  </si>
  <si>
    <t>Annotation</t>
  </si>
  <si>
    <t>Test de normalité : résultat normal?</t>
  </si>
  <si>
    <t>CHG-protocole</t>
  </si>
  <si>
    <t>CHG-dilution</t>
  </si>
  <si>
    <t>CHG-induction ND</t>
  </si>
  <si>
    <t>CHG-test ND</t>
  </si>
  <si>
    <t>CHG-EQH ND</t>
  </si>
  <si>
    <t>CHG-% atteinte du seuil ND</t>
  </si>
  <si>
    <t>CHG-induction D</t>
  </si>
  <si>
    <t>CHG-test D</t>
  </si>
  <si>
    <t>CHG-EQH D</t>
  </si>
  <si>
    <t>CHG-% atteinte seuil D</t>
  </si>
  <si>
    <t>CHG-Testo+EE2</t>
  </si>
  <si>
    <t>CHG-Testo+Fad</t>
  </si>
  <si>
    <t>Liste groupes dopés</t>
  </si>
  <si>
    <t>Liste groupes non dopés</t>
  </si>
  <si>
    <t>Étiquettes de lignes</t>
  </si>
  <si>
    <t>0-00 + Testostérone</t>
  </si>
  <si>
    <t>Nom ND</t>
  </si>
  <si>
    <t>Nom D</t>
  </si>
  <si>
    <t xml:space="preserve">16. Expérimentateur 2 : copier et coller les résultats obtenus dans prisme selon l'ordre défini. </t>
  </si>
  <si>
    <t xml:space="preserve">17. Expérimentateur 2: </t>
  </si>
  <si>
    <t>(vide)</t>
  </si>
  <si>
    <t>Nom groupe</t>
  </si>
  <si>
    <t>N° de valeur</t>
  </si>
  <si>
    <t>file name</t>
  </si>
  <si>
    <t xml:space="preserve"> total area </t>
  </si>
  <si>
    <t xml:space="preserve"> mean intensity </t>
  </si>
  <si>
    <t xml:space="preserve"> </t>
  </si>
  <si>
    <t xml:space="preserve"> total fluorescence</t>
  </si>
  <si>
    <t>Étiquettes de colonnes</t>
  </si>
  <si>
    <t>Numéro d'expérience :</t>
  </si>
  <si>
    <t>Rep3</t>
  </si>
  <si>
    <t xml:space="preserve">         </t>
  </si>
  <si>
    <t>nbre de larves</t>
  </si>
  <si>
    <t>(Tous)</t>
  </si>
  <si>
    <t>Filtre lignes : Enlever (vide) et Néant</t>
  </si>
  <si>
    <t>Filtre colonnes : Enlever (vide) et "    "</t>
  </si>
  <si>
    <t>Tous les groupes du gamme sont normale?</t>
  </si>
  <si>
    <t>Témoin</t>
  </si>
  <si>
    <t>ng/L</t>
  </si>
  <si>
    <t>Témoin solvant</t>
  </si>
  <si>
    <t>EE2</t>
  </si>
  <si>
    <t>µg/L</t>
  </si>
  <si>
    <t xml:space="preserve">Testo 30µg/L + EE2 </t>
  </si>
  <si>
    <t>mg/L</t>
  </si>
  <si>
    <t>Testo 30µg/L + FAD</t>
  </si>
  <si>
    <t>(Plusieurs éléments)</t>
  </si>
  <si>
    <t>Description</t>
  </si>
  <si>
    <t>Problème</t>
  </si>
  <si>
    <t>Diminution de fluo en non dopé</t>
  </si>
  <si>
    <t>Impossible de calculer un EQH et pas de seuil déterminé donc impossible d'évaluer si l'échantillon dépasse un seuil</t>
  </si>
  <si>
    <t>Non calculable</t>
  </si>
  <si>
    <t>% de variation de fluo</t>
  </si>
  <si>
    <t>% atteinte du seuil RAPPORT</t>
  </si>
  <si>
    <t>EqH RAPPORT</t>
  </si>
  <si>
    <t>Valeur échelle sur graphique RAPPORT</t>
  </si>
  <si>
    <t>EqH BASE DE DONNEES</t>
  </si>
  <si>
    <t>% BASE DE DONNEES</t>
  </si>
  <si>
    <t>Mettre le % de variation de fluo avec un renvoi: "*: variation de fluorescence non-calibrée"</t>
  </si>
  <si>
    <t xml:space="preserve">C:\Users\Olympus\Desktop\20190122\plaque1/@01 EE2 0/A1_1.tif </t>
  </si>
  <si>
    <t xml:space="preserve">C:\Users\Olympus\Desktop\20190122\plaque1/@01 EE2 0/A1_2.tif </t>
  </si>
  <si>
    <t xml:space="preserve">C:\Users\Olympus\Desktop\20190122\plaque1/@01 EE2 0/A1_3.tif </t>
  </si>
  <si>
    <t xml:space="preserve"> 4931.616 </t>
  </si>
  <si>
    <t xml:space="preserve"> 73.0526 </t>
  </si>
  <si>
    <t xml:space="preserve"> 5234.4345 </t>
  </si>
  <si>
    <t xml:space="preserve"> 71.1281 </t>
  </si>
  <si>
    <t xml:space="preserve"> 3547.3027 </t>
  </si>
  <si>
    <t xml:space="preserve"> 66.9878 </t>
  </si>
  <si>
    <t>01 EE2 0</t>
  </si>
  <si>
    <t>Moyenne de  total fluorescence</t>
  </si>
  <si>
    <t xml:space="preserve">C:\Users\Olympus\Desktop\20190122\plaque3/@01 EE2 0/A1_1.tif </t>
  </si>
  <si>
    <t xml:space="preserve"> 15984.4921 </t>
  </si>
  <si>
    <t xml:space="preserve"> 69.7767 </t>
  </si>
  <si>
    <t xml:space="preserve">C:\Users\Olympus\Desktop\20190122\plaque3/@01 EE2 0/A1_2.tif </t>
  </si>
  <si>
    <t xml:space="preserve"> 21586.6348 </t>
  </si>
  <si>
    <t xml:space="preserve"> 66.4108 </t>
  </si>
  <si>
    <t xml:space="preserve">C:\Users\Olympus\Desktop\20190122\plaque3/@01 EE2 0/A1_3.tif </t>
  </si>
  <si>
    <t xml:space="preserve"> 21456.8555 </t>
  </si>
  <si>
    <t xml:space="preserve"> 67.0655 </t>
  </si>
  <si>
    <t>A</t>
  </si>
  <si>
    <t>n'utilisez pas cette ligne SVP</t>
  </si>
  <si>
    <t xml:space="preserve">C:\Users\andre\Desktop\REACTIV CEFAS\E2\E2/20201116_Cefas_Test6-Run1/Plate 1/@1/A10_01.tif </t>
  </si>
  <si>
    <t xml:space="preserve"> 9473.8938 </t>
  </si>
  <si>
    <t xml:space="preserve"> 38.9132 </t>
  </si>
  <si>
    <t xml:space="preserve">C:\Users\andre\Desktop\REACTIV CEFAS\E2\E2/20201116_Cefas_Test6-Run1/Plate 1/@1/A10_02.tif </t>
  </si>
  <si>
    <t xml:space="preserve"> 2746.9966 </t>
  </si>
  <si>
    <t xml:space="preserve"> 38.8819 </t>
  </si>
  <si>
    <t xml:space="preserve">C:\Users\andre\Desktop\REACTIV CEFAS\E2\E2/20201116_Cefas_Test6-Run1/Plate 1/@1/A10_03.tif </t>
  </si>
  <si>
    <t xml:space="preserve"> 4563.9078 </t>
  </si>
  <si>
    <t xml:space="preserve"> 33.7488 </t>
  </si>
  <si>
    <t xml:space="preserve">C:\Users\andre\Desktop\REACTIV CEFAS\E2\E2/20201116_Cefas_Test6-Run1/Plate 1/@1/B10_01.tif </t>
  </si>
  <si>
    <t xml:space="preserve"> 3741.9718 </t>
  </si>
  <si>
    <t xml:space="preserve"> 39.4566 </t>
  </si>
  <si>
    <t xml:space="preserve">C:\Users\andre\Desktop\REACTIV CEFAS\E2\E2/20201116_Cefas_Test6-Run1/Plate 1/@1/B10_02.tif </t>
  </si>
  <si>
    <t xml:space="preserve"> 5818.4417 </t>
  </si>
  <si>
    <t xml:space="preserve"> 39.7286 </t>
  </si>
  <si>
    <t xml:space="preserve">C:\Users\andre\Desktop\REACTIV CEFAS\E2\E2/20201116_Cefas_Test6-Run1/Plate 1/@1/B10_03.tif </t>
  </si>
  <si>
    <t xml:space="preserve"> 7246.0147 </t>
  </si>
  <si>
    <t xml:space="preserve"> 37.4627 </t>
  </si>
  <si>
    <t xml:space="preserve">C:\Users\andre\Desktop\REACTIV CEFAS\E2\E2/20201116_Cefas_Test6-Run1/Plate 1/@1/C10_01.tif </t>
  </si>
  <si>
    <t xml:space="preserve"> 14297.3603 </t>
  </si>
  <si>
    <t xml:space="preserve"> 43.6263 </t>
  </si>
  <si>
    <t xml:space="preserve">C:\Users\andre\Desktop\REACTIV CEFAS\E2\E2/20201116_Cefas_Test6-Run1/Plate 1/@1/C10_02.tif </t>
  </si>
  <si>
    <t xml:space="preserve"> 11398.9545 </t>
  </si>
  <si>
    <t xml:space="preserve"> 42.8577 </t>
  </si>
  <si>
    <t xml:space="preserve">C:\Users\andre\Desktop\REACTIV CEFAS\E2\E2/20201116_Cefas_Test6-Run1/Plate 1/@1/C10_03.tif </t>
  </si>
  <si>
    <t xml:space="preserve"> 3893.381 </t>
  </si>
  <si>
    <t xml:space="preserve"> 37.2444 </t>
  </si>
  <si>
    <t xml:space="preserve">C:\Users\andre\Desktop\REACTIV CEFAS\E2\E2/20201116_Cefas_Test6-Run1/Plate 1/@1/D10_01.tif </t>
  </si>
  <si>
    <t xml:space="preserve"> 10166.0505 </t>
  </si>
  <si>
    <t xml:space="preserve"> 41.4787 </t>
  </si>
  <si>
    <t xml:space="preserve">C:\Users\andre\Desktop\REACTIV CEFAS\E2\E2/20201116_Cefas_Test6-Run1/Plate 1/@1/D10_02.tif </t>
  </si>
  <si>
    <t xml:space="preserve"> 5083.0252 </t>
  </si>
  <si>
    <t xml:space="preserve"> 40.0809 </t>
  </si>
  <si>
    <t xml:space="preserve">C:\Users\andre\Desktop\REACTIV CEFAS\E2\E2/20201116_Cefas_Test6-Run1/Plate 1/@1/D10_03.tif </t>
  </si>
  <si>
    <t xml:space="preserve"> 497.4876 </t>
  </si>
  <si>
    <t xml:space="preserve"> 31.3043 </t>
  </si>
  <si>
    <t xml:space="preserve">C:\Users\andre\Desktop\REACTIV CEFAS\E2\E2/20201116_Cefas_Test6-Run1/Plate 1/@1/E10_01.tif </t>
  </si>
  <si>
    <t xml:space="preserve"> 7332.5343 </t>
  </si>
  <si>
    <t xml:space="preserve"> 37.8643 </t>
  </si>
  <si>
    <t xml:space="preserve">C:\Users\andre\Desktop\REACTIV CEFAS\E2\E2/20201116_Cefas_Test6-Run1/Plate 1/@1/E10_02.tif </t>
  </si>
  <si>
    <t xml:space="preserve"> 7072.9755 </t>
  </si>
  <si>
    <t xml:space="preserve"> 34.7034 </t>
  </si>
  <si>
    <t xml:space="preserve">C:\Users\andre\Desktop\REACTIV CEFAS\E2\E2/20201116_Cefas_Test6-Run1/Plate 1/@1/E10_03.tif </t>
  </si>
  <si>
    <t xml:space="preserve"> 10295.8298 </t>
  </si>
  <si>
    <t xml:space="preserve"> 35.7563 </t>
  </si>
  <si>
    <t xml:space="preserve">C:\Users\andre\Desktop\REACTIV CEFAS\E2\E2/20201116_Cefas_Test6-Run1/Plate 1/@1/F10_01.tif </t>
  </si>
  <si>
    <t xml:space="preserve"> 4996.5057 </t>
  </si>
  <si>
    <t xml:space="preserve"> 36.4719 </t>
  </si>
  <si>
    <t xml:space="preserve">C:\Users\andre\Desktop\REACTIV CEFAS\E2\E2/20201116_Cefas_Test6-Run1/Plate 1/@1/F10_02.tif </t>
  </si>
  <si>
    <t xml:space="preserve"> 2898.4059 </t>
  </si>
  <si>
    <t xml:space="preserve"> 35.7388 </t>
  </si>
  <si>
    <t xml:space="preserve">C:\Users\andre\Desktop\REACTIV CEFAS\E2\E2/20201116_Cefas_Test6-Run1/Plate 1/@1/F10_03.tif </t>
  </si>
  <si>
    <t xml:space="preserve"> 2660.477 </t>
  </si>
  <si>
    <t xml:space="preserve"> 33.5854 </t>
  </si>
  <si>
    <t xml:space="preserve">C:\Users\andre\Desktop\REACTIV CEFAS\E2\E2/20201116_Cefas_Test6-Run1/Plate 1/@1/G10_01.tif </t>
  </si>
  <si>
    <t xml:space="preserve"> 4412.4985 </t>
  </si>
  <si>
    <t xml:space="preserve"> 37.0343 </t>
  </si>
  <si>
    <t xml:space="preserve">C:\Users\andre\Desktop\REACTIV CEFAS\E2\E2/20201116_Cefas_Test6-Run1/Plate 1/@1/G10_02.tif </t>
  </si>
  <si>
    <t xml:space="preserve"> 3655.4522 </t>
  </si>
  <si>
    <t xml:space="preserve"> 40.3609 </t>
  </si>
  <si>
    <t xml:space="preserve">C:\Users\andre\Desktop\REACTIV CEFAS\E2\E2/20201116_Cefas_Test6-Run1/Plate 1/@1/G10_03.tif </t>
  </si>
  <si>
    <t xml:space="preserve"> 43.2598 </t>
  </si>
  <si>
    <t xml:space="preserve">C:\Users\andre\Desktop\REACTIV CEFAS\E2\E2/20201116_Cefas_Test6-Run1/Plate 1/@1/H10_01.tif </t>
  </si>
  <si>
    <t xml:space="preserve"> 1124.7545 </t>
  </si>
  <si>
    <t xml:space="preserve"> 32.8269 </t>
  </si>
  <si>
    <t xml:space="preserve">C:\Users\andre\Desktop\REACTIV CEFAS\E2\E2/20201116_Cefas_Test6-Run1/Plate 1/@1/H10_02.tif </t>
  </si>
  <si>
    <t xml:space="preserve"> 3071.445 </t>
  </si>
  <si>
    <t xml:space="preserve"> 36.2113 </t>
  </si>
  <si>
    <t xml:space="preserve">C:\Users\andre\Desktop\REACTIV CEFAS\E2\E2/20201116_Cefas_Test6-Run1/Plate 1/@1/H10_03.tif </t>
  </si>
  <si>
    <t xml:space="preserve"> 2876.776 </t>
  </si>
  <si>
    <t xml:space="preserve"> 35.1429 </t>
  </si>
  <si>
    <t xml:space="preserve">group </t>
  </si>
  <si>
    <t xml:space="preserve"> mean of mean fluo </t>
  </si>
  <si>
    <t xml:space="preserve"> SD mean fluo </t>
  </si>
  <si>
    <t xml:space="preserve"> mean of total fluo </t>
  </si>
  <si>
    <t xml:space="preserve"> SD total fluo </t>
  </si>
  <si>
    <t xml:space="preserve"> n fluorescent </t>
  </si>
  <si>
    <t xml:space="preserve"> n total</t>
  </si>
  <si>
    <t xml:space="preserve">C:\Users\andre\Desktop\REACTIV CEFAS\E2\E2/20201116_Cefas_Test6-Run1/Plate 1/@1/ </t>
  </si>
  <si>
    <t xml:space="preserve"> 37.1034 </t>
  </si>
  <si>
    <t xml:space="preserve"> 3.4538 </t>
  </si>
  <si>
    <t xml:space="preserve"> 208579.833 </t>
  </si>
  <si>
    <t xml:space="preserve"> 153416.885 </t>
  </si>
  <si>
    <t xml:space="preserve">file name </t>
  </si>
  <si>
    <t xml:space="preserve">C:\Users\andre\Desktop\REACTIV CEFAS\E2\E2/20201116_Cefas_Test6-Run1/Plate 1/@13/A8_01.tif </t>
  </si>
  <si>
    <t xml:space="preserve"> 54658.7437 </t>
  </si>
  <si>
    <t xml:space="preserve"> 36.9577 </t>
  </si>
  <si>
    <t xml:space="preserve">C:\Users\andre\Desktop\REACTIV CEFAS\E2\E2/20201116_Cefas_Test6-Run1/Plate 1/@13/A8_02.tif </t>
  </si>
  <si>
    <t xml:space="preserve"> 38782.4011 </t>
  </si>
  <si>
    <t xml:space="preserve"> 34.9927 </t>
  </si>
  <si>
    <t xml:space="preserve">C:\Users\andre\Desktop\REACTIV CEFAS\E2\E2/20201116_Cefas_Test6-Run1/Plate 1/@13/A8_03.tif </t>
  </si>
  <si>
    <t xml:space="preserve"> 47758.8073 </t>
  </si>
  <si>
    <t xml:space="preserve"> 35.5077 </t>
  </si>
  <si>
    <t xml:space="preserve">C:\Users\andre\Desktop\REACTIV CEFAS\E2\E2/20201116_Cefas_Test6-Run1/Plate 1/@13/B8_01.tif </t>
  </si>
  <si>
    <t xml:space="preserve"> 994.9752 </t>
  </si>
  <si>
    <t xml:space="preserve"> 31.6957 </t>
  </si>
  <si>
    <t xml:space="preserve">C:\Users\andre\Desktop\REACTIV CEFAS\E2\E2/20201116_Cefas_Test6-Run1/Plate 1/@13/B8_02.tif </t>
  </si>
  <si>
    <t xml:space="preserve"> 1427.573 </t>
  </si>
  <si>
    <t xml:space="preserve"> 31.1061 </t>
  </si>
  <si>
    <t xml:space="preserve">C:\Users\andre\Desktop\REACTIV CEFAS\E2\E2/20201116_Cefas_Test6-Run1/Plate 1/@13/B8_03.tif </t>
  </si>
  <si>
    <t xml:space="preserve"> 4455.7583 </t>
  </si>
  <si>
    <t xml:space="preserve"> 31.7184 </t>
  </si>
  <si>
    <t xml:space="preserve">C:\Users\andre\Desktop\REACTIV CEFAS\E2\E2/20201116_Cefas_Test6-Run1/Plate 1/@13/C8_01.tif </t>
  </si>
  <si>
    <t xml:space="preserve"> 47196.4301 </t>
  </si>
  <si>
    <t xml:space="preserve"> 36.9418 </t>
  </si>
  <si>
    <t xml:space="preserve">C:\Users\andre\Desktop\REACTIV CEFAS\E2\E2/20201116_Cefas_Test6-Run1/Plate 1/@13/C8_02.tif </t>
  </si>
  <si>
    <t xml:space="preserve"> 34045.4541 </t>
  </si>
  <si>
    <t xml:space="preserve"> 34.6499 </t>
  </si>
  <si>
    <t xml:space="preserve">C:\Users\andre\Desktop\REACTIV CEFAS\E2\E2/20201116_Cefas_Test6-Run1/Plate 1/@13/C8_03.tif </t>
  </si>
  <si>
    <t xml:space="preserve"> 41983.6255 </t>
  </si>
  <si>
    <t xml:space="preserve"> 36.1783 </t>
  </si>
  <si>
    <t xml:space="preserve">C:\Users\andre\Desktop\REACTIV CEFAS\E2\E2/20201116_Cefas_Test6-Run1/Plate 1/@13/D8_01.tif </t>
  </si>
  <si>
    <t xml:space="preserve"> 24528.3005 </t>
  </si>
  <si>
    <t xml:space="preserve"> 33.0467 </t>
  </si>
  <si>
    <t>C:\Users\andre\Desktop\REACTIV CEFAS\E2\E2/20201116_Cefas_Test6-Run1/Plate 1/@13/D8_02- exclu.tif</t>
  </si>
  <si>
    <t xml:space="preserve">C:\Users\andre\Desktop\REACTIV CEFAS\E2\E2/20201116_Cefas_Test6-Run1/Plate 1/@13/D8_03.tif </t>
  </si>
  <si>
    <t xml:space="preserve"> 37679.2764 </t>
  </si>
  <si>
    <t xml:space="preserve"> 34.7365 </t>
  </si>
  <si>
    <t xml:space="preserve">C:\Users\andre\Desktop\REACTIV CEFAS\E2\E2/20201116_Cefas_Test6-Run1/Plate 1/@13/E8_01.tif </t>
  </si>
  <si>
    <t xml:space="preserve"> 14340.6201 </t>
  </si>
  <si>
    <t xml:space="preserve"> 34.0332 </t>
  </si>
  <si>
    <t xml:space="preserve">C:\Users\andre\Desktop\REACTIV CEFAS\E2\E2/20201116_Cefas_Test6-Run1/Plate 1/@13/E8_02.tif </t>
  </si>
  <si>
    <t xml:space="preserve"> 9300.8547 </t>
  </si>
  <si>
    <t xml:space="preserve"> 32.8163 </t>
  </si>
  <si>
    <t xml:space="preserve">C:\Users\andre\Desktop\REACTIV CEFAS\E2\E2/20201116_Cefas_Test6-Run1/Plate 1/@13/E8_03.tif </t>
  </si>
  <si>
    <t xml:space="preserve"> 6683.6374 </t>
  </si>
  <si>
    <t xml:space="preserve"> 32.7217 </t>
  </si>
  <si>
    <t xml:space="preserve">C:\Users\andre\Desktop\REACTIV CEFAS\E2\E2/20201116_Cefas_Test6-Run1/Plate 1/@13/F8_01.tif </t>
  </si>
  <si>
    <t xml:space="preserve"> 57405.7403 </t>
  </si>
  <si>
    <t xml:space="preserve"> 39.8425 </t>
  </si>
  <si>
    <t xml:space="preserve">C:\Users\andre\Desktop\REACTIV CEFAS\E2\E2/20201116_Cefas_Test6-Run1/Plate 1/@13/F8_02.tif </t>
  </si>
  <si>
    <t xml:space="preserve"> 42978.6006 </t>
  </si>
  <si>
    <t xml:space="preserve"> 37.4459 </t>
  </si>
  <si>
    <t xml:space="preserve">C:\Users\andre\Desktop\REACTIV CEFAS\E2\E2/20201116_Cefas_Test6-Run1/Plate 1/@13/F8_03.tif </t>
  </si>
  <si>
    <t xml:space="preserve"> 56194.4662 </t>
  </si>
  <si>
    <t xml:space="preserve"> 40.0481 </t>
  </si>
  <si>
    <t xml:space="preserve">C:\Users\andre\Desktop\REACTIV CEFAS\E2\E2/20201116_Cefas_Test6-Run1/Plate 1/@13/G8_01.tif </t>
  </si>
  <si>
    <t xml:space="preserve"> 129.7794 </t>
  </si>
  <si>
    <t xml:space="preserve"> 31.3333 </t>
  </si>
  <si>
    <t xml:space="preserve">C:\Users\andre\Desktop\REACTIV CEFAS\E2\E2/20201116_Cefas_Test6-Run1/Plate 1/@13/G8_02.tif </t>
  </si>
  <si>
    <t xml:space="preserve"> 1838.541 </t>
  </si>
  <si>
    <t xml:space="preserve"> 34.6 </t>
  </si>
  <si>
    <t xml:space="preserve">C:\Users\andre\Desktop\REACTIV CEFAS\E2\E2/20201116_Cefas_Test6-Run1/Plate 1/@13/G8_03.tif </t>
  </si>
  <si>
    <t xml:space="preserve"> 216.2989 </t>
  </si>
  <si>
    <t xml:space="preserve"> 31.4 </t>
  </si>
  <si>
    <t xml:space="preserve">C:\Users\andre\Desktop\REACTIV CEFAS\E2\E2/20201116_Cefas_Test6-Run1/Plate 1/@13/H8_01.tif </t>
  </si>
  <si>
    <t xml:space="preserve"> 13670.0934 </t>
  </si>
  <si>
    <t xml:space="preserve"> 35.4589 </t>
  </si>
  <si>
    <t>C:\Users\andre\Desktop\REACTIV CEFAS\E2\E2/20201116_Cefas_Test6-Run1/Plate 1/@13/H8_02- exclu.tif</t>
  </si>
  <si>
    <t>C:\Users\andre\Desktop\REACTIV CEFAS\E2\E2/20201116_Cefas_Test6-Run1/Plate 1/@13/H8_03- exclu.tif</t>
  </si>
  <si>
    <t xml:space="preserve">C:\Users\andre\Desktop\REACTIV CEFAS\E2\E2/20201116_Cefas_Test6-Run1/Plate 1/@13/ </t>
  </si>
  <si>
    <t xml:space="preserve"> 35.253 </t>
  </si>
  <si>
    <t xml:space="preserve"> 3.3678 </t>
  </si>
  <si>
    <t xml:space="preserve"> 899741.375 </t>
  </si>
  <si>
    <t xml:space="preserve"> 764905.496 </t>
  </si>
  <si>
    <t xml:space="preserve">C:\Users\andre\Desktop\REACTIV CEFAS\E2\E2/20201116_Cefas_Test6-Run1/Plate 1/@14/A9_01.tif </t>
  </si>
  <si>
    <t xml:space="preserve"> 2422.5482 </t>
  </si>
  <si>
    <t xml:space="preserve"> 34.5179 </t>
  </si>
  <si>
    <t xml:space="preserve">C:\Users\andre\Desktop\REACTIV CEFAS\E2\E2/20201116_Cefas_Test6-Run1/Plate 1/@14/A9_02.tif </t>
  </si>
  <si>
    <t xml:space="preserve"> 3049.8151 </t>
  </si>
  <si>
    <t xml:space="preserve"> 39.5887 </t>
  </si>
  <si>
    <t xml:space="preserve">C:\Users\andre\Desktop\REACTIV CEFAS\E2\E2/20201116_Cefas_Test6-Run1/Plate 1/@14/A9_03.tif </t>
  </si>
  <si>
    <t xml:space="preserve"> 151.4093 </t>
  </si>
  <si>
    <t xml:space="preserve"> 30.8571 </t>
  </si>
  <si>
    <t xml:space="preserve">C:\Users\andre\Desktop\REACTIV CEFAS\E2\E2/20201116_Cefas_Test6-Run1/Plate 1/@14/B9_01.tif </t>
  </si>
  <si>
    <t xml:space="preserve"> 33.7589 </t>
  </si>
  <si>
    <t xml:space="preserve">C:\Users\andre\Desktop\REACTIV CEFAS\E2\E2/20201116_Cefas_Test6-Run1/Plate 1/@14/B9_02.tif </t>
  </si>
  <si>
    <t xml:space="preserve"> 1384.3133 </t>
  </si>
  <si>
    <t xml:space="preserve"> 31.4531 </t>
  </si>
  <si>
    <t xml:space="preserve">C:\Users\andre\Desktop\REACTIV CEFAS\E2\E2/20201116_Cefas_Test6-Run1/Plate 1/@14/B9_03.tif </t>
  </si>
  <si>
    <t xml:space="preserve"> 1730.3916 </t>
  </si>
  <si>
    <t xml:space="preserve"> 32.25 </t>
  </si>
  <si>
    <t xml:space="preserve">C:\Users\andre\Desktop\REACTIV CEFAS\E2\E2/20201116_Cefas_Test6-Run1/Plate 1/@14/C9_01.tif </t>
  </si>
  <si>
    <t xml:space="preserve"> 44060.0954 </t>
  </si>
  <si>
    <t xml:space="preserve"> 38.1816 </t>
  </si>
  <si>
    <t xml:space="preserve">C:\Users\andre\Desktop\REACTIV CEFAS\E2\E2/20201116_Cefas_Test6-Run1/Plate 1/@14/C9_02.tif </t>
  </si>
  <si>
    <t xml:space="preserve"> 45509.2983 </t>
  </si>
  <si>
    <t xml:space="preserve"> 38.9187 </t>
  </si>
  <si>
    <t xml:space="preserve">C:\Users\andre\Desktop\REACTIV CEFAS\E2\E2/20201116_Cefas_Test6-Run1/Plate 1/@14/C9_03.tif </t>
  </si>
  <si>
    <t xml:space="preserve"> 46547.5332 </t>
  </si>
  <si>
    <t xml:space="preserve"> 40.0316 </t>
  </si>
  <si>
    <t>C:\Users\andre\Desktop\REACTIV CEFAS\E2\E2/20201116_Cefas_Test6-Run1/Plate 1/@14/D9_01- exclu.tif</t>
  </si>
  <si>
    <t>C:\Users\andre\Desktop\REACTIV CEFAS\E2\E2/20201116_Cefas_Test6-Run1/Plate 1/@14/D9_02- exclu.tif</t>
  </si>
  <si>
    <t>C:\Users\andre\Desktop\REACTIV CEFAS\E2\E2/20201116_Cefas_Test6-Run1/Plate 1/@14/D9_03- exclu.tif</t>
  </si>
  <si>
    <t xml:space="preserve">C:\Users\andre\Desktop\REACTIV CEFAS\E2\E2/20201116_Cefas_Test6-Run1/Plate 1/@14/E9_01.tif </t>
  </si>
  <si>
    <t xml:space="preserve"> 16114.2715 </t>
  </si>
  <si>
    <t xml:space="preserve"> 32.5732 </t>
  </si>
  <si>
    <t xml:space="preserve">C:\Users\andre\Desktop\REACTIV CEFAS\E2\E2/20201116_Cefas_Test6-Run1/Plate 1/@14/E9_02.tif </t>
  </si>
  <si>
    <t xml:space="preserve"> 8760.1073 </t>
  </si>
  <si>
    <t xml:space="preserve"> 31.6691 </t>
  </si>
  <si>
    <t xml:space="preserve">C:\Users\andre\Desktop\REACTIV CEFAS\E2\E2/20201116_Cefas_Test6-Run1/Plate 1/@14/E9_03.tif </t>
  </si>
  <si>
    <t xml:space="preserve"> 10447.2391 </t>
  </si>
  <si>
    <t xml:space="preserve"> 31.9379 </t>
  </si>
  <si>
    <t xml:space="preserve">C:\Users\andre\Desktop\REACTIV CEFAS\E2\E2/20201116_Cefas_Test6-Run1/Plate 1/@14/F9_01.tif </t>
  </si>
  <si>
    <t xml:space="preserve"> 13324.0151 </t>
  </si>
  <si>
    <t xml:space="preserve"> 33.2451 </t>
  </si>
  <si>
    <t xml:space="preserve">C:\Users\andre\Desktop\REACTIV CEFAS\E2\E2/20201116_Cefas_Test6-Run1/Plate 1/@14/F9_02.tif </t>
  </si>
  <si>
    <t xml:space="preserve"> 15184.186 </t>
  </si>
  <si>
    <t xml:space="preserve"> 33.584 </t>
  </si>
  <si>
    <t xml:space="preserve">C:\Users\andre\Desktop\REACTIV CEFAS\E2\E2/20201116_Cefas_Test6-Run1/Plate 1/@14/F9_03.tif </t>
  </si>
  <si>
    <t xml:space="preserve"> 18861.2681 </t>
  </si>
  <si>
    <t xml:space="preserve"> 33.836 </t>
  </si>
  <si>
    <t xml:space="preserve">C:\Users\andre\Desktop\REACTIV CEFAS\E2\E2/20201116_Cefas_Test6-Run1/Plate 1/@14/G9_01.tif </t>
  </si>
  <si>
    <t xml:space="preserve"> 6575.488 </t>
  </si>
  <si>
    <t xml:space="preserve"> 36.1447 </t>
  </si>
  <si>
    <t xml:space="preserve">C:\Users\andre\Desktop\REACTIV CEFAS\E2\E2/20201116_Cefas_Test6-Run1/Plate 1/@14/G9_02.tif </t>
  </si>
  <si>
    <t xml:space="preserve"> 4109.68 </t>
  </si>
  <si>
    <t xml:space="preserve"> 34.9895 </t>
  </si>
  <si>
    <t xml:space="preserve">C:\Users\andre\Desktop\REACTIV CEFAS\E2\E2/20201116_Cefas_Test6-Run1/Plate 1/@14/G9_03.tif </t>
  </si>
  <si>
    <t xml:space="preserve"> 4758.5768 </t>
  </si>
  <si>
    <t xml:space="preserve"> 36.7727 </t>
  </si>
  <si>
    <t xml:space="preserve">C:\Users\andre\Desktop\REACTIV CEFAS\E2\E2/20201116_Cefas_Test6-Run1/Plate 1/@14/H9_01.tif </t>
  </si>
  <si>
    <t xml:space="preserve"> 18969.4176 </t>
  </si>
  <si>
    <t xml:space="preserve"> 32.7241 </t>
  </si>
  <si>
    <t xml:space="preserve">C:\Users\andre\Desktop\REACTIV CEFAS\E2\E2/20201116_Cefas_Test6-Run1/Plate 1/@14/H9_02.tif </t>
  </si>
  <si>
    <t xml:space="preserve"> 26280.322 </t>
  </si>
  <si>
    <t xml:space="preserve"> 33.8543 </t>
  </si>
  <si>
    <t xml:space="preserve">C:\Users\andre\Desktop\REACTIV CEFAS\E2\E2/20201116_Cefas_Test6-Run1/Plate 1/@14/H9_03.tif </t>
  </si>
  <si>
    <t xml:space="preserve"> 17065.9869 </t>
  </si>
  <si>
    <t xml:space="preserve"> 33.4081 </t>
  </si>
  <si>
    <t xml:space="preserve">C:\Users\andre\Desktop\REACTIV CEFAS\E2\E2/20201116_Cefas_Test6-Run1/Plate 1/@14/ </t>
  </si>
  <si>
    <t xml:space="preserve"> 34.8573 </t>
  </si>
  <si>
    <t xml:space="preserve"> 2.9528 </t>
  </si>
  <si>
    <t xml:space="preserve"> 513082.708 </t>
  </si>
  <si>
    <t xml:space="preserve"> 544247.102 </t>
  </si>
  <si>
    <t xml:space="preserve">C:\Users\andre\Desktop\REACTIV CEFAS\E2\E2/20201116_Cefas_Test6-Run1/Plate 1/@15/A11_01.tif </t>
  </si>
  <si>
    <t xml:space="preserve"> 99648.9246 </t>
  </si>
  <si>
    <t xml:space="preserve"> 51.2633 </t>
  </si>
  <si>
    <t xml:space="preserve">C:\Users\andre\Desktop\REACTIV CEFAS\E2\E2/20201116_Cefas_Test6-Run1/Plate 1/@15/A11_02.tif </t>
  </si>
  <si>
    <t xml:space="preserve"> 100254.562 </t>
  </si>
  <si>
    <t xml:space="preserve"> 50.2412 </t>
  </si>
  <si>
    <t xml:space="preserve">C:\Users\andre\Desktop\REACTIV CEFAS\E2\E2/20201116_Cefas_Test6-Run1/Plate 1/@15/A11_03.tif </t>
  </si>
  <si>
    <t xml:space="preserve"> 95517.6147 </t>
  </si>
  <si>
    <t xml:space="preserve"> 54.0562 </t>
  </si>
  <si>
    <t xml:space="preserve">C:\Users\andre\Desktop\REACTIV CEFAS\E2\E2/20201116_Cefas_Test6-Run1/Plate 1/@15/B11_01.tif </t>
  </si>
  <si>
    <t xml:space="preserve"> 82907.3861 </t>
  </si>
  <si>
    <t xml:space="preserve"> 52.2507 </t>
  </si>
  <si>
    <t xml:space="preserve">C:\Users\andre\Desktop\REACTIV CEFAS\E2\E2/20201116_Cefas_Test6-Run1/Plate 1/@15/B11_02.tif </t>
  </si>
  <si>
    <t xml:space="preserve"> 79273.5638 </t>
  </si>
  <si>
    <t xml:space="preserve"> 49.949 </t>
  </si>
  <si>
    <t xml:space="preserve">C:\Users\andre\Desktop\REACTIV CEFAS\E2\E2/20201116_Cefas_Test6-Run1/Plate 1/@15/B11_03.tif </t>
  </si>
  <si>
    <t xml:space="preserve"> 83058.7954 </t>
  </si>
  <si>
    <t xml:space="preserve"> 49.032 </t>
  </si>
  <si>
    <t xml:space="preserve">C:\Users\andre\Desktop\REACTIV CEFAS\E2\E2/20201116_Cefas_Test6-Run1/Plate 1/@15/C11_01.tif </t>
  </si>
  <si>
    <t xml:space="preserve"> 76829.3857 </t>
  </si>
  <si>
    <t xml:space="preserve"> 49.2123 </t>
  </si>
  <si>
    <t xml:space="preserve">C:\Users\andre\Desktop\REACTIV CEFAS\E2\E2/20201116_Cefas_Test6-Run1/Plate 1/@15/C11_02.tif </t>
  </si>
  <si>
    <t xml:space="preserve"> 78213.699 </t>
  </si>
  <si>
    <t xml:space="preserve"> 50.9051 </t>
  </si>
  <si>
    <t xml:space="preserve">C:\Users\andre\Desktop\REACTIV CEFAS\E2\E2/20201116_Cefas_Test6-Run1/Plate 1/@15/C11_03.tif </t>
  </si>
  <si>
    <t xml:space="preserve"> 79944.0905 </t>
  </si>
  <si>
    <t xml:space="preserve"> 51.7018 </t>
  </si>
  <si>
    <t xml:space="preserve">C:\Users\andre\Desktop\REACTIV CEFAS\E2\E2/20201116_Cefas_Test6-Run1/Plate 1/@15/D11_01.tif </t>
  </si>
  <si>
    <t xml:space="preserve"> 74168.9087 </t>
  </si>
  <si>
    <t xml:space="preserve"> 45.5894 </t>
  </si>
  <si>
    <t xml:space="preserve">C:\Users\andre\Desktop\REACTIV CEFAS\E2\E2/20201116_Cefas_Test6-Run1/Plate 1/@15/D11_02.tif </t>
  </si>
  <si>
    <t xml:space="preserve"> 73736.3108 </t>
  </si>
  <si>
    <t xml:space="preserve"> 44.2077 </t>
  </si>
  <si>
    <t xml:space="preserve">C:\Users\andre\Desktop\REACTIV CEFAS\E2\E2/20201116_Cefas_Test6-Run1/Plate 1/@15/D11_03.tif </t>
  </si>
  <si>
    <t xml:space="preserve"> 81003.9554 </t>
  </si>
  <si>
    <t xml:space="preserve"> 47.2475 </t>
  </si>
  <si>
    <t xml:space="preserve">C:\Users\andre\Desktop\REACTIV CEFAS\E2\E2/20201116_Cefas_Test6-Run1/Plate 1/@15/E11_01.tif </t>
  </si>
  <si>
    <t xml:space="preserve"> 47412.729 </t>
  </si>
  <si>
    <t xml:space="preserve"> 42.927 </t>
  </si>
  <si>
    <t xml:space="preserve">C:\Users\andre\Desktop\REACTIV CEFAS\E2\E2/20201116_Cefas_Test6-Run1/Plate 1/@15/E11_02.tif </t>
  </si>
  <si>
    <t xml:space="preserve"> 41010.2802 </t>
  </si>
  <si>
    <t xml:space="preserve"> 41.6108 </t>
  </si>
  <si>
    <t xml:space="preserve">C:\Users\andre\Desktop\REACTIV CEFAS\E2\E2/20201116_Cefas_Test6-Run1/Plate 1/@15/E11_03.tif </t>
  </si>
  <si>
    <t xml:space="preserve"> 43043.4903 </t>
  </si>
  <si>
    <t xml:space="preserve"> 43.8065 </t>
  </si>
  <si>
    <t xml:space="preserve">C:\Users\andre\Desktop\REACTIV CEFAS\E2\E2/20201116_Cefas_Test6-Run1/Plate 1/@15/F11_01.tif </t>
  </si>
  <si>
    <t xml:space="preserve"> 64846.4241 </t>
  </si>
  <si>
    <t xml:space="preserve"> 45.6044 </t>
  </si>
  <si>
    <t xml:space="preserve">C:\Users\andre\Desktop\REACTIV CEFAS\E2\E2/20201116_Cefas_Test6-Run1/Plate 1/@15/F11_02.tif </t>
  </si>
  <si>
    <t xml:space="preserve"> 60606.9648 </t>
  </si>
  <si>
    <t xml:space="preserve"> 51.2434 </t>
  </si>
  <si>
    <t xml:space="preserve">C:\Users\andre\Desktop\REACTIV CEFAS\E2\E2/20201116_Cefas_Test6-Run1/Plate 1/@15/F11_03.tif </t>
  </si>
  <si>
    <t xml:space="preserve"> 60542.0751 </t>
  </si>
  <si>
    <t xml:space="preserve"> 48.1168 </t>
  </si>
  <si>
    <t xml:space="preserve">C:\Users\andre\Desktop\REACTIV CEFAS\E2\E2/20201116_Cefas_Test6-Run1/Plate 1/@15/G11_01.tif </t>
  </si>
  <si>
    <t xml:space="preserve"> 74731.2859 </t>
  </si>
  <si>
    <t xml:space="preserve"> 45.2104 </t>
  </si>
  <si>
    <t xml:space="preserve">C:\Users\andre\Desktop\REACTIV CEFAS\E2\E2/20201116_Cefas_Test6-Run1/Plate 1/@15/G11_02.tif </t>
  </si>
  <si>
    <t xml:space="preserve"> 76937.5352 </t>
  </si>
  <si>
    <t xml:space="preserve"> 48.8336 </t>
  </si>
  <si>
    <t xml:space="preserve">C:\Users\andre\Desktop\REACTIV CEFAS\E2\E2/20201116_Cefas_Test6-Run1/Plate 1/@15/G11_03.tif </t>
  </si>
  <si>
    <t xml:space="preserve"> 77975.7701 </t>
  </si>
  <si>
    <t xml:space="preserve"> 49.6419 </t>
  </si>
  <si>
    <t xml:space="preserve">C:\Users\andre\Desktop\REACTIV CEFAS\E2\E2/20201116_Cefas_Test6-Run1/Plate 1/@15/H11_01.tif </t>
  </si>
  <si>
    <t xml:space="preserve"> 81328.4038 </t>
  </si>
  <si>
    <t xml:space="preserve"> 41.8516 </t>
  </si>
  <si>
    <t xml:space="preserve">C:\Users\andre\Desktop\REACTIV CEFAS\E2\E2/20201116_Cefas_Test6-Run1/Plate 1/@15/H11_02.tif </t>
  </si>
  <si>
    <t xml:space="preserve"> 90737.408 </t>
  </si>
  <si>
    <t xml:space="preserve"> 41.2737 </t>
  </si>
  <si>
    <t xml:space="preserve">C:\Users\andre\Desktop\REACTIV CEFAS\E2\E2/20201116_Cefas_Test6-Run1/Plate 1/@15/H11_03.tif </t>
  </si>
  <si>
    <t xml:space="preserve"> 71119.0935 </t>
  </si>
  <si>
    <t xml:space="preserve"> 41.8656 </t>
  </si>
  <si>
    <t xml:space="preserve">C:\Users\andre\Desktop\REACTIV CEFAS\E2\E2/20201116_Cefas_Test6-Run1/Plate 1/@15/ </t>
  </si>
  <si>
    <t xml:space="preserve"> 47.4017 </t>
  </si>
  <si>
    <t xml:space="preserve"> 3.8636 </t>
  </si>
  <si>
    <t xml:space="preserve"> 3573872.33 </t>
  </si>
  <si>
    <t xml:space="preserve"> 909613.124 </t>
  </si>
  <si>
    <t xml:space="preserve">C:\Users\andre\Desktop\REACTIV CEFAS\E2\E2/20201116_Cefas_Test6-Run1/Plate 1/@16/A12_01.tif </t>
  </si>
  <si>
    <t xml:space="preserve"> 1146.3844 </t>
  </si>
  <si>
    <t xml:space="preserve"> 33.8868 </t>
  </si>
  <si>
    <t xml:space="preserve">C:\Users\andre\Desktop\REACTIV CEFAS\E2\E2/20201116_Cefas_Test6-Run1/Plate 1/@16/A12_02.tif </t>
  </si>
  <si>
    <t xml:space="preserve"> 2098.0998 </t>
  </si>
  <si>
    <t xml:space="preserve"> 34.6804 </t>
  </si>
  <si>
    <t xml:space="preserve">C:\Users\andre\Desktop\REACTIV CEFAS\E2\E2/20201116_Cefas_Test6-Run1/Plate 1/@16/A12_03.tif </t>
  </si>
  <si>
    <t xml:space="preserve"> 1211.2741 </t>
  </si>
  <si>
    <t xml:space="preserve"> 32.1429 </t>
  </si>
  <si>
    <t xml:space="preserve">C:\Users\andre\Desktop\REACTIV CEFAS\E2\E2/20201116_Cefas_Test6-Run1/Plate 1/@16/B12_01.tif </t>
  </si>
  <si>
    <t xml:space="preserve"> 36.7388 </t>
  </si>
  <si>
    <t xml:space="preserve">C:\Users\andre\Desktop\REACTIV CEFAS\E2\E2/20201116_Cefas_Test6-Run1/Plate 1/@16/B12_02.tif </t>
  </si>
  <si>
    <t xml:space="preserve"> 2054.84 </t>
  </si>
  <si>
    <t xml:space="preserve"> 34.7158 </t>
  </si>
  <si>
    <t xml:space="preserve">C:\Users\andre\Desktop\REACTIV CEFAS\E2\E2/20201116_Cefas_Test6-Run1/Plate 1/@16/B12_03.tif </t>
  </si>
  <si>
    <t xml:space="preserve"> 6078.0004 </t>
  </si>
  <si>
    <t xml:space="preserve"> 36.4199 </t>
  </si>
  <si>
    <t xml:space="preserve">C:\Users\andre\Desktop\REACTIV CEFAS\E2\E2/20201116_Cefas_Test6-Run1/Plate 1/@16/C12_01.tif </t>
  </si>
  <si>
    <t xml:space="preserve"> 1276.1638 </t>
  </si>
  <si>
    <t xml:space="preserve"> 34.6271 </t>
  </si>
  <si>
    <t>C:\Users\andre\Desktop\REACTIV CEFAS\E2\E2/20201116_Cefas_Test6-Run1/Plate 1/@16/C12_02- exclu.tif</t>
  </si>
  <si>
    <t xml:space="preserve">C:\Users\andre\Desktop\REACTIV CEFAS\E2\E2/20201116_Cefas_Test6-Run1/Plate 1/@16/C12_03.tif </t>
  </si>
  <si>
    <t xml:space="preserve"> 3633.8223 </t>
  </si>
  <si>
    <t xml:space="preserve"> 36.131 </t>
  </si>
  <si>
    <t xml:space="preserve">C:\Users\andre\Desktop\REACTIV CEFAS\E2\E2/20201116_Cefas_Test6-Run1/Plate 1/@16/D12_01.tif </t>
  </si>
  <si>
    <t xml:space="preserve"> 2855.1461 </t>
  </si>
  <si>
    <t xml:space="preserve"> 36.8636 </t>
  </si>
  <si>
    <t xml:space="preserve">C:\Users\andre\Desktop\REACTIV CEFAS\E2\E2/20201116_Cefas_Test6-Run1/Plate 1/@16/D12_02.tif </t>
  </si>
  <si>
    <t xml:space="preserve"> 1557.3524 </t>
  </si>
  <si>
    <t xml:space="preserve"> 33.625 </t>
  </si>
  <si>
    <t xml:space="preserve">C:\Users\andre\Desktop\REACTIV CEFAS\E2\E2/20201116_Cefas_Test6-Run1/Plate 1/@16/D12_03.tif </t>
  </si>
  <si>
    <t xml:space="preserve"> 237.9288 </t>
  </si>
  <si>
    <t xml:space="preserve"> 31.2727 </t>
  </si>
  <si>
    <t xml:space="preserve">C:\Users\andre\Desktop\REACTIV CEFAS\E2\E2/20201116_Cefas_Test6-Run1/Plate 1/@16/E12_01.tif </t>
  </si>
  <si>
    <t xml:space="preserve"> 2444.1781 </t>
  </si>
  <si>
    <t xml:space="preserve"> 31.0265 </t>
  </si>
  <si>
    <t xml:space="preserve">C:\Users\andre\Desktop\REACTIV CEFAS\E2\E2/20201116_Cefas_Test6-Run1/Plate 1/@16/E12_02.tif </t>
  </si>
  <si>
    <t xml:space="preserve"> 9646.933 </t>
  </si>
  <si>
    <t xml:space="preserve"> 36.704 </t>
  </si>
  <si>
    <t xml:space="preserve">C:\Users\andre\Desktop\REACTIV CEFAS\E2\E2/20201116_Cefas_Test6-Run1/Plate 1/@16/E12_03.tif </t>
  </si>
  <si>
    <t xml:space="preserve"> 9949.7515 </t>
  </si>
  <si>
    <t xml:space="preserve"> 40.5152 </t>
  </si>
  <si>
    <t xml:space="preserve">C:\Users\andre\Desktop\REACTIV CEFAS\E2\E2/20201116_Cefas_Test6-Run1/Plate 1/@16/F12_01.tif </t>
  </si>
  <si>
    <t xml:space="preserve"> 1405.9432 </t>
  </si>
  <si>
    <t xml:space="preserve"> 32.9385 </t>
  </si>
  <si>
    <t xml:space="preserve">C:\Users\andre\Desktop\REACTIV CEFAS\E2\E2/20201116_Cefas_Test6-Run1/Plate 1/@16/F12_02.tif </t>
  </si>
  <si>
    <t xml:space="preserve"> 1535.7225 </t>
  </si>
  <si>
    <t xml:space="preserve"> 32.6056 </t>
  </si>
  <si>
    <t xml:space="preserve">C:\Users\andre\Desktop\REACTIV CEFAS\E2\E2/20201116_Cefas_Test6-Run1/Plate 1/@16/F12_03.tif </t>
  </si>
  <si>
    <t xml:space="preserve">C:\Users\andre\Desktop\REACTIV CEFAS\E2\E2/20201116_Cefas_Test6-Run1/Plate 1/@16/G12_01.tif </t>
  </si>
  <si>
    <t xml:space="preserve"> 41.4657 </t>
  </si>
  <si>
    <t xml:space="preserve">C:\Users\andre\Desktop\REACTIV CEFAS\E2\E2/20201116_Cefas_Test6-Run1/Plate 1/@16/G12_02.tif </t>
  </si>
  <si>
    <t xml:space="preserve"> 584.0072 </t>
  </si>
  <si>
    <t xml:space="preserve"> 31.8519 </t>
  </si>
  <si>
    <t xml:space="preserve">C:\Users\andre\Desktop\REACTIV CEFAS\E2\E2/20201116_Cefas_Test6-Run1/Plate 1/@16/G12_03.tif </t>
  </si>
  <si>
    <t xml:space="preserve"> 1643.872 </t>
  </si>
  <si>
    <t xml:space="preserve"> 32.8684 </t>
  </si>
  <si>
    <t xml:space="preserve">C:\Users\andre\Desktop\REACTIV CEFAS\E2\E2/20201116_Cefas_Test6-Run1/Plate 1/@16/H12_01.tif </t>
  </si>
  <si>
    <t xml:space="preserve"> 7483.9435 </t>
  </si>
  <si>
    <t xml:space="preserve"> 37.3728 </t>
  </si>
  <si>
    <t xml:space="preserve">C:\Users\andre\Desktop\REACTIV CEFAS\E2\E2/20201116_Cefas_Test6-Run1/Plate 1/@16/H12_02.tif </t>
  </si>
  <si>
    <t xml:space="preserve"> 5775.1819 </t>
  </si>
  <si>
    <t xml:space="preserve"> 37.1873 </t>
  </si>
  <si>
    <t xml:space="preserve">C:\Users\andre\Desktop\REACTIV CEFAS\E2\E2/20201116_Cefas_Test6-Run1/Plate 1/@16/H12_03.tif </t>
  </si>
  <si>
    <t xml:space="preserve"> 2941.6657 </t>
  </si>
  <si>
    <t xml:space="preserve"> 33.5588 </t>
  </si>
  <si>
    <t xml:space="preserve">C:\Users\andre\Desktop\REACTIV CEFAS\E2\E2/20201116_Cefas_Test6-Run1/Plate 1/@16/ </t>
  </si>
  <si>
    <t xml:space="preserve"> 33.415 </t>
  </si>
  <si>
    <t xml:space="preserve"> 7.6125 </t>
  </si>
  <si>
    <t xml:space="preserve"> 114020.083 </t>
  </si>
  <si>
    <t xml:space="preserve"> 108055.155 </t>
  </si>
  <si>
    <t xml:space="preserve">C:\Users\andre\Desktop\REACTIV CEFAS\E2\E2/20201116_Cefas_Test6-Run1/Plate 1/@2/A2_01.tif </t>
  </si>
  <si>
    <t xml:space="preserve"> 7419.0539 </t>
  </si>
  <si>
    <t xml:space="preserve"> 36.3907 </t>
  </si>
  <si>
    <t xml:space="preserve">C:\Users\andre\Desktop\REACTIV CEFAS\E2\E2/20201116_Cefas_Test6-Run1/Plate 1/@2/A2_02.tif </t>
  </si>
  <si>
    <t xml:space="preserve"> 10079.5309 </t>
  </si>
  <si>
    <t xml:space="preserve"> 36.7146 </t>
  </si>
  <si>
    <t xml:space="preserve">C:\Users\andre\Desktop\REACTIV CEFAS\E2\E2/20201116_Cefas_Test6-Run1/Plate 1/@2/A2_03.tif </t>
  </si>
  <si>
    <t xml:space="preserve"> 3179.5945 </t>
  </si>
  <si>
    <t xml:space="preserve"> 33.898 </t>
  </si>
  <si>
    <t xml:space="preserve">C:\Users\andre\Desktop\REACTIV CEFAS\E2\E2/20201116_Cefas_Test6-Run1/Plate 1/@2/B2_01.tif </t>
  </si>
  <si>
    <t xml:space="preserve"> 21.6299 </t>
  </si>
  <si>
    <t xml:space="preserve">C:\Users\andre\Desktop\REACTIV CEFAS\E2\E2/20201116_Cefas_Test6-Run1/Plate 1/@2/B2_02.tif </t>
  </si>
  <si>
    <t xml:space="preserve"> 86.5196 </t>
  </si>
  <si>
    <t xml:space="preserve"> 31.25 </t>
  </si>
  <si>
    <t xml:space="preserve">C:\Users\andre\Desktop\REACTIV CEFAS\E2\E2/20201116_Cefas_Test6-Run1/Plate 1/@2/B2_03.tif </t>
  </si>
  <si>
    <t xml:space="preserve"> 3395.8935 </t>
  </si>
  <si>
    <t xml:space="preserve"> 33.4968 </t>
  </si>
  <si>
    <t xml:space="preserve">C:\Users\andre\Desktop\REACTIV CEFAS\E2\E2/20201116_Cefas_Test6-Run1/Plate 1/@2/C2_01.tif </t>
  </si>
  <si>
    <t xml:space="preserve"> 5320.9541 </t>
  </si>
  <si>
    <t xml:space="preserve"> 36.378 </t>
  </si>
  <si>
    <t xml:space="preserve">C:\Users\andre\Desktop\REACTIV CEFAS\E2\E2/20201116_Cefas_Test6-Run1/Plate 1/@2/C2_02.tif </t>
  </si>
  <si>
    <t xml:space="preserve"> 34.8582 </t>
  </si>
  <si>
    <t xml:space="preserve">C:\Users\andre\Desktop\REACTIV CEFAS\E2\E2/20201116_Cefas_Test6-Run1/Plate 1/@2/C2_03.tif </t>
  </si>
  <si>
    <t xml:space="preserve"> 4888.3562 </t>
  </si>
  <si>
    <t xml:space="preserve"> 36.9956 </t>
  </si>
  <si>
    <t xml:space="preserve">C:\Users\andre\Desktop\REACTIV CEFAS\E2\E2/20201116_Cefas_Test6-Run1/Plate 1/@2/D2_01.tif </t>
  </si>
  <si>
    <t xml:space="preserve"> 5904.9612 </t>
  </si>
  <si>
    <t xml:space="preserve"> 40.8132 </t>
  </si>
  <si>
    <t xml:space="preserve">C:\Users\andre\Desktop\REACTIV CEFAS\E2\E2/20201116_Cefas_Test6-Run1/Plate 1/@2/D2_02.tif </t>
  </si>
  <si>
    <t xml:space="preserve"> 4044.7903 </t>
  </si>
  <si>
    <t xml:space="preserve"> 37.1497 </t>
  </si>
  <si>
    <t xml:space="preserve">C:\Users\andre\Desktop\REACTIV CEFAS\E2\E2/20201116_Cefas_Test6-Run1/Plate 1/@2/D2_03.tif </t>
  </si>
  <si>
    <t xml:space="preserve"> 3266.1141 </t>
  </si>
  <si>
    <t xml:space="preserve"> 37.1589 </t>
  </si>
  <si>
    <t>C:\Users\andre\Desktop\REACTIV CEFAS\E2\E2/20201116_Cefas_Test6-Run1/Plate 1/@2/E2_01- exclu.tif</t>
  </si>
  <si>
    <t>C:\Users\andre\Desktop\REACTIV CEFAS\E2\E2/20201116_Cefas_Test6-Run1/Plate 1/@2/E2_02- exclu.tif</t>
  </si>
  <si>
    <t>C:\Users\andre\Desktop\REACTIV CEFAS\E2\E2/20201116_Cefas_Test6-Run1/Plate 1/@2/E2_03- exclu.tif</t>
  </si>
  <si>
    <t xml:space="preserve">C:\Users\andre\Desktop\REACTIV CEFAS\E2\E2/20201116_Cefas_Test6-Run1/Plate 1/@2/F2_01.tif </t>
  </si>
  <si>
    <t xml:space="preserve"> 15335.5953 </t>
  </si>
  <si>
    <t xml:space="preserve"> 38.0409 </t>
  </si>
  <si>
    <t xml:space="preserve">C:\Users\andre\Desktop\REACTIV CEFAS\E2\E2/20201116_Cefas_Test6-Run1/Plate 1/@2/F2_02.tif </t>
  </si>
  <si>
    <t xml:space="preserve"> 11182.6555 </t>
  </si>
  <si>
    <t xml:space="preserve"> 38.8414 </t>
  </si>
  <si>
    <t xml:space="preserve">C:\Users\andre\Desktop\REACTIV CEFAS\E2\E2/20201116_Cefas_Test6-Run1/Plate 1/@2/F2_03.tif </t>
  </si>
  <si>
    <t xml:space="preserve"> 16633.389 </t>
  </si>
  <si>
    <t xml:space="preserve"> 37.6931 </t>
  </si>
  <si>
    <t xml:space="preserve">C:\Users\andre\Desktop\REACTIV CEFAS\E2\E2/20201116_Cefas_Test6-Run1/Plate 1/@2/G2_01.tif </t>
  </si>
  <si>
    <t xml:space="preserve"> 7029.7158 </t>
  </si>
  <si>
    <t xml:space="preserve"> 36.3231 </t>
  </si>
  <si>
    <t xml:space="preserve">C:\Users\andre\Desktop\REACTIV CEFAS\E2\E2/20201116_Cefas_Test6-Run1/Plate 1/@2/G2_02.tif </t>
  </si>
  <si>
    <t xml:space="preserve"> 4736.9469 </t>
  </si>
  <si>
    <t xml:space="preserve"> 38.6712 </t>
  </si>
  <si>
    <t xml:space="preserve">C:\Users\andre\Desktop\REACTIV CEFAS\E2\E2/20201116_Cefas_Test6-Run1/Plate 1/@2/G2_03.tif </t>
  </si>
  <si>
    <t xml:space="preserve"> 3093.0749 </t>
  </si>
  <si>
    <t xml:space="preserve"> 37.5105 </t>
  </si>
  <si>
    <t xml:space="preserve">C:\Users\andre\Desktop\REACTIV CEFAS\E2\E2/20201116_Cefas_Test6-Run1/Plate 1/@2/H2_01.tif </t>
  </si>
  <si>
    <t xml:space="preserve"> 3287.744 </t>
  </si>
  <si>
    <t xml:space="preserve"> 34.4474 </t>
  </si>
  <si>
    <t xml:space="preserve">C:\Users\andre\Desktop\REACTIV CEFAS\E2\E2/20201116_Cefas_Test6-Run1/Plate 1/@2/H2_02.tif </t>
  </si>
  <si>
    <t xml:space="preserve">C:\Users\andre\Desktop\REACTIV CEFAS\E2\E2/20201116_Cefas_Test6-Run1/Plate 1/@2/H2_03.tif </t>
  </si>
  <si>
    <t xml:space="preserve"> 2768.6265 </t>
  </si>
  <si>
    <t xml:space="preserve"> 32.0391 </t>
  </si>
  <si>
    <t xml:space="preserve">C:\Users\andre\Desktop\REACTIV CEFAS\E2\E2/20201116_Cefas_Test6-Run1/Plate 1/@2/ </t>
  </si>
  <si>
    <t xml:space="preserve"> 33.4716 </t>
  </si>
  <si>
    <t xml:space="preserve"> 10.7565 </t>
  </si>
  <si>
    <t xml:space="preserve"> 208391.458 </t>
  </si>
  <si>
    <t xml:space="preserve"> 174745.777 </t>
  </si>
  <si>
    <t xml:space="preserve">C:\Users\andre\Desktop\REACTIV CEFAS\E2\E2/20201116_Cefas_Test6-Run1/Plate 1/@3/A3_01.tif </t>
  </si>
  <si>
    <t xml:space="preserve"> 8651.9579 </t>
  </si>
  <si>
    <t xml:space="preserve"> 34.8525 </t>
  </si>
  <si>
    <t xml:space="preserve">C:\Users\andre\Desktop\REACTIV CEFAS\E2\E2/20201116_Cefas_Test6-Run1/Plate 1/@3/A3_02.tif </t>
  </si>
  <si>
    <t xml:space="preserve"> 3677.0821 </t>
  </si>
  <si>
    <t xml:space="preserve"> 32.8706 </t>
  </si>
  <si>
    <t xml:space="preserve">C:\Users\andre\Desktop\REACTIV CEFAS\E2\E2/20201116_Cefas_Test6-Run1/Plate 1/@3/A3_03.tif </t>
  </si>
  <si>
    <t xml:space="preserve"> 1038.2349 </t>
  </si>
  <si>
    <t xml:space="preserve"> 31.1875 </t>
  </si>
  <si>
    <t xml:space="preserve">C:\Users\andre\Desktop\REACTIV CEFAS\E2\E2/20201116_Cefas_Test6-Run1/Plate 1/@3/B3_01.tif </t>
  </si>
  <si>
    <t xml:space="preserve"> 33.5033 </t>
  </si>
  <si>
    <t>C:\Users\andre\Desktop\REACTIV CEFAS\E2\E2/20201116_Cefas_Test6-Run1/Plate 1/@3/B3_02- exclu.tif</t>
  </si>
  <si>
    <t xml:space="preserve">C:\Users\andre\Desktop\REACTIV CEFAS\E2\E2/20201116_Cefas_Test6-Run1/Plate 1/@3/B3_03.tif </t>
  </si>
  <si>
    <t xml:space="preserve"> 2595.5874 </t>
  </si>
  <si>
    <t xml:space="preserve"> 33.4083 </t>
  </si>
  <si>
    <t xml:space="preserve">C:\Users\andre\Desktop\REACTIV CEFAS\E2\E2/20201116_Cefas_Test6-Run1/Plate 1/@3/C3_01.tif </t>
  </si>
  <si>
    <t xml:space="preserve"> 8630.328 </t>
  </si>
  <si>
    <t xml:space="preserve"> 37.3333 </t>
  </si>
  <si>
    <t xml:space="preserve">C:\Users\andre\Desktop\REACTIV CEFAS\E2\E2/20201116_Cefas_Test6-Run1/Plate 1/@3/C3_02.tif </t>
  </si>
  <si>
    <t xml:space="preserve"> 4607.1676 </t>
  </si>
  <si>
    <t xml:space="preserve"> 37.4742 </t>
  </si>
  <si>
    <t xml:space="preserve">C:\Users\andre\Desktop\REACTIV CEFAS\E2\E2/20201116_Cefas_Test6-Run1/Plate 1/@3/C3_03.tif </t>
  </si>
  <si>
    <t xml:space="preserve"> 34.9371 </t>
  </si>
  <si>
    <t xml:space="preserve">C:\Users\andre\Desktop\REACTIV CEFAS\E2\E2/20201116_Cefas_Test6-Run1/Plate 1/@3/D3_01.tif </t>
  </si>
  <si>
    <t xml:space="preserve"> 6229.4097 </t>
  </si>
  <si>
    <t xml:space="preserve"> 35.1181 </t>
  </si>
  <si>
    <t xml:space="preserve">C:\Users\andre\Desktop\REACTIV CEFAS\E2\E2/20201116_Cefas_Test6-Run1/Plate 1/@3/D3_02.tif </t>
  </si>
  <si>
    <t xml:space="preserve"> 31.5833 </t>
  </si>
  <si>
    <t xml:space="preserve">C:\Users\andre\Desktop\REACTIV CEFAS\E2\E2/20201116_Cefas_Test6-Run1/Plate 1/@3/D3_03.tif </t>
  </si>
  <si>
    <t xml:space="preserve"> 9452.264 </t>
  </si>
  <si>
    <t xml:space="preserve"> 34.0114 </t>
  </si>
  <si>
    <t xml:space="preserve">C:\Users\andre\Desktop\REACTIV CEFAS\E2\E2/20201116_Cefas_Test6-Run1/Plate 1/@3/E3_01.tif </t>
  </si>
  <si>
    <t xml:space="preserve"> 32.7632 </t>
  </si>
  <si>
    <t xml:space="preserve">C:\Users\andre\Desktop\REACTIV CEFAS\E2\E2/20201116_Cefas_Test6-Run1/Plate 1/@3/E3_02.tif </t>
  </si>
  <si>
    <t xml:space="preserve"> 3309.3739 </t>
  </si>
  <si>
    <t xml:space="preserve"> 33.3072 </t>
  </si>
  <si>
    <t xml:space="preserve">C:\Users\andre\Desktop\REACTIV CEFAS\E2\E2/20201116_Cefas_Test6-Run1/Plate 1/@3/E3_03.tif </t>
  </si>
  <si>
    <t xml:space="preserve"> 3525.6728 </t>
  </si>
  <si>
    <t xml:space="preserve">C:\Users\andre\Desktop\REACTIV CEFAS\E2\E2/20201116_Cefas_Test6-Run1/Plate 1/@3/F3_01.tif </t>
  </si>
  <si>
    <t xml:space="preserve"> 4520.648 </t>
  </si>
  <si>
    <t xml:space="preserve"> 37.0335 </t>
  </si>
  <si>
    <t xml:space="preserve">C:\Users\andre\Desktop\REACTIV CEFAS\E2\E2/20201116_Cefas_Test6-Run1/Plate 1/@3/F3_02.tif </t>
  </si>
  <si>
    <t xml:space="preserve"> 2984.9255 </t>
  </si>
  <si>
    <t xml:space="preserve"> 31.587 </t>
  </si>
  <si>
    <t xml:space="preserve">C:\Users\andre\Desktop\REACTIV CEFAS\E2\E2/20201116_Cefas_Test6-Run1/Plate 1/@3/F3_03.tif </t>
  </si>
  <si>
    <t xml:space="preserve"> 37.4079 </t>
  </si>
  <si>
    <t xml:space="preserve">C:\Users\andre\Desktop\REACTIV CEFAS\E2\E2/20201116_Cefas_Test6-Run1/Plate 1/@3/G3_01.tif </t>
  </si>
  <si>
    <t xml:space="preserve"> 22559.9801 </t>
  </si>
  <si>
    <t xml:space="preserve"> 33.0786 </t>
  </si>
  <si>
    <t xml:space="preserve">C:\Users\andre\Desktop\REACTIV CEFAS\E2\E2/20201116_Cefas_Test6-Run1/Plate 1/@3/G3_02.tif </t>
  </si>
  <si>
    <t xml:space="preserve"> 34889.02 </t>
  </si>
  <si>
    <t xml:space="preserve"> 34.7328 </t>
  </si>
  <si>
    <t xml:space="preserve">C:\Users\andre\Desktop\REACTIV CEFAS\E2\E2/20201116_Cefas_Test6-Run1/Plate 1/@3/G3_03.tif </t>
  </si>
  <si>
    <t xml:space="preserve"> 1341.0535 </t>
  </si>
  <si>
    <t xml:space="preserve"> 30.9355 </t>
  </si>
  <si>
    <t xml:space="preserve">C:\Users\andre\Desktop\REACTIV CEFAS\E2\E2/20201116_Cefas_Test6-Run1/Plate 1/@3/H3_01.tif </t>
  </si>
  <si>
    <t xml:space="preserve"> 3460.7831 </t>
  </si>
  <si>
    <t xml:space="preserve"> 31.6438 </t>
  </si>
  <si>
    <t xml:space="preserve">C:\Users\andre\Desktop\REACTIV CEFAS\E2\E2/20201116_Cefas_Test6-Run1/Plate 1/@3/H3_02.tif </t>
  </si>
  <si>
    <t xml:space="preserve"> 3720.3419 </t>
  </si>
  <si>
    <t xml:space="preserve"> 31.7791 </t>
  </si>
  <si>
    <t xml:space="preserve">C:\Users\andre\Desktop\REACTIV CEFAS\E2\E2/20201116_Cefas_Test6-Run1/Plate 1/@3/H3_03.tif </t>
  </si>
  <si>
    <t xml:space="preserve"> 7224.3848 </t>
  </si>
  <si>
    <t xml:space="preserve"> 32.6347 </t>
  </si>
  <si>
    <t xml:space="preserve">C:\Users\andre\Desktop\REACTIV CEFAS\E2\E2/20201116_Cefas_Test6-Run1/Plate 1/@3/ </t>
  </si>
  <si>
    <t xml:space="preserve"> 32.4243 </t>
  </si>
  <si>
    <t xml:space="preserve"> 7.1955 </t>
  </si>
  <si>
    <t xml:space="preserve"> 210803.167 </t>
  </si>
  <si>
    <t xml:space="preserve"> 260822.988 </t>
  </si>
  <si>
    <t xml:space="preserve">C:\Users\andre\Desktop\REACTIV CEFAS\E2\E2/20201116_Cefas_Test6-Run1/Plate 1/@4/A4_01.tif </t>
  </si>
  <si>
    <t xml:space="preserve"> 20245.5814 </t>
  </si>
  <si>
    <t xml:space="preserve"> 34.969 </t>
  </si>
  <si>
    <t xml:space="preserve">C:\Users\andre\Desktop\REACTIV CEFAS\E2\E2/20201116_Cefas_Test6-Run1/Plate 1/@4/A4_02.tif </t>
  </si>
  <si>
    <t xml:space="preserve"> 40.5149 </t>
  </si>
  <si>
    <t xml:space="preserve">C:\Users\andre\Desktop\REACTIV CEFAS\E2\E2/20201116_Cefas_Test6-Run1/Plate 1/@4/A4_03.tif </t>
  </si>
  <si>
    <t xml:space="preserve"> 18125.8517 </t>
  </si>
  <si>
    <t xml:space="preserve"> 35.0823 </t>
  </si>
  <si>
    <t xml:space="preserve">C:\Users\andre\Desktop\REACTIV CEFAS\E2\E2/20201116_Cefas_Test6-Run1/Plate 1/@4/B4_01.tif </t>
  </si>
  <si>
    <t xml:space="preserve"> 54442.4448 </t>
  </si>
  <si>
    <t xml:space="preserve"> 39.4358 </t>
  </si>
  <si>
    <t xml:space="preserve">C:\Users\andre\Desktop\REACTIV CEFAS\E2\E2/20201116_Cefas_Test6-Run1/Plate 1/@4/B4_02.tif </t>
  </si>
  <si>
    <t xml:space="preserve"> 37527.8672 </t>
  </si>
  <si>
    <t xml:space="preserve"> 40.717 </t>
  </si>
  <si>
    <t>C:\Users\andre\Desktop\REACTIV CEFAS\E2\E2/20201116_Cefas_Test6-Run1/Plate 1/@4/B4_03- exclu.tif</t>
  </si>
  <si>
    <t xml:space="preserve">C:\Users\andre\Desktop\REACTIV CEFAS\E2\E2/20201116_Cefas_Test6-Run1/Plate 1/@4/C4_01.tif </t>
  </si>
  <si>
    <t xml:space="preserve"> 10490.4989 </t>
  </si>
  <si>
    <t xml:space="preserve"> 33.1773 </t>
  </si>
  <si>
    <t xml:space="preserve">C:\Users\andre\Desktop\REACTIV CEFAS\E2\E2/20201116_Cefas_Test6-Run1/Plate 1/@4/C4_02.tif </t>
  </si>
  <si>
    <t xml:space="preserve"> 31.6833 </t>
  </si>
  <si>
    <t xml:space="preserve">C:\Users\andre\Desktop\REACTIV CEFAS\E2\E2/20201116_Cefas_Test6-Run1/Plate 1/@4/C4_03.tif </t>
  </si>
  <si>
    <t xml:space="preserve"> 12653.4884 </t>
  </si>
  <si>
    <t xml:space="preserve"> 33.1658 </t>
  </si>
  <si>
    <t xml:space="preserve">C:\Users\andre\Desktop\REACTIV CEFAS\E2\E2/20201116_Cefas_Test6-Run1/Plate 1/@4/D4_01.tif </t>
  </si>
  <si>
    <t xml:space="preserve"> 65235.7622 </t>
  </si>
  <si>
    <t xml:space="preserve"> 40.4015 </t>
  </si>
  <si>
    <t xml:space="preserve">C:\Users\andre\Desktop\REACTIV CEFAS\E2\E2/20201116_Cefas_Test6-Run1/Plate 1/@4/D4_02.tif </t>
  </si>
  <si>
    <t xml:space="preserve"> 66922.894 </t>
  </si>
  <si>
    <t xml:space="preserve"> 39.914 </t>
  </si>
  <si>
    <t xml:space="preserve">C:\Users\andre\Desktop\REACTIV CEFAS\E2\E2/20201116_Cefas_Test6-Run1/Plate 1/@4/D4_03.tif </t>
  </si>
  <si>
    <t xml:space="preserve"> 66641.7054 </t>
  </si>
  <si>
    <t xml:space="preserve"> 41.5748 </t>
  </si>
  <si>
    <t xml:space="preserve">C:\Users\andre\Desktop\REACTIV CEFAS\E2\E2/20201116_Cefas_Test6-Run1/Plate 1/@4/E4_01.tif </t>
  </si>
  <si>
    <t xml:space="preserve"> 8543.8084 </t>
  </si>
  <si>
    <t xml:space="preserve"> 31.9215 </t>
  </si>
  <si>
    <t xml:space="preserve">C:\Users\andre\Desktop\REACTIV CEFAS\E2\E2/20201116_Cefas_Test6-Run1/Plate 1/@4/E4_02.tif </t>
  </si>
  <si>
    <t xml:space="preserve"> 4131.3099 </t>
  </si>
  <si>
    <t xml:space="preserve"> 31.911 </t>
  </si>
  <si>
    <t xml:space="preserve">C:\Users\andre\Desktop\REACTIV CEFAS\E2\E2/20201116_Cefas_Test6-Run1/Plate 1/@4/E4_03.tif </t>
  </si>
  <si>
    <t xml:space="preserve"> 6359.189 </t>
  </si>
  <si>
    <t xml:space="preserve"> 38.8027 </t>
  </si>
  <si>
    <t xml:space="preserve">C:\Users\andre\Desktop\REACTIV CEFAS\E2\E2/20201116_Cefas_Test6-Run1/Plate 1/@4/F4_01.tif </t>
  </si>
  <si>
    <t xml:space="preserve"> 64.8897 </t>
  </si>
  <si>
    <t xml:space="preserve">C:\Users\andre\Desktop\REACTIV CEFAS\E2\E2/20201116_Cefas_Test6-Run1/Plate 1/@4/F4_02.tif </t>
  </si>
  <si>
    <t xml:space="preserve"> 3374.2636 </t>
  </si>
  <si>
    <t xml:space="preserve"> 35.4487 </t>
  </si>
  <si>
    <t xml:space="preserve">C:\Users\andre\Desktop\REACTIV CEFAS\E2\E2/20201116_Cefas_Test6-Run1/Plate 1/@4/F4_03.tif </t>
  </si>
  <si>
    <t xml:space="preserve"> 6770.157 </t>
  </si>
  <si>
    <t xml:space="preserve"> 39.2875 </t>
  </si>
  <si>
    <t xml:space="preserve">C:\Users\andre\Desktop\REACTIV CEFAS\E2\E2/20201116_Cefas_Test6-Run1/Plate 1/@4/G4_01.tif </t>
  </si>
  <si>
    <t xml:space="preserve"> 38479.5825 </t>
  </si>
  <si>
    <t xml:space="preserve"> 34.5346 </t>
  </si>
  <si>
    <t xml:space="preserve">C:\Users\andre\Desktop\REACTIV CEFAS\E2\E2/20201116_Cefas_Test6-Run1/Plate 1/@4/G4_02.tif </t>
  </si>
  <si>
    <t xml:space="preserve"> 32769.2904 </t>
  </si>
  <si>
    <t xml:space="preserve"> 34.3465 </t>
  </si>
  <si>
    <t xml:space="preserve">C:\Users\andre\Desktop\REACTIV CEFAS\E2\E2/20201116_Cefas_Test6-Run1/Plate 1/@4/G4_03.tif </t>
  </si>
  <si>
    <t xml:space="preserve"> 37052.0095 </t>
  </si>
  <si>
    <t xml:space="preserve"> 33.7782 </t>
  </si>
  <si>
    <t xml:space="preserve">C:\Users\andre\Desktop\REACTIV CEFAS\E2\E2/20201116_Cefas_Test6-Run1/Plate 1/@4/H4_01.tif </t>
  </si>
  <si>
    <t xml:space="preserve"> 65127.6127 </t>
  </si>
  <si>
    <t xml:space="preserve"> 38.4756 </t>
  </si>
  <si>
    <t xml:space="preserve">C:\Users\andre\Desktop\REACTIV CEFAS\E2\E2/20201116_Cefas_Test6-Run1/Plate 1/@4/H4_02.tif </t>
  </si>
  <si>
    <t xml:space="preserve"> 62185.9471 </t>
  </si>
  <si>
    <t xml:space="preserve"> 38.408 </t>
  </si>
  <si>
    <t xml:space="preserve">C:\Users\andre\Desktop\REACTIV CEFAS\E2\E2/20201116_Cefas_Test6-Run1/Plate 1/@4/H4_03.tif </t>
  </si>
  <si>
    <t xml:space="preserve"> 53360.95 </t>
  </si>
  <si>
    <t xml:space="preserve"> 35.7921 </t>
  </si>
  <si>
    <t xml:space="preserve">C:\Users\andre\Desktop\REACTIV CEFAS\E2\E2/20201116_Cefas_Test6-Run1/Plate 1/@4/ </t>
  </si>
  <si>
    <t xml:space="preserve"> 36.5336 </t>
  </si>
  <si>
    <t xml:space="preserve"> 3.3163 </t>
  </si>
  <si>
    <t xml:space="preserve"> 1156559.38 </t>
  </si>
  <si>
    <t xml:space="preserve"> 977012.752 </t>
  </si>
  <si>
    <t xml:space="preserve">C:\Users\andre\Desktop\REACTIV CEFAS\E2\E2/20201116_Cefas_Test6-Run1/Plate 1/@5/A5_01.tif </t>
  </si>
  <si>
    <t xml:space="preserve"> 41.0869 </t>
  </si>
  <si>
    <t xml:space="preserve">C:\Users\andre\Desktop\REACTIV CEFAS\E2\E2/20201116_Cefas_Test6-Run1/Plate 1/@5/A5_02.tif </t>
  </si>
  <si>
    <t xml:space="preserve"> 68436.9866 </t>
  </si>
  <si>
    <t xml:space="preserve"> 34.3056 </t>
  </si>
  <si>
    <t xml:space="preserve">C:\Users\andre\Desktop\REACTIV CEFAS\E2\E2/20201116_Cefas_Test6-Run1/Plate 1/@5/A5_03.tif </t>
  </si>
  <si>
    <t xml:space="preserve"> 73952.6097 </t>
  </si>
  <si>
    <t xml:space="preserve"> 40.7672 </t>
  </si>
  <si>
    <t xml:space="preserve">C:\Users\andre\Desktop\REACTIV CEFAS\E2\E2/20201116_Cefas_Test6-Run1/Plate 1/@5/B5_01.tif </t>
  </si>
  <si>
    <t xml:space="preserve"> 37376.4579 </t>
  </si>
  <si>
    <t xml:space="preserve"> 38.4977 </t>
  </si>
  <si>
    <t xml:space="preserve">C:\Users\andre\Desktop\REACTIV CEFAS\E2\E2/20201116_Cefas_Test6-Run1/Plate 1/@5/B5_02.tif </t>
  </si>
  <si>
    <t xml:space="preserve"> 39214.999 </t>
  </si>
  <si>
    <t xml:space="preserve"> 38.6674 </t>
  </si>
  <si>
    <t xml:space="preserve">C:\Users\andre\Desktop\REACTIV CEFAS\E2\E2/20201116_Cefas_Test6-Run1/Plate 1/@5/B5_03.tif </t>
  </si>
  <si>
    <t xml:space="preserve"> 44081.7253 </t>
  </si>
  <si>
    <t xml:space="preserve"> 43.5751 </t>
  </si>
  <si>
    <t xml:space="preserve">C:\Users\andre\Desktop\REACTIV CEFAS\E2\E2/20201116_Cefas_Test6-Run1/Plate 1/@5/C5_01.tif </t>
  </si>
  <si>
    <t xml:space="preserve"> 70491.8266 </t>
  </si>
  <si>
    <t xml:space="preserve"> 40.7389 </t>
  </si>
  <si>
    <t xml:space="preserve">C:\Users\andre\Desktop\REACTIV CEFAS\E2\E2/20201116_Cefas_Test6-Run1/Plate 1/@5/C5_02.tif </t>
  </si>
  <si>
    <t xml:space="preserve"> 70729.7554 </t>
  </si>
  <si>
    <t xml:space="preserve"> 41.4128 </t>
  </si>
  <si>
    <t xml:space="preserve">C:\Users\andre\Desktop\REACTIV CEFAS\E2\E2/20201116_Cefas_Test6-Run1/Plate 1/@5/C5_03.tif </t>
  </si>
  <si>
    <t xml:space="preserve"> 69453.5917 </t>
  </si>
  <si>
    <t xml:space="preserve"> 41.0972 </t>
  </si>
  <si>
    <t xml:space="preserve">C:\Users\andre\Desktop\REACTIV CEFAS\E2\E2/20201116_Cefas_Test6-Run1/Plate 1/@5/D5_01.tif </t>
  </si>
  <si>
    <t xml:space="preserve"> 56713.5837 </t>
  </si>
  <si>
    <t xml:space="preserve"> 39.7616 </t>
  </si>
  <si>
    <t xml:space="preserve">C:\Users\andre\Desktop\REACTIV CEFAS\E2\E2/20201116_Cefas_Test6-Run1/Plate 1/@5/D5_02.tif </t>
  </si>
  <si>
    <t xml:space="preserve"> 54572.2241 </t>
  </si>
  <si>
    <t xml:space="preserve"> 38.4308 </t>
  </si>
  <si>
    <t xml:space="preserve">C:\Users\andre\Desktop\REACTIV CEFAS\E2\E2/20201116_Cefas_Test6-Run1/Plate 1/@5/D5_03.tif </t>
  </si>
  <si>
    <t xml:space="preserve"> 58790.0536 </t>
  </si>
  <si>
    <t xml:space="preserve"> 39.94 </t>
  </si>
  <si>
    <t xml:space="preserve">C:\Users\andre\Desktop\REACTIV CEFAS\E2\E2/20201116_Cefas_Test6-Run1/Plate 1/@5/E5_01.tif </t>
  </si>
  <si>
    <t xml:space="preserve"> 58400.7155 </t>
  </si>
  <si>
    <t xml:space="preserve"> 47.9378 </t>
  </si>
  <si>
    <t xml:space="preserve">C:\Users\andre\Desktop\REACTIV CEFAS\E2\E2/20201116_Cefas_Test6-Run1/Plate 1/@5/E5_02.tif </t>
  </si>
  <si>
    <t xml:space="preserve"> 68047.6485 </t>
  </si>
  <si>
    <t xml:space="preserve"> 47.5842 </t>
  </si>
  <si>
    <t xml:space="preserve">C:\Users\andre\Desktop\REACTIV CEFAS\E2\E2/20201116_Cefas_Test6-Run1/Plate 1/@5/E5_03.tif </t>
  </si>
  <si>
    <t xml:space="preserve"> 64543.6056 </t>
  </si>
  <si>
    <t xml:space="preserve"> 46.7983 </t>
  </si>
  <si>
    <t xml:space="preserve">C:\Users\andre\Desktop\REACTIV CEFAS\E2\E2/20201116_Cefas_Test6-Run1/Plate 1/@5/F5_01.tif </t>
  </si>
  <si>
    <t xml:space="preserve"> 38933.8103 </t>
  </si>
  <si>
    <t xml:space="preserve"> 37.5089 </t>
  </si>
  <si>
    <t xml:space="preserve">C:\Users\andre\Desktop\REACTIV CEFAS\E2\E2/20201116_Cefas_Test6-Run1/Plate 1/@5/F5_02.tif </t>
  </si>
  <si>
    <t xml:space="preserve"> 39452.9278 </t>
  </si>
  <si>
    <t xml:space="preserve"> 41.0099 </t>
  </si>
  <si>
    <t xml:space="preserve">C:\Users\andre\Desktop\REACTIV CEFAS\E2\E2/20201116_Cefas_Test6-Run1/Plate 1/@5/F5_03.tif </t>
  </si>
  <si>
    <t xml:space="preserve"> 34002.1944 </t>
  </si>
  <si>
    <t xml:space="preserve"> 39.1972 </t>
  </si>
  <si>
    <t xml:space="preserve">C:\Users\andre\Desktop\REACTIV CEFAS\E2\E2/20201116_Cefas_Test6-Run1/Plate 1/@5/G5_01.tif </t>
  </si>
  <si>
    <t xml:space="preserve"> 67701.5702 </t>
  </si>
  <si>
    <t xml:space="preserve"> 41.3486 </t>
  </si>
  <si>
    <t xml:space="preserve">C:\Users\andre\Desktop\REACTIV CEFAS\E2\E2/20201116_Cefas_Test6-Run1/Plate 1/@5/G5_02.tif </t>
  </si>
  <si>
    <t xml:space="preserve"> 68242.3176 </t>
  </si>
  <si>
    <t xml:space="preserve"> 41.6406 </t>
  </si>
  <si>
    <t xml:space="preserve">C:\Users\andre\Desktop\REACTIV CEFAS\E2\E2/20201116_Cefas_Test6-Run1/Plate 1/@5/G5_03.tif </t>
  </si>
  <si>
    <t xml:space="preserve"> 61234.2317 </t>
  </si>
  <si>
    <t xml:space="preserve"> 41.3539 </t>
  </si>
  <si>
    <t xml:space="preserve">C:\Users\andre\Desktop\REACTIV CEFAS\E2\E2/20201116_Cefas_Test6-Run1/Plate 1/@5/H5_01.tif </t>
  </si>
  <si>
    <t xml:space="preserve"> 71075.8338 </t>
  </si>
  <si>
    <t xml:space="preserve"> 41.8561 </t>
  </si>
  <si>
    <t xml:space="preserve">C:\Users\andre\Desktop\REACTIV CEFAS\E2\E2/20201116_Cefas_Test6-Run1/Plate 1/@5/H5_02.tif </t>
  </si>
  <si>
    <t xml:space="preserve"> 65019.4633 </t>
  </si>
  <si>
    <t xml:space="preserve"> 42.345 </t>
  </si>
  <si>
    <t xml:space="preserve">C:\Users\andre\Desktop\REACTIV CEFAS\E2\E2/20201116_Cefas_Test6-Run1/Plate 1/@5/H5_03.tif </t>
  </si>
  <si>
    <t xml:space="preserve"> 59482.2102 </t>
  </si>
  <si>
    <t xml:space="preserve"> 37.6633 </t>
  </si>
  <si>
    <t xml:space="preserve">C:\Users\andre\Desktop\REACTIV CEFAS\E2\E2/20201116_Cefas_Test6-Run1/Plate 1/@5/ </t>
  </si>
  <si>
    <t xml:space="preserve"> 41.0219 </t>
  </si>
  <si>
    <t xml:space="preserve"> 3.1456 </t>
  </si>
  <si>
    <t xml:space="preserve"> 2431935.62 </t>
  </si>
  <si>
    <t xml:space="preserve"> 605315.057 </t>
  </si>
  <si>
    <t xml:space="preserve">C:\Users\andre\Desktop\REACTIV CEFAS\E2\E2/20201116_Cefas_Test6-Run1/Plate 1/@6/A6_01.tif </t>
  </si>
  <si>
    <t xml:space="preserve"> 65279.022 </t>
  </si>
  <si>
    <t xml:space="preserve"> 47.0971 </t>
  </si>
  <si>
    <t xml:space="preserve">C:\Users\andre\Desktop\REACTIV CEFAS\E2\E2/20201116_Cefas_Test6-Run1/Plate 1/@6/A6_02.tif </t>
  </si>
  <si>
    <t xml:space="preserve"> 67593.4207 </t>
  </si>
  <si>
    <t xml:space="preserve"> 48.3126 </t>
  </si>
  <si>
    <t xml:space="preserve">C:\Users\andre\Desktop\REACTIV CEFAS\E2\E2/20201116_Cefas_Test6-Run1/Plate 1/@6/A6_03.tif </t>
  </si>
  <si>
    <t xml:space="preserve"> 59633.6195 </t>
  </si>
  <si>
    <t xml:space="preserve"> 47.4868 </t>
  </si>
  <si>
    <t xml:space="preserve">C:\Users\andre\Desktop\REACTIV CEFAS\E2\E2/20201116_Cefas_Test6-Run1/Plate 1/@6/B6_01.tif </t>
  </si>
  <si>
    <t xml:space="preserve"> 33.135 </t>
  </si>
  <si>
    <t xml:space="preserve">C:\Users\andre\Desktop\REACTIV CEFAS\E2\E2/20201116_Cefas_Test6-Run1/Plate 1/@6/B6_02.tif </t>
  </si>
  <si>
    <t xml:space="preserve"> 14189.2109 </t>
  </si>
  <si>
    <t xml:space="preserve"> 38.8613 </t>
  </si>
  <si>
    <t xml:space="preserve">C:\Users\andre\Desktop\REACTIV CEFAS\E2\E2/20201116_Cefas_Test6-Run1/Plate 1/@6/B6_03.tif </t>
  </si>
  <si>
    <t xml:space="preserve"> 13972.9119 </t>
  </si>
  <si>
    <t xml:space="preserve"> 38.356 </t>
  </si>
  <si>
    <t xml:space="preserve">C:\Users\andre\Desktop\REACTIV CEFAS\E2\E2/20201116_Cefas_Test6-Run1/Plate 1/@6/C6_01.tif </t>
  </si>
  <si>
    <t xml:space="preserve"> 60628.5946 </t>
  </si>
  <si>
    <t xml:space="preserve"> 52.7039 </t>
  </si>
  <si>
    <t>C:\Users\andre\Desktop\REACTIV CEFAS\E2\E2/20201116_Cefas_Test6-Run1/Plate 1/@6/C6_02- exclu.tif</t>
  </si>
  <si>
    <t xml:space="preserve">C:\Users\andre\Desktop\REACTIV CEFAS\E2\E2/20201116_Cefas_Test6-Run1/Plate 1/@6/C6_03.tif </t>
  </si>
  <si>
    <t xml:space="preserve"> 63202.5521 </t>
  </si>
  <si>
    <t xml:space="preserve"> 49.9493 </t>
  </si>
  <si>
    <t xml:space="preserve">C:\Users\andre\Desktop\REACTIV CEFAS\E2\E2/20201116_Cefas_Test6-Run1/Plate 1/@6/D6_01.tif </t>
  </si>
  <si>
    <t xml:space="preserve"> 81176.9945 </t>
  </si>
  <si>
    <t xml:space="preserve"> 48.016 </t>
  </si>
  <si>
    <t xml:space="preserve">C:\Users\andre\Desktop\REACTIV CEFAS\E2\E2/20201116_Cefas_Test6-Run1/Plate 1/@6/D6_02.tif </t>
  </si>
  <si>
    <t xml:space="preserve"> 82885.7562 </t>
  </si>
  <si>
    <t xml:space="preserve"> 51.3578 </t>
  </si>
  <si>
    <t xml:space="preserve">C:\Users\andre\Desktop\REACTIV CEFAS\E2\E2/20201116_Cefas_Test6-Run1/Plate 1/@6/D6_03.tif </t>
  </si>
  <si>
    <t xml:space="preserve"> 75380.1828 </t>
  </si>
  <si>
    <t xml:space="preserve"> 47.6494 </t>
  </si>
  <si>
    <t xml:space="preserve">C:\Users\andre\Desktop\REACTIV CEFAS\E2\E2/20201116_Cefas_Test6-Run1/Plate 1/@6/E6_01.tif </t>
  </si>
  <si>
    <t xml:space="preserve"> 92640.8387 </t>
  </si>
  <si>
    <t xml:space="preserve"> 50.4982 </t>
  </si>
  <si>
    <t xml:space="preserve">C:\Users\andre\Desktop\REACTIV CEFAS\E2\E2/20201116_Cefas_Test6-Run1/Plate 1/@6/E6_02.tif </t>
  </si>
  <si>
    <t xml:space="preserve"> 99865.2235 </t>
  </si>
  <si>
    <t xml:space="preserve"> 50.3405 </t>
  </si>
  <si>
    <t xml:space="preserve">C:\Users\andre\Desktop\REACTIV CEFAS\E2\E2/20201116_Cefas_Test6-Run1/Plate 1/@6/E6_03.tif </t>
  </si>
  <si>
    <t xml:space="preserve"> 88574.4185 </t>
  </si>
  <si>
    <t xml:space="preserve"> 48.6369 </t>
  </si>
  <si>
    <t xml:space="preserve">C:\Users\andre\Desktop\REACTIV CEFAS\E2\E2/20201116_Cefas_Test6-Run1/Plate 1/@6/F6_01.tif </t>
  </si>
  <si>
    <t xml:space="preserve"> 73433.4923 </t>
  </si>
  <si>
    <t xml:space="preserve"> 44.8872 </t>
  </si>
  <si>
    <t xml:space="preserve">C:\Users\andre\Desktop\REACTIV CEFAS\E2\E2/20201116_Cefas_Test6-Run1/Plate 1/@6/F6_02.tif </t>
  </si>
  <si>
    <t xml:space="preserve"> 69150.7731 </t>
  </si>
  <si>
    <t xml:space="preserve"> 41.9697 </t>
  </si>
  <si>
    <t xml:space="preserve">C:\Users\andre\Desktop\REACTIV CEFAS\E2\E2/20201116_Cefas_Test6-Run1/Plate 1/@6/F6_03.tif </t>
  </si>
  <si>
    <t xml:space="preserve"> 69020.9938 </t>
  </si>
  <si>
    <t xml:space="preserve"> 41.4698 </t>
  </si>
  <si>
    <t>C:\Users\andre\Desktop\REACTIV CEFAS\E2\E2/20201116_Cefas_Test6-Run1/Plate 1/@6/G6_01- exclu.tif</t>
  </si>
  <si>
    <t>C:\Users\andre\Desktop\REACTIV CEFAS\E2\E2/20201116_Cefas_Test6-Run1/Plate 1/@6/G6_02- exclu.tif</t>
  </si>
  <si>
    <t>C:\Users\andre\Desktop\REACTIV CEFAS\E2\E2/20201116_Cefas_Test6-Run1/Plate 1/@6/G6_03- exclu.tif</t>
  </si>
  <si>
    <t xml:space="preserve">C:\Users\andre\Desktop\REACTIV CEFAS\E2\E2/20201116_Cefas_Test6-Run1/Plate 1/@6/H6_01.tif </t>
  </si>
  <si>
    <t xml:space="preserve"> 39323.1484 </t>
  </si>
  <si>
    <t xml:space="preserve"> 38.2525 </t>
  </si>
  <si>
    <t xml:space="preserve">C:\Users\andre\Desktop\REACTIV CEFAS\E2\E2/20201116_Cefas_Test6-Run1/Plate 1/@6/H6_02.tif </t>
  </si>
  <si>
    <t xml:space="preserve"> 48083.2558 </t>
  </si>
  <si>
    <t xml:space="preserve"> 37.9613 </t>
  </si>
  <si>
    <t xml:space="preserve">C:\Users\andre\Desktop\REACTIV CEFAS\E2\E2/20201116_Cefas_Test6-Run1/Plate 1/@6/H6_03.tif </t>
  </si>
  <si>
    <t xml:space="preserve"> 24960.8984 </t>
  </si>
  <si>
    <t xml:space="preserve"> 42.1464 </t>
  </si>
  <si>
    <t xml:space="preserve">C:\Users\andre\Desktop\REACTIV CEFAS\E2\E2/20201116_Cefas_Test6-Run1/Plate 1/@6/ </t>
  </si>
  <si>
    <t xml:space="preserve"> 43.5561 </t>
  </si>
  <si>
    <t xml:space="preserve"> 7.1074 </t>
  </si>
  <si>
    <t xml:space="preserve"> 2409464.88 </t>
  </si>
  <si>
    <t xml:space="preserve"> 1595160.51 </t>
  </si>
  <si>
    <t xml:space="preserve">C:\Users\andre\Desktop\REACTIV CEFAS\E2\E2/20201116_Cefas_Test6-Run1/Plate 1/@7/A7_01.tif </t>
  </si>
  <si>
    <t xml:space="preserve"> 76872.6455 </t>
  </si>
  <si>
    <t xml:space="preserve"> 58.3655 </t>
  </si>
  <si>
    <t xml:space="preserve">C:\Users\andre\Desktop\REACTIV CEFAS\E2\E2/20201116_Cefas_Test6-Run1/Plate 1/@7/A7_02.tif </t>
  </si>
  <si>
    <t xml:space="preserve"> 73563.2716 </t>
  </si>
  <si>
    <t xml:space="preserve"> 51.4699 </t>
  </si>
  <si>
    <t xml:space="preserve">C:\Users\andre\Desktop\REACTIV CEFAS\E2\E2/20201116_Cefas_Test6-Run1/Plate 1/@7/A7_03.tif </t>
  </si>
  <si>
    <t xml:space="preserve"> 79662.9019 </t>
  </si>
  <si>
    <t xml:space="preserve"> 52.3649 </t>
  </si>
  <si>
    <t xml:space="preserve">C:\Users\andre\Desktop\REACTIV CEFAS\E2\E2/20201116_Cefas_Test6-Run1/Plate 1/@7/B7_01.tif </t>
  </si>
  <si>
    <t xml:space="preserve"> 64911.3138 </t>
  </si>
  <si>
    <t xml:space="preserve"> 53.7048 </t>
  </si>
  <si>
    <t xml:space="preserve">C:\Users\andre\Desktop\REACTIV CEFAS\E2\E2/20201116_Cefas_Test6-Run1/Plate 1/@7/B7_02.tif </t>
  </si>
  <si>
    <t xml:space="preserve"> 67831.3496 </t>
  </si>
  <si>
    <t xml:space="preserve"> 53.6489 </t>
  </si>
  <si>
    <t xml:space="preserve">C:\Users\andre\Desktop\REACTIV CEFAS\E2\E2/20201116_Cefas_Test6-Run1/Plate 1/@7/B7_03.tif </t>
  </si>
  <si>
    <t xml:space="preserve"> 72438.5171 </t>
  </si>
  <si>
    <t xml:space="preserve"> 57.0911 </t>
  </si>
  <si>
    <t xml:space="preserve">C:\Users\andre\Desktop\REACTIV CEFAS\E2\E2/20201116_Cefas_Test6-Run1/Plate 1/@7/C7_01.tif </t>
  </si>
  <si>
    <t xml:space="preserve"> 84551.2581 </t>
  </si>
  <si>
    <t xml:space="preserve"> 62.3154 </t>
  </si>
  <si>
    <t xml:space="preserve">C:\Users\andre\Desktop\REACTIV CEFAS\E2\E2/20201116_Cefas_Test6-Run1/Plate 1/@7/C7_02.tif </t>
  </si>
  <si>
    <t xml:space="preserve"> 90110.141 </t>
  </si>
  <si>
    <t xml:space="preserve"> 59.2712 </t>
  </si>
  <si>
    <t xml:space="preserve">C:\Users\andre\Desktop\REACTIV CEFAS\E2\E2/20201116_Cefas_Test6-Run1/Plate 1/@7/C7_03.tif </t>
  </si>
  <si>
    <t xml:space="preserve"> 85438.0838 </t>
  </si>
  <si>
    <t xml:space="preserve"> 58.2729 </t>
  </si>
  <si>
    <t xml:space="preserve">C:\Users\andre\Desktop\REACTIV CEFAS\E2\E2/20201116_Cefas_Test6-Run1/Plate 1/@7/D7_01.tif </t>
  </si>
  <si>
    <t xml:space="preserve"> 73130.6737 </t>
  </si>
  <si>
    <t xml:space="preserve"> 55.0834 </t>
  </si>
  <si>
    <t xml:space="preserve">C:\Users\andre\Desktop\REACTIV CEFAS\E2\E2/20201116_Cefas_Test6-Run1/Plate 1/@7/D7_02.tif </t>
  </si>
  <si>
    <t xml:space="preserve"> 72481.7769 </t>
  </si>
  <si>
    <t xml:space="preserve"> 61.5936 </t>
  </si>
  <si>
    <t xml:space="preserve">C:\Users\andre\Desktop\REACTIV CEFAS\E2\E2/20201116_Cefas_Test6-Run1/Plate 1/@7/D7_03.tif </t>
  </si>
  <si>
    <t xml:space="preserve"> 70318.7874 </t>
  </si>
  <si>
    <t xml:space="preserve"> 61.2931 </t>
  </si>
  <si>
    <t>C:\Users\andre\Desktop\REACTIV CEFAS\E2\E2/20201116_Cefas_Test6-Run1/Plate 1/@7/E7_01- exclu.tif</t>
  </si>
  <si>
    <t xml:space="preserve">C:\Users\andre\Desktop\REACTIV CEFAS\E2\E2/20201116_Cefas_Test6-Run1/Plate 1/@7/E7_02.tif </t>
  </si>
  <si>
    <t xml:space="preserve"> 76267.0085 </t>
  </si>
  <si>
    <t xml:space="preserve"> 58.6653 </t>
  </si>
  <si>
    <t xml:space="preserve">C:\Users\andre\Desktop\REACTIV CEFAS\E2\E2/20201116_Cefas_Test6-Run1/Plate 1/@7/E7_03.tif </t>
  </si>
  <si>
    <t xml:space="preserve"> 64240.787 </t>
  </si>
  <si>
    <t xml:space="preserve"> 61.8593 </t>
  </si>
  <si>
    <t xml:space="preserve">C:\Users\andre\Desktop\REACTIV CEFAS\E2\E2/20201116_Cefas_Test6-Run1/Plate 1/@7/F7_01.tif </t>
  </si>
  <si>
    <t xml:space="preserve"> 79208.6741 </t>
  </si>
  <si>
    <t xml:space="preserve"> 52.3815 </t>
  </si>
  <si>
    <t xml:space="preserve">C:\Users\andre\Desktop\REACTIV CEFAS\E2\E2/20201116_Cefas_Test6-Run1/Plate 1/@7/F7_02.tif </t>
  </si>
  <si>
    <t xml:space="preserve"> 69669.8906 </t>
  </si>
  <si>
    <t xml:space="preserve"> 53.9618 </t>
  </si>
  <si>
    <t xml:space="preserve">C:\Users\andre\Desktop\REACTIV CEFAS\E2\E2/20201116_Cefas_Test6-Run1/Plate 1/@7/F7_03.tif </t>
  </si>
  <si>
    <t xml:space="preserve"> 77175.464 </t>
  </si>
  <si>
    <t xml:space="preserve"> 53.9986 </t>
  </si>
  <si>
    <t xml:space="preserve">C:\Users\andre\Desktop\REACTIV CEFAS\E2\E2/20201116_Cefas_Test6-Run1/Plate 1/@7/G7_01.tif </t>
  </si>
  <si>
    <t xml:space="preserve"> 88833.9772 </t>
  </si>
  <si>
    <t xml:space="preserve"> 54.5103 </t>
  </si>
  <si>
    <t xml:space="preserve">C:\Users\andre\Desktop\REACTIV CEFAS\E2\E2/20201116_Cefas_Test6-Run1/Plate 1/@7/G7_02.tif </t>
  </si>
  <si>
    <t xml:space="preserve"> 92727.3583 </t>
  </si>
  <si>
    <t xml:space="preserve"> 58.4616 </t>
  </si>
  <si>
    <t xml:space="preserve">C:\Users\andre\Desktop\REACTIV CEFAS\E2\E2/20201116_Cefas_Test6-Run1/Plate 1/@7/G7_03.tif </t>
  </si>
  <si>
    <t xml:space="preserve"> 92316.3903 </t>
  </si>
  <si>
    <t xml:space="preserve"> 58.6354 </t>
  </si>
  <si>
    <t xml:space="preserve">C:\Users\andre\Desktop\REACTIV CEFAS\E2\E2/20201116_Cefas_Test6-Run1/Plate 1/@7/H7_01.tif </t>
  </si>
  <si>
    <t xml:space="preserve"> 81068.8451 </t>
  </si>
  <si>
    <t xml:space="preserve"> 51.5229 </t>
  </si>
  <si>
    <t xml:space="preserve">C:\Users\andre\Desktop\REACTIV CEFAS\E2\E2/20201116_Cefas_Test6-Run1/Plate 1/@7/H7_02.tif </t>
  </si>
  <si>
    <t xml:space="preserve"> 49.0087 </t>
  </si>
  <si>
    <t xml:space="preserve">C:\Users\andre\Desktop\REACTIV CEFAS\E2\E2/20201116_Cefas_Test6-Run1/Plate 1/@7/H7_03.tif </t>
  </si>
  <si>
    <t xml:space="preserve"> 68934.4742 </t>
  </si>
  <si>
    <t xml:space="preserve"> 52.8337 </t>
  </si>
  <si>
    <t xml:space="preserve">C:\Users\andre\Desktop\REACTIV CEFAS\E2\E2/20201116_Cefas_Test6-Run1/Plate 1/@7/ </t>
  </si>
  <si>
    <t xml:space="preserve"> 56.2702 </t>
  </si>
  <si>
    <t xml:space="preserve"> 3.8432 </t>
  </si>
  <si>
    <t xml:space="preserve"> 4269810.62 </t>
  </si>
  <si>
    <t xml:space="preserve"> 701246.659 </t>
  </si>
  <si>
    <t xml:space="preserve">C:\Users\andre\Desktop\REACTIV CEFAS\E2\E2/20201116_Cefas_Test6-Run1/Plate 4/@10/A4_01.tif </t>
  </si>
  <si>
    <t xml:space="preserve"> 13367.2749 </t>
  </si>
  <si>
    <t xml:space="preserve"> 32.0227 </t>
  </si>
  <si>
    <t xml:space="preserve">C:\Users\andre\Desktop\REACTIV CEFAS\E2\E2/20201116_Cefas_Test6-Run1/Plate 4/@10/A4_02.tif </t>
  </si>
  <si>
    <t xml:space="preserve"> 19618.3144 </t>
  </si>
  <si>
    <t xml:space="preserve"> 33.3528 </t>
  </si>
  <si>
    <t xml:space="preserve">C:\Users\andre\Desktop\REACTIV CEFAS\E2\E2/20201116_Cefas_Test6-Run1/Plate 4/@10/A4_03.tif </t>
  </si>
  <si>
    <t xml:space="preserve"> 15724.9334 </t>
  </si>
  <si>
    <t xml:space="preserve"> 32.4773 </t>
  </si>
  <si>
    <t xml:space="preserve">C:\Users\andre\Desktop\REACTIV CEFAS\E2\E2/20201116_Cefas_Test6-Run1/Plate 4/@10/B4_01.tif </t>
  </si>
  <si>
    <t xml:space="preserve"> 52106.4162 </t>
  </si>
  <si>
    <t xml:space="preserve"> 38.384 </t>
  </si>
  <si>
    <t xml:space="preserve">C:\Users\andre\Desktop\REACTIV CEFAS\E2\E2/20201116_Cefas_Test6-Run1/Plate 4/@10/B4_02.tif </t>
  </si>
  <si>
    <t xml:space="preserve"> 72027.5491 </t>
  </si>
  <si>
    <t xml:space="preserve"> 38.3904 </t>
  </si>
  <si>
    <t xml:space="preserve">C:\Users\andre\Desktop\REACTIV CEFAS\E2\E2/20201116_Cefas_Test6-Run1/Plate 4/@10/B4_03.tif </t>
  </si>
  <si>
    <t xml:space="preserve"> 71767.9904 </t>
  </si>
  <si>
    <t xml:space="preserve"> 38.8261 </t>
  </si>
  <si>
    <t xml:space="preserve">C:\Users\andre\Desktop\REACTIV CEFAS\E2\E2/20201116_Cefas_Test6-Run1/Plate 4/@10/C4_01.tif </t>
  </si>
  <si>
    <t xml:space="preserve"> 55134.6014 </t>
  </si>
  <si>
    <t xml:space="preserve"> 38.1424 </t>
  </si>
  <si>
    <t xml:space="preserve">C:\Users\andre\Desktop\REACTIV CEFAS\E2\E2/20201116_Cefas_Test6-Run1/Plate 4/@10/C4_02.tif </t>
  </si>
  <si>
    <t xml:space="preserve"> 52603.9037 </t>
  </si>
  <si>
    <t xml:space="preserve"> 37.3236 </t>
  </si>
  <si>
    <t xml:space="preserve">C:\Users\andre\Desktop\REACTIV CEFAS\E2\E2/20201116_Cefas_Test6-Run1/Plate 4/@10/C4_03.tif </t>
  </si>
  <si>
    <t xml:space="preserve"> 52798.5728 </t>
  </si>
  <si>
    <t xml:space="preserve"> 37.6985 </t>
  </si>
  <si>
    <t xml:space="preserve">C:\Users\andre\Desktop\REACTIV CEFAS\E2\E2/20201116_Cefas_Test6-Run1/Plate 4/@10/D4_01.tif </t>
  </si>
  <si>
    <t xml:space="preserve"> 62164.3172 </t>
  </si>
  <si>
    <t xml:space="preserve"> 39.2836 </t>
  </si>
  <si>
    <t xml:space="preserve">C:\Users\andre\Desktop\REACTIV CEFAS\E2\E2/20201116_Cefas_Test6-Run1/Plate 4/@10/D4_02.tif </t>
  </si>
  <si>
    <t xml:space="preserve"> 65841.3993 </t>
  </si>
  <si>
    <t xml:space="preserve"> 44.4997 </t>
  </si>
  <si>
    <t xml:space="preserve">C:\Users\andre\Desktop\REACTIV CEFAS\E2\E2/20201116_Cefas_Test6-Run1/Plate 4/@10/D4_03.tif </t>
  </si>
  <si>
    <t xml:space="preserve"> 59136.1319 </t>
  </si>
  <si>
    <t xml:space="preserve"> 41.173 </t>
  </si>
  <si>
    <t xml:space="preserve">C:\Users\andre\Desktop\REACTIV CEFAS\E2\E2/20201116_Cefas_Test6-Run1/Plate 4/@10/E4_01.tif </t>
  </si>
  <si>
    <t xml:space="preserve"> 1297.7937 </t>
  </si>
  <si>
    <t xml:space="preserve"> 31.9667 </t>
  </si>
  <si>
    <t xml:space="preserve">C:\Users\andre\Desktop\REACTIV CEFAS\E2\E2/20201116_Cefas_Test6-Run1/Plate 4/@10/E4_02.tif </t>
  </si>
  <si>
    <t xml:space="preserve"> 2963.2956 </t>
  </si>
  <si>
    <t xml:space="preserve"> 36.1752 </t>
  </si>
  <si>
    <t xml:space="preserve">C:\Users\andre\Desktop\REACTIV CEFAS\E2\E2/20201116_Cefas_Test6-Run1/Plate 4/@10/E4_03.tif </t>
  </si>
  <si>
    <t xml:space="preserve"> 39.7254 </t>
  </si>
  <si>
    <t xml:space="preserve">C:\Users\andre\Desktop\REACTIV CEFAS\E2\E2/20201116_Cefas_Test6-Run1/Plate 4/@10/F4_01.tif </t>
  </si>
  <si>
    <t xml:space="preserve"> 18688.229 </t>
  </si>
  <si>
    <t xml:space="preserve"> 31.9329 </t>
  </si>
  <si>
    <t>C:\Users\andre\Desktop\REACTIV CEFAS\E2\E2/20201116_Cefas_Test6-Run1/Plate 4/@10/F4_02- exclu.tif</t>
  </si>
  <si>
    <t xml:space="preserve">C:\Users\andre\Desktop\REACTIV CEFAS\E2\E2/20201116_Cefas_Test6-Run1/Plate 4/@10/F4_03.tif </t>
  </si>
  <si>
    <t xml:space="preserve"> 21024.2576 </t>
  </si>
  <si>
    <t xml:space="preserve"> 32.3796 </t>
  </si>
  <si>
    <t xml:space="preserve">C:\Users\andre\Desktop\REACTIV CEFAS\E2\E2/20201116_Cefas_Test6-Run1/Plate 4/@10/G4_01.tif </t>
  </si>
  <si>
    <t xml:space="preserve"> 21759.674 </t>
  </si>
  <si>
    <t xml:space="preserve"> 33.6352 </t>
  </si>
  <si>
    <t xml:space="preserve">C:\Users\andre\Desktop\REACTIV CEFAS\E2\E2/20201116_Cefas_Test6-Run1/Plate 4/@10/G4_02.tif </t>
  </si>
  <si>
    <t xml:space="preserve"> 27232.0373 </t>
  </si>
  <si>
    <t xml:space="preserve"> 33.1048 </t>
  </si>
  <si>
    <t xml:space="preserve">C:\Users\andre\Desktop\REACTIV CEFAS\E2\E2/20201116_Cefas_Test6-Run1/Plate 4/@10/G4_03.tif </t>
  </si>
  <si>
    <t xml:space="preserve"> 33764.2655 </t>
  </si>
  <si>
    <t xml:space="preserve"> 34.2428 </t>
  </si>
  <si>
    <t xml:space="preserve">C:\Users\andre\Desktop\REACTIV CEFAS\E2\E2/20201116_Cefas_Test6-Run1/Plate 4/@10/H4_01.tif </t>
  </si>
  <si>
    <t xml:space="preserve"> 37.4689 </t>
  </si>
  <si>
    <t xml:space="preserve">C:\Users\andre\Desktop\REACTIV CEFAS\E2\E2/20201116_Cefas_Test6-Run1/Plate 4/@10/H4_02.tif </t>
  </si>
  <si>
    <t xml:space="preserve"> 10858.2071 </t>
  </si>
  <si>
    <t xml:space="preserve"> 36.2849 </t>
  </si>
  <si>
    <t xml:space="preserve">C:\Users\andre\Desktop\REACTIV CEFAS\E2\E2/20201116_Cefas_Test6-Run1/Plate 4/@10/H4_03.tif </t>
  </si>
  <si>
    <t xml:space="preserve"> 3915.0109 </t>
  </si>
  <si>
    <t xml:space="preserve"> 36.9945 </t>
  </si>
  <si>
    <t xml:space="preserve">C:\Users\andre\Desktop\REACTIV CEFAS\E2\E2/20201116_Cefas_Test6-Run1/Plate 4/@10/ </t>
  </si>
  <si>
    <t xml:space="preserve"> 36.1458 </t>
  </si>
  <si>
    <t xml:space="preserve"> 3.4206 </t>
  </si>
  <si>
    <t xml:space="preserve"> 1187713.79 </t>
  </si>
  <si>
    <t xml:space="preserve"> 1001809.81 </t>
  </si>
  <si>
    <t xml:space="preserve">C:\Users\andre\Desktop\REACTIV CEFAS\E2\E2/20201116_Cefas_Test6-Run1/Plate 4/@11/A5_01.tif </t>
  </si>
  <si>
    <t xml:space="preserve"> 57081.2919 </t>
  </si>
  <si>
    <t xml:space="preserve"> 44.0705 </t>
  </si>
  <si>
    <t xml:space="preserve">C:\Users\andre\Desktop\REACTIV CEFAS\E2\E2/20201116_Cefas_Test6-Run1/Plate 4/@11/A5_02.tif </t>
  </si>
  <si>
    <t xml:space="preserve"> 54745.2633 </t>
  </si>
  <si>
    <t xml:space="preserve"> 48.0119 </t>
  </si>
  <si>
    <t xml:space="preserve">C:\Users\andre\Desktop\REACTIV CEFAS\E2\E2/20201116_Cefas_Test6-Run1/Plate 4/@11/A5_03.tif </t>
  </si>
  <si>
    <t xml:space="preserve"> 48.371 </t>
  </si>
  <si>
    <t xml:space="preserve">C:\Users\andre\Desktop\REACTIV CEFAS\E2\E2/20201116_Cefas_Test6-Run1/Plate 4/@11/B5_01.tif </t>
  </si>
  <si>
    <t xml:space="preserve"> 48321.1846 </t>
  </si>
  <si>
    <t xml:space="preserve"> 39.8129 </t>
  </si>
  <si>
    <t xml:space="preserve">C:\Users\andre\Desktop\REACTIV CEFAS\E2\E2/20201116_Cefas_Test6-Run1/Plate 4/@11/B5_02.tif </t>
  </si>
  <si>
    <t xml:space="preserve"> 49078.2309 </t>
  </si>
  <si>
    <t xml:space="preserve"> 39.3649 </t>
  </si>
  <si>
    <t xml:space="preserve">C:\Users\andre\Desktop\REACTIV CEFAS\E2\E2/20201116_Cefas_Test6-Run1/Plate 4/@11/B5_03.tif </t>
  </si>
  <si>
    <t xml:space="preserve"> 50786.9926 </t>
  </si>
  <si>
    <t xml:space="preserve"> 44.244 </t>
  </si>
  <si>
    <t xml:space="preserve">C:\Users\andre\Desktop\REACTIV CEFAS\E2\E2/20201116_Cefas_Test6-Run1/Plate 4/@11/C5_01.tif </t>
  </si>
  <si>
    <t xml:space="preserve"> 64608.4953 </t>
  </si>
  <si>
    <t xml:space="preserve"> 38.0087 </t>
  </si>
  <si>
    <t xml:space="preserve">C:\Users\andre\Desktop\REACTIV CEFAS\E2\E2/20201116_Cefas_Test6-Run1/Plate 4/@11/C5_02.tif </t>
  </si>
  <si>
    <t xml:space="preserve"> 63224.182 </t>
  </si>
  <si>
    <t xml:space="preserve"> 38.5966 </t>
  </si>
  <si>
    <t xml:space="preserve">C:\Users\andre\Desktop\REACTIV CEFAS\E2\E2/20201116_Cefas_Test6-Run1/Plate 4/@11/C5_03.tif </t>
  </si>
  <si>
    <t xml:space="preserve"> 60066.2174 </t>
  </si>
  <si>
    <t xml:space="preserve"> 37.5171 </t>
  </si>
  <si>
    <t xml:space="preserve">C:\Users\andre\Desktop\REACTIV CEFAS\E2\E2/20201116_Cefas_Test6-Run1/Plate 4/@11/D5_01.tif </t>
  </si>
  <si>
    <t xml:space="preserve"> 3785.2316 </t>
  </si>
  <si>
    <t xml:space="preserve"> 32.12 </t>
  </si>
  <si>
    <t xml:space="preserve">C:\Users\andre\Desktop\REACTIV CEFAS\E2\E2/20201116_Cefas_Test6-Run1/Plate 4/@11/D5_02.tif </t>
  </si>
  <si>
    <t xml:space="preserve"> 8284.2496 </t>
  </si>
  <si>
    <t xml:space="preserve"> 33.4752 </t>
  </si>
  <si>
    <t xml:space="preserve">C:\Users\andre\Desktop\REACTIV CEFAS\E2\E2/20201116_Cefas_Test6-Run1/Plate 4/@11/D5_03.tif </t>
  </si>
  <si>
    <t xml:space="preserve"> 10403.9793 </t>
  </si>
  <si>
    <t xml:space="preserve"> 33.763 </t>
  </si>
  <si>
    <t xml:space="preserve">C:\Users\andre\Desktop\REACTIV CEFAS\E2\E2/20201116_Cefas_Test6-Run1/Plate 4/@11/E5_01.tif </t>
  </si>
  <si>
    <t xml:space="preserve"> 73909.3499 </t>
  </si>
  <si>
    <t xml:space="preserve"> 41.369 </t>
  </si>
  <si>
    <t xml:space="preserve">C:\Users\andre\Desktop\REACTIV CEFAS\E2\E2/20201116_Cefas_Test6-Run1/Plate 4/@11/E5_02.tif </t>
  </si>
  <si>
    <t xml:space="preserve"> 72395.2573 </t>
  </si>
  <si>
    <t xml:space="preserve"> 42.8452 </t>
  </si>
  <si>
    <t xml:space="preserve">C:\Users\andre\Desktop\REACTIV CEFAS\E2\E2/20201116_Cefas_Test6-Run1/Plate 4/@11/E5_03.tif </t>
  </si>
  <si>
    <t xml:space="preserve"> 69496.8514 </t>
  </si>
  <si>
    <t xml:space="preserve"> 41.2166 </t>
  </si>
  <si>
    <t xml:space="preserve">C:\Users\andre\Desktop\REACTIV CEFAS\E2\E2/20201116_Cefas_Test6-Run1/Plate 4/@11/F5_01.tif </t>
  </si>
  <si>
    <t xml:space="preserve"> 6748.5271 </t>
  </si>
  <si>
    <t xml:space="preserve"> 35.4744 </t>
  </si>
  <si>
    <t xml:space="preserve">C:\Users\andre\Desktop\REACTIV CEFAS\E2\E2/20201116_Cefas_Test6-Run1/Plate 4/@11/F5_02.tif </t>
  </si>
  <si>
    <t xml:space="preserve"> 34.881 </t>
  </si>
  <si>
    <t xml:space="preserve">C:\Users\andre\Desktop\REACTIV CEFAS\E2\E2/20201116_Cefas_Test6-Run1/Plate 4/@11/F5_03.tif </t>
  </si>
  <si>
    <t xml:space="preserve"> 2141.3596 </t>
  </si>
  <si>
    <t xml:space="preserve"> 33.9899 </t>
  </si>
  <si>
    <t xml:space="preserve">C:\Users\andre\Desktop\REACTIV CEFAS\E2\E2/20201116_Cefas_Test6-Run1/Plate 4/@11/G5_01.tif </t>
  </si>
  <si>
    <t xml:space="preserve"> 38068.6145 </t>
  </si>
  <si>
    <t xml:space="preserve"> 39.8449 </t>
  </si>
  <si>
    <t xml:space="preserve">C:\Users\andre\Desktop\REACTIV CEFAS\E2\E2/20201116_Cefas_Test6-Run1/Plate 4/@11/G5_02.tif </t>
  </si>
  <si>
    <t xml:space="preserve"> 41853.8461 </t>
  </si>
  <si>
    <t xml:space="preserve"> 37.491 </t>
  </si>
  <si>
    <t xml:space="preserve">C:\Users\andre\Desktop\REACTIV CEFAS\E2\E2/20201116_Cefas_Test6-Run1/Plate 4/@11/G5_03.tif </t>
  </si>
  <si>
    <t xml:space="preserve"> 32899.0697 </t>
  </si>
  <si>
    <t xml:space="preserve"> 36.8389 </t>
  </si>
  <si>
    <t>C:\Users\andre\Desktop\REACTIV CEFAS\E2\E2/20201116_Cefas_Test6-Run1/Plate 4/@11/H5_01- exclu.tif</t>
  </si>
  <si>
    <t xml:space="preserve">C:\Users\andre\Desktop\REACTIV CEFAS\E2\E2/20201116_Cefas_Test6-Run1/Plate 4/@11/H5_02.tif </t>
  </si>
  <si>
    <t xml:space="preserve"> 7873.2816 </t>
  </si>
  <si>
    <t xml:space="preserve"> 32.8462 </t>
  </si>
  <si>
    <t xml:space="preserve">C:\Users\andre\Desktop\REACTIV CEFAS\E2\E2/20201116_Cefas_Test6-Run1/Plate 4/@11/H5_03.tif </t>
  </si>
  <si>
    <t xml:space="preserve"> 11031.2463 </t>
  </si>
  <si>
    <t xml:space="preserve"> 34.6118 </t>
  </si>
  <si>
    <t xml:space="preserve">C:\Users\andre\Desktop\REACTIV CEFAS\E2\E2/20201116_Cefas_Test6-Run1/Plate 4/@11/ </t>
  </si>
  <si>
    <t xml:space="preserve"> 38.4503 </t>
  </si>
  <si>
    <t xml:space="preserve"> 4.6325 </t>
  </si>
  <si>
    <t xml:space="preserve"> 1522705.92 </t>
  </si>
  <si>
    <t xml:space="preserve"> 1117608.98 </t>
  </si>
  <si>
    <t xml:space="preserve">C:\Users\andre\Desktop\REACTIV CEFAS\E2\E2/20201116_Cefas_Test6-Run1/Plate 4/@12/A6_01.tif </t>
  </si>
  <si>
    <t xml:space="preserve"> 67939.499 </t>
  </si>
  <si>
    <t xml:space="preserve"> 48.475 </t>
  </si>
  <si>
    <t xml:space="preserve">C:\Users\andre\Desktop\REACTIV CEFAS\E2\E2/20201116_Cefas_Test6-Run1/Plate 4/@12/A6_02.tif </t>
  </si>
  <si>
    <t xml:space="preserve"> 67788.0898 </t>
  </si>
  <si>
    <t xml:space="preserve"> 50.0683 </t>
  </si>
  <si>
    <t xml:space="preserve">C:\Users\andre\Desktop\REACTIV CEFAS\E2\E2/20201116_Cefas_Test6-Run1/Plate 4/@12/A6_03.tif </t>
  </si>
  <si>
    <t xml:space="preserve"> 73411.8624 </t>
  </si>
  <si>
    <t xml:space="preserve"> 49.7298 </t>
  </si>
  <si>
    <t xml:space="preserve">C:\Users\andre\Desktop\REACTIV CEFAS\E2\E2/20201116_Cefas_Test6-Run1/Plate 4/@12/B6_01.tif </t>
  </si>
  <si>
    <t xml:space="preserve"> 64630.1252 </t>
  </si>
  <si>
    <t xml:space="preserve"> 56.8504 </t>
  </si>
  <si>
    <t xml:space="preserve">C:\Users\andre\Desktop\REACTIV CEFAS\E2\E2/20201116_Cefas_Test6-Run1/Plate 4/@12/B6_02.tif </t>
  </si>
  <si>
    <t xml:space="preserve"> 58.3165 </t>
  </si>
  <si>
    <t xml:space="preserve">C:\Users\andre\Desktop\REACTIV CEFAS\E2\E2/20201116_Cefas_Test6-Run1/Plate 4/@12/B6_03.tif </t>
  </si>
  <si>
    <t xml:space="preserve"> 75293.6632 </t>
  </si>
  <si>
    <t xml:space="preserve"> 54.8937 </t>
  </si>
  <si>
    <t xml:space="preserve">C:\Users\andre\Desktop\REACTIV CEFAS\E2\E2/20201116_Cefas_Test6-Run1/Plate 4/@12/C6_01.tif </t>
  </si>
  <si>
    <t xml:space="preserve"> 78170.4392 </t>
  </si>
  <si>
    <t xml:space="preserve"> 55.7366 </t>
  </si>
  <si>
    <t xml:space="preserve">C:\Users\andre\Desktop\REACTIV CEFAS\E2\E2/20201116_Cefas_Test6-Run1/Plate 4/@12/C6_02.tif </t>
  </si>
  <si>
    <t xml:space="preserve"> 81566.3326 </t>
  </si>
  <si>
    <t xml:space="preserve"> 54.349 </t>
  </si>
  <si>
    <t xml:space="preserve">C:\Users\andre\Desktop\REACTIV CEFAS\E2\E2/20201116_Cefas_Test6-Run1/Plate 4/@12/C6_03.tif </t>
  </si>
  <si>
    <t xml:space="preserve"> 86411.429 </t>
  </si>
  <si>
    <t xml:space="preserve"> 54.819 </t>
  </si>
  <si>
    <t xml:space="preserve">C:\Users\andre\Desktop\REACTIV CEFAS\E2\E2/20201116_Cefas_Test6-Run1/Plate 4/@12/D6_01.tif </t>
  </si>
  <si>
    <t xml:space="preserve"> 82388.2686 </t>
  </si>
  <si>
    <t xml:space="preserve"> 48.2817 </t>
  </si>
  <si>
    <t xml:space="preserve">C:\Users\andre\Desktop\REACTIV CEFAS\E2\E2/20201116_Cefas_Test6-Run1/Plate 4/@12/D6_02.tif </t>
  </si>
  <si>
    <t xml:space="preserve"> 78235.3289 </t>
  </si>
  <si>
    <t xml:space="preserve"> 49.6287 </t>
  </si>
  <si>
    <t xml:space="preserve">C:\Users\andre\Desktop\REACTIV CEFAS\E2\E2/20201116_Cefas_Test6-Run1/Plate 4/@12/D6_03.tif </t>
  </si>
  <si>
    <t xml:space="preserve"> 80592.9874 </t>
  </si>
  <si>
    <t xml:space="preserve"> 51.8851 </t>
  </si>
  <si>
    <t xml:space="preserve">C:\Users\andre\Desktop\REACTIV CEFAS\E2\E2/20201116_Cefas_Test6-Run1/Plate 4/@12/E6_01.tif </t>
  </si>
  <si>
    <t xml:space="preserve"> 80160.3895 </t>
  </si>
  <si>
    <t xml:space="preserve"> 47.7364 </t>
  </si>
  <si>
    <t xml:space="preserve">C:\Users\andre\Desktop\REACTIV CEFAS\E2\E2/20201116_Cefas_Test6-Run1/Plate 4/@12/E6_02.tif </t>
  </si>
  <si>
    <t xml:space="preserve"> 78256.9588 </t>
  </si>
  <si>
    <t xml:space="preserve"> 51.5451 </t>
  </si>
  <si>
    <t xml:space="preserve">C:\Users\andre\Desktop\REACTIV CEFAS\E2\E2/20201116_Cefas_Test6-Run1/Plate 4/@12/E6_03.tif </t>
  </si>
  <si>
    <t xml:space="preserve"> 80571.3575 </t>
  </si>
  <si>
    <t xml:space="preserve"> 49.5119 </t>
  </si>
  <si>
    <t xml:space="preserve">C:\Users\andre\Desktop\REACTIV CEFAS\E2\E2/20201116_Cefas_Test6-Run1/Plate 4/@12/F6_01.tif </t>
  </si>
  <si>
    <t xml:space="preserve"> 92489.4294 </t>
  </si>
  <si>
    <t xml:space="preserve"> 54.0185 </t>
  </si>
  <si>
    <t xml:space="preserve">C:\Users\andre\Desktop\REACTIV CEFAS\E2\E2/20201116_Cefas_Test6-Run1/Plate 4/@12/F6_02.tif </t>
  </si>
  <si>
    <t xml:space="preserve"> 87947.1516 </t>
  </si>
  <si>
    <t xml:space="preserve"> 56.5635 </t>
  </si>
  <si>
    <t xml:space="preserve">C:\Users\andre\Desktop\REACTIV CEFAS\E2\E2/20201116_Cefas_Test6-Run1/Plate 4/@12/F6_03.tif </t>
  </si>
  <si>
    <t xml:space="preserve"> 90391.3297 </t>
  </si>
  <si>
    <t xml:space="preserve"> 59.2606 </t>
  </si>
  <si>
    <t xml:space="preserve">C:\Users\andre\Desktop\REACTIV CEFAS\E2\E2/20201116_Cefas_Test6-Run1/Plate 4/@12/G6_01.tif </t>
  </si>
  <si>
    <t xml:space="preserve"> 56864.993 </t>
  </si>
  <si>
    <t xml:space="preserve"> 50.0072 </t>
  </si>
  <si>
    <t xml:space="preserve">C:\Users\andre\Desktop\REACTIV CEFAS\E2\E2/20201116_Cefas_Test6-Run1/Plate 4/@12/G6_02.tif </t>
  </si>
  <si>
    <t xml:space="preserve"> 70902.7946 </t>
  </si>
  <si>
    <t xml:space="preserve"> 53.3646 </t>
  </si>
  <si>
    <t xml:space="preserve">C:\Users\andre\Desktop\REACTIV CEFAS\E2\E2/20201116_Cefas_Test6-Run1/Plate 4/@12/G6_03.tif </t>
  </si>
  <si>
    <t xml:space="preserve"> 59828.2885 </t>
  </si>
  <si>
    <t xml:space="preserve"> 49.9497 </t>
  </si>
  <si>
    <t>C:\Users\andre\Desktop\REACTIV CEFAS\E2\E2/20201116_Cefas_Test6-Run1/Plate 4/@12/H6_01- exclu.tif</t>
  </si>
  <si>
    <t xml:space="preserve">C:\Users\andre\Desktop\REACTIV CEFAS\E2\E2/20201116_Cefas_Test6-Run1/Plate 4/@12/H6_02.tif </t>
  </si>
  <si>
    <t xml:space="preserve"> 73671.4211 </t>
  </si>
  <si>
    <t xml:space="preserve"> 43.6136 </t>
  </si>
  <si>
    <t xml:space="preserve">C:\Users\andre\Desktop\REACTIV CEFAS\E2\E2/20201116_Cefas_Test6-Run1/Plate 4/@12/H6_03.tif </t>
  </si>
  <si>
    <t xml:space="preserve"> 75769.5209 </t>
  </si>
  <si>
    <t xml:space="preserve"> 44.7753 </t>
  </si>
  <si>
    <t xml:space="preserve">C:\Users\andre\Desktop\REACTIV CEFAS\E2\E2/20201116_Cefas_Test6-Run1/Plate 4/@12/ </t>
  </si>
  <si>
    <t xml:space="preserve"> 51.4827 </t>
  </si>
  <si>
    <t xml:space="preserve"> 4.493 </t>
  </si>
  <si>
    <t xml:space="preserve"> 3885384.33 </t>
  </si>
  <si>
    <t xml:space="preserve"> 798162.211 </t>
  </si>
  <si>
    <t xml:space="preserve">C:\Users\andre\Desktop\REACTIV CEFAS\E2\E2/20201116_Cefas_Test6-Run1/Plate 4/@17/A8_01.tif </t>
  </si>
  <si>
    <t xml:space="preserve"> 45.8456 </t>
  </si>
  <si>
    <t xml:space="preserve">C:\Users\andre\Desktop\REACTIV CEFAS\E2\E2/20201116_Cefas_Test6-Run1/Plate 4/@17/A8_02.tif </t>
  </si>
  <si>
    <t xml:space="preserve"> 77586.432 </t>
  </si>
  <si>
    <t xml:space="preserve"> 46.7326 </t>
  </si>
  <si>
    <t xml:space="preserve">C:\Users\andre\Desktop\REACTIV CEFAS\E2\E2/20201116_Cefas_Test6-Run1/Plate 4/@17/A8_03.tif </t>
  </si>
  <si>
    <t xml:space="preserve"> 77456.6527 </t>
  </si>
  <si>
    <t xml:space="preserve"> 49.4851 </t>
  </si>
  <si>
    <t xml:space="preserve">C:\Users\andre\Desktop\REACTIV CEFAS\E2\E2/20201116_Cefas_Test6-Run1/Plate 4/@17/B8_01.tif </t>
  </si>
  <si>
    <t xml:space="preserve"> 65473.691 </t>
  </si>
  <si>
    <t xml:space="preserve"> 43.5127 </t>
  </si>
  <si>
    <t xml:space="preserve">C:\Users\andre\Desktop\REACTIV CEFAS\E2\E2/20201116_Cefas_Test6-Run1/Plate 4/@17/B8_02.tif </t>
  </si>
  <si>
    <t xml:space="preserve"> 63310.7016 </t>
  </si>
  <si>
    <t xml:space="preserve"> 41.2412 </t>
  </si>
  <si>
    <t xml:space="preserve">C:\Users\andre\Desktop\REACTIV CEFAS\E2\E2/20201116_Cefas_Test6-Run1/Plate 4/@17/B8_03.tif </t>
  </si>
  <si>
    <t xml:space="preserve"> 69929.4493 </t>
  </si>
  <si>
    <t xml:space="preserve"> 45.3177 </t>
  </si>
  <si>
    <t xml:space="preserve">C:\Users\andre\Desktop\REACTIV CEFAS\E2\E2/20201116_Cefas_Test6-Run1/Plate 4/@17/C8_01.tif </t>
  </si>
  <si>
    <t xml:space="preserve"> 22235.5317 </t>
  </si>
  <si>
    <t xml:space="preserve"> 34.3638 </t>
  </si>
  <si>
    <t xml:space="preserve">C:\Users\andre\Desktop\REACTIV CEFAS\E2\E2/20201116_Cefas_Test6-Run1/Plate 4/@17/C8_02.tif </t>
  </si>
  <si>
    <t xml:space="preserve"> 31493.1266 </t>
  </si>
  <si>
    <t xml:space="preserve"> 36.4375 </t>
  </si>
  <si>
    <t xml:space="preserve">C:\Users\andre\Desktop\REACTIV CEFAS\E2\E2/20201116_Cefas_Test6-Run1/Plate 4/@17/C8_03.tif </t>
  </si>
  <si>
    <t xml:space="preserve"> 22862.7986 </t>
  </si>
  <si>
    <t xml:space="preserve"> 34.3652 </t>
  </si>
  <si>
    <t>C:\Users\andre\Desktop\REACTIV CEFAS\E2\E2/20201116_Cefas_Test6-Run1/Plate 4/@17/D8_01- exclu.tif</t>
  </si>
  <si>
    <t>C:\Users\andre\Desktop\REACTIV CEFAS\E2\E2/20201116_Cefas_Test6-Run1/Plate 4/@17/D8_02- exclu.tif</t>
  </si>
  <si>
    <t>C:\Users\andre\Desktop\REACTIV CEFAS\E2\E2/20201116_Cefas_Test6-Run1/Plate 4/@17/D8_03- exclu.tif</t>
  </si>
  <si>
    <t xml:space="preserve">C:\Users\andre\Desktop\REACTIV CEFAS\E2\E2/20201116_Cefas_Test6-Run1/Plate 4/@17/E8_01.tif </t>
  </si>
  <si>
    <t xml:space="preserve">C:\Users\andre\Desktop\REACTIV CEFAS\E2\E2/20201116_Cefas_Test6-Run1/Plate 4/@17/E8_02.tif </t>
  </si>
  <si>
    <t xml:space="preserve"> 33.7262 </t>
  </si>
  <si>
    <t xml:space="preserve">C:\Users\andre\Desktop\REACTIV CEFAS\E2\E2/20201116_Cefas_Test6-Run1/Plate 4/@17/E8_03.tif </t>
  </si>
  <si>
    <t xml:space="preserve">C:\Users\andre\Desktop\REACTIV CEFAS\E2\E2/20201116_Cefas_Test6-Run1/Plate 4/@17/F8_01.tif </t>
  </si>
  <si>
    <t xml:space="preserve"> 32.6022 </t>
  </si>
  <si>
    <t xml:space="preserve">C:\Users\andre\Desktop\REACTIV CEFAS\E2\E2/20201116_Cefas_Test6-Run1/Plate 4/@17/F8_02.tif </t>
  </si>
  <si>
    <t xml:space="preserve"> 1168.0143 </t>
  </si>
  <si>
    <t xml:space="preserve"> 32.5185 </t>
  </si>
  <si>
    <t xml:space="preserve">C:\Users\andre\Desktop\REACTIV CEFAS\E2\E2/20201116_Cefas_Test6-Run1/Plate 4/@17/F8_03.tif </t>
  </si>
  <si>
    <t xml:space="preserve"> 1622.2421 </t>
  </si>
  <si>
    <t xml:space="preserve"> 32.3067 </t>
  </si>
  <si>
    <t xml:space="preserve">C:\Users\andre\Desktop\REACTIV CEFAS\E2\E2/20201116_Cefas_Test6-Run1/Plate 4/@17/G8_01.tif </t>
  </si>
  <si>
    <t xml:space="preserve"> 35040.4293 </t>
  </si>
  <si>
    <t xml:space="preserve"> 36.7889 </t>
  </si>
  <si>
    <t xml:space="preserve">C:\Users\andre\Desktop\REACTIV CEFAS\E2\E2/20201116_Cefas_Test6-Run1/Plate 4/@17/G8_02.tif </t>
  </si>
  <si>
    <t xml:space="preserve"> 15011.1469 </t>
  </si>
  <si>
    <t xml:space="preserve"> 34.2795 </t>
  </si>
  <si>
    <t xml:space="preserve">C:\Users\andre\Desktop\REACTIV CEFAS\E2\E2/20201116_Cefas_Test6-Run1/Plate 4/@17/G8_03.tif </t>
  </si>
  <si>
    <t xml:space="preserve"> 38674.2516 </t>
  </si>
  <si>
    <t xml:space="preserve"> 38.495 </t>
  </si>
  <si>
    <t xml:space="preserve">C:\Users\andre\Desktop\REACTIV CEFAS\E2\E2/20201116_Cefas_Test6-Run1/Plate 4/@17/H8_01.tif </t>
  </si>
  <si>
    <t xml:space="preserve"> 62510.3955 </t>
  </si>
  <si>
    <t xml:space="preserve"> 38.5384 </t>
  </si>
  <si>
    <t xml:space="preserve">C:\Users\andre\Desktop\REACTIV CEFAS\E2\E2/20201116_Cefas_Test6-Run1/Plate 4/@17/H8_02.tif </t>
  </si>
  <si>
    <t xml:space="preserve"> 53317.6903 </t>
  </si>
  <si>
    <t xml:space="preserve"> 40.5667 </t>
  </si>
  <si>
    <t xml:space="preserve">C:\Users\andre\Desktop\REACTIV CEFAS\E2\E2/20201116_Cefas_Test6-Run1/Plate 4/@17/H8_03.tif </t>
  </si>
  <si>
    <t xml:space="preserve"> 50138.0957 </t>
  </si>
  <si>
    <t xml:space="preserve"> 43.1389 </t>
  </si>
  <si>
    <t xml:space="preserve">C:\Users\andre\Desktop\REACTIV CEFAS\E2\E2/20201116_Cefas_Test6-Run1/Plate 4/@17/ </t>
  </si>
  <si>
    <t xml:space="preserve"> 35.6668 </t>
  </si>
  <si>
    <t xml:space="preserve"> 12.0165 </t>
  </si>
  <si>
    <t xml:space="preserve"> 1415178.12 </t>
  </si>
  <si>
    <t xml:space="preserve"> 1282530.67 </t>
  </si>
  <si>
    <t xml:space="preserve">C:\Users\andre\Desktop\REACTIV CEFAS\E2\E2/20201116_Cefas_Test6-Run1/Plate 4/@18/A9_01.tif </t>
  </si>
  <si>
    <t xml:space="preserve"> 66295.627 </t>
  </si>
  <si>
    <t xml:space="preserve"> 42.2835 </t>
  </si>
  <si>
    <t xml:space="preserve">C:\Users\andre\Desktop\REACTIV CEFAS\E2\E2/20201116_Cefas_Test6-Run1/Plate 4/@18/A9_02.tif </t>
  </si>
  <si>
    <t xml:space="preserve"> 67355.4919 </t>
  </si>
  <si>
    <t xml:space="preserve"> 40.9544 </t>
  </si>
  <si>
    <t xml:space="preserve">C:\Users\andre\Desktop\REACTIV CEFAS\E2\E2/20201116_Cefas_Test6-Run1/Plate 4/@18/A9_03.tif </t>
  </si>
  <si>
    <t xml:space="preserve"> 70924.4245 </t>
  </si>
  <si>
    <t xml:space="preserve"> 44.179 </t>
  </si>
  <si>
    <t>C:\Users\andre\Desktop\REACTIV CEFAS\E2\E2/20201116_Cefas_Test6-Run1/Plate 4/@18/B9_01- exclu.tif</t>
  </si>
  <si>
    <t>C:\Users\andre\Desktop\REACTIV CEFAS\E2\E2/20201116_Cefas_Test6-Run1/Plate 4/@18/B9_02- exclu.tif</t>
  </si>
  <si>
    <t xml:space="preserve">C:\Users\andre\Desktop\REACTIV CEFAS\E2\E2/20201116_Cefas_Test6-Run1/Plate 4/@18/B9_03.tif </t>
  </si>
  <si>
    <t xml:space="preserve"> 40058.5649 </t>
  </si>
  <si>
    <t xml:space="preserve"> 43.0859 </t>
  </si>
  <si>
    <t xml:space="preserve">C:\Users\andre\Desktop\REACTIV CEFAS\E2\E2/20201116_Cefas_Test6-Run1/Plate 4/@18/C9_01.tif </t>
  </si>
  <si>
    <t xml:space="preserve"> 52041.5265 </t>
  </si>
  <si>
    <t xml:space="preserve"> 41.3483 </t>
  </si>
  <si>
    <t xml:space="preserve">C:\Users\andre\Desktop\REACTIV CEFAS\E2\E2/20201116_Cefas_Test6-Run1/Plate 4/@18/C9_02.tif </t>
  </si>
  <si>
    <t xml:space="preserve"> 50073.2061 </t>
  </si>
  <si>
    <t xml:space="preserve"> 39.7132 </t>
  </si>
  <si>
    <t xml:space="preserve">C:\Users\andre\Desktop\REACTIV CEFAS\E2\E2/20201116_Cefas_Test6-Run1/Plate 4/@18/C9_03.tif </t>
  </si>
  <si>
    <t xml:space="preserve"> 52776.9429 </t>
  </si>
  <si>
    <t xml:space="preserve"> 39.3902 </t>
  </si>
  <si>
    <t>C:\Users\andre\Desktop\REACTIV CEFAS\E2\E2/20201116_Cefas_Test6-Run1/Plate 4/@18/D9_01- exclu.tif</t>
  </si>
  <si>
    <t xml:space="preserve">C:\Users\andre\Desktop\REACTIV CEFAS\E2\E2/20201116_Cefas_Test6-Run1/Plate 4/@18/D9_02.tif </t>
  </si>
  <si>
    <t xml:space="preserve"> 22884.4285 </t>
  </si>
  <si>
    <t xml:space="preserve"> 36.5123 </t>
  </si>
  <si>
    <t xml:space="preserve">C:\Users\andre\Desktop\REACTIV CEFAS\E2\E2/20201116_Cefas_Test6-Run1/Plate 4/@18/D9_03.tif </t>
  </si>
  <si>
    <t xml:space="preserve"> 26756.1797 </t>
  </si>
  <si>
    <t xml:space="preserve"> 37.6079 </t>
  </si>
  <si>
    <t xml:space="preserve">C:\Users\andre\Desktop\REACTIV CEFAS\E2\E2/20201116_Cefas_Test6-Run1/Plate 4/@18/E9_01.tif </t>
  </si>
  <si>
    <t xml:space="preserve"> 59265.9113 </t>
  </si>
  <si>
    <t xml:space="preserve"> 47.0639 </t>
  </si>
  <si>
    <t xml:space="preserve">C:\Users\andre\Desktop\REACTIV CEFAS\E2\E2/20201116_Cefas_Test6-Run1/Plate 4/@18/E9_02.tif </t>
  </si>
  <si>
    <t xml:space="preserve"> 52279.4553 </t>
  </si>
  <si>
    <t xml:space="preserve"> 52.3235 </t>
  </si>
  <si>
    <t xml:space="preserve">C:\Users\andre\Desktop\REACTIV CEFAS\E2\E2/20201116_Cefas_Test6-Run1/Plate 4/@18/E9_03.tif </t>
  </si>
  <si>
    <t xml:space="preserve"> 80030.6101 </t>
  </si>
  <si>
    <t xml:space="preserve"> 46.2535 </t>
  </si>
  <si>
    <t xml:space="preserve">C:\Users\andre\Desktop\REACTIV CEFAS\E2\E2/20201116_Cefas_Test6-Run1/Plate 4/@18/F9_01.tif </t>
  </si>
  <si>
    <t xml:space="preserve"> 47802.0671 </t>
  </si>
  <si>
    <t xml:space="preserve"> 46.4851 </t>
  </si>
  <si>
    <t xml:space="preserve">C:\Users\andre\Desktop\REACTIV CEFAS\E2\E2/20201116_Cefas_Test6-Run1/Plate 4/@18/F9_02.tif </t>
  </si>
  <si>
    <t xml:space="preserve"> 51955.0069 </t>
  </si>
  <si>
    <t xml:space="preserve"> 47.607 </t>
  </si>
  <si>
    <t xml:space="preserve">C:\Users\andre\Desktop\REACTIV CEFAS\E2\E2/20201116_Cefas_Test6-Run1/Plate 4/@18/F9_03.tif </t>
  </si>
  <si>
    <t xml:space="preserve"> 47499.2486 </t>
  </si>
  <si>
    <t xml:space="preserve"> 46.076 </t>
  </si>
  <si>
    <t xml:space="preserve">C:\Users\andre\Desktop\REACTIV CEFAS\E2\E2/20201116_Cefas_Test6-Run1/Plate 4/@18/G9_01.tif </t>
  </si>
  <si>
    <t xml:space="preserve"> 77024.0548 </t>
  </si>
  <si>
    <t xml:space="preserve"> 50.802 </t>
  </si>
  <si>
    <t xml:space="preserve">C:\Users\andre\Desktop\REACTIV CEFAS\E2\E2/20201116_Cefas_Test6-Run1/Plate 4/@18/G9_02.tif </t>
  </si>
  <si>
    <t xml:space="preserve"> 70426.9369 </t>
  </si>
  <si>
    <t xml:space="preserve"> 50.8716 </t>
  </si>
  <si>
    <t xml:space="preserve">C:\Users\andre\Desktop\REACTIV CEFAS\E2\E2/20201116_Cefas_Test6-Run1/Plate 4/@18/G9_03.tif </t>
  </si>
  <si>
    <t xml:space="preserve"> 75509.9621 </t>
  </si>
  <si>
    <t xml:space="preserve"> 54.9138 </t>
  </si>
  <si>
    <t xml:space="preserve">C:\Users\andre\Desktop\REACTIV CEFAS\E2\E2/20201116_Cefas_Test6-Run1/Plate 4/@18/H9_01.tif </t>
  </si>
  <si>
    <t xml:space="preserve"> 51998.2667 </t>
  </si>
  <si>
    <t xml:space="preserve"> 45.5882 </t>
  </si>
  <si>
    <t xml:space="preserve">C:\Users\andre\Desktop\REACTIV CEFAS\E2\E2/20201116_Cefas_Test6-Run1/Plate 4/@18/H9_02.tif </t>
  </si>
  <si>
    <t xml:space="preserve"> 48926.8217 </t>
  </si>
  <si>
    <t xml:space="preserve"> 44.8647 </t>
  </si>
  <si>
    <t xml:space="preserve">C:\Users\andre\Desktop\REACTIV CEFAS\E2\E2/20201116_Cefas_Test6-Run1/Plate 4/@18/H9_03.tif </t>
  </si>
  <si>
    <t xml:space="preserve"> 45920.2663 </t>
  </si>
  <si>
    <t xml:space="preserve"> 41.1046 </t>
  </si>
  <si>
    <t xml:space="preserve">C:\Users\andre\Desktop\REACTIV CEFAS\E2\E2/20201116_Cefas_Test6-Run1/Plate 4/@18/ </t>
  </si>
  <si>
    <t xml:space="preserve"> 44.178 </t>
  </si>
  <si>
    <t xml:space="preserve"> 5.0229 </t>
  </si>
  <si>
    <t xml:space="preserve"> 2293388.83 </t>
  </si>
  <si>
    <t xml:space="preserve"> 995505.483 </t>
  </si>
  <si>
    <t xml:space="preserve">C:\Users\andre\Desktop\REACTIV CEFAS\E2\E2/20201116_Cefas_Test6-Run1/Plate 4/@19/A10_01.tif </t>
  </si>
  <si>
    <t xml:space="preserve"> 75142.2539 </t>
  </si>
  <si>
    <t xml:space="preserve"> 47.7858 </t>
  </si>
  <si>
    <t xml:space="preserve">C:\Users\andre\Desktop\REACTIV CEFAS\E2\E2/20201116_Cefas_Test6-Run1/Plate 4/@19/A10_02.tif </t>
  </si>
  <si>
    <t xml:space="preserve"> 75942.56 </t>
  </si>
  <si>
    <t xml:space="preserve"> 49.7969 </t>
  </si>
  <si>
    <t xml:space="preserve">C:\Users\andre\Desktop\REACTIV CEFAS\E2\E2/20201116_Cefas_Test6-Run1/Plate 4/@19/A10_03.tif </t>
  </si>
  <si>
    <t xml:space="preserve"> 75747.891 </t>
  </si>
  <si>
    <t xml:space="preserve"> 47.6017 </t>
  </si>
  <si>
    <t>C:\Users\andre\Desktop\REACTIV CEFAS\E2\E2/20201116_Cefas_Test6-Run1/Plate 4/@19/B10_01- exclu.tif</t>
  </si>
  <si>
    <t xml:space="preserve">C:\Users\andre\Desktop\REACTIV CEFAS\E2\E2/20201116_Cefas_Test6-Run1/Plate 4/@19/B10_02.tif </t>
  </si>
  <si>
    <t xml:space="preserve"> 20829.5885 </t>
  </si>
  <si>
    <t xml:space="preserve"> 35.001 </t>
  </si>
  <si>
    <t>C:\Users\andre\Desktop\REACTIV CEFAS\E2\E2/20201116_Cefas_Test6-Run1/Plate 4/@19/B10_03- exclu.tif</t>
  </si>
  <si>
    <t xml:space="preserve">C:\Users\andre\Desktop\REACTIV CEFAS\E2\E2/20201116_Cefas_Test6-Run1/Plate 4/@19/C10_01.tif </t>
  </si>
  <si>
    <t xml:space="preserve"> 49056.601 </t>
  </si>
  <si>
    <t xml:space="preserve"> 42.8951 </t>
  </si>
  <si>
    <t xml:space="preserve">C:\Users\andre\Desktop\REACTIV CEFAS\E2\E2/20201116_Cefas_Test6-Run1/Plate 4/@19/C10_02.tif </t>
  </si>
  <si>
    <t xml:space="preserve"> 44730.6221 </t>
  </si>
  <si>
    <t xml:space="preserve"> 39.779 </t>
  </si>
  <si>
    <t xml:space="preserve">C:\Users\andre\Desktop\REACTIV CEFAS\E2\E2/20201116_Cefas_Test6-Run1/Plate 4/@19/C10_03.tif </t>
  </si>
  <si>
    <t xml:space="preserve"> 43.0457 </t>
  </si>
  <si>
    <t xml:space="preserve">C:\Users\andre\Desktop\REACTIV CEFAS\E2\E2/20201116_Cefas_Test6-Run1/Plate 4/@19/D10_01.tif </t>
  </si>
  <si>
    <t xml:space="preserve"> 85502.9735 </t>
  </si>
  <si>
    <t xml:space="preserve"> 45.0683 </t>
  </si>
  <si>
    <t>C:\Users\andre\Desktop\REACTIV CEFAS\E2\E2/20201116_Cefas_Test6-Run1/Plate 4/@19/D10_02- exclu.tif</t>
  </si>
  <si>
    <t xml:space="preserve">C:\Users\andre\Desktop\REACTIV CEFAS\E2\E2/20201116_Cefas_Test6-Run1/Plate 4/@19/D10_03.tif </t>
  </si>
  <si>
    <t xml:space="preserve"> 72222.2182 </t>
  </si>
  <si>
    <t xml:space="preserve"> 47.3097 </t>
  </si>
  <si>
    <t xml:space="preserve">C:\Users\andre\Desktop\REACTIV CEFAS\E2\E2/20201116_Cefas_Test6-Run1/Plate 4/@19/E10_01.tif </t>
  </si>
  <si>
    <t xml:space="preserve"> 63829.819 </t>
  </si>
  <si>
    <t xml:space="preserve"> 44.6503 </t>
  </si>
  <si>
    <t xml:space="preserve">C:\Users\andre\Desktop\REACTIV CEFAS\E2\E2/20201116_Cefas_Test6-Run1/Plate 4/@19/E10_02.tif </t>
  </si>
  <si>
    <t xml:space="preserve"> 65906.2889 </t>
  </si>
  <si>
    <t xml:space="preserve"> 41.704 </t>
  </si>
  <si>
    <t xml:space="preserve">C:\Users\andre\Desktop\REACTIV CEFAS\E2\E2/20201116_Cefas_Test6-Run1/Plate 4/@19/E10_03.tif </t>
  </si>
  <si>
    <t xml:space="preserve"> 41.9672 </t>
  </si>
  <si>
    <t xml:space="preserve">C:\Users\andre\Desktop\REACTIV CEFAS\E2\E2/20201116_Cefas_Test6-Run1/Plate 4/@19/F10_01.tif </t>
  </si>
  <si>
    <t xml:space="preserve"> 57319.2208 </t>
  </si>
  <si>
    <t xml:space="preserve"> 47.7789 </t>
  </si>
  <si>
    <t xml:space="preserve">C:\Users\andre\Desktop\REACTIV CEFAS\E2\E2/20201116_Cefas_Test6-Run1/Plate 4/@19/F10_02.tif </t>
  </si>
  <si>
    <t xml:space="preserve"> 54161.2562 </t>
  </si>
  <si>
    <t xml:space="preserve"> 49.4445 </t>
  </si>
  <si>
    <t xml:space="preserve">C:\Users\andre\Desktop\REACTIV CEFAS\E2\E2/20201116_Cefas_Test6-Run1/Plate 4/@19/F10_03.tif </t>
  </si>
  <si>
    <t xml:space="preserve"> 55805.1281 </t>
  </si>
  <si>
    <t xml:space="preserve"> 49.5097 </t>
  </si>
  <si>
    <t xml:space="preserve">C:\Users\andre\Desktop\REACTIV CEFAS\E2\E2/20201116_Cefas_Test6-Run1/Plate 4/@19/G10_01.tif </t>
  </si>
  <si>
    <t xml:space="preserve"> 56389.1353 </t>
  </si>
  <si>
    <t xml:space="preserve"> 46.0518 </t>
  </si>
  <si>
    <t xml:space="preserve">C:\Users\andre\Desktop\REACTIV CEFAS\E2\E2/20201116_Cefas_Test6-Run1/Plate 4/@19/G10_02.tif </t>
  </si>
  <si>
    <t xml:space="preserve"> 63937.9685 </t>
  </si>
  <si>
    <t xml:space="preserve"> 46.2256 </t>
  </si>
  <si>
    <t xml:space="preserve">C:\Users\andre\Desktop\REACTIV CEFAS\E2\E2/20201116_Cefas_Test6-Run1/Plate 4/@19/G10_03.tif </t>
  </si>
  <si>
    <t xml:space="preserve"> 63094.4026 </t>
  </si>
  <si>
    <t xml:space="preserve"> 42.0792 </t>
  </si>
  <si>
    <t xml:space="preserve">C:\Users\andre\Desktop\REACTIV CEFAS\E2\E2/20201116_Cefas_Test6-Run1/Plate 4/@19/H10_01.tif </t>
  </si>
  <si>
    <t xml:space="preserve"> 41183.3194 </t>
  </si>
  <si>
    <t xml:space="preserve"> 39.3482 </t>
  </si>
  <si>
    <t xml:space="preserve">C:\Users\andre\Desktop\REACTIV CEFAS\E2\E2/20201116_Cefas_Test6-Run1/Plate 4/@19/H10_02.tif </t>
  </si>
  <si>
    <t xml:space="preserve"> 35710.956 </t>
  </si>
  <si>
    <t xml:space="preserve"> 42.7892 </t>
  </si>
  <si>
    <t xml:space="preserve">C:\Users\andre\Desktop\REACTIV CEFAS\E2\E2/20201116_Cefas_Test6-Run1/Plate 4/@19/H10_03.tif </t>
  </si>
  <si>
    <t xml:space="preserve"> 34196.8634 </t>
  </si>
  <si>
    <t xml:space="preserve"> 38.6629 </t>
  </si>
  <si>
    <t xml:space="preserve">C:\Users\andre\Desktop\REACTIV CEFAS\E2\E2/20201116_Cefas_Test6-Run1/Plate 4/@19/ </t>
  </si>
  <si>
    <t xml:space="preserve"> 43.5786 </t>
  </si>
  <si>
    <t xml:space="preserve"> 4.8254 </t>
  </si>
  <si>
    <t xml:space="preserve"> 2427712.42 </t>
  </si>
  <si>
    <t xml:space="preserve"> 1016073.59 </t>
  </si>
  <si>
    <t xml:space="preserve">C:\Users\andre\Desktop\REACTIV CEFAS\E2\E2/20201116_Cefas_Test6-Run1/Plate 4/@20/A11_01.tif </t>
  </si>
  <si>
    <t xml:space="preserve"> 86173.5002 </t>
  </si>
  <si>
    <t xml:space="preserve"> 52.2221 </t>
  </si>
  <si>
    <t xml:space="preserve">C:\Users\andre\Desktop\REACTIV CEFAS\E2\E2/20201116_Cefas_Test6-Run1/Plate 4/@20/A11_02.tif </t>
  </si>
  <si>
    <t xml:space="preserve"> 96274.661 </t>
  </si>
  <si>
    <t xml:space="preserve"> 54.5435 </t>
  </si>
  <si>
    <t xml:space="preserve">C:\Users\andre\Desktop\REACTIV CEFAS\E2\E2/20201116_Cefas_Test6-Run1/Plate 4/@20/A11_03.tif </t>
  </si>
  <si>
    <t xml:space="preserve"> 83513.0232 </t>
  </si>
  <si>
    <t xml:space="preserve"> 51.9731 </t>
  </si>
  <si>
    <t xml:space="preserve">C:\Users\andre\Desktop\REACTIV CEFAS\E2\E2/20201116_Cefas_Test6-Run1/Plate 4/@20/B11_01.tif </t>
  </si>
  <si>
    <t xml:space="preserve"> 47.3348 </t>
  </si>
  <si>
    <t xml:space="preserve">C:\Users\andre\Desktop\REACTIV CEFAS\E2\E2/20201116_Cefas_Test6-Run1/Plate 4/@20/B11_02.tif </t>
  </si>
  <si>
    <t xml:space="preserve"> 66079.3281 </t>
  </si>
  <si>
    <t xml:space="preserve"> 51.78 </t>
  </si>
  <si>
    <t xml:space="preserve">C:\Users\andre\Desktop\REACTIV CEFAS\E2\E2/20201116_Cefas_Test6-Run1/Plate 4/@20/B11_03.tif </t>
  </si>
  <si>
    <t xml:space="preserve"> 65625.1003 </t>
  </si>
  <si>
    <t xml:space="preserve"> 51.9334 </t>
  </si>
  <si>
    <t xml:space="preserve">C:\Users\andre\Desktop\REACTIV CEFAS\E2\E2/20201116_Cefas_Test6-Run1/Plate 4/@20/C11_01.tif </t>
  </si>
  <si>
    <t xml:space="preserve"> 57059.662 </t>
  </si>
  <si>
    <t xml:space="preserve"> 47.939 </t>
  </si>
  <si>
    <t xml:space="preserve">C:\Users\andre\Desktop\REACTIV CEFAS\E2\E2/20201116_Cefas_Test6-Run1/Plate 4/@20/C11_02.tif </t>
  </si>
  <si>
    <t xml:space="preserve"> 57340.8507 </t>
  </si>
  <si>
    <t xml:space="preserve"> 48.3463 </t>
  </si>
  <si>
    <t xml:space="preserve">C:\Users\andre\Desktop\REACTIV CEFAS\E2\E2/20201116_Cefas_Test6-Run1/Plate 4/@20/C11_03.tif </t>
  </si>
  <si>
    <t xml:space="preserve"> 57384.1105 </t>
  </si>
  <si>
    <t xml:space="preserve"> 48.6619 </t>
  </si>
  <si>
    <t xml:space="preserve">C:\Users\andre\Desktop\REACTIV CEFAS\E2\E2/20201116_Cefas_Test6-Run1/Plate 4/@20/D11_01.tif </t>
  </si>
  <si>
    <t xml:space="preserve"> 52.2559 </t>
  </si>
  <si>
    <t xml:space="preserve">C:\Users\andre\Desktop\REACTIV CEFAS\E2\E2/20201116_Cefas_Test6-Run1/Plate 4/@20/D11_02.tif </t>
  </si>
  <si>
    <t xml:space="preserve"> 84443.1086 </t>
  </si>
  <si>
    <t xml:space="preserve"> 54.1555 </t>
  </si>
  <si>
    <t xml:space="preserve">C:\Users\andre\Desktop\REACTIV CEFAS\E2\E2/20201116_Cefas_Test6-Run1/Plate 4/@20/D11_03.tif </t>
  </si>
  <si>
    <t xml:space="preserve"> 90823.9275 </t>
  </si>
  <si>
    <t xml:space="preserve"> 56.7899 </t>
  </si>
  <si>
    <t xml:space="preserve">C:\Users\andre\Desktop\REACTIV CEFAS\E2\E2/20201116_Cefas_Test6-Run1/Plate 4/@20/E11_01.tif </t>
  </si>
  <si>
    <t xml:space="preserve"> 78970.7453 </t>
  </si>
  <si>
    <t xml:space="preserve"> 48.0216 </t>
  </si>
  <si>
    <t xml:space="preserve">C:\Users\andre\Desktop\REACTIV CEFAS\E2\E2/20201116_Cefas_Test6-Run1/Plate 4/@20/E11_02.tif </t>
  </si>
  <si>
    <t xml:space="preserve"> 82150.3398 </t>
  </si>
  <si>
    <t xml:space="preserve"> 50.3736 </t>
  </si>
  <si>
    <t xml:space="preserve">C:\Users\andre\Desktop\REACTIV CEFAS\E2\E2/20201116_Cefas_Test6-Run1/Plate 4/@20/E11_03.tif </t>
  </si>
  <si>
    <t xml:space="preserve"> 79576.3823 </t>
  </si>
  <si>
    <t xml:space="preserve"> 53.1044 </t>
  </si>
  <si>
    <t xml:space="preserve">C:\Users\andre\Desktop\REACTIV CEFAS\E2\E2/20201116_Cefas_Test6-Run1/Plate 4/@20/F11_01.tif </t>
  </si>
  <si>
    <t xml:space="preserve"> 89655.9132 </t>
  </si>
  <si>
    <t xml:space="preserve"> 52.7756 </t>
  </si>
  <si>
    <t xml:space="preserve">C:\Users\andre\Desktop\REACTIV CEFAS\E2\E2/20201116_Cefas_Test6-Run1/Plate 4/@20/F11_02.tif </t>
  </si>
  <si>
    <t xml:space="preserve"> 80657.8771 </t>
  </si>
  <si>
    <t xml:space="preserve"> 49.7584 </t>
  </si>
  <si>
    <t xml:space="preserve">C:\Users\andre\Desktop\REACTIV CEFAS\E2\E2/20201116_Cefas_Test6-Run1/Plate 4/@20/F11_03.tif </t>
  </si>
  <si>
    <t xml:space="preserve"> 70124.1184 </t>
  </si>
  <si>
    <t xml:space="preserve"> 56.1962 </t>
  </si>
  <si>
    <t xml:space="preserve">C:\Users\andre\Desktop\REACTIV CEFAS\E2\E2/20201116_Cefas_Test6-Run1/Plate 4/@20/G11_01.tif </t>
  </si>
  <si>
    <t xml:space="preserve"> 63180.9222 </t>
  </si>
  <si>
    <t xml:space="preserve"> 53.4023 </t>
  </si>
  <si>
    <t xml:space="preserve">C:\Users\andre\Desktop\REACTIV CEFAS\E2\E2/20201116_Cefas_Test6-Run1/Plate 4/@20/G11_02.tif </t>
  </si>
  <si>
    <t xml:space="preserve"> 62878.1037 </t>
  </si>
  <si>
    <t xml:space="preserve"> 50.8297 </t>
  </si>
  <si>
    <t xml:space="preserve">C:\Users\andre\Desktop\REACTIV CEFAS\E2\E2/20201116_Cefas_Test6-Run1/Plate 4/@20/G11_03.tif </t>
  </si>
  <si>
    <t xml:space="preserve"> 65105.9828 </t>
  </si>
  <si>
    <t xml:space="preserve"> 52.9475 </t>
  </si>
  <si>
    <t xml:space="preserve">C:\Users\andre\Desktop\REACTIV CEFAS\E2\E2/20201116_Cefas_Test6-Run1/Plate 4/@20/H11_01.tif </t>
  </si>
  <si>
    <t xml:space="preserve"> 30584.671 </t>
  </si>
  <si>
    <t xml:space="preserve"> 43.0686 </t>
  </si>
  <si>
    <t xml:space="preserve">C:\Users\andre\Desktop\REACTIV CEFAS\E2\E2/20201116_Cefas_Test6-Run1/Plate 4/@20/H11_02.tif </t>
  </si>
  <si>
    <t xml:space="preserve"> 32920.6996 </t>
  </si>
  <si>
    <t xml:space="preserve"> 42.6478 </t>
  </si>
  <si>
    <t xml:space="preserve">C:\Users\andre\Desktop\REACTIV CEFAS\E2\E2/20201116_Cefas_Test6-Run1/Plate 4/@20/H11_03.tif </t>
  </si>
  <si>
    <t xml:space="preserve"> 27816.0445 </t>
  </si>
  <si>
    <t xml:space="preserve"> 43.0443 </t>
  </si>
  <si>
    <t xml:space="preserve">C:\Users\andre\Desktop\REACTIV CEFAS\E2\E2/20201116_Cefas_Test6-Run1/Plate 4/@20/ </t>
  </si>
  <si>
    <t xml:space="preserve"> 50.5877 </t>
  </si>
  <si>
    <t xml:space="preserve"> 3.8657 </t>
  </si>
  <si>
    <t xml:space="preserve"> 3539976.42 </t>
  </si>
  <si>
    <t xml:space="preserve"> 1128706.95 </t>
  </si>
  <si>
    <t xml:space="preserve">C:\Users\andre\Desktop\REACTIV CEFAS\E2\E2/20201116_Cefas_Test6-Run1/Plate 4/@21/A12_01.tif </t>
  </si>
  <si>
    <t xml:space="preserve"> 109858.235 </t>
  </si>
  <si>
    <t xml:space="preserve"> 60.6934 </t>
  </si>
  <si>
    <t xml:space="preserve">C:\Users\andre\Desktop\REACTIV CEFAS\E2\E2/20201116_Cefas_Test6-Run1/Plate 4/@21/A12_02.tif </t>
  </si>
  <si>
    <t xml:space="preserve"> 102071.473 </t>
  </si>
  <si>
    <t xml:space="preserve"> 58.5544 </t>
  </si>
  <si>
    <t xml:space="preserve">C:\Users\andre\Desktop\REACTIV CEFAS\E2\E2/20201116_Cefas_Test6-Run1/Plate 4/@21/A12_03.tif </t>
  </si>
  <si>
    <t xml:space="preserve"> 108084.583 </t>
  </si>
  <si>
    <t xml:space="preserve"> 53.6896 </t>
  </si>
  <si>
    <t xml:space="preserve">C:\Users\andre\Desktop\REACTIV CEFAS\E2\E2/20201116_Cefas_Test6-Run1/Plate 4/@21/B12_01.tif </t>
  </si>
  <si>
    <t xml:space="preserve"> 72589.9264 </t>
  </si>
  <si>
    <t xml:space="preserve"> 60.2494 </t>
  </si>
  <si>
    <t xml:space="preserve">C:\Users\andre\Desktop\REACTIV CEFAS\E2\E2/20201116_Cefas_Test6-Run1/Plate 4/@21/B12_02.tif </t>
  </si>
  <si>
    <t xml:space="preserve"> 89266.5751 </t>
  </si>
  <si>
    <t xml:space="preserve"> 59.8016 </t>
  </si>
  <si>
    <t xml:space="preserve">C:\Users\andre\Desktop\REACTIV CEFAS\E2\E2/20201116_Cefas_Test6-Run1/Plate 4/@21/B12_03.tif </t>
  </si>
  <si>
    <t xml:space="preserve"> 91991.9419 </t>
  </si>
  <si>
    <t xml:space="preserve"> 59.4985 </t>
  </si>
  <si>
    <t xml:space="preserve">C:\Users\andre\Desktop\REACTIV CEFAS\E2\E2/20201116_Cefas_Test6-Run1/Plate 4/@21/C12_01.tif </t>
  </si>
  <si>
    <t xml:space="preserve"> 32855.8099 </t>
  </si>
  <si>
    <t xml:space="preserve"> 46.7255 </t>
  </si>
  <si>
    <t xml:space="preserve">C:\Users\andre\Desktop\REACTIV CEFAS\E2\E2/20201116_Cefas_Test6-Run1/Plate 4/@21/C12_02.tif </t>
  </si>
  <si>
    <t xml:space="preserve"> 23922.6635 </t>
  </si>
  <si>
    <t xml:space="preserve"> 37.1338 </t>
  </si>
  <si>
    <t xml:space="preserve">C:\Users\andre\Desktop\REACTIV CEFAS\E2\E2/20201116_Cefas_Test6-Run1/Plate 4/@21/C12_03.tif </t>
  </si>
  <si>
    <t xml:space="preserve"> 27188.7775 </t>
  </si>
  <si>
    <t xml:space="preserve"> 46.2411 </t>
  </si>
  <si>
    <t xml:space="preserve">C:\Users\andre\Desktop\REACTIV CEFAS\E2\E2/20201116_Cefas_Test6-Run1/Plate 4/@21/D12_01.tif </t>
  </si>
  <si>
    <t xml:space="preserve"> 60693.4843 </t>
  </si>
  <si>
    <t xml:space="preserve"> 49.4252 </t>
  </si>
  <si>
    <t xml:space="preserve">C:\Users\andre\Desktop\REACTIV CEFAS\E2\E2/20201116_Cefas_Test6-Run1/Plate 4/@21/D12_02.tif </t>
  </si>
  <si>
    <t xml:space="preserve"> 61472.1605 </t>
  </si>
  <si>
    <t xml:space="preserve"> 50.4842 </t>
  </si>
  <si>
    <t xml:space="preserve">C:\Users\andre\Desktop\REACTIV CEFAS\E2\E2/20201116_Cefas_Test6-Run1/Plate 4/@21/D12_03.tif </t>
  </si>
  <si>
    <t xml:space="preserve"> 57924.8578 </t>
  </si>
  <si>
    <t xml:space="preserve"> 47.3633 </t>
  </si>
  <si>
    <t xml:space="preserve">C:\Users\andre\Desktop\REACTIV CEFAS\E2\E2/20201116_Cefas_Test6-Run1/Plate 4/@21/E12_01.tif </t>
  </si>
  <si>
    <t xml:space="preserve"> 55.9291 </t>
  </si>
  <si>
    <t xml:space="preserve">C:\Users\andre\Desktop\REACTIV CEFAS\E2\E2/20201116_Cefas_Test6-Run1/Plate 4/@21/E12_02.tif </t>
  </si>
  <si>
    <t xml:space="preserve"> 70470.1967 </t>
  </si>
  <si>
    <t xml:space="preserve"> 53.186 </t>
  </si>
  <si>
    <t xml:space="preserve">C:\Users\andre\Desktop\REACTIV CEFAS\E2\E2/20201116_Cefas_Test6-Run1/Plate 4/@21/E12_03.tif </t>
  </si>
  <si>
    <t xml:space="preserve"> 71746.3605 </t>
  </si>
  <si>
    <t xml:space="preserve"> 57.8013 </t>
  </si>
  <si>
    <t xml:space="preserve">C:\Users\andre\Desktop\REACTIV CEFAS\E2\E2/20201116_Cefas_Test6-Run1/Plate 4/@21/F12_01.tif </t>
  </si>
  <si>
    <t xml:space="preserve"> 79641.272 </t>
  </si>
  <si>
    <t xml:space="preserve"> 60.9191 </t>
  </si>
  <si>
    <t xml:space="preserve">C:\Users\andre\Desktop\REACTIV CEFAS\E2\E2/20201116_Cefas_Test6-Run1/Plate 4/@21/F12_02.tif </t>
  </si>
  <si>
    <t xml:space="preserve"> 89526.1339 </t>
  </si>
  <si>
    <t xml:space="preserve"> 59.9026 </t>
  </si>
  <si>
    <t>C:\Users\andre\Desktop\REACTIV CEFAS\E2\E2/20201116_Cefas_Test6-Run1/Plate 4/@21/F12_03- exclu.tif</t>
  </si>
  <si>
    <t xml:space="preserve">C:\Users\andre\Desktop\REACTIV CEFAS\E2\E2/20201116_Cefas_Test6-Run1/Plate 4/@21/G12_01.tif </t>
  </si>
  <si>
    <t xml:space="preserve"> 39150.1093 </t>
  </si>
  <si>
    <t xml:space="preserve"> 60.6011 </t>
  </si>
  <si>
    <t xml:space="preserve">C:\Users\andre\Desktop\REACTIV CEFAS\E2\E2/20201116_Cefas_Test6-Run1/Plate 4/@21/G12_02.tif </t>
  </si>
  <si>
    <t xml:space="preserve"> 55848.3879 </t>
  </si>
  <si>
    <t xml:space="preserve"> 62.0844 </t>
  </si>
  <si>
    <t xml:space="preserve">C:\Users\andre\Desktop\REACTIV CEFAS\E2\E2/20201116_Cefas_Test6-Run1/Plate 4/@21/G12_03.tif </t>
  </si>
  <si>
    <t xml:space="preserve"> 39474.5577 </t>
  </si>
  <si>
    <t xml:space="preserve"> 60.4586 </t>
  </si>
  <si>
    <t xml:space="preserve">C:\Users\andre\Desktop\REACTIV CEFAS\E2\E2/20201116_Cefas_Test6-Run1/Plate 4/@21/H12_01.tif </t>
  </si>
  <si>
    <t xml:space="preserve"> 73325.3428 </t>
  </si>
  <si>
    <t xml:space="preserve"> 49.6454 </t>
  </si>
  <si>
    <t xml:space="preserve">C:\Users\andre\Desktop\REACTIV CEFAS\E2\E2/20201116_Cefas_Test6-Run1/Plate 4/@21/H12_02.tif </t>
  </si>
  <si>
    <t xml:space="preserve"> 67896.2392 </t>
  </si>
  <si>
    <t xml:space="preserve"> 50.5585 </t>
  </si>
  <si>
    <t xml:space="preserve">C:\Users\andre\Desktop\REACTIV CEFAS\E2\E2/20201116_Cefas_Test6-Run1/Plate 4/@21/H12_03.tif </t>
  </si>
  <si>
    <t xml:space="preserve"> 60888.1534 </t>
  </si>
  <si>
    <t xml:space="preserve"> 51.9684 </t>
  </si>
  <si>
    <t xml:space="preserve">C:\Users\andre\Desktop\REACTIV CEFAS\E2\E2/20201116_Cefas_Test6-Run1/Plate 4/@21/ </t>
  </si>
  <si>
    <t xml:space="preserve"> 54.8276 </t>
  </si>
  <si>
    <t xml:space="preserve"> 6.5749 </t>
  </si>
  <si>
    <t xml:space="preserve"> 3746855.67 </t>
  </si>
  <si>
    <t xml:space="preserve"> 1524723.27 </t>
  </si>
  <si>
    <t xml:space="preserve">C:\Users\andre\Desktop\REACTIV CEFAS\E2\E2/20201116_Cefas_Test6-Run1/Plate 4/@8/A2_01.tif </t>
  </si>
  <si>
    <t xml:space="preserve"> 4909.9861 </t>
  </si>
  <si>
    <t xml:space="preserve"> 35.2863 </t>
  </si>
  <si>
    <t xml:space="preserve">C:\Users\andre\Desktop\REACTIV CEFAS\E2\E2/20201116_Cefas_Test6-Run1/Plate 4/@8/A2_02.tif </t>
  </si>
  <si>
    <t xml:space="preserve"> 15292.3355 </t>
  </si>
  <si>
    <t xml:space="preserve"> 36.1117 </t>
  </si>
  <si>
    <t xml:space="preserve">C:\Users\andre\Desktop\REACTIV CEFAS\E2\E2/20201116_Cefas_Test6-Run1/Plate 4/@8/A2_03.tif </t>
  </si>
  <si>
    <t xml:space="preserve"> 2552.3276 </t>
  </si>
  <si>
    <t xml:space="preserve"> 37.0847 </t>
  </si>
  <si>
    <t xml:space="preserve">C:\Users\andre\Desktop\REACTIV CEFAS\E2\E2/20201116_Cefas_Test6-Run1/Plate 4/@8/B2_01.tif </t>
  </si>
  <si>
    <t xml:space="preserve"> 4304.349 </t>
  </si>
  <si>
    <t xml:space="preserve"> 38.4975 </t>
  </si>
  <si>
    <t xml:space="preserve">C:\Users\andre\Desktop\REACTIV CEFAS\E2\E2/20201116_Cefas_Test6-Run1/Plate 4/@8/B2_02.tif </t>
  </si>
  <si>
    <t xml:space="preserve"> 34.7133 </t>
  </si>
  <si>
    <t xml:space="preserve">C:\Users\andre\Desktop\REACTIV CEFAS\E2\E2/20201116_Cefas_Test6-Run1/Plate 4/@8/B2_03.tif </t>
  </si>
  <si>
    <t xml:space="preserve"> 2811.8863 </t>
  </si>
  <si>
    <t xml:space="preserve"> 33.1308 </t>
  </si>
  <si>
    <t xml:space="preserve">C:\Users\andre\Desktop\REACTIV CEFAS\E2\E2/20201116_Cefas_Test6-Run1/Plate 4/@8/C2_01.tif </t>
  </si>
  <si>
    <t xml:space="preserve"> 6402.4488 </t>
  </si>
  <si>
    <t xml:space="preserve"> 39.5372 </t>
  </si>
  <si>
    <t xml:space="preserve">C:\Users\andre\Desktop\REACTIV CEFAS\E2\E2/20201116_Cefas_Test6-Run1/Plate 4/@8/C2_02.tif </t>
  </si>
  <si>
    <t xml:space="preserve"> 5688.6623 </t>
  </si>
  <si>
    <t xml:space="preserve"> 35.9049 </t>
  </si>
  <si>
    <t xml:space="preserve">C:\Users\andre\Desktop\REACTIV CEFAS\E2\E2/20201116_Cefas_Test6-Run1/Plate 4/@8/C2_03.tif </t>
  </si>
  <si>
    <t xml:space="preserve"> 6878.3065 </t>
  </si>
  <si>
    <t xml:space="preserve"> 38.327 </t>
  </si>
  <si>
    <t xml:space="preserve">C:\Users\andre\Desktop\REACTIV CEFAS\E2\E2/20201116_Cefas_Test6-Run1/Plate 4/@8/D2_01.tif </t>
  </si>
  <si>
    <t xml:space="preserve"> 3698.712 </t>
  </si>
  <si>
    <t xml:space="preserve"> 35.8596 </t>
  </si>
  <si>
    <t xml:space="preserve">C:\Users\andre\Desktop\REACTIV CEFAS\E2\E2/20201116_Cefas_Test6-Run1/Plate 4/@8/D2_02.tif </t>
  </si>
  <si>
    <t xml:space="preserve"> 6056.3705 </t>
  </si>
  <si>
    <t xml:space="preserve"> 39.0786 </t>
  </si>
  <si>
    <t xml:space="preserve">C:\Users\andre\Desktop\REACTIV CEFAS\E2\E2/20201116_Cefas_Test6-Run1/Plate 4/@8/D2_03.tif </t>
  </si>
  <si>
    <t xml:space="preserve"> 9084.5557 </t>
  </si>
  <si>
    <t xml:space="preserve"> 40.2643 </t>
  </si>
  <si>
    <t xml:space="preserve">C:\Users\andre\Desktop\REACTIV CEFAS\E2\E2/20201116_Cefas_Test6-Run1/Plate 4/@8/E2_01.tif </t>
  </si>
  <si>
    <t xml:space="preserve"> 5169.5448 </t>
  </si>
  <si>
    <t xml:space="preserve"> 36.4226 </t>
  </si>
  <si>
    <t xml:space="preserve">C:\Users\andre\Desktop\REACTIV CEFAS\E2\E2/20201116_Cefas_Test6-Run1/Plate 4/@8/E2_02.tif </t>
  </si>
  <si>
    <t xml:space="preserve">C:\Users\andre\Desktop\REACTIV CEFAS\E2\E2/20201116_Cefas_Test6-Run1/Plate 4/@8/E2_03.tif </t>
  </si>
  <si>
    <t xml:space="preserve"> 8327.5094 </t>
  </si>
  <si>
    <t xml:space="preserve"> 41.3169 </t>
  </si>
  <si>
    <t xml:space="preserve">C:\Users\andre\Desktop\REACTIV CEFAS\E2\E2/20201116_Cefas_Test6-Run1/Plate 4/@8/F2_01.tif </t>
  </si>
  <si>
    <t xml:space="preserve"> 34.5948 </t>
  </si>
  <si>
    <t xml:space="preserve">C:\Users\andre\Desktop\REACTIV CEFAS\E2\E2/20201116_Cefas_Test6-Run1/Plate 4/@8/F2_02.tif </t>
  </si>
  <si>
    <t xml:space="preserve"> 33.6102 </t>
  </si>
  <si>
    <t xml:space="preserve">C:\Users\andre\Desktop\REACTIV CEFAS\E2\E2/20201116_Cefas_Test6-Run1/Plate 4/@8/F2_03.tif </t>
  </si>
  <si>
    <t xml:space="preserve"> 843.5659 </t>
  </si>
  <si>
    <t xml:space="preserve"> 31.9487 </t>
  </si>
  <si>
    <t xml:space="preserve">C:\Users\andre\Desktop\REACTIV CEFAS\E2\E2/20201116_Cefas_Test6-Run1/Plate 4/@8/G2_01.tif </t>
  </si>
  <si>
    <t xml:space="preserve"> 9106.1856 </t>
  </si>
  <si>
    <t xml:space="preserve"> 38.9881 </t>
  </si>
  <si>
    <t xml:space="preserve">C:\Users\andre\Desktop\REACTIV CEFAS\E2\E2/20201116_Cefas_Test6-Run1/Plate 4/@8/G2_02.tif </t>
  </si>
  <si>
    <t xml:space="preserve"> 5667.0324 </t>
  </si>
  <si>
    <t xml:space="preserve"> 37.0191 </t>
  </si>
  <si>
    <t xml:space="preserve">C:\Users\andre\Desktop\REACTIV CEFAS\E2\E2/20201116_Cefas_Test6-Run1/Plate 4/@8/G2_03.tif </t>
  </si>
  <si>
    <t xml:space="preserve"> 7008.0859 </t>
  </si>
  <si>
    <t xml:space="preserve"> 41.1358 </t>
  </si>
  <si>
    <t xml:space="preserve">C:\Users\andre\Desktop\REACTIV CEFAS\E2\E2/20201116_Cefas_Test6-Run1/Plate 4/@8/H2_01.tif </t>
  </si>
  <si>
    <t xml:space="preserve"> 30.6667 </t>
  </si>
  <si>
    <t xml:space="preserve">C:\Users\andre\Desktop\REACTIV CEFAS\E2\E2/20201116_Cefas_Test6-Run1/Plate 4/@8/H2_02.tif </t>
  </si>
  <si>
    <t xml:space="preserve"> 7613.7229 </t>
  </si>
  <si>
    <t xml:space="preserve"> 38.4034 </t>
  </si>
  <si>
    <t xml:space="preserve">C:\Users\andre\Desktop\REACTIV CEFAS\E2\E2/20201116_Cefas_Test6-Run1/Plate 4/@8/H2_03.tif </t>
  </si>
  <si>
    <t xml:space="preserve"> 5948.221 </t>
  </si>
  <si>
    <t xml:space="preserve"> 38.0509 </t>
  </si>
  <si>
    <t xml:space="preserve">C:\Users\andre\Desktop\REACTIV CEFAS\E2\E2/20201116_Cefas_Test6-Run1/Plate 4/@8/ </t>
  </si>
  <si>
    <t xml:space="preserve"> 35.248 </t>
  </si>
  <si>
    <t xml:space="preserve"> 8.0032 </t>
  </si>
  <si>
    <t xml:space="preserve"> 197290.75 </t>
  </si>
  <si>
    <t xml:space="preserve"> 131801.152 </t>
  </si>
  <si>
    <t xml:space="preserve">C:\Users\andre\Desktop\REACTIV CEFAS\E2\E2/20201116_Cefas_Test6-Run1/Plate 4/@9/A3_01.tif </t>
  </si>
  <si>
    <t xml:space="preserve"> 3612.1924 </t>
  </si>
  <si>
    <t xml:space="preserve"> 37.2695 </t>
  </si>
  <si>
    <t xml:space="preserve">C:\Users\andre\Desktop\REACTIV CEFAS\E2\E2/20201116_Cefas_Test6-Run1/Plate 4/@9/A3_02.tif </t>
  </si>
  <si>
    <t xml:space="preserve"> 7137.8652 </t>
  </si>
  <si>
    <t xml:space="preserve"> 36.8364 </t>
  </si>
  <si>
    <t xml:space="preserve">C:\Users\andre\Desktop\REACTIV CEFAS\E2\E2/20201116_Cefas_Test6-Run1/Plate 4/@9/A3_03.tif </t>
  </si>
  <si>
    <t xml:space="preserve"> 32.6 </t>
  </si>
  <si>
    <t xml:space="preserve">C:\Users\andre\Desktop\REACTIV CEFAS\E2\E2/20201116_Cefas_Test6-Run1/Plate 4/@9/B3_01.tif </t>
  </si>
  <si>
    <t xml:space="preserve"> 11982.9616 </t>
  </si>
  <si>
    <t xml:space="preserve"> 41.8159 </t>
  </si>
  <si>
    <t xml:space="preserve">C:\Users\andre\Desktop\REACTIV CEFAS\E2\E2/20201116_Cefas_Test6-Run1/Plate 4/@9/B3_02.tif </t>
  </si>
  <si>
    <t xml:space="preserve">C:\Users\andre\Desktop\REACTIV CEFAS\E2\E2/20201116_Cefas_Test6-Run1/Plate 4/@9/B3_03.tif </t>
  </si>
  <si>
    <t xml:space="preserve">C:\Users\andre\Desktop\REACTIV CEFAS\E2\E2/20201116_Cefas_Test6-Run1/Plate 4/@9/C3_01.tif </t>
  </si>
  <si>
    <t xml:space="preserve"> 8998.0362 </t>
  </si>
  <si>
    <t xml:space="preserve"> 36.762 </t>
  </si>
  <si>
    <t xml:space="preserve">C:\Users\andre\Desktop\REACTIV CEFAS\E2\E2/20201116_Cefas_Test6-Run1/Plate 4/@9/C3_02.tif </t>
  </si>
  <si>
    <t xml:space="preserve"> 8305.8795 </t>
  </si>
  <si>
    <t xml:space="preserve"> 34.7552 </t>
  </si>
  <si>
    <t xml:space="preserve">C:\Users\andre\Desktop\REACTIV CEFAS\E2\E2/20201116_Cefas_Test6-Run1/Plate 4/@9/C3_03.tif </t>
  </si>
  <si>
    <t xml:space="preserve"> 8132.8404 </t>
  </si>
  <si>
    <t xml:space="preserve"> 37.2021 </t>
  </si>
  <si>
    <t xml:space="preserve">C:\Users\andre\Desktop\REACTIV CEFAS\E2\E2/20201116_Cefas_Test6-Run1/Plate 4/@9/D3_01.tif </t>
  </si>
  <si>
    <t xml:space="preserve"> 13799.8728 </t>
  </si>
  <si>
    <t xml:space="preserve"> 45.8135 </t>
  </si>
  <si>
    <t xml:space="preserve">C:\Users\andre\Desktop\REACTIV CEFAS\E2\E2/20201116_Cefas_Test6-Run1/Plate 4/@9/D3_02.tif </t>
  </si>
  <si>
    <t xml:space="preserve"> 33.1077 </t>
  </si>
  <si>
    <t xml:space="preserve">C:\Users\andre\Desktop\REACTIV CEFAS\E2\E2/20201116_Cefas_Test6-Run1/Plate 4/@9/D3_03.tif </t>
  </si>
  <si>
    <t xml:space="preserve"> 4477.3882 </t>
  </si>
  <si>
    <t xml:space="preserve"> 34.9952 </t>
  </si>
  <si>
    <t xml:space="preserve">C:\Users\andre\Desktop\REACTIV CEFAS\E2\E2/20201116_Cefas_Test6-Run1/Plate 4/@9/E3_01.tif </t>
  </si>
  <si>
    <t xml:space="preserve"> 7354.1642 </t>
  </si>
  <si>
    <t xml:space="preserve"> 37.9529 </t>
  </si>
  <si>
    <t xml:space="preserve">C:\Users\andre\Desktop\REACTIV CEFAS\E2\E2/20201116_Cefas_Test6-Run1/Plate 4/@9/E3_02.tif </t>
  </si>
  <si>
    <t xml:space="preserve"> 12523.709 </t>
  </si>
  <si>
    <t xml:space="preserve"> 39.8066 </t>
  </si>
  <si>
    <t xml:space="preserve">C:\Users\andre\Desktop\REACTIV CEFAS\E2\E2/20201116_Cefas_Test6-Run1/Plate 4/@9/E3_03.tif </t>
  </si>
  <si>
    <t xml:space="preserve"> 670.5267 </t>
  </si>
  <si>
    <t xml:space="preserve"> 32.0645 </t>
  </si>
  <si>
    <t xml:space="preserve">C:\Users\andre\Desktop\REACTIV CEFAS\E2\E2/20201116_Cefas_Test6-Run1/Plate 4/@9/F3_01.tif </t>
  </si>
  <si>
    <t xml:space="preserve"> 5602.1427 </t>
  </si>
  <si>
    <t xml:space="preserve"> 38.6371 </t>
  </si>
  <si>
    <t xml:space="preserve">C:\Users\andre\Desktop\REACTIV CEFAS\E2\E2/20201116_Cefas_Test6-Run1/Plate 4/@9/F3_02.tif </t>
  </si>
  <si>
    <t xml:space="preserve"> 4953.2459 </t>
  </si>
  <si>
    <t xml:space="preserve"> 38.7118 </t>
  </si>
  <si>
    <t xml:space="preserve">C:\Users\andre\Desktop\REACTIV CEFAS\E2\E2/20201116_Cefas_Test6-Run1/Plate 4/@9/F3_03.tif </t>
  </si>
  <si>
    <t xml:space="preserve"> 40.7577 </t>
  </si>
  <si>
    <t>C:\Users\andre\Desktop\REACTIV CEFAS\E2\E2/20201116_Cefas_Test6-Run1/Plate 4/@9/G3_01- exclu.tif</t>
  </si>
  <si>
    <t xml:space="preserve">C:\Users\andre\Desktop\REACTIV CEFAS\E2\E2/20201116_Cefas_Test6-Run1/Plate 4/@9/G3_02.tif </t>
  </si>
  <si>
    <t xml:space="preserve"> 5018.1356 </t>
  </si>
  <si>
    <t xml:space="preserve"> 44.1422 </t>
  </si>
  <si>
    <t xml:space="preserve">C:\Users\andre\Desktop\REACTIV CEFAS\E2\E2/20201116_Cefas_Test6-Run1/Plate 4/@9/G3_03.tif </t>
  </si>
  <si>
    <t xml:space="preserve"> 1254.5339 </t>
  </si>
  <si>
    <t xml:space="preserve"> 31.9828 </t>
  </si>
  <si>
    <t xml:space="preserve">C:\Users\andre\Desktop\REACTIV CEFAS\E2\E2/20201116_Cefas_Test6-Run1/Plate 4/@9/H3_01.tif </t>
  </si>
  <si>
    <t xml:space="preserve"> 5710.2922 </t>
  </si>
  <si>
    <t xml:space="preserve"> 39.9015 </t>
  </si>
  <si>
    <t xml:space="preserve">C:\Users\andre\Desktop\REACTIV CEFAS\E2\E2/20201116_Cefas_Test6-Run1/Plate 4/@9/H3_02.tif </t>
  </si>
  <si>
    <t xml:space="preserve"> 7375.7941 </t>
  </si>
  <si>
    <t xml:space="preserve"> 36.7302 </t>
  </si>
  <si>
    <t xml:space="preserve">C:\Users\andre\Desktop\REACTIV CEFAS\E2\E2/20201116_Cefas_Test6-Run1/Plate 4/@9/H3_03.tif </t>
  </si>
  <si>
    <t xml:space="preserve"> 4780.2067 </t>
  </si>
  <si>
    <t xml:space="preserve"> 38.9955 </t>
  </si>
  <si>
    <t xml:space="preserve">C:\Users\andre\Desktop\REACTIV CEFAS\E2\E2/20201116_Cefas_Test6-Run1/Plate 4/@9/ </t>
  </si>
  <si>
    <t xml:space="preserve"> 32.9517 </t>
  </si>
  <si>
    <t xml:space="preserve"> 13.1873 </t>
  </si>
  <si>
    <t xml:space="preserve"> 209059.167 </t>
  </si>
  <si>
    <t xml:space="preserve"> 169584.673 </t>
  </si>
  <si>
    <t>Colonne1</t>
  </si>
  <si>
    <t>1</t>
  </si>
  <si>
    <t>13</t>
  </si>
  <si>
    <t>14</t>
  </si>
  <si>
    <t>15</t>
  </si>
  <si>
    <t>16</t>
  </si>
  <si>
    <t>2</t>
  </si>
  <si>
    <t>3</t>
  </si>
  <si>
    <t>4</t>
  </si>
  <si>
    <t>5</t>
  </si>
  <si>
    <t>6</t>
  </si>
  <si>
    <t>7</t>
  </si>
  <si>
    <t>10</t>
  </si>
  <si>
    <t>11</t>
  </si>
  <si>
    <t>12</t>
  </si>
  <si>
    <t>17</t>
  </si>
  <si>
    <t>18</t>
  </si>
  <si>
    <t>19</t>
  </si>
  <si>
    <t>20</t>
  </si>
  <si>
    <t>21</t>
  </si>
  <si>
    <t>8</t>
  </si>
  <si>
    <t>9</t>
  </si>
  <si>
    <t>B</t>
  </si>
  <si>
    <t>C</t>
  </si>
  <si>
    <t>D</t>
  </si>
  <si>
    <t>E</t>
  </si>
  <si>
    <t>F</t>
  </si>
  <si>
    <t>G</t>
  </si>
  <si>
    <t>H</t>
  </si>
  <si>
    <t>17ß-estradiol 34ng/L</t>
  </si>
  <si>
    <t>17ß-estradiol 68ng/L</t>
  </si>
  <si>
    <t>17ß-estradiol 135ng/L</t>
  </si>
  <si>
    <t>17ß-estradiol 270ng/L</t>
  </si>
  <si>
    <t>17ß-estradiol 540ng/L</t>
  </si>
  <si>
    <t xml:space="preserve">C:\Users\andre\Desktop\REACTIV CEFAS\E2\E2/20201117_Cefas_Test6-Run2/Plate 1/@1/A10_01.tif </t>
  </si>
  <si>
    <t xml:space="preserve"> 30.5 </t>
  </si>
  <si>
    <t xml:space="preserve">C:\Users\andre\Desktop\REACTIV CEFAS\E2\E2/20201117_Cefas_Test6-Run2/Plate 1/@1/A10_02.tif </t>
  </si>
  <si>
    <t xml:space="preserve"> 1319.4236 </t>
  </si>
  <si>
    <t xml:space="preserve"> 34.2459 </t>
  </si>
  <si>
    <t xml:space="preserve">C:\Users\andre\Desktop\REACTIV CEFAS\E2\E2/20201117_Cefas_Test6-Run2/Plate 1/@1/A10_03.tif </t>
  </si>
  <si>
    <t xml:space="preserve">C:\Users\andre\Desktop\REACTIV CEFAS\E2\E2/20201117_Cefas_Test6-Run2/Plate 1/@1/B10_01.tif </t>
  </si>
  <si>
    <t xml:space="preserve"> 33.1935 </t>
  </si>
  <si>
    <t xml:space="preserve">C:\Users\andre\Desktop\REACTIV CEFAS\E2\E2/20201117_Cefas_Test6-Run2/Plate 1/@1/B10_02.tif </t>
  </si>
  <si>
    <t xml:space="preserve">C:\Users\andre\Desktop\REACTIV CEFAS\E2\E2/20201117_Cefas_Test6-Run2/Plate 1/@1/B10_03.tif </t>
  </si>
  <si>
    <t xml:space="preserve"> 9928.1216 </t>
  </si>
  <si>
    <t xml:space="preserve"> 42.427 </t>
  </si>
  <si>
    <t xml:space="preserve">C:\Users\andre\Desktop\REACTIV CEFAS\E2\E2/20201117_Cefas_Test6-Run2/Plate 1/@1/C10_01.tif </t>
  </si>
  <si>
    <t xml:space="preserve"> 194.6691 </t>
  </si>
  <si>
    <t xml:space="preserve"> 34.1111 </t>
  </si>
  <si>
    <t xml:space="preserve">C:\Users\andre\Desktop\REACTIV CEFAS\E2\E2/20201117_Cefas_Test6-Run2/Plate 1/@1/C10_02.tif </t>
  </si>
  <si>
    <t xml:space="preserve"> 475.8577 </t>
  </si>
  <si>
    <t xml:space="preserve"> 32.9091 </t>
  </si>
  <si>
    <t xml:space="preserve">C:\Users\andre\Desktop\REACTIV CEFAS\E2\E2/20201117_Cefas_Test6-Run2/Plate 1/@1/C10_03.tif </t>
  </si>
  <si>
    <t xml:space="preserve"> 38.0906 </t>
  </si>
  <si>
    <t xml:space="preserve">C:\Users\andre\Desktop\REACTIV CEFAS\E2\E2/20201117_Cefas_Test6-Run2/Plate 1/@1/D10_01.tif </t>
  </si>
  <si>
    <t xml:space="preserve"> 4672.0572 </t>
  </si>
  <si>
    <t xml:space="preserve"> 34.7917 </t>
  </si>
  <si>
    <t xml:space="preserve">C:\Users\andre\Desktop\REACTIV CEFAS\E2\E2/20201117_Cefas_Test6-Run2/Plate 1/@1/D10_02.tif </t>
  </si>
  <si>
    <t xml:space="preserve"> 4217.8295 </t>
  </si>
  <si>
    <t xml:space="preserve"> 34.0513 </t>
  </si>
  <si>
    <t xml:space="preserve">C:\Users\andre\Desktop\REACTIV CEFAS\E2\E2/20201117_Cefas_Test6-Run2/Plate 1/@1/D10_03.tif </t>
  </si>
  <si>
    <t xml:space="preserve"> 36.9211 </t>
  </si>
  <si>
    <t xml:space="preserve">C:\Users\andre\Desktop\REACTIV CEFAS\E2\E2/20201117_Cefas_Test6-Run2/Plate 1/@1/E10_01.tif </t>
  </si>
  <si>
    <t xml:space="preserve"> 39.2959 </t>
  </si>
  <si>
    <t xml:space="preserve">C:\Users\andre\Desktop\REACTIV CEFAS\E2\E2/20201117_Cefas_Test6-Run2/Plate 1/@1/E10_02.tif </t>
  </si>
  <si>
    <t xml:space="preserve"> 36.8529 </t>
  </si>
  <si>
    <t xml:space="preserve">C:\Users\andre\Desktop\REACTIV CEFAS\E2\E2/20201117_Cefas_Test6-Run2/Plate 1/@1/E10_03.tif </t>
  </si>
  <si>
    <t xml:space="preserve"> 2379.2884 </t>
  </si>
  <si>
    <t xml:space="preserve"> 33.5455 </t>
  </si>
  <si>
    <t xml:space="preserve">C:\Users\andre\Desktop\REACTIV CEFAS\E2\E2/20201117_Cefas_Test6-Run2/Plate 1/@1/F10_01.tif </t>
  </si>
  <si>
    <t xml:space="preserve">C:\Users\andre\Desktop\REACTIV CEFAS\E2\E2/20201117_Cefas_Test6-Run2/Plate 1/@1/F10_02.tif </t>
  </si>
  <si>
    <t xml:space="preserve">C:\Users\andre\Desktop\REACTIV CEFAS\E2\E2/20201117_Cefas_Test6-Run2/Plate 1/@1/F10_03.tif </t>
  </si>
  <si>
    <t xml:space="preserve">C:\Users\andre\Desktop\REACTIV CEFAS\E2\E2/20201117_Cefas_Test6-Run2/Plate 1/@1/G10_01.tif </t>
  </si>
  <si>
    <t xml:space="preserve"> 39.5799 </t>
  </si>
  <si>
    <t xml:space="preserve">C:\Users\andre\Desktop\REACTIV CEFAS\E2\E2/20201117_Cefas_Test6-Run2/Plate 1/@1/G10_02.tif </t>
  </si>
  <si>
    <t xml:space="preserve"> 7721.8724 </t>
  </si>
  <si>
    <t xml:space="preserve"> 39.395 </t>
  </si>
  <si>
    <t xml:space="preserve">C:\Users\andre\Desktop\REACTIV CEFAS\E2\E2/20201117_Cefas_Test6-Run2/Plate 1/@1/G10_03.tif </t>
  </si>
  <si>
    <t xml:space="preserve"> 6251.0395 </t>
  </si>
  <si>
    <t xml:space="preserve"> 38.6263 </t>
  </si>
  <si>
    <t>C:\Users\andre\Desktop\REACTIV CEFAS\E2\E2/20201117_Cefas_Test6-Run2/Plate 1/@1/H10_01- exclu.tif</t>
  </si>
  <si>
    <t>C:\Users\andre\Desktop\REACTIV CEFAS\E2\E2/20201117_Cefas_Test6-Run2/Plate 1/@1/H10_02- exclu.tif</t>
  </si>
  <si>
    <t>C:\Users\andre\Desktop\REACTIV CEFAS\E2\E2/20201117_Cefas_Test6-Run2/Plate 1/@1/H10_03- exclu.tif</t>
  </si>
  <si>
    <t xml:space="preserve">C:\Users\andre\Desktop\REACTIV CEFAS\E2\E2/20201117_Cefas_Test6-Run2/Plate 1/@1/ </t>
  </si>
  <si>
    <t xml:space="preserve"> 26.6335 </t>
  </si>
  <si>
    <t xml:space="preserve"> 16.0025 </t>
  </si>
  <si>
    <t xml:space="preserve"> 96127.75 </t>
  </si>
  <si>
    <t xml:space="preserve"> 118071.906 </t>
  </si>
  <si>
    <t xml:space="preserve">C:\Users\andre\Desktop\REACTIV CEFAS\E2\E2/20201117_Cefas_Test6-Run2/Plate 1/@13/A8_01.tif </t>
  </si>
  <si>
    <t xml:space="preserve"> 28162.1228 </t>
  </si>
  <si>
    <t xml:space="preserve"> 35.7427 </t>
  </si>
  <si>
    <t xml:space="preserve">C:\Users\andre\Desktop\REACTIV CEFAS\E2\E2/20201117_Cefas_Test6-Run2/Plate 1/@13/A8_02.tif </t>
  </si>
  <si>
    <t xml:space="preserve"> 31947.3544 </t>
  </si>
  <si>
    <t xml:space="preserve"> 35.4028 </t>
  </si>
  <si>
    <t xml:space="preserve">C:\Users\andre\Desktop\REACTIV CEFAS\E2\E2/20201117_Cefas_Test6-Run2/Plate 1/@13/A8_03.tif </t>
  </si>
  <si>
    <t xml:space="preserve"> 31752.6853 </t>
  </si>
  <si>
    <t xml:space="preserve"> 35.6199 </t>
  </si>
  <si>
    <t xml:space="preserve">C:\Users\andre\Desktop\REACTIV CEFAS\E2\E2/20201117_Cefas_Test6-Run2/Plate 1/@13/B8_01.tif </t>
  </si>
  <si>
    <t xml:space="preserve"> 62056.1677 </t>
  </si>
  <si>
    <t xml:space="preserve"> 40.4333 </t>
  </si>
  <si>
    <t xml:space="preserve">C:\Users\andre\Desktop\REACTIV CEFAS\E2\E2/20201117_Cefas_Test6-Run2/Plate 1/@13/B8_02.tif </t>
  </si>
  <si>
    <t xml:space="preserve"> 71551.6914 </t>
  </si>
  <si>
    <t xml:space="preserve"> 41.7288 </t>
  </si>
  <si>
    <t xml:space="preserve">C:\Users\andre\Desktop\REACTIV CEFAS\E2\E2/20201117_Cefas_Test6-Run2/Plate 1/@13/B8_03.tif </t>
  </si>
  <si>
    <t xml:space="preserve"> 62640.1748 </t>
  </si>
  <si>
    <t xml:space="preserve"> 41.0915 </t>
  </si>
  <si>
    <t xml:space="preserve">C:\Users\andre\Desktop\REACTIV CEFAS\E2\E2/20201117_Cefas_Test6-Run2/Plate 1/@13/C8_01.tif </t>
  </si>
  <si>
    <t xml:space="preserve"> 16135.9014 </t>
  </si>
  <si>
    <t xml:space="preserve"> 34.5965 </t>
  </si>
  <si>
    <t xml:space="preserve">C:\Users\andre\Desktop\REACTIV CEFAS\E2\E2/20201117_Cefas_Test6-Run2/Plate 1/@13/C8_02.tif </t>
  </si>
  <si>
    <t xml:space="preserve"> 6986.456 </t>
  </si>
  <si>
    <t xml:space="preserve"> 32.0836 </t>
  </si>
  <si>
    <t xml:space="preserve">C:\Users\andre\Desktop\REACTIV CEFAS\E2\E2/20201117_Cefas_Test6-Run2/Plate 1/@13/C8_03.tif </t>
  </si>
  <si>
    <t xml:space="preserve"> 12610.2286 </t>
  </si>
  <si>
    <t xml:space="preserve"> 33.8988 </t>
  </si>
  <si>
    <t xml:space="preserve">C:\Users\andre\Desktop\REACTIV CEFAS\E2\E2/20201117_Cefas_Test6-Run2/Plate 1/@13/D8_01.tif </t>
  </si>
  <si>
    <t xml:space="preserve"> 30281.8525 </t>
  </si>
  <si>
    <t xml:space="preserve"> 35.1586 </t>
  </si>
  <si>
    <t xml:space="preserve">C:\Users\andre\Desktop\REACTIV CEFAS\E2\E2/20201117_Cefas_Test6-Run2/Plate 1/@13/D8_02.tif </t>
  </si>
  <si>
    <t xml:space="preserve"> 38717.5114 </t>
  </si>
  <si>
    <t xml:space="preserve"> 35.8877 </t>
  </si>
  <si>
    <t xml:space="preserve">C:\Users\andre\Desktop\REACTIV CEFAS\E2\E2/20201117_Cefas_Test6-Run2/Plate 1/@13/D8_03.tif </t>
  </si>
  <si>
    <t xml:space="preserve"> 29654.5855 </t>
  </si>
  <si>
    <t xml:space="preserve"> 34.9555 </t>
  </si>
  <si>
    <t xml:space="preserve">C:\Users\andre\Desktop\REACTIV CEFAS\E2\E2/20201117_Cefas_Test6-Run2/Plate 1/@13/E8_01.tif </t>
  </si>
  <si>
    <t xml:space="preserve"> 46244.7147 </t>
  </si>
  <si>
    <t xml:space="preserve"> 39.5776 </t>
  </si>
  <si>
    <t xml:space="preserve">C:\Users\andre\Desktop\REACTIV CEFAS\E2\E2/20201117_Cefas_Test6-Run2/Plate 1/@13/E8_02.tif </t>
  </si>
  <si>
    <t xml:space="preserve"> 43.0661 </t>
  </si>
  <si>
    <t xml:space="preserve">C:\Users\andre\Desktop\REACTIV CEFAS\E2\E2/20201117_Cefas_Test6-Run2/Plate 1/@13/E8_03.tif </t>
  </si>
  <si>
    <t xml:space="preserve"> 63548.6304 </t>
  </si>
  <si>
    <t xml:space="preserve"> 42.0218 </t>
  </si>
  <si>
    <t xml:space="preserve">C:\Users\andre\Desktop\REACTIV CEFAS\E2\E2/20201117_Cefas_Test6-Run2/Plate 1/@13/F8_01.tif </t>
  </si>
  <si>
    <t xml:space="preserve"> 66187.4776 </t>
  </si>
  <si>
    <t xml:space="preserve"> 44.6853 </t>
  </si>
  <si>
    <t xml:space="preserve">C:\Users\andre\Desktop\REACTIV CEFAS\E2\E2/20201117_Cefas_Test6-Run2/Plate 1/@13/F8_02.tif </t>
  </si>
  <si>
    <t xml:space="preserve"> 62207.577 </t>
  </si>
  <si>
    <t xml:space="preserve"> 42.9503 </t>
  </si>
  <si>
    <t xml:space="preserve">C:\Users\andre\Desktop\REACTIV CEFAS\E2\E2/20201117_Cefas_Test6-Run2/Plate 1/@13/F8_03.tif </t>
  </si>
  <si>
    <t xml:space="preserve"> 60001.3277 </t>
  </si>
  <si>
    <t xml:space="preserve"> 40.8983 </t>
  </si>
  <si>
    <t xml:space="preserve">C:\Users\andre\Desktop\REACTIV CEFAS\E2\E2/20201117_Cefas_Test6-Run2/Plate 1/@13/G8_01.tif </t>
  </si>
  <si>
    <t xml:space="preserve"> 32704.4007 </t>
  </si>
  <si>
    <t xml:space="preserve"> 36.6806 </t>
  </si>
  <si>
    <t xml:space="preserve">C:\Users\andre\Desktop\REACTIV CEFAS\E2\E2/20201117_Cefas_Test6-Run2/Plate 1/@13/G8_02.tif </t>
  </si>
  <si>
    <t xml:space="preserve"> 40815.6112 </t>
  </si>
  <si>
    <t xml:space="preserve"> 36.9565 </t>
  </si>
  <si>
    <t xml:space="preserve">C:\Users\andre\Desktop\REACTIV CEFAS\E2\E2/20201117_Cefas_Test6-Run2/Plate 1/@13/G8_03.tif </t>
  </si>
  <si>
    <t xml:space="preserve"> 27578.1157 </t>
  </si>
  <si>
    <t xml:space="preserve"> 36.28 </t>
  </si>
  <si>
    <t xml:space="preserve">C:\Users\andre\Desktop\REACTIV CEFAS\E2\E2/20201117_Cefas_Test6-Run2/Plate 1/@13/H8_01.tif </t>
  </si>
  <si>
    <t xml:space="preserve"> 31.4027 </t>
  </si>
  <si>
    <t xml:space="preserve">C:\Users\andre\Desktop\REACTIV CEFAS\E2\E2/20201117_Cefas_Test6-Run2/Plate 1/@13/H8_02.tif </t>
  </si>
  <si>
    <t xml:space="preserve"> 7851.6518 </t>
  </si>
  <si>
    <t xml:space="preserve"> 32.1763 </t>
  </si>
  <si>
    <t xml:space="preserve">C:\Users\andre\Desktop\REACTIV CEFAS\E2\E2/20201117_Cefas_Test6-Run2/Plate 1/@13/H8_03.tif </t>
  </si>
  <si>
    <t xml:space="preserve"> 32.3897 </t>
  </si>
  <si>
    <t xml:space="preserve">C:\Users\andre\Desktop\REACTIV CEFAS\E2\E2/20201117_Cefas_Test6-Run2/Plate 1/@13/ </t>
  </si>
  <si>
    <t xml:space="preserve"> 37.3202 </t>
  </si>
  <si>
    <t xml:space="preserve"> 3.9433 </t>
  </si>
  <si>
    <t xml:space="preserve"> 1484651.71 </t>
  </si>
  <si>
    <t xml:space="preserve"> 977127.389 </t>
  </si>
  <si>
    <t>C:\Users\andre\Desktop\REACTIV CEFAS\E2\E2/20201117_Cefas_Test6-Run2/Plate 1/@14/A9_01- exclu.tif</t>
  </si>
  <si>
    <t>C:\Users\andre\Desktop\REACTIV CEFAS\E2\E2/20201117_Cefas_Test6-Run2/Plate 1/@14/A9_02- exclu.tif</t>
  </si>
  <si>
    <t>C:\Users\andre\Desktop\REACTIV CEFAS\E2\E2/20201117_Cefas_Test6-Run2/Plate 1/@14/A9_03- exclu.tif</t>
  </si>
  <si>
    <t xml:space="preserve">C:\Users\andre\Desktop\REACTIV CEFAS\E2\E2/20201117_Cefas_Test6-Run2/Plate 1/@14/B9_01.tif </t>
  </si>
  <si>
    <t xml:space="preserve"> 41.8427 </t>
  </si>
  <si>
    <t xml:space="preserve">C:\Users\andre\Desktop\REACTIV CEFAS\E2\E2/20201117_Cefas_Test6-Run2/Plate 1/@14/B9_02.tif </t>
  </si>
  <si>
    <t xml:space="preserve"> 41.9433 </t>
  </si>
  <si>
    <t xml:space="preserve">C:\Users\andre\Desktop\REACTIV CEFAS\E2\E2/20201117_Cefas_Test6-Run2/Plate 1/@14/B9_03.tif </t>
  </si>
  <si>
    <t xml:space="preserve"> 69799.67 </t>
  </si>
  <si>
    <t xml:space="preserve"> 42.5931 </t>
  </si>
  <si>
    <t xml:space="preserve">C:\Users\andre\Desktop\REACTIV CEFAS\E2\E2/20201117_Cefas_Test6-Run2/Plate 1/@14/C9_01.tif </t>
  </si>
  <si>
    <t xml:space="preserve"> 44687.3623 </t>
  </si>
  <si>
    <t xml:space="preserve"> 37.4593 </t>
  </si>
  <si>
    <t xml:space="preserve">C:\Users\andre\Desktop\REACTIV CEFAS\E2\E2/20201117_Cefas_Test6-Run2/Plate 1/@14/C9_02.tif </t>
  </si>
  <si>
    <t xml:space="preserve"> 40253.2339 </t>
  </si>
  <si>
    <t xml:space="preserve"> 36.3853 </t>
  </si>
  <si>
    <t xml:space="preserve">C:\Users\andre\Desktop\REACTIV CEFAS\E2\E2/20201117_Cefas_Test6-Run2/Plate 1/@14/C9_03.tif </t>
  </si>
  <si>
    <t xml:space="preserve"> 49965.0566 </t>
  </si>
  <si>
    <t xml:space="preserve"> 38.1784 </t>
  </si>
  <si>
    <t xml:space="preserve">C:\Users\andre\Desktop\REACTIV CEFAS\E2\E2/20201117_Cefas_Test6-Run2/Plate 1/@14/D9_01.tif </t>
  </si>
  <si>
    <t xml:space="preserve"> 65884.659 </t>
  </si>
  <si>
    <t xml:space="preserve"> 48.4875 </t>
  </si>
  <si>
    <t xml:space="preserve">C:\Users\andre\Desktop\REACTIV CEFAS\E2\E2/20201117_Cefas_Test6-Run2/Plate 1/@14/D9_02.tif </t>
  </si>
  <si>
    <t xml:space="preserve"> 74190.5386 </t>
  </si>
  <si>
    <t xml:space="preserve"> 44.9469 </t>
  </si>
  <si>
    <t xml:space="preserve">C:\Users\andre\Desktop\REACTIV CEFAS\E2\E2/20201117_Cefas_Test6-Run2/Plate 1/@14/D9_03.tif </t>
  </si>
  <si>
    <t xml:space="preserve"> 70080.8586 </t>
  </si>
  <si>
    <t xml:space="preserve"> 49.0164 </t>
  </si>
  <si>
    <t xml:space="preserve">C:\Users\andre\Desktop\REACTIV CEFAS\E2\E2/20201117_Cefas_Test6-Run2/Plate 1/@14/E9_01.tif </t>
  </si>
  <si>
    <t xml:space="preserve"> 2271.1389 </t>
  </si>
  <si>
    <t xml:space="preserve"> 31.8952 </t>
  </si>
  <si>
    <t xml:space="preserve">C:\Users\andre\Desktop\REACTIV CEFAS\E2\E2/20201117_Cefas_Test6-Run2/Plate 1/@14/E9_02.tif </t>
  </si>
  <si>
    <t xml:space="preserve"> 6164.52 </t>
  </si>
  <si>
    <t xml:space="preserve"> 33.786 </t>
  </si>
  <si>
    <t xml:space="preserve">C:\Users\andre\Desktop\REACTIV CEFAS\E2\E2/20201117_Cefas_Test6-Run2/Plate 1/@14/E9_03.tif </t>
  </si>
  <si>
    <t xml:space="preserve"> 605.637 </t>
  </si>
  <si>
    <t xml:space="preserve"> 32.3214 </t>
  </si>
  <si>
    <t xml:space="preserve">C:\Users\andre\Desktop\REACTIV CEFAS\E2\E2/20201117_Cefas_Test6-Run2/Plate 1/@14/F9_01.tif </t>
  </si>
  <si>
    <t xml:space="preserve"> 30433.2617 </t>
  </si>
  <si>
    <t xml:space="preserve"> 34.9666 </t>
  </si>
  <si>
    <t xml:space="preserve">C:\Users\andre\Desktop\REACTIV CEFAS\E2\E2/20201117_Cefas_Test6-Run2/Plate 1/@14/F9_02.tif </t>
  </si>
  <si>
    <t xml:space="preserve"> 23814.514 </t>
  </si>
  <si>
    <t xml:space="preserve"> 35.3497 </t>
  </si>
  <si>
    <t xml:space="preserve">C:\Users\andre\Desktop\REACTIV CEFAS\E2\E2/20201117_Cefas_Test6-Run2/Plate 1/@14/F9_03.tif </t>
  </si>
  <si>
    <t xml:space="preserve"> 23317.0264 </t>
  </si>
  <si>
    <t xml:space="preserve"> 32.8275 </t>
  </si>
  <si>
    <t xml:space="preserve">C:\Users\andre\Desktop\REACTIV CEFAS\E2\E2/20201117_Cefas_Test6-Run2/Plate 1/@14/G9_01.tif </t>
  </si>
  <si>
    <t xml:space="preserve"> 33.79 </t>
  </si>
  <si>
    <t xml:space="preserve">C:\Users\andre\Desktop\REACTIV CEFAS\E2\E2/20201117_Cefas_Test6-Run2/Plate 1/@14/G9_02.tif </t>
  </si>
  <si>
    <t xml:space="preserve"> 5212.8046 </t>
  </si>
  <si>
    <t xml:space="preserve"> 32.5726 </t>
  </si>
  <si>
    <t xml:space="preserve">C:\Users\andre\Desktop\REACTIV CEFAS\E2\E2/20201117_Cefas_Test6-Run2/Plate 1/@14/G9_03.tif </t>
  </si>
  <si>
    <t xml:space="preserve"> 8673.5877 </t>
  </si>
  <si>
    <t xml:space="preserve"> 33.9701 </t>
  </si>
  <si>
    <t xml:space="preserve">C:\Users\andre\Desktop\REACTIV CEFAS\E2\E2/20201117_Cefas_Test6-Run2/Plate 1/@14/H9_01.tif </t>
  </si>
  <si>
    <t xml:space="preserve"> 20656.5494 </t>
  </si>
  <si>
    <t xml:space="preserve"> 34.7864 </t>
  </si>
  <si>
    <t xml:space="preserve">C:\Users\andre\Desktop\REACTIV CEFAS\E2\E2/20201117_Cefas_Test6-Run2/Plate 1/@14/H9_02.tif </t>
  </si>
  <si>
    <t xml:space="preserve"> 24701.3397 </t>
  </si>
  <si>
    <t xml:space="preserve"> 35.4475 </t>
  </si>
  <si>
    <t xml:space="preserve">C:\Users\andre\Desktop\REACTIV CEFAS\E2\E2/20201117_Cefas_Test6-Run2/Plate 1/@14/H9_03.tif </t>
  </si>
  <si>
    <t xml:space="preserve"> 30022.2937 </t>
  </si>
  <si>
    <t xml:space="preserve"> 36.286 </t>
  </si>
  <si>
    <t xml:space="preserve">C:\Users\andre\Desktop\REACTIV CEFAS\E2\E2/20201117_Cefas_Test6-Run2/Plate 1/@14/ </t>
  </si>
  <si>
    <t xml:space="preserve"> 38.0158 </t>
  </si>
  <si>
    <t xml:space="preserve"> 5.0494 </t>
  </si>
  <si>
    <t xml:space="preserve"> 1502746.92 </t>
  </si>
  <si>
    <t xml:space="preserve"> 1134745.19 </t>
  </si>
  <si>
    <t xml:space="preserve">C:\Users\andre\Desktop\REACTIV CEFAS\E2\E2/20201117_Cefas_Test6-Run2/Plate 1/@15/A11_01.tif </t>
  </si>
  <si>
    <t xml:space="preserve"> 94111.6715 </t>
  </si>
  <si>
    <t xml:space="preserve"> 50.7378 </t>
  </si>
  <si>
    <t xml:space="preserve">C:\Users\andre\Desktop\REACTIV CEFAS\E2\E2/20201117_Cefas_Test6-Run2/Plate 1/@15/A11_02.tif </t>
  </si>
  <si>
    <t xml:space="preserve"> 88985.3865 </t>
  </si>
  <si>
    <t xml:space="preserve"> 45.1728 </t>
  </si>
  <si>
    <t xml:space="preserve">C:\Users\andre\Desktop\REACTIV CEFAS\E2\E2/20201117_Cefas_Test6-Run2/Plate 1/@15/A11_03.tif </t>
  </si>
  <si>
    <t xml:space="preserve"> 78776.0762 </t>
  </si>
  <si>
    <t xml:space="preserve"> 52.0695 </t>
  </si>
  <si>
    <t xml:space="preserve">C:\Users\andre\Desktop\REACTIV CEFAS\E2\E2/20201117_Cefas_Test6-Run2/Plate 1/@15/B11_01.tif </t>
  </si>
  <si>
    <t xml:space="preserve"> 54053.1067 </t>
  </si>
  <si>
    <t xml:space="preserve"> 44.0656 </t>
  </si>
  <si>
    <t xml:space="preserve">C:\Users\andre\Desktop\REACTIV CEFAS\E2\E2/20201117_Cefas_Test6-Run2/Plate 1/@15/B11_02.tif </t>
  </si>
  <si>
    <t xml:space="preserve"> 52344.345 </t>
  </si>
  <si>
    <t xml:space="preserve"> 45.3826 </t>
  </si>
  <si>
    <t xml:space="preserve">C:\Users\andre\Desktop\REACTIV CEFAS\E2\E2/20201117_Cefas_Test6-Run2/Plate 1/@15/B11_03.tif </t>
  </si>
  <si>
    <t xml:space="preserve"> 53166.281 </t>
  </si>
  <si>
    <t xml:space="preserve"> 46.6851 </t>
  </si>
  <si>
    <t xml:space="preserve">C:\Users\andre\Desktop\REACTIV CEFAS\E2\E2/20201117_Cefas_Test6-Run2/Plate 1/@15/C11_01.tif </t>
  </si>
  <si>
    <t xml:space="preserve"> 40296.4937 </t>
  </si>
  <si>
    <t xml:space="preserve"> 40.2979 </t>
  </si>
  <si>
    <t>C:\Users\andre\Desktop\REACTIV CEFAS\E2\E2/20201117_Cefas_Test6-Run2/Plate 1/@15/C11_02- exclu.tif</t>
  </si>
  <si>
    <t>C:\Users\andre\Desktop\REACTIV CEFAS\E2\E2/20201117_Cefas_Test6-Run2/Plate 1/@15/C11_03- exclu.tif</t>
  </si>
  <si>
    <t xml:space="preserve">C:\Users\andre\Desktop\REACTIV CEFAS\E2\E2/20201117_Cefas_Test6-Run2/Plate 1/@15/D11_01.tif </t>
  </si>
  <si>
    <t xml:space="preserve"> 57470.63 </t>
  </si>
  <si>
    <t xml:space="preserve"> 50.9364 </t>
  </si>
  <si>
    <t xml:space="preserve">C:\Users\andre\Desktop\REACTIV CEFAS\E2\E2/20201117_Cefas_Test6-Run2/Plate 1/@15/D11_02.tif </t>
  </si>
  <si>
    <t xml:space="preserve"> 54226.1458 </t>
  </si>
  <si>
    <t xml:space="preserve"> 44.3797 </t>
  </si>
  <si>
    <t xml:space="preserve">C:\Users\andre\Desktop\REACTIV CEFAS\E2\E2/20201117_Cefas_Test6-Run2/Plate 1/@15/D11_03.tif </t>
  </si>
  <si>
    <t xml:space="preserve"> 44.0791 </t>
  </si>
  <si>
    <t xml:space="preserve">C:\Users\andre\Desktop\REACTIV CEFAS\E2\E2/20201117_Cefas_Test6-Run2/Plate 1/@15/E11_01.tif </t>
  </si>
  <si>
    <t xml:space="preserve"> 93852.1128 </t>
  </si>
  <si>
    <t xml:space="preserve"> 56.575 </t>
  </si>
  <si>
    <t xml:space="preserve">C:\Users\andre\Desktop\REACTIV CEFAS\E2\E2/20201117_Cefas_Test6-Run2/Plate 1/@15/E11_02.tif </t>
  </si>
  <si>
    <t xml:space="preserve"> 98848.6185 </t>
  </si>
  <si>
    <t xml:space="preserve"> 53.0672 </t>
  </si>
  <si>
    <t xml:space="preserve">C:\Users\andre\Desktop\REACTIV CEFAS\E2\E2/20201117_Cefas_Test6-Run2/Plate 1/@15/E11_03.tif </t>
  </si>
  <si>
    <t xml:space="preserve"> 100362.711 </t>
  </si>
  <si>
    <t xml:space="preserve"> 56.5625 </t>
  </si>
  <si>
    <t xml:space="preserve">C:\Users\andre\Desktop\REACTIV CEFAS\E2\E2/20201117_Cefas_Test6-Run2/Plate 1/@15/F11_01.tif </t>
  </si>
  <si>
    <t xml:space="preserve"> 79727.7916 </t>
  </si>
  <si>
    <t xml:space="preserve"> 53.1039 </t>
  </si>
  <si>
    <t xml:space="preserve">C:\Users\andre\Desktop\REACTIV CEFAS\E2\E2/20201117_Cefas_Test6-Run2/Plate 1/@15/F11_02.tif </t>
  </si>
  <si>
    <t xml:space="preserve"> 81047.2152 </t>
  </si>
  <si>
    <t xml:space="preserve"> 55.6864 </t>
  </si>
  <si>
    <t xml:space="preserve">C:\Users\andre\Desktop\REACTIV CEFAS\E2\E2/20201117_Cefas_Test6-Run2/Plate 1/@15/F11_03.tif </t>
  </si>
  <si>
    <t xml:space="preserve"> 48.3135 </t>
  </si>
  <si>
    <t xml:space="preserve">C:\Users\andre\Desktop\REACTIV CEFAS\E2\E2/20201117_Cefas_Test6-Run2/Plate 1/@15/G11_01.tif </t>
  </si>
  <si>
    <t xml:space="preserve"> 82042.1903 </t>
  </si>
  <si>
    <t xml:space="preserve"> 41.1819 </t>
  </si>
  <si>
    <t xml:space="preserve">C:\Users\andre\Desktop\REACTIV CEFAS\E2\E2/20201117_Cefas_Test6-Run2/Plate 1/@15/G11_02.tif </t>
  </si>
  <si>
    <t xml:space="preserve"> 82799.2366 </t>
  </si>
  <si>
    <t xml:space="preserve"> 43.7244 </t>
  </si>
  <si>
    <t xml:space="preserve">C:\Users\andre\Desktop\REACTIV CEFAS\E2\E2/20201117_Cefas_Test6-Run2/Plate 1/@15/G11_03.tif </t>
  </si>
  <si>
    <t xml:space="preserve"> 66338.8868 </t>
  </si>
  <si>
    <t xml:space="preserve"> 43.0619 </t>
  </si>
  <si>
    <t xml:space="preserve">C:\Users\andre\Desktop\REACTIV CEFAS\E2\E2/20201117_Cefas_Test6-Run2/Plate 1/@15/H11_01.tif </t>
  </si>
  <si>
    <t xml:space="preserve"> 75034.1045 </t>
  </si>
  <si>
    <t xml:space="preserve"> 49.8818 </t>
  </si>
  <si>
    <t xml:space="preserve">C:\Users\andre\Desktop\REACTIV CEFAS\E2\E2/20201117_Cefas_Test6-Run2/Plate 1/@15/H11_02.tif </t>
  </si>
  <si>
    <t xml:space="preserve"> 49.4214 </t>
  </si>
  <si>
    <t xml:space="preserve">C:\Users\andre\Desktop\REACTIV CEFAS\E2\E2/20201117_Cefas_Test6-Run2/Plate 1/@15/H11_03.tif </t>
  </si>
  <si>
    <t xml:space="preserve"> 72611.5563 </t>
  </si>
  <si>
    <t xml:space="preserve"> 48.3324 </t>
  </si>
  <si>
    <t xml:space="preserve">C:\Users\andre\Desktop\REACTIV CEFAS\E2\E2/20201117_Cefas_Test6-Run2/Plate 1/@15/ </t>
  </si>
  <si>
    <t xml:space="preserve"> 47.5661 </t>
  </si>
  <si>
    <t xml:space="preserve"> 5.3066 </t>
  </si>
  <si>
    <t xml:space="preserve"> 3492183.46 </t>
  </si>
  <si>
    <t xml:space="preserve"> 1155670.21 </t>
  </si>
  <si>
    <t xml:space="preserve">C:\Users\andre\Desktop\REACTIV CEFAS\E2\E2/20201117_Cefas_Test6-Run2/Plate 1/@16/A12_01.tif </t>
  </si>
  <si>
    <t xml:space="preserve"> 31.6667 </t>
  </si>
  <si>
    <t xml:space="preserve">C:\Users\andre\Desktop\REACTIV CEFAS\E2\E2/20201117_Cefas_Test6-Run2/Plate 1/@16/A12_02.tif </t>
  </si>
  <si>
    <t xml:space="preserve"> 8954.7764 </t>
  </si>
  <si>
    <t xml:space="preserve"> 38.5652 </t>
  </si>
  <si>
    <t xml:space="preserve">C:\Users\andre\Desktop\REACTIV CEFAS\E2\E2/20201117_Cefas_Test6-Run2/Plate 1/@16/A12_03.tif </t>
  </si>
  <si>
    <t xml:space="preserve"> 7310.9044 </t>
  </si>
  <si>
    <t xml:space="preserve"> 35.8609 </t>
  </si>
  <si>
    <t xml:space="preserve">C:\Users\andre\Desktop\REACTIV CEFAS\E2\E2/20201117_Cefas_Test6-Run2/Plate 1/@16/B12_01.tif </t>
  </si>
  <si>
    <t xml:space="preserve"> 1881.8008 </t>
  </si>
  <si>
    <t xml:space="preserve"> 36.1839 </t>
  </si>
  <si>
    <t xml:space="preserve">C:\Users\andre\Desktop\REACTIV CEFAS\E2\E2/20201117_Cefas_Test6-Run2/Plate 1/@16/B12_02.tif </t>
  </si>
  <si>
    <t xml:space="preserve"> 5731.9221 </t>
  </si>
  <si>
    <t xml:space="preserve"> 42.9057 </t>
  </si>
  <si>
    <t xml:space="preserve">C:\Users\andre\Desktop\REACTIV CEFAS\E2\E2/20201117_Cefas_Test6-Run2/Plate 1/@16/B12_03.tif </t>
  </si>
  <si>
    <t xml:space="preserve"> 8889.8867 </t>
  </si>
  <si>
    <t xml:space="preserve"> 46.292 </t>
  </si>
  <si>
    <t xml:space="preserve">C:\Users\andre\Desktop\REACTIV CEFAS\E2\E2/20201117_Cefas_Test6-Run2/Plate 1/@16/C12_01.tif </t>
  </si>
  <si>
    <t xml:space="preserve"> 33.0758 </t>
  </si>
  <si>
    <t xml:space="preserve">C:\Users\andre\Desktop\REACTIV CEFAS\E2\E2/20201117_Cefas_Test6-Run2/Plate 1/@16/C12_02.tif </t>
  </si>
  <si>
    <t xml:space="preserve"> 9214.3351 </t>
  </si>
  <si>
    <t xml:space="preserve"> 39.6596 </t>
  </si>
  <si>
    <t xml:space="preserve">C:\Users\andre\Desktop\REACTIV CEFAS\E2\E2/20201117_Cefas_Test6-Run2/Plate 1/@16/C12_03.tif </t>
  </si>
  <si>
    <t xml:space="preserve"> 6445.7086 </t>
  </si>
  <si>
    <t xml:space="preserve"> 38.0839 </t>
  </si>
  <si>
    <t xml:space="preserve">C:\Users\andre\Desktop\REACTIV CEFAS\E2\E2/20201117_Cefas_Test6-Run2/Plate 1/@16/D12_01.tif </t>
  </si>
  <si>
    <t xml:space="preserve"> 367.7082 </t>
  </si>
  <si>
    <t xml:space="preserve"> 31.3529 </t>
  </si>
  <si>
    <t xml:space="preserve">C:\Users\andre\Desktop\REACTIV CEFAS\E2\E2/20201117_Cefas_Test6-Run2/Plate 1/@16/D12_02.tif </t>
  </si>
  <si>
    <t xml:space="preserve"> 259.5587 </t>
  </si>
  <si>
    <t xml:space="preserve"> 31.5 </t>
  </si>
  <si>
    <t xml:space="preserve">C:\Users\andre\Desktop\REACTIV CEFAS\E2\E2/20201117_Cefas_Test6-Run2/Plate 1/@16/D12_03.tif </t>
  </si>
  <si>
    <t xml:space="preserve"> 1773.6514 </t>
  </si>
  <si>
    <t xml:space="preserve"> 33.4512 </t>
  </si>
  <si>
    <t xml:space="preserve">C:\Users\andre\Desktop\REACTIV CEFAS\E2\E2/20201117_Cefas_Test6-Run2/Plate 1/@16/E12_01.tif </t>
  </si>
  <si>
    <t xml:space="preserve">C:\Users\andre\Desktop\REACTIV CEFAS\E2\E2/20201117_Cefas_Test6-Run2/Plate 1/@16/E12_02.tif </t>
  </si>
  <si>
    <t xml:space="preserve">C:\Users\andre\Desktop\REACTIV CEFAS\E2\E2/20201117_Cefas_Test6-Run2/Plate 1/@16/E12_03.tif </t>
  </si>
  <si>
    <t xml:space="preserve"> 3504.0429 </t>
  </si>
  <si>
    <t xml:space="preserve"> 37.642 </t>
  </si>
  <si>
    <t xml:space="preserve">C:\Users\andre\Desktop\REACTIV CEFAS\E2\E2/20201117_Cefas_Test6-Run2/Plate 1/@16/F12_01.tif </t>
  </si>
  <si>
    <t xml:space="preserve"> 39.0536 </t>
  </si>
  <si>
    <t xml:space="preserve">C:\Users\andre\Desktop\REACTIV CEFAS\E2\E2/20201117_Cefas_Test6-Run2/Plate 1/@16/F12_02.tif </t>
  </si>
  <si>
    <t xml:space="preserve"> 6705.2673 </t>
  </si>
  <si>
    <t xml:space="preserve"> 39.1 </t>
  </si>
  <si>
    <t xml:space="preserve">C:\Users\andre\Desktop\REACTIV CEFAS\E2\E2/20201117_Cefas_Test6-Run2/Plate 1/@16/F12_03.tif </t>
  </si>
  <si>
    <t xml:space="preserve"> 8154.4703 </t>
  </si>
  <si>
    <t xml:space="preserve"> 38.1459 </t>
  </si>
  <si>
    <t xml:space="preserve">C:\Users\andre\Desktop\REACTIV CEFAS\E2\E2/20201117_Cefas_Test6-Run2/Plate 1/@16/G12_01.tif </t>
  </si>
  <si>
    <t xml:space="preserve"> 5256.0644 </t>
  </si>
  <si>
    <t xml:space="preserve"> 37.0412 </t>
  </si>
  <si>
    <t xml:space="preserve">C:\Users\andre\Desktop\REACTIV CEFAS\E2\E2/20201117_Cefas_Test6-Run2/Plate 1/@16/G12_02.tif </t>
  </si>
  <si>
    <t xml:space="preserve"> 4390.8686 </t>
  </si>
  <si>
    <t xml:space="preserve"> 35.069 </t>
  </si>
  <si>
    <t xml:space="preserve">C:\Users\andre\Desktop\REACTIV CEFAS\E2\E2/20201117_Cefas_Test6-Run2/Plate 1/@16/G12_03.tif </t>
  </si>
  <si>
    <t xml:space="preserve"> 2033.2101 </t>
  </si>
  <si>
    <t xml:space="preserve"> 33.4574 </t>
  </si>
  <si>
    <t xml:space="preserve">C:\Users\andre\Desktop\REACTIV CEFAS\E2\E2/20201117_Cefas_Test6-Run2/Plate 1/@16/H12_01.tif </t>
  </si>
  <si>
    <t xml:space="preserve"> 6294.2993 </t>
  </si>
  <si>
    <t xml:space="preserve"> 36.4536 </t>
  </si>
  <si>
    <t xml:space="preserve">C:\Users\andre\Desktop\REACTIV CEFAS\E2\E2/20201117_Cefas_Test6-Run2/Plate 1/@16/H12_02.tif </t>
  </si>
  <si>
    <t xml:space="preserve"> 36.831 </t>
  </si>
  <si>
    <t xml:space="preserve">C:\Users\andre\Desktop\REACTIV CEFAS\E2\E2/20201117_Cefas_Test6-Run2/Plate 1/@16/H12_03.tif </t>
  </si>
  <si>
    <t xml:space="preserve"> 36.9754 </t>
  </si>
  <si>
    <t xml:space="preserve">C:\Users\andre\Desktop\REACTIV CEFAS\E2\E2/20201117_Cefas_Test6-Run2/Plate 1/@16/ </t>
  </si>
  <si>
    <t xml:space="preserve"> 34.932 </t>
  </si>
  <si>
    <t xml:space="preserve"> 8.3269 </t>
  </si>
  <si>
    <t xml:space="preserve"> 171310.625 </t>
  </si>
  <si>
    <t xml:space="preserve"> 136205.397 </t>
  </si>
  <si>
    <t>C:\Users\andre\Desktop\REACTIV CEFAS\E2\E2/20201117_Cefas_Test6-Run2/Plate 1/@2/A2_01- exclu.tif</t>
  </si>
  <si>
    <t>C:\Users\andre\Desktop\REACTIV CEFAS\E2\E2/20201117_Cefas_Test6-Run2/Plate 1/@2/A2_02- exclu.tif</t>
  </si>
  <si>
    <t>C:\Users\andre\Desktop\REACTIV CEFAS\E2\E2/20201117_Cefas_Test6-Run2/Plate 1/@2/A2_03- exclu.tif</t>
  </si>
  <si>
    <t xml:space="preserve">C:\Users\andre\Desktop\REACTIV CEFAS\E2\E2/20201117_Cefas_Test6-Run2/Plate 1/@2/B2_01.tif </t>
  </si>
  <si>
    <t xml:space="preserve"> 4369.2387 </t>
  </si>
  <si>
    <t xml:space="preserve"> 40.5248 </t>
  </si>
  <si>
    <t xml:space="preserve">C:\Users\andre\Desktop\REACTIV CEFAS\E2\E2/20201117_Cefas_Test6-Run2/Plate 1/@2/B2_02.tif </t>
  </si>
  <si>
    <t xml:space="preserve"> 34.8188 </t>
  </si>
  <si>
    <t xml:space="preserve">C:\Users\andre\Desktop\REACTIV CEFAS\E2\E2/20201117_Cefas_Test6-Run2/Plate 1/@2/B2_03.tif </t>
  </si>
  <si>
    <t xml:space="preserve"> 3157.9646 </t>
  </si>
  <si>
    <t xml:space="preserve"> 36.2877 </t>
  </si>
  <si>
    <t xml:space="preserve">C:\Users\andre\Desktop\REACTIV CEFAS\E2\E2/20201117_Cefas_Test6-Run2/Plate 1/@2/C2_01.tif </t>
  </si>
  <si>
    <t xml:space="preserve"> 8716.8475 </t>
  </si>
  <si>
    <t xml:space="preserve"> 40.3474 </t>
  </si>
  <si>
    <t xml:space="preserve">C:\Users\andre\Desktop\REACTIV CEFAS\E2\E2/20201117_Cefas_Test6-Run2/Plate 1/@2/C2_02.tif </t>
  </si>
  <si>
    <t xml:space="preserve"> 3136.3347 </t>
  </si>
  <si>
    <t xml:space="preserve"> 32.3793 </t>
  </si>
  <si>
    <t xml:space="preserve">C:\Users\andre\Desktop\REACTIV CEFAS\E2\E2/20201117_Cefas_Test6-Run2/Plate 1/@2/C2_03.tif </t>
  </si>
  <si>
    <t xml:space="preserve"> 5104.6551 </t>
  </si>
  <si>
    <t xml:space="preserve"> 36.1017 </t>
  </si>
  <si>
    <t xml:space="preserve">C:\Users\andre\Desktop\REACTIV CEFAS\E2\E2/20201117_Cefas_Test6-Run2/Plate 1/@2/D2_01.tif </t>
  </si>
  <si>
    <t xml:space="preserve"> 7700.2425 </t>
  </si>
  <si>
    <t xml:space="preserve"> 37.1292 </t>
  </si>
  <si>
    <t xml:space="preserve">C:\Users\andre\Desktop\REACTIV CEFAS\E2\E2/20201117_Cefas_Test6-Run2/Plate 1/@2/D2_02.tif </t>
  </si>
  <si>
    <t xml:space="preserve"> 37.2527 </t>
  </si>
  <si>
    <t xml:space="preserve">C:\Users\andre\Desktop\REACTIV CEFAS\E2\E2/20201117_Cefas_Test6-Run2/Plate 1/@2/D2_03.tif </t>
  </si>
  <si>
    <t xml:space="preserve"> 33.0192 </t>
  </si>
  <si>
    <t xml:space="preserve">C:\Users\andre\Desktop\REACTIV CEFAS\E2\E2/20201117_Cefas_Test6-Run2/Plate 1/@2/E2_01.tif </t>
  </si>
  <si>
    <t xml:space="preserve"> 14470.3995 </t>
  </si>
  <si>
    <t xml:space="preserve"> 41.7175 </t>
  </si>
  <si>
    <t xml:space="preserve">C:\Users\andre\Desktop\REACTIV CEFAS\E2\E2/20201117_Cefas_Test6-Run2/Plate 1/@2/E2_02.tif </t>
  </si>
  <si>
    <t xml:space="preserve"> 33.6 </t>
  </si>
  <si>
    <t>C:\Users\andre\Desktop\REACTIV CEFAS\E2\E2/20201117_Cefas_Test6-Run2/Plate 1/@2/E2_03- exclu.tif</t>
  </si>
  <si>
    <t xml:space="preserve">C:\Users\andre\Desktop\REACTIV CEFAS\E2\E2/20201117_Cefas_Test6-Run2/Plate 1/@2/F2_01.tif </t>
  </si>
  <si>
    <t>C:\Users\andre\Desktop\REACTIV CEFAS\E2\E2/20201117_Cefas_Test6-Run2/Plate 1/@2/F2_02- exclu.tif</t>
  </si>
  <si>
    <t>C:\Users\andre\Desktop\REACTIV CEFAS\E2\E2/20201117_Cefas_Test6-Run2/Plate 1/@2/F2_03- exclu.tif</t>
  </si>
  <si>
    <t>C:\Users\andre\Desktop\REACTIV CEFAS\E2\E2/20201117_Cefas_Test6-Run2/Plate 1/@2/G2_01- exclu.tif</t>
  </si>
  <si>
    <t xml:space="preserve">C:\Users\andre\Desktop\REACTIV CEFAS\E2\E2/20201117_Cefas_Test6-Run2/Plate 1/@2/G2_02.tif </t>
  </si>
  <si>
    <t xml:space="preserve"> 3417.5234 </t>
  </si>
  <si>
    <t xml:space="preserve"> 36.6456 </t>
  </si>
  <si>
    <t xml:space="preserve">C:\Users\andre\Desktop\REACTIV CEFAS\E2\E2/20201117_Cefas_Test6-Run2/Plate 1/@2/G2_03.tif </t>
  </si>
  <si>
    <t xml:space="preserve">C:\Users\andre\Desktop\REACTIV CEFAS\E2\E2/20201117_Cefas_Test6-Run2/Plate 1/@2/H2_01.tif </t>
  </si>
  <si>
    <t xml:space="preserve"> 4088.0501 </t>
  </si>
  <si>
    <t xml:space="preserve"> 36.1429 </t>
  </si>
  <si>
    <t xml:space="preserve">C:\Users\andre\Desktop\REACTIV CEFAS\E2\E2/20201117_Cefas_Test6-Run2/Plate 1/@2/H2_02.tif </t>
  </si>
  <si>
    <t xml:space="preserve"> 3871.7511 </t>
  </si>
  <si>
    <t xml:space="preserve"> 37.6983 </t>
  </si>
  <si>
    <t xml:space="preserve">C:\Users\andre\Desktop\REACTIV CEFAS\E2\E2/20201117_Cefas_Test6-Run2/Plate 1/@2/H2_03.tif </t>
  </si>
  <si>
    <t xml:space="preserve"> 3763.6017 </t>
  </si>
  <si>
    <t xml:space="preserve"> 35.7471 </t>
  </si>
  <si>
    <t xml:space="preserve">C:\Users\andre\Desktop\REACTIV CEFAS\E2\E2/20201117_Cefas_Test6-Run2/Plate 1/@2/ </t>
  </si>
  <si>
    <t xml:space="preserve"> 33.5932 </t>
  </si>
  <si>
    <t xml:space="preserve"> 14.3091 </t>
  </si>
  <si>
    <t xml:space="preserve"> 219280.333 </t>
  </si>
  <si>
    <t xml:space="preserve"> 257252.564 </t>
  </si>
  <si>
    <t xml:space="preserve">C:\Users\andre\Desktop\REACTIV CEFAS\E2\E2/20201117_Cefas_Test6-Run2/Plate 1/@3/A3_01.tif </t>
  </si>
  <si>
    <t xml:space="preserve"> 6813.4168 </t>
  </si>
  <si>
    <t xml:space="preserve"> 39.5619 </t>
  </si>
  <si>
    <t xml:space="preserve">C:\Users\andre\Desktop\REACTIV CEFAS\E2\E2/20201117_Cefas_Test6-Run2/Plate 1/@3/A3_02.tif </t>
  </si>
  <si>
    <t xml:space="preserve"> 692.1566 </t>
  </si>
  <si>
    <t xml:space="preserve"> 32.7812 </t>
  </si>
  <si>
    <t xml:space="preserve">C:\Users\andre\Desktop\REACTIV CEFAS\E2\E2/20201117_Cefas_Test6-Run2/Plate 1/@3/A3_03.tif </t>
  </si>
  <si>
    <t xml:space="preserve">C:\Users\andre\Desktop\REACTIV CEFAS\E2\E2/20201117_Cefas_Test6-Run2/Plate 1/@3/B3_01.tif </t>
  </si>
  <si>
    <t xml:space="preserve"> 34.4167 </t>
  </si>
  <si>
    <t xml:space="preserve">C:\Users\andre\Desktop\REACTIV CEFAS\E2\E2/20201117_Cefas_Test6-Run2/Plate 1/@3/B3_02.tif </t>
  </si>
  <si>
    <t xml:space="preserve"> 33.25 </t>
  </si>
  <si>
    <t>C:\Users\andre\Desktop\REACTIV CEFAS\E2\E2/20201117_Cefas_Test6-Run2/Plate 1/@3/B3_03- exclu.tif</t>
  </si>
  <si>
    <t xml:space="preserve">C:\Users\andre\Desktop\REACTIV CEFAS\E2\E2/20201117_Cefas_Test6-Run2/Plate 1/@3/C3_01.tif </t>
  </si>
  <si>
    <t xml:space="preserve"> 6121.2602 </t>
  </si>
  <si>
    <t xml:space="preserve"> 38.0813 </t>
  </si>
  <si>
    <t>C:\Users\andre\Desktop\REACTIV CEFAS\E2\E2/20201117_Cefas_Test6-Run2/Plate 1/@3/C3_02- exclu.tif</t>
  </si>
  <si>
    <t>C:\Users\andre\Desktop\REACTIV CEFAS\E2\E2/20201117_Cefas_Test6-Run2/Plate 1/@3/C3_03- exclu.tif</t>
  </si>
  <si>
    <t xml:space="preserve">C:\Users\andre\Desktop\REACTIV CEFAS\E2\E2/20201117_Cefas_Test6-Run2/Plate 1/@3/D3_01.tif </t>
  </si>
  <si>
    <t xml:space="preserve"> 31.2222 </t>
  </si>
  <si>
    <t xml:space="preserve">C:\Users\andre\Desktop\REACTIV CEFAS\E2\E2/20201117_Cefas_Test6-Run2/Plate 1/@3/D3_02.tif </t>
  </si>
  <si>
    <t xml:space="preserve">C:\Users\andre\Desktop\REACTIV CEFAS\E2\E2/20201117_Cefas_Test6-Run2/Plate 1/@3/D3_03.tif </t>
  </si>
  <si>
    <t xml:space="preserve"> 33.0362 </t>
  </si>
  <si>
    <t xml:space="preserve">C:\Users\andre\Desktop\REACTIV CEFAS\E2\E2/20201117_Cefas_Test6-Run2/Plate 1/@3/E3_01.tif </t>
  </si>
  <si>
    <t xml:space="preserve"> 40.8171 </t>
  </si>
  <si>
    <t xml:space="preserve">C:\Users\andre\Desktop\REACTIV CEFAS\E2\E2/20201117_Cefas_Test6-Run2/Plate 1/@3/E3_02.tif </t>
  </si>
  <si>
    <t xml:space="preserve"> 37.7931 </t>
  </si>
  <si>
    <t xml:space="preserve">C:\Users\andre\Desktop\REACTIV CEFAS\E2\E2/20201117_Cefas_Test6-Run2/Plate 1/@3/E3_03.tif </t>
  </si>
  <si>
    <t xml:space="preserve"> 36.5272 </t>
  </si>
  <si>
    <t xml:space="preserve">C:\Users\andre\Desktop\REACTIV CEFAS\E2\E2/20201117_Cefas_Test6-Run2/Plate 1/@3/F3_01.tif </t>
  </si>
  <si>
    <t xml:space="preserve">C:\Users\andre\Desktop\REACTIV CEFAS\E2\E2/20201117_Cefas_Test6-Run2/Plate 1/@3/F3_02.tif </t>
  </si>
  <si>
    <t xml:space="preserve"> 5991.4808 </t>
  </si>
  <si>
    <t xml:space="preserve"> 36.1227 </t>
  </si>
  <si>
    <t xml:space="preserve">C:\Users\andre\Desktop\REACTIV CEFAS\E2\E2/20201117_Cefas_Test6-Run2/Plate 1/@3/F3_03.tif </t>
  </si>
  <si>
    <t xml:space="preserve"> 39.1768 </t>
  </si>
  <si>
    <t xml:space="preserve">C:\Users\andre\Desktop\REACTIV CEFAS\E2\E2/20201117_Cefas_Test6-Run2/Plate 1/@3/G3_01.tif </t>
  </si>
  <si>
    <t xml:space="preserve">C:\Users\andre\Desktop\REACTIV CEFAS\E2\E2/20201117_Cefas_Test6-Run2/Plate 1/@3/G3_02.tif </t>
  </si>
  <si>
    <t xml:space="preserve"> 5861.7014 </t>
  </si>
  <si>
    <t xml:space="preserve"> 36.3358 </t>
  </si>
  <si>
    <t xml:space="preserve">C:\Users\andre\Desktop\REACTIV CEFAS\E2\E2/20201117_Cefas_Test6-Run2/Plate 1/@3/G3_03.tif </t>
  </si>
  <si>
    <t xml:space="preserve"> 6013.1107 </t>
  </si>
  <si>
    <t xml:space="preserve"> 36.4317 </t>
  </si>
  <si>
    <t xml:space="preserve">C:\Users\andre\Desktop\REACTIV CEFAS\E2\E2/20201117_Cefas_Test6-Run2/Plate 1/@3/H3_01.tif </t>
  </si>
  <si>
    <t xml:space="preserve">C:\Users\andre\Desktop\REACTIV CEFAS\E2\E2/20201117_Cefas_Test6-Run2/Plate 1/@3/H3_02.tif </t>
  </si>
  <si>
    <t xml:space="preserve">C:\Users\andre\Desktop\REACTIV CEFAS\E2\E2/20201117_Cefas_Test6-Run2/Plate 1/@3/H3_03.tif </t>
  </si>
  <si>
    <t xml:space="preserve"> 31.9259 </t>
  </si>
  <si>
    <t xml:space="preserve">C:\Users\andre\Desktop\REACTIV CEFAS\E2\E2/20201117_Cefas_Test6-Run2/Plate 1/@3/ </t>
  </si>
  <si>
    <t xml:space="preserve"> 30.8566 </t>
  </si>
  <si>
    <t xml:space="preserve"> 12.3743 </t>
  </si>
  <si>
    <t xml:space="preserve"> 110473.833 </t>
  </si>
  <si>
    <t xml:space="preserve"> 125021.735 </t>
  </si>
  <si>
    <t xml:space="preserve">C:\Users\andre\Desktop\REACTIV CEFAS\E2\E2/20201117_Cefas_Test6-Run2/Plate 1/@4/A4_01.tif </t>
  </si>
  <si>
    <t xml:space="preserve"> 108.1495 </t>
  </si>
  <si>
    <t xml:space="preserve"> 31.2 </t>
  </si>
  <si>
    <t xml:space="preserve">C:\Users\andre\Desktop\REACTIV CEFAS\E2\E2/20201117_Cefas_Test6-Run2/Plate 1/@4/A4_02.tif </t>
  </si>
  <si>
    <t xml:space="preserve"> 34.566 </t>
  </si>
  <si>
    <t>C:\Users\andre\Desktop\REACTIV CEFAS\E2\E2/20201117_Cefas_Test6-Run2/Plate 1/@4/A4_03- exclu.tif</t>
  </si>
  <si>
    <t xml:space="preserve">C:\Users\andre\Desktop\REACTIV CEFAS\E2\E2/20201117_Cefas_Test6-Run2/Plate 1/@4/B4_01.tif </t>
  </si>
  <si>
    <t xml:space="preserve"> 2184.6194 </t>
  </si>
  <si>
    <t xml:space="preserve"> 33.6733 </t>
  </si>
  <si>
    <t xml:space="preserve">C:\Users\andre\Desktop\REACTIV CEFAS\E2\E2/20201117_Cefas_Test6-Run2/Plate 1/@4/B4_02.tif </t>
  </si>
  <si>
    <t xml:space="preserve"> 1362.6834 </t>
  </si>
  <si>
    <t xml:space="preserve"> 32.8413 </t>
  </si>
  <si>
    <t xml:space="preserve">C:\Users\andre\Desktop\REACTIV CEFAS\E2\E2/20201117_Cefas_Test6-Run2/Plate 1/@4/B4_03.tif </t>
  </si>
  <si>
    <t xml:space="preserve"> 35.3793 </t>
  </si>
  <si>
    <t>C:\Users\andre\Desktop\REACTIV CEFAS\E2\E2/20201117_Cefas_Test6-Run2/Plate 1/@4/C4_01- exclu.tif</t>
  </si>
  <si>
    <t>C:\Users\andre\Desktop\REACTIV CEFAS\E2\E2/20201117_Cefas_Test6-Run2/Plate 1/@4/C4_02- exclu.tif</t>
  </si>
  <si>
    <t>C:\Users\andre\Desktop\REACTIV CEFAS\E2\E2/20201117_Cefas_Test6-Run2/Plate 1/@4/C4_03- exclu.tif</t>
  </si>
  <si>
    <t xml:space="preserve">C:\Users\andre\Desktop\REACTIV CEFAS\E2\E2/20201117_Cefas_Test6-Run2/Plate 1/@4/D4_01.tif </t>
  </si>
  <si>
    <t xml:space="preserve"> 173.0392 </t>
  </si>
  <si>
    <t xml:space="preserve"> 30.75 </t>
  </si>
  <si>
    <t xml:space="preserve">C:\Users\andre\Desktop\REACTIV CEFAS\E2\E2/20201117_Cefas_Test6-Run2/Plate 1/@4/D4_02.tif </t>
  </si>
  <si>
    <t xml:space="preserve"> 33.8778 </t>
  </si>
  <si>
    <t xml:space="preserve">C:\Users\andre\Desktop\REACTIV CEFAS\E2\E2/20201117_Cefas_Test6-Run2/Plate 1/@4/D4_03.tif </t>
  </si>
  <si>
    <t xml:space="preserve"> 35.1158 </t>
  </si>
  <si>
    <t xml:space="preserve">C:\Users\andre\Desktop\REACTIV CEFAS\E2\E2/20201117_Cefas_Test6-Run2/Plate 1/@4/E4_01.tif </t>
  </si>
  <si>
    <t xml:space="preserve"> 37.214 </t>
  </si>
  <si>
    <t xml:space="preserve">C:\Users\andre\Desktop\REACTIV CEFAS\E2\E2/20201117_Cefas_Test6-Run2/Plate 1/@4/E4_02.tif </t>
  </si>
  <si>
    <t xml:space="preserve"> 302.8185 </t>
  </si>
  <si>
    <t xml:space="preserve"> 31.3571 </t>
  </si>
  <si>
    <t xml:space="preserve">C:\Users\andre\Desktop\REACTIV CEFAS\E2\E2/20201117_Cefas_Test6-Run2/Plate 1/@4/E4_03.tif </t>
  </si>
  <si>
    <t xml:space="preserve"> 5364.2139 </t>
  </si>
  <si>
    <t xml:space="preserve"> 40.3226 </t>
  </si>
  <si>
    <t xml:space="preserve">C:\Users\andre\Desktop\REACTIV CEFAS\E2\E2/20201117_Cefas_Test6-Run2/Plate 1/@4/F4_01.tif </t>
  </si>
  <si>
    <t xml:space="preserve"> 39.2364 </t>
  </si>
  <si>
    <t xml:space="preserve">C:\Users\andre\Desktop\REACTIV CEFAS\E2\E2/20201117_Cefas_Test6-Run2/Plate 1/@4/F4_02.tif </t>
  </si>
  <si>
    <t xml:space="preserve"> 4239.4593 </t>
  </si>
  <si>
    <t xml:space="preserve"> 37.7806 </t>
  </si>
  <si>
    <t xml:space="preserve">C:\Users\andre\Desktop\REACTIV CEFAS\E2\E2/20201117_Cefas_Test6-Run2/Plate 1/@4/F4_03.tif </t>
  </si>
  <si>
    <t xml:space="preserve"> 4174.5697 </t>
  </si>
  <si>
    <t xml:space="preserve"> 36.9275 </t>
  </si>
  <si>
    <t xml:space="preserve">C:\Users\andre\Desktop\REACTIV CEFAS\E2\E2/20201117_Cefas_Test6-Run2/Plate 1/@4/G4_01.tif </t>
  </si>
  <si>
    <t xml:space="preserve"> 12026.2214 </t>
  </si>
  <si>
    <t xml:space="preserve"> 41.3094 </t>
  </si>
  <si>
    <t xml:space="preserve">C:\Users\andre\Desktop\REACTIV CEFAS\E2\E2/20201117_Cefas_Test6-Run2/Plate 1/@4/G4_02.tif </t>
  </si>
  <si>
    <t xml:space="preserve"> 13064.4564 </t>
  </si>
  <si>
    <t xml:space="preserve"> 34.8642 </t>
  </si>
  <si>
    <t>C:\Users\andre\Desktop\REACTIV CEFAS\E2\E2/20201117_Cefas_Test6-Run2/Plate 1/@4/G4_03- exclu.tif</t>
  </si>
  <si>
    <t xml:space="preserve">C:\Users\andre\Desktop\REACTIV CEFAS\E2\E2/20201117_Cefas_Test6-Run2/Plate 1/@4/H4_01.tif </t>
  </si>
  <si>
    <t xml:space="preserve"> 4023.1604 </t>
  </si>
  <si>
    <t xml:space="preserve"> 35.4946 </t>
  </si>
  <si>
    <t xml:space="preserve">C:\Users\andre\Desktop\REACTIV CEFAS\E2\E2/20201117_Cefas_Test6-Run2/Plate 1/@4/H4_02.tif </t>
  </si>
  <si>
    <t xml:space="preserve"> 2509.0678 </t>
  </si>
  <si>
    <t xml:space="preserve"> 38.1379 </t>
  </si>
  <si>
    <t xml:space="preserve">C:\Users\andre\Desktop\REACTIV CEFAS\E2\E2/20201117_Cefas_Test6-Run2/Plate 1/@4/H4_03.tif </t>
  </si>
  <si>
    <t xml:space="preserve"> 9279.2248 </t>
  </si>
  <si>
    <t xml:space="preserve"> 38.7902 </t>
  </si>
  <si>
    <t xml:space="preserve">C:\Users\andre\Desktop\REACTIV CEFAS\E2\E2/20201117_Cefas_Test6-Run2/Plate 1/@4/ </t>
  </si>
  <si>
    <t xml:space="preserve"> 34.3947 </t>
  </si>
  <si>
    <t xml:space="preserve"> 12.3707 </t>
  </si>
  <si>
    <t xml:space="preserve"> 205544.333 </t>
  </si>
  <si>
    <t xml:space="preserve"> 255013.901 </t>
  </si>
  <si>
    <t xml:space="preserve">C:\Users\andre\Desktop\REACTIV CEFAS\E2\E2/20201117_Cefas_Test6-Run2/Plate 1/@5/A5_01.tif </t>
  </si>
  <si>
    <t xml:space="preserve">C:\Users\andre\Desktop\REACTIV CEFAS\E2\E2/20201117_Cefas_Test6-Run2/Plate 1/@5/A5_02.tif </t>
  </si>
  <si>
    <t>C:\Users\andre\Desktop\REACTIV CEFAS\E2\E2/20201117_Cefas_Test6-Run2/Plate 1/@5/A5_03- exclu.tif</t>
  </si>
  <si>
    <t xml:space="preserve">C:\Users\andre\Desktop\REACTIV CEFAS\E2\E2/20201117_Cefas_Test6-Run2/Plate 1/@5/B5_01.tif </t>
  </si>
  <si>
    <t xml:space="preserve"> 25523.2757 </t>
  </si>
  <si>
    <t xml:space="preserve"> 33.15 </t>
  </si>
  <si>
    <t xml:space="preserve">C:\Users\andre\Desktop\REACTIV CEFAS\E2\E2/20201117_Cefas_Test6-Run2/Plate 1/@5/B5_02.tif </t>
  </si>
  <si>
    <t xml:space="preserve"> 39128.4794 </t>
  </si>
  <si>
    <t xml:space="preserve"> 35.4024 </t>
  </si>
  <si>
    <t xml:space="preserve">C:\Users\andre\Desktop\REACTIV CEFAS\E2\E2/20201117_Cefas_Test6-Run2/Plate 1/@5/B5_03.tif </t>
  </si>
  <si>
    <t xml:space="preserve"> 34845.7602 </t>
  </si>
  <si>
    <t xml:space="preserve"> 34.509 </t>
  </si>
  <si>
    <t xml:space="preserve">C:\Users\andre\Desktop\REACTIV CEFAS\E2\E2/20201117_Cefas_Test6-Run2/Plate 1/@5/C5_01.tif </t>
  </si>
  <si>
    <t xml:space="preserve"> 2011.5802 </t>
  </si>
  <si>
    <t xml:space="preserve"> 34.129 </t>
  </si>
  <si>
    <t xml:space="preserve">C:\Users\andre\Desktop\REACTIV CEFAS\E2\E2/20201117_Cefas_Test6-Run2/Plate 1/@5/C5_02.tif </t>
  </si>
  <si>
    <t xml:space="preserve"> 31.4688 </t>
  </si>
  <si>
    <t xml:space="preserve">C:\Users\andre\Desktop\REACTIV CEFAS\E2\E2/20201117_Cefas_Test6-Run2/Plate 1/@5/C5_03.tif </t>
  </si>
  <si>
    <t xml:space="preserve">C:\Users\andre\Desktop\REACTIV CEFAS\E2\E2/20201117_Cefas_Test6-Run2/Plate 1/@5/D5_01.tif </t>
  </si>
  <si>
    <t>C:\Users\andre\Desktop\REACTIV CEFAS\E2\E2/20201117_Cefas_Test6-Run2/Plate 1/@5/D5_02- exclu.tif</t>
  </si>
  <si>
    <t xml:space="preserve">C:\Users\andre\Desktop\REACTIV CEFAS\E2\E2/20201117_Cefas_Test6-Run2/Plate 1/@5/D5_03.tif </t>
  </si>
  <si>
    <t xml:space="preserve">C:\Users\andre\Desktop\REACTIV CEFAS\E2\E2/20201117_Cefas_Test6-Run2/Plate 1/@5/E5_01.tif </t>
  </si>
  <si>
    <t xml:space="preserve"> 30995.639 </t>
  </si>
  <si>
    <t xml:space="preserve"> 31.529 </t>
  </si>
  <si>
    <t xml:space="preserve">C:\Users\andre\Desktop\REACTIV CEFAS\E2\E2/20201117_Cefas_Test6-Run2/Plate 1/@5/E5_02.tif </t>
  </si>
  <si>
    <t xml:space="preserve"> 31.3926 </t>
  </si>
  <si>
    <t xml:space="preserve">C:\Users\andre\Desktop\REACTIV CEFAS\E2\E2/20201117_Cefas_Test6-Run2/Plate 1/@5/E5_03.tif </t>
  </si>
  <si>
    <t xml:space="preserve"> 14275.7305 </t>
  </si>
  <si>
    <t xml:space="preserve"> 31.4091 </t>
  </si>
  <si>
    <t xml:space="preserve">C:\Users\andre\Desktop\REACTIV CEFAS\E2\E2/20201117_Cefas_Test6-Run2/Plate 1/@5/F5_01.tif </t>
  </si>
  <si>
    <t xml:space="preserve">C:\Users\andre\Desktop\REACTIV CEFAS\E2\E2/20201117_Cefas_Test6-Run2/Plate 1/@5/F5_02.tif </t>
  </si>
  <si>
    <t xml:space="preserve"> 713.7865 </t>
  </si>
  <si>
    <t xml:space="preserve"> 31.1515 </t>
  </si>
  <si>
    <t xml:space="preserve">C:\Users\andre\Desktop\REACTIV CEFAS\E2\E2/20201117_Cefas_Test6-Run2/Plate 1/@5/F5_03.tif </t>
  </si>
  <si>
    <t xml:space="preserve">C:\Users\andre\Desktop\REACTIV CEFAS\E2\E2/20201117_Cefas_Test6-Run2/Plate 1/@5/G5_01.tif </t>
  </si>
  <si>
    <t xml:space="preserve"> 6424.0787 </t>
  </si>
  <si>
    <t xml:space="preserve"> 40.3232 </t>
  </si>
  <si>
    <t xml:space="preserve">C:\Users\andre\Desktop\REACTIV CEFAS\E2\E2/20201117_Cefas_Test6-Run2/Plate 1/@5/G5_02.tif </t>
  </si>
  <si>
    <t xml:space="preserve"> 36.9116 </t>
  </si>
  <si>
    <t xml:space="preserve">C:\Users\andre\Desktop\REACTIV CEFAS\E2\E2/20201117_Cefas_Test6-Run2/Plate 1/@5/G5_03.tif </t>
  </si>
  <si>
    <t xml:space="preserve"> 35.4682 </t>
  </si>
  <si>
    <t xml:space="preserve">C:\Users\andre\Desktop\REACTIV CEFAS\E2\E2/20201117_Cefas_Test6-Run2/Plate 1/@5/H5_01.tif </t>
  </si>
  <si>
    <t xml:space="preserve"> 2725.3667 </t>
  </si>
  <si>
    <t xml:space="preserve"> 33.3095 </t>
  </si>
  <si>
    <t xml:space="preserve">C:\Users\andre\Desktop\REACTIV CEFAS\E2\E2/20201117_Cefas_Test6-Run2/Plate 1/@5/H5_02.tif </t>
  </si>
  <si>
    <t xml:space="preserve"> 39.1506 </t>
  </si>
  <si>
    <t xml:space="preserve">C:\Users\andre\Desktop\REACTIV CEFAS\E2\E2/20201117_Cefas_Test6-Run2/Plate 1/@5/H5_03.tif </t>
  </si>
  <si>
    <t xml:space="preserve"> 34.2035 </t>
  </si>
  <si>
    <t xml:space="preserve">C:\Users\andre\Desktop\REACTIV CEFAS\E2\E2/20201117_Cefas_Test6-Run2/Plate 1/@5/ </t>
  </si>
  <si>
    <t xml:space="preserve"> 24.0956 </t>
  </si>
  <si>
    <t xml:space="preserve"> 15.9608 </t>
  </si>
  <si>
    <t xml:space="preserve"> 251220.417 </t>
  </si>
  <si>
    <t xml:space="preserve"> 412272.07 </t>
  </si>
  <si>
    <t xml:space="preserve">C:\Users\andre\Desktop\REACTIV CEFAS\E2\E2/20201117_Cefas_Test6-Run2/Plate 1/@6/A6_01.tif </t>
  </si>
  <si>
    <t xml:space="preserve"> 51154.7008 </t>
  </si>
  <si>
    <t xml:space="preserve"> 41.814 </t>
  </si>
  <si>
    <t xml:space="preserve">C:\Users\andre\Desktop\REACTIV CEFAS\E2\E2/20201117_Cefas_Test6-Run2/Plate 1/@6/A6_02.tif </t>
  </si>
  <si>
    <t xml:space="preserve"> 48861.932 </t>
  </si>
  <si>
    <t xml:space="preserve"> 44.9637 </t>
  </si>
  <si>
    <t xml:space="preserve">C:\Users\andre\Desktop\REACTIV CEFAS\E2\E2/20201117_Cefas_Test6-Run2/Plate 1/@6/A6_03.tif </t>
  </si>
  <si>
    <t xml:space="preserve"> 66036.0683 </t>
  </si>
  <si>
    <t xml:space="preserve"> 42.0606 </t>
  </si>
  <si>
    <t xml:space="preserve">C:\Users\andre\Desktop\REACTIV CEFAS\E2\E2/20201117_Cefas_Test6-Run2/Plate 1/@6/B6_01.tif </t>
  </si>
  <si>
    <t xml:space="preserve"> 50938.4019 </t>
  </si>
  <si>
    <t xml:space="preserve"> 46.118 </t>
  </si>
  <si>
    <t xml:space="preserve">C:\Users\andre\Desktop\REACTIV CEFAS\E2\E2/20201117_Cefas_Test6-Run2/Plate 1/@6/B6_02.tif </t>
  </si>
  <si>
    <t xml:space="preserve"> 53620.5088 </t>
  </si>
  <si>
    <t xml:space="preserve"> 42.1436 </t>
  </si>
  <si>
    <t xml:space="preserve">C:\Users\andre\Desktop\REACTIV CEFAS\E2\E2/20201117_Cefas_Test6-Run2/Plate 1/@6/B6_03.tif </t>
  </si>
  <si>
    <t xml:space="preserve"> 46742.2023 </t>
  </si>
  <si>
    <t xml:space="preserve"> 46.0639 </t>
  </si>
  <si>
    <t xml:space="preserve">C:\Users\andre\Desktop\REACTIV CEFAS\E2\E2/20201117_Cefas_Test6-Run2/Plate 1/@6/C6_01.tif </t>
  </si>
  <si>
    <t xml:space="preserve"> 61126.0822 </t>
  </si>
  <si>
    <t xml:space="preserve"> 46.3857 </t>
  </si>
  <si>
    <t xml:space="preserve">C:\Users\andre\Desktop\REACTIV CEFAS\E2\E2/20201117_Cefas_Test6-Run2/Plate 1/@6/C6_02.tif </t>
  </si>
  <si>
    <t xml:space="preserve"> 58681.9041 </t>
  </si>
  <si>
    <t xml:space="preserve"> 49.2525 </t>
  </si>
  <si>
    <t xml:space="preserve">C:\Users\andre\Desktop\REACTIV CEFAS\E2\E2/20201117_Cefas_Test6-Run2/Plate 1/@6/C6_03.tif </t>
  </si>
  <si>
    <t xml:space="preserve"> 61991.278 </t>
  </si>
  <si>
    <t xml:space="preserve"> 48.1553 </t>
  </si>
  <si>
    <t>C:\Users\andre\Desktop\REACTIV CEFAS\E2\E2/20201117_Cefas_Test6-Run2/Plate 1/@6/D6_01- exclu.tif</t>
  </si>
  <si>
    <t>C:\Users\andre\Desktop\REACTIV CEFAS\E2\E2/20201117_Cefas_Test6-Run2/Plate 1/@6/D6_02- exclu.tif</t>
  </si>
  <si>
    <t>C:\Users\andre\Desktop\REACTIV CEFAS\E2\E2/20201117_Cefas_Test6-Run2/Plate 1/@6/D6_03- exclu.tif</t>
  </si>
  <si>
    <t xml:space="preserve">C:\Users\andre\Desktop\REACTIV CEFAS\E2\E2/20201117_Cefas_Test6-Run2/Plate 1/@6/E6_01.tif </t>
  </si>
  <si>
    <t xml:space="preserve"> 99194.6968 </t>
  </si>
  <si>
    <t xml:space="preserve"> 50.1742 </t>
  </si>
  <si>
    <t xml:space="preserve">C:\Users\andre\Desktop\REACTIV CEFAS\E2\E2/20201117_Cefas_Test6-Run2/Plate 1/@6/E6_02.tif </t>
  </si>
  <si>
    <t xml:space="preserve"> 98653.9494 </t>
  </si>
  <si>
    <t xml:space="preserve"> 47.4389 </t>
  </si>
  <si>
    <t xml:space="preserve">C:\Users\andre\Desktop\REACTIV CEFAS\E2\E2/20201117_Cefas_Test6-Run2/Plate 1/@6/E6_03.tif </t>
  </si>
  <si>
    <t xml:space="preserve"> 45.7331 </t>
  </si>
  <si>
    <t xml:space="preserve">C:\Users\andre\Desktop\REACTIV CEFAS\E2\E2/20201117_Cefas_Test6-Run2/Plate 1/@6/F6_01.tif </t>
  </si>
  <si>
    <t xml:space="preserve"> 49143.1206 </t>
  </si>
  <si>
    <t xml:space="preserve"> 43.5066 </t>
  </si>
  <si>
    <t xml:space="preserve">C:\Users\andre\Desktop\REACTIV CEFAS\E2\E2/20201117_Cefas_Test6-Run2/Plate 1/@6/F6_02.tif </t>
  </si>
  <si>
    <t xml:space="preserve"> 47023.3909 </t>
  </si>
  <si>
    <t xml:space="preserve"> 45.4742 </t>
  </si>
  <si>
    <t xml:space="preserve">C:\Users\andre\Desktop\REACTIV CEFAS\E2\E2/20201117_Cefas_Test6-Run2/Plate 1/@6/F6_03.tif </t>
  </si>
  <si>
    <t xml:space="preserve"> 49792.0174 </t>
  </si>
  <si>
    <t xml:space="preserve"> 49.2024 </t>
  </si>
  <si>
    <t xml:space="preserve">C:\Users\andre\Desktop\REACTIV CEFAS\E2\E2/20201117_Cefas_Test6-Run2/Plate 1/@6/G6_01.tif </t>
  </si>
  <si>
    <t xml:space="preserve"> 68090.9083 </t>
  </si>
  <si>
    <t xml:space="preserve"> 43.0492 </t>
  </si>
  <si>
    <t xml:space="preserve">C:\Users\andre\Desktop\REACTIV CEFAS\E2\E2/20201117_Cefas_Test6-Run2/Plate 1/@6/G6_02.tif </t>
  </si>
  <si>
    <t xml:space="preserve"> 59417.3205 </t>
  </si>
  <si>
    <t xml:space="preserve"> 45.5941 </t>
  </si>
  <si>
    <t xml:space="preserve">C:\Users\andre\Desktop\REACTIV CEFAS\E2\E2/20201117_Cefas_Test6-Run2/Plate 1/@6/G6_03.tif </t>
  </si>
  <si>
    <t xml:space="preserve"> 54918.3025 </t>
  </si>
  <si>
    <t xml:space="preserve"> 42.0654 </t>
  </si>
  <si>
    <t xml:space="preserve">C:\Users\andre\Desktop\REACTIV CEFAS\E2\E2/20201117_Cefas_Test6-Run2/Plate 1/@6/H6_01.tif </t>
  </si>
  <si>
    <t xml:space="preserve"> 67506.9011 </t>
  </si>
  <si>
    <t xml:space="preserve"> 43.2634 </t>
  </si>
  <si>
    <t xml:space="preserve">C:\Users\andre\Desktop\REACTIV CEFAS\E2\E2/20201117_Cefas_Test6-Run2/Plate 1/@6/H6_02.tif </t>
  </si>
  <si>
    <t xml:space="preserve"> 62726.6944 </t>
  </si>
  <si>
    <t xml:space="preserve"> 40.13 </t>
  </si>
  <si>
    <t xml:space="preserve">C:\Users\andre\Desktop\REACTIV CEFAS\E2\E2/20201117_Cefas_Test6-Run2/Plate 1/@6/H6_03.tif </t>
  </si>
  <si>
    <t xml:space="preserve"> 56691.9538 </t>
  </si>
  <si>
    <t xml:space="preserve"> 44.2068 </t>
  </si>
  <si>
    <t xml:space="preserve">C:\Users\andre\Desktop\REACTIV CEFAS\E2\E2/20201117_Cefas_Test6-Run2/Plate 1/@6/ </t>
  </si>
  <si>
    <t xml:space="preserve"> 44.8068 </t>
  </si>
  <si>
    <t xml:space="preserve"> 2.6848 </t>
  </si>
  <si>
    <t xml:space="preserve"> 2605293.71 </t>
  </si>
  <si>
    <t xml:space="preserve"> 953547.293 </t>
  </si>
  <si>
    <t xml:space="preserve">C:\Users\andre\Desktop\REACTIV CEFAS\E2\E2/20201117_Cefas_Test6-Run2/Plate 1/@7/A7_01.tif </t>
  </si>
  <si>
    <t xml:space="preserve"> 80701.1369 </t>
  </si>
  <si>
    <t xml:space="preserve"> 58.9461 </t>
  </si>
  <si>
    <t xml:space="preserve">C:\Users\andre\Desktop\REACTIV CEFAS\E2\E2/20201117_Cefas_Test6-Run2/Plate 1/@7/A7_02.tif </t>
  </si>
  <si>
    <t xml:space="preserve"> 92035.2016 </t>
  </si>
  <si>
    <t xml:space="preserve"> 52.6531 </t>
  </si>
  <si>
    <t xml:space="preserve">C:\Users\andre\Desktop\REACTIV CEFAS\E2\E2/20201117_Cefas_Test6-Run2/Plate 1/@7/A7_03.tif </t>
  </si>
  <si>
    <t xml:space="preserve"> 89309.8349 </t>
  </si>
  <si>
    <t xml:space="preserve"> 57.2662 </t>
  </si>
  <si>
    <t xml:space="preserve">C:\Users\andre\Desktop\REACTIV CEFAS\E2\E2/20201117_Cefas_Test6-Run2/Plate 1/@7/B7_01.tif </t>
  </si>
  <si>
    <t xml:space="preserve"> 68004.3887 </t>
  </si>
  <si>
    <t xml:space="preserve"> 53.833 </t>
  </si>
  <si>
    <t xml:space="preserve">C:\Users\andre\Desktop\REACTIV CEFAS\E2\E2/20201117_Cefas_Test6-Run2/Plate 1/@7/B7_02.tif </t>
  </si>
  <si>
    <t xml:space="preserve"> 67377.1218 </t>
  </si>
  <si>
    <t xml:space="preserve"> 54.2421 </t>
  </si>
  <si>
    <t xml:space="preserve">C:\Users\andre\Desktop\REACTIV CEFAS\E2\E2/20201117_Cefas_Test6-Run2/Plate 1/@7/B7_03.tif </t>
  </si>
  <si>
    <t xml:space="preserve"> 67160.8228 </t>
  </si>
  <si>
    <t xml:space="preserve"> 53.9233 </t>
  </si>
  <si>
    <t xml:space="preserve">C:\Users\andre\Desktop\REACTIV CEFAS\E2\E2/20201117_Cefas_Test6-Run2/Plate 1/@7/C7_01.tif </t>
  </si>
  <si>
    <t xml:space="preserve"> 91191.6358 </t>
  </si>
  <si>
    <t xml:space="preserve"> 53.6708 </t>
  </si>
  <si>
    <t xml:space="preserve">C:\Users\andre\Desktop\REACTIV CEFAS\E2\E2/20201117_Cefas_Test6-Run2/Plate 1/@7/C7_02.tif </t>
  </si>
  <si>
    <t xml:space="preserve"> 77997.4 </t>
  </si>
  <si>
    <t xml:space="preserve"> 55.8747 </t>
  </si>
  <si>
    <t xml:space="preserve">C:\Users\andre\Desktop\REACTIV CEFAS\E2\E2/20201117_Cefas_Test6-Run2/Plate 1/@7/C7_03.tif </t>
  </si>
  <si>
    <t xml:space="preserve"> 81739.3718 </t>
  </si>
  <si>
    <t xml:space="preserve"> 55.7997 </t>
  </si>
  <si>
    <t xml:space="preserve">C:\Users\andre\Desktop\REACTIV CEFAS\E2\E2/20201117_Cefas_Test6-Run2/Plate 1/@7/D7_01.tif </t>
  </si>
  <si>
    <t xml:space="preserve"> 78429.9979 </t>
  </si>
  <si>
    <t xml:space="preserve"> 55.2722 </t>
  </si>
  <si>
    <t xml:space="preserve">C:\Users\andre\Desktop\REACTIV CEFAS\E2\E2/20201117_Cefas_Test6-Run2/Plate 1/@7/D7_02.tif </t>
  </si>
  <si>
    <t xml:space="preserve"> 80549.7276 </t>
  </si>
  <si>
    <t xml:space="preserve"> 57.1321 </t>
  </si>
  <si>
    <t xml:space="preserve">C:\Users\andre\Desktop\REACTIV CEFAS\E2\E2/20201117_Cefas_Test6-Run2/Plate 1/@7/D7_03.tif </t>
  </si>
  <si>
    <t xml:space="preserve"> 78148.8093 </t>
  </si>
  <si>
    <t xml:space="preserve"> 54.6028 </t>
  </si>
  <si>
    <t>C:\Users\andre\Desktop\REACTIV CEFAS\E2\E2/20201117_Cefas_Test6-Run2/Plate 1/@7/E7_01- exclu.tif</t>
  </si>
  <si>
    <t xml:space="preserve">C:\Users\andre\Desktop\REACTIV CEFAS\E2\E2/20201117_Cefas_Test6-Run2/Plate 1/@7/E7_02.tif </t>
  </si>
  <si>
    <t xml:space="preserve"> 59.1659 </t>
  </si>
  <si>
    <t>C:\Users\andre\Desktop\REACTIV CEFAS\E2\E2/20201117_Cefas_Test6-Run2/Plate 1/@7/E7_03- exclu.tif</t>
  </si>
  <si>
    <t xml:space="preserve">C:\Users\andre\Desktop\REACTIV CEFAS\E2\E2/20201117_Cefas_Test6-Run2/Plate 1/@7/F7_01.tif </t>
  </si>
  <si>
    <t xml:space="preserve"> 71205.6131 </t>
  </si>
  <si>
    <t xml:space="preserve"> 60.2846 </t>
  </si>
  <si>
    <t xml:space="preserve">C:\Users\andre\Desktop\REACTIV CEFAS\E2\E2/20201117_Cefas_Test6-Run2/Plate 1/@7/F7_02.tif </t>
  </si>
  <si>
    <t xml:space="preserve"> 62.5481 </t>
  </si>
  <si>
    <t xml:space="preserve">C:\Users\andre\Desktop\REACTIV CEFAS\E2\E2/20201117_Cefas_Test6-Run2/Plate 1/@7/F7_03.tif </t>
  </si>
  <si>
    <t xml:space="preserve"> 60152.737 </t>
  </si>
  <si>
    <t xml:space="preserve"> 60.8565 </t>
  </si>
  <si>
    <t xml:space="preserve">C:\Users\andre\Desktop\REACTIV CEFAS\E2\E2/20201117_Cefas_Test6-Run2/Plate 1/@7/G7_01.tif </t>
  </si>
  <si>
    <t xml:space="preserve"> 73173.9335 </t>
  </si>
  <si>
    <t xml:space="preserve"> 62.5782 </t>
  </si>
  <si>
    <t xml:space="preserve">C:\Users\andre\Desktop\REACTIV CEFAS\E2\E2/20201117_Cefas_Test6-Run2/Plate 1/@7/G7_02.tif </t>
  </si>
  <si>
    <t xml:space="preserve"> 79078.8948 </t>
  </si>
  <si>
    <t xml:space="preserve"> 59.5364 </t>
  </si>
  <si>
    <t xml:space="preserve">C:\Users\andre\Desktop\REACTIV CEFAS\E2\E2/20201117_Cefas_Test6-Run2/Plate 1/@7/G7_03.tif </t>
  </si>
  <si>
    <t xml:space="preserve"> 73022.5243 </t>
  </si>
  <si>
    <t xml:space="preserve"> 59.0649 </t>
  </si>
  <si>
    <t xml:space="preserve">C:\Users\andre\Desktop\REACTIV CEFAS\E2\E2/20201117_Cefas_Test6-Run2/Plate 1/@7/H7_01.tif </t>
  </si>
  <si>
    <t xml:space="preserve"> 104256.092 </t>
  </si>
  <si>
    <t xml:space="preserve"> 53.838 </t>
  </si>
  <si>
    <t xml:space="preserve">C:\Users\andre\Desktop\REACTIV CEFAS\E2\E2/20201117_Cefas_Test6-Run2/Plate 1/@7/H7_02.tif </t>
  </si>
  <si>
    <t xml:space="preserve"> 89180.0556 </t>
  </si>
  <si>
    <t xml:space="preserve"> 52.5768 </t>
  </si>
  <si>
    <t xml:space="preserve">C:\Users\andre\Desktop\REACTIV CEFAS\E2\E2/20201117_Cefas_Test6-Run2/Plate 1/@7/H7_03.tif </t>
  </si>
  <si>
    <t xml:space="preserve"> 89288.205 </t>
  </si>
  <si>
    <t xml:space="preserve"> 54.6105 </t>
  </si>
  <si>
    <t xml:space="preserve">C:\Users\andre\Desktop\REACTIV CEFAS\E2\E2/20201117_Cefas_Test6-Run2/Plate 1/@7/ </t>
  </si>
  <si>
    <t xml:space="preserve"> 56.6624 </t>
  </si>
  <si>
    <t xml:space="preserve"> 3.0301 </t>
  </si>
  <si>
    <t xml:space="preserve"> 4287507.5 </t>
  </si>
  <si>
    <t xml:space="preserve"> 665763.613 </t>
  </si>
  <si>
    <t xml:space="preserve">C:\Users\andre\Desktop\REACTIV CEFAS\E2\E2/20201117_Cefas_Test6-Run2/Plate 4/@10/A4_01.tif </t>
  </si>
  <si>
    <t xml:space="preserve"> 9495.5237 </t>
  </si>
  <si>
    <t xml:space="preserve"> 37.5308 </t>
  </si>
  <si>
    <t xml:space="preserve">C:\Users\andre\Desktop\REACTIV CEFAS\E2\E2/20201117_Cefas_Test6-Run2/Plate 4/@10/A4_02.tif </t>
  </si>
  <si>
    <t xml:space="preserve"> 33.7367 </t>
  </si>
  <si>
    <t xml:space="preserve">C:\Users\andre\Desktop\REACTIV CEFAS\E2\E2/20201117_Cefas_Test6-Run2/Plate 4/@10/A4_03.tif </t>
  </si>
  <si>
    <t xml:space="preserve"> 33.7467 </t>
  </si>
  <si>
    <t>C:\Users\andre\Desktop\REACTIV CEFAS\E2\E2/20201117_Cefas_Test6-Run2/Plate 4/@10/B4_01- exclu.tif</t>
  </si>
  <si>
    <t xml:space="preserve">C:\Users\andre\Desktop\REACTIV CEFAS\E2\E2/20201117_Cefas_Test6-Run2/Plate 4/@10/B4_02.tif </t>
  </si>
  <si>
    <t xml:space="preserve"> 32.927 </t>
  </si>
  <si>
    <t xml:space="preserve">C:\Users\andre\Desktop\REACTIV CEFAS\E2\E2/20201117_Cefas_Test6-Run2/Plate 4/@10/B4_03.tif </t>
  </si>
  <si>
    <t xml:space="preserve"> 7830.0219 </t>
  </si>
  <si>
    <t xml:space="preserve"> 33.2486 </t>
  </si>
  <si>
    <t xml:space="preserve">C:\Users\andre\Desktop\REACTIV CEFAS\E2\E2/20201117_Cefas_Test6-Run2/Plate 4/@10/C4_01.tif </t>
  </si>
  <si>
    <t xml:space="preserve"> 32.9508 </t>
  </si>
  <si>
    <t xml:space="preserve">C:\Users\andre\Desktop\REACTIV CEFAS\E2\E2/20201117_Cefas_Test6-Run2/Plate 4/@10/C4_02.tif </t>
  </si>
  <si>
    <t xml:space="preserve"> 20721.4391 </t>
  </si>
  <si>
    <t xml:space="preserve"> 34.4102 </t>
  </si>
  <si>
    <t xml:space="preserve">C:\Users\andre\Desktop\REACTIV CEFAS\E2\E2/20201117_Cefas_Test6-Run2/Plate 4/@10/C4_03.tif </t>
  </si>
  <si>
    <t xml:space="preserve"> 15897.9726 </t>
  </si>
  <si>
    <t xml:space="preserve"> 33.7592 </t>
  </si>
  <si>
    <t xml:space="preserve">C:\Users\andre\Desktop\REACTIV CEFAS\E2\E2/20201117_Cefas_Test6-Run2/Plate 4/@10/D4_01.tif </t>
  </si>
  <si>
    <t xml:space="preserve"> 38.0942 </t>
  </si>
  <si>
    <t xml:space="preserve">C:\Users\andre\Desktop\REACTIV CEFAS\E2\E2/20201117_Cefas_Test6-Run2/Plate 4/@10/D4_02.tif </t>
  </si>
  <si>
    <t xml:space="preserve"> 49618.9783 </t>
  </si>
  <si>
    <t xml:space="preserve"> 39.6334 </t>
  </si>
  <si>
    <t xml:space="preserve">C:\Users\andre\Desktop\REACTIV CEFAS\E2\E2/20201117_Cefas_Test6-Run2/Plate 4/@10/D4_03.tif </t>
  </si>
  <si>
    <t xml:space="preserve"> 55091.3416 </t>
  </si>
  <si>
    <t xml:space="preserve"> 41.2776 </t>
  </si>
  <si>
    <t xml:space="preserve">C:\Users\andre\Desktop\REACTIV CEFAS\E2\E2/20201117_Cefas_Test6-Run2/Plate 4/@10/E4_01.tif </t>
  </si>
  <si>
    <t xml:space="preserve"> 5407.4737 </t>
  </si>
  <si>
    <t>C:\Users\andre\Desktop\REACTIV CEFAS\E2\E2/20201117_Cefas_Test6-Run2/Plate 4/@10/E4_02- exclu.tif</t>
  </si>
  <si>
    <t>C:\Users\andre\Desktop\REACTIV CEFAS\E2\E2/20201117_Cefas_Test6-Run2/Plate 4/@10/E4_03- exclu.tif</t>
  </si>
  <si>
    <t xml:space="preserve">C:\Users\andre\Desktop\REACTIV CEFAS\E2\E2/20201117_Cefas_Test6-Run2/Plate 4/@10/F4_01.tif </t>
  </si>
  <si>
    <t xml:space="preserve"> 6099.6303 </t>
  </si>
  <si>
    <t xml:space="preserve"> 37.7695 </t>
  </si>
  <si>
    <t xml:space="preserve">C:\Users\andre\Desktop\REACTIV CEFAS\E2\E2/20201117_Cefas_Test6-Run2/Plate 4/@10/F4_02.tif </t>
  </si>
  <si>
    <t xml:space="preserve"> 73584.9015 </t>
  </si>
  <si>
    <t xml:space="preserve"> 45.3998 </t>
  </si>
  <si>
    <t xml:space="preserve">C:\Users\andre\Desktop\REACTIV CEFAS\E2\E2/20201117_Cefas_Test6-Run2/Plate 4/@10/F4_03.tif </t>
  </si>
  <si>
    <t xml:space="preserve"> 77672.9516 </t>
  </si>
  <si>
    <t xml:space="preserve"> 50.7566 </t>
  </si>
  <si>
    <t xml:space="preserve">C:\Users\andre\Desktop\REACTIV CEFAS\E2\E2/20201117_Cefas_Test6-Run2/Plate 4/@10/G4_01.tif </t>
  </si>
  <si>
    <t xml:space="preserve">C:\Users\andre\Desktop\REACTIV CEFAS\E2\E2/20201117_Cefas_Test6-Run2/Plate 4/@10/G4_02.tif </t>
  </si>
  <si>
    <t xml:space="preserve"> 27318.5569 </t>
  </si>
  <si>
    <t xml:space="preserve"> 34.7308 </t>
  </si>
  <si>
    <t>C:\Users\andre\Desktop\REACTIV CEFAS\E2\E2/20201117_Cefas_Test6-Run2/Plate 4/@10/G4_03- exclu.tif</t>
  </si>
  <si>
    <t xml:space="preserve">C:\Users\andre\Desktop\REACTIV CEFAS\E2\E2/20201117_Cefas_Test6-Run2/Plate 4/@10/H4_01.tif </t>
  </si>
  <si>
    <t xml:space="preserve"> 4801.8366 </t>
  </si>
  <si>
    <t xml:space="preserve"> 36.4144 </t>
  </si>
  <si>
    <t xml:space="preserve">C:\Users\andre\Desktop\REACTIV CEFAS\E2\E2/20201117_Cefas_Test6-Run2/Plate 4/@10/H4_02.tif </t>
  </si>
  <si>
    <t xml:space="preserve"> 57016.4022 </t>
  </si>
  <si>
    <t xml:space="preserve"> 44.8642 </t>
  </si>
  <si>
    <t>C:\Users\andre\Desktop\REACTIV CEFAS\E2\E2/20201117_Cefas_Test6-Run2/Plate 4/@10/H4_03- exclu.tif</t>
  </si>
  <si>
    <t xml:space="preserve">C:\Users\andre\Desktop\REACTIV CEFAS\E2\E2/20201117_Cefas_Test6-Run2/Plate 4/@10/ </t>
  </si>
  <si>
    <t xml:space="preserve"> 37.9036 </t>
  </si>
  <si>
    <t xml:space="preserve"> 10.7757 </t>
  </si>
  <si>
    <t xml:space="preserve"> 940126.167 </t>
  </si>
  <si>
    <t xml:space="preserve"> 1099894.88 </t>
  </si>
  <si>
    <t xml:space="preserve">C:\Users\andre\Desktop\REACTIV CEFAS\E2\E2/20201117_Cefas_Test6-Run2/Plate 4/@11/A5_01.tif </t>
  </si>
  <si>
    <t xml:space="preserve"> 11204.2854 </t>
  </si>
  <si>
    <t xml:space="preserve"> 39.4073 </t>
  </si>
  <si>
    <t xml:space="preserve">C:\Users\andre\Desktop\REACTIV CEFAS\E2\E2/20201117_Cefas_Test6-Run2/Plate 4/@11/A5_02.tif </t>
  </si>
  <si>
    <t xml:space="preserve"> 61558.6801 </t>
  </si>
  <si>
    <t xml:space="preserve"> 47.1574 </t>
  </si>
  <si>
    <t xml:space="preserve">C:\Users\andre\Desktop\REACTIV CEFAS\E2\E2/20201117_Cefas_Test6-Run2/Plate 4/@11/A5_03.tif </t>
  </si>
  <si>
    <t xml:space="preserve"> 68501.8763 </t>
  </si>
  <si>
    <t xml:space="preserve"> 48.3584 </t>
  </si>
  <si>
    <t xml:space="preserve">C:\Users\andre\Desktop\REACTIV CEFAS\E2\E2/20201117_Cefas_Test6-Run2/Plate 4/@11/B5_01.tif </t>
  </si>
  <si>
    <t xml:space="preserve"> 19445.2753 </t>
  </si>
  <si>
    <t xml:space="preserve"> 32.8621 </t>
  </si>
  <si>
    <t xml:space="preserve">C:\Users\andre\Desktop\REACTIV CEFAS\E2\E2/20201117_Cefas_Test6-Run2/Plate 4/@11/B5_02.tif </t>
  </si>
  <si>
    <t xml:space="preserve"> 47931.8465 </t>
  </si>
  <si>
    <t xml:space="preserve"> 47.8145 </t>
  </si>
  <si>
    <t xml:space="preserve">C:\Users\andre\Desktop\REACTIV CEFAS\E2\E2/20201117_Cefas_Test6-Run2/Plate 4/@11/B5_03.tif </t>
  </si>
  <si>
    <t xml:space="preserve"> 50419.2844 </t>
  </si>
  <si>
    <t xml:space="preserve"> 46.8704 </t>
  </si>
  <si>
    <t>C:\Users\andre\Desktop\REACTIV CEFAS\E2\E2/20201117_Cefas_Test6-Run2/Plate 4/@11/C5_01- exclu.tif</t>
  </si>
  <si>
    <t xml:space="preserve">C:\Users\andre\Desktop\REACTIV CEFAS\E2\E2/20201117_Cefas_Test6-Run2/Plate 4/@11/C5_02.tif </t>
  </si>
  <si>
    <t xml:space="preserve"> 67074.3032 </t>
  </si>
  <si>
    <t xml:space="preserve"> 43.6985 </t>
  </si>
  <si>
    <t xml:space="preserve">C:\Users\andre\Desktop\REACTIV CEFAS\E2\E2/20201117_Cefas_Test6-Run2/Plate 4/@11/C5_03.tif </t>
  </si>
  <si>
    <t xml:space="preserve"> 72330.3676 </t>
  </si>
  <si>
    <t xml:space="preserve"> 45.5864 </t>
  </si>
  <si>
    <t>C:\Users\andre\Desktop\REACTIV CEFAS\E2\E2/20201117_Cefas_Test6-Run2/Plate 4/@11/D5_01- exclu.tif</t>
  </si>
  <si>
    <t xml:space="preserve">C:\Users\andre\Desktop\REACTIV CEFAS\E2\E2/20201117_Cefas_Test6-Run2/Plate 4/@11/D5_02.tif </t>
  </si>
  <si>
    <t xml:space="preserve"> 63764.9294 </t>
  </si>
  <si>
    <t xml:space="preserve"> 49.7239 </t>
  </si>
  <si>
    <t xml:space="preserve">C:\Users\andre\Desktop\REACTIV CEFAS\E2\E2/20201117_Cefas_Test6-Run2/Plate 4/@11/D5_03.tif </t>
  </si>
  <si>
    <t xml:space="preserve"> 73238.8232 </t>
  </si>
  <si>
    <t xml:space="preserve"> 46.3193 </t>
  </si>
  <si>
    <t>C:\Users\andre\Desktop\REACTIV CEFAS\E2\E2/20201117_Cefas_Test6-Run2/Plate 4/@11/E5_01- exclu.tif</t>
  </si>
  <si>
    <t xml:space="preserve">C:\Users\andre\Desktop\REACTIV CEFAS\E2\E2/20201117_Cefas_Test6-Run2/Plate 4/@11/E5_02.tif </t>
  </si>
  <si>
    <t xml:space="preserve"> 42610.8924 </t>
  </si>
  <si>
    <t xml:space="preserve"> 38.7147 </t>
  </si>
  <si>
    <t xml:space="preserve">C:\Users\andre\Desktop\REACTIV CEFAS\E2\E2/20201117_Cefas_Test6-Run2/Plate 4/@11/E5_03.tif </t>
  </si>
  <si>
    <t xml:space="preserve"> 40188.3442 </t>
  </si>
  <si>
    <t xml:space="preserve"> 40.0646 </t>
  </si>
  <si>
    <t xml:space="preserve">C:\Users\andre\Desktop\REACTIV CEFAS\E2\E2/20201117_Cefas_Test6-Run2/Plate 4/@11/F5_01.tif </t>
  </si>
  <si>
    <t xml:space="preserve"> 37268.3084 </t>
  </si>
  <si>
    <t xml:space="preserve"> 34.2908 </t>
  </si>
  <si>
    <t xml:space="preserve">C:\Users\andre\Desktop\REACTIV CEFAS\E2\E2/20201117_Cefas_Test6-Run2/Plate 4/@11/F5_02.tif </t>
  </si>
  <si>
    <t xml:space="preserve"> 84962.2261 </t>
  </si>
  <si>
    <t xml:space="preserve"> 49.1181 </t>
  </si>
  <si>
    <t xml:space="preserve">C:\Users\andre\Desktop\REACTIV CEFAS\E2\E2/20201117_Cefas_Test6-Run2/Plate 4/@11/F5_03.tif </t>
  </si>
  <si>
    <t xml:space="preserve"> 82777.6067 </t>
  </si>
  <si>
    <t xml:space="preserve"> 50.4123 </t>
  </si>
  <si>
    <t xml:space="preserve">C:\Users\andre\Desktop\REACTIV CEFAS\E2\E2/20201117_Cefas_Test6-Run2/Plate 4/@11/G5_01.tif </t>
  </si>
  <si>
    <t xml:space="preserve"> 36.7761 </t>
  </si>
  <si>
    <t xml:space="preserve">C:\Users\andre\Desktop\REACTIV CEFAS\E2\E2/20201117_Cefas_Test6-Run2/Plate 4/@11/G5_02.tif </t>
  </si>
  <si>
    <t xml:space="preserve"> 72546.6666 </t>
  </si>
  <si>
    <t xml:space="preserve"> 42.9129 </t>
  </si>
  <si>
    <t xml:space="preserve">C:\Users\andre\Desktop\REACTIV CEFAS\E2\E2/20201117_Cefas_Test6-Run2/Plate 4/@11/G5_03.tif </t>
  </si>
  <si>
    <t xml:space="preserve"> 78949.1154 </t>
  </si>
  <si>
    <t xml:space="preserve"> 46.4408 </t>
  </si>
  <si>
    <t>C:\Users\andre\Desktop\REACTIV CEFAS\E2\E2/20201117_Cefas_Test6-Run2/Plate 4/@11/H5_01- exclu.tif</t>
  </si>
  <si>
    <t xml:space="preserve">C:\Users\andre\Desktop\REACTIV CEFAS\E2\E2/20201117_Cefas_Test6-Run2/Plate 4/@11/H5_02.tif </t>
  </si>
  <si>
    <t xml:space="preserve"> 75899.3003 </t>
  </si>
  <si>
    <t xml:space="preserve"> 45.3252 </t>
  </si>
  <si>
    <t xml:space="preserve">C:\Users\andre\Desktop\REACTIV CEFAS\E2\E2/20201117_Cefas_Test6-Run2/Plate 4/@11/H5_03.tif </t>
  </si>
  <si>
    <t xml:space="preserve"> 74861.0653 </t>
  </si>
  <si>
    <t xml:space="preserve"> 50.0665 </t>
  </si>
  <si>
    <t xml:space="preserve">C:\Users\andre\Desktop\REACTIV CEFAS\E2\E2/20201117_Cefas_Test6-Run2/Plate 4/@11/ </t>
  </si>
  <si>
    <t xml:space="preserve"> 42.9529 </t>
  </si>
  <si>
    <t xml:space="preserve"> 5.7005 </t>
  </si>
  <si>
    <t xml:space="preserve"> 2380923.25 </t>
  </si>
  <si>
    <t xml:space="preserve"> 1253236.73 </t>
  </si>
  <si>
    <t xml:space="preserve">C:\Users\andre\Desktop\REACTIV CEFAS\E2\E2/20201117_Cefas_Test6-Run2/Plate 4/@12/A6_01.tif </t>
  </si>
  <si>
    <t xml:space="preserve"> 53296.0604 </t>
  </si>
  <si>
    <t xml:space="preserve"> 38.3381 </t>
  </si>
  <si>
    <t xml:space="preserve">C:\Users\andre\Desktop\REACTIV CEFAS\E2\E2/20201117_Cefas_Test6-Run2/Plate 4/@12/A6_02.tif </t>
  </si>
  <si>
    <t xml:space="preserve"> 88401.3793 </t>
  </si>
  <si>
    <t xml:space="preserve"> 54.6004 </t>
  </si>
  <si>
    <t xml:space="preserve">C:\Users\andre\Desktop\REACTIV CEFAS\E2\E2/20201117_Cefas_Test6-Run2/Plate 4/@12/A6_03.tif </t>
  </si>
  <si>
    <t xml:space="preserve"> 91905.4223 </t>
  </si>
  <si>
    <t xml:space="preserve"> 51.7216 </t>
  </si>
  <si>
    <t xml:space="preserve">C:\Users\andre\Desktop\REACTIV CEFAS\E2\E2/20201117_Cefas_Test6-Run2/Plate 4/@12/B6_01.tif </t>
  </si>
  <si>
    <t xml:space="preserve"> 34.3453 </t>
  </si>
  <si>
    <t>C:\Users\andre\Desktop\REACTIV CEFAS\E2\E2/20201117_Cefas_Test6-Run2/Plate 4/@12/B6_02- exclu.tif</t>
  </si>
  <si>
    <t>C:\Users\andre\Desktop\REACTIV CEFAS\E2\E2/20201117_Cefas_Test6-Run2/Plate 4/@12/B6_03- exclu.tif</t>
  </si>
  <si>
    <t xml:space="preserve">C:\Users\andre\Desktop\REACTIV CEFAS\E2\E2/20201117_Cefas_Test6-Run2/Plate 4/@12/C6_01.tif </t>
  </si>
  <si>
    <t xml:space="preserve"> 70405.307 </t>
  </si>
  <si>
    <t xml:space="preserve"> 42.8716 </t>
  </si>
  <si>
    <t xml:space="preserve">C:\Users\andre\Desktop\REACTIV CEFAS\E2\E2/20201117_Cefas_Test6-Run2/Plate 4/@12/C6_02.tif </t>
  </si>
  <si>
    <t xml:space="preserve"> 74060.7592 </t>
  </si>
  <si>
    <t xml:space="preserve"> 46.7573 </t>
  </si>
  <si>
    <t xml:space="preserve">C:\Users\andre\Desktop\REACTIV CEFAS\E2\E2/20201117_Cefas_Test6-Run2/Plate 4/@12/C6_03.tif </t>
  </si>
  <si>
    <t xml:space="preserve"> 84421.4787 </t>
  </si>
  <si>
    <t xml:space="preserve"> 45.7297 </t>
  </si>
  <si>
    <t xml:space="preserve">C:\Users\andre\Desktop\REACTIV CEFAS\E2\E2/20201117_Cefas_Test6-Run2/Plate 4/@12/D6_01.tif </t>
  </si>
  <si>
    <t xml:space="preserve"> 33223.5181 </t>
  </si>
  <si>
    <t xml:space="preserve"> 34.2487 </t>
  </si>
  <si>
    <t xml:space="preserve">C:\Users\andre\Desktop\REACTIV CEFAS\E2\E2/20201117_Cefas_Test6-Run2/Plate 4/@12/D6_02.tif </t>
  </si>
  <si>
    <t xml:space="preserve"> 68415.3567 </t>
  </si>
  <si>
    <t xml:space="preserve"> 53.2343 </t>
  </si>
  <si>
    <t xml:space="preserve">C:\Users\andre\Desktop\REACTIV CEFAS\E2\E2/20201117_Cefas_Test6-Run2/Plate 4/@12/D6_03.tif </t>
  </si>
  <si>
    <t xml:space="preserve"> 68891.2144 </t>
  </si>
  <si>
    <t xml:space="preserve"> 57.9108 </t>
  </si>
  <si>
    <t xml:space="preserve">C:\Users\andre\Desktop\REACTIV CEFAS\E2\E2/20201117_Cefas_Test6-Run2/Plate 4/@12/E6_01.tif </t>
  </si>
  <si>
    <t xml:space="preserve"> 85027.1158 </t>
  </si>
  <si>
    <t xml:space="preserve"> 40.7049 </t>
  </si>
  <si>
    <t xml:space="preserve">C:\Users\andre\Desktop\REACTIV CEFAS\E2\E2/20201117_Cefas_Test6-Run2/Plate 4/@12/E6_02.tif </t>
  </si>
  <si>
    <t xml:space="preserve"> 77413.3929 </t>
  </si>
  <si>
    <t xml:space="preserve"> 53.867 </t>
  </si>
  <si>
    <t xml:space="preserve">C:\Users\andre\Desktop\REACTIV CEFAS\E2\E2/20201117_Cefas_Test6-Run2/Plate 4/@12/E6_03.tif </t>
  </si>
  <si>
    <t xml:space="preserve"> 87363.1444 </t>
  </si>
  <si>
    <t xml:space="preserve"> 53.0607 </t>
  </si>
  <si>
    <t>C:\Users\andre\Desktop\REACTIV CEFAS\E2\E2/20201117_Cefas_Test6-Run2/Plate 4/@12/F6_01- exclu.tif</t>
  </si>
  <si>
    <t xml:space="preserve">C:\Users\andre\Desktop\REACTIV CEFAS\E2\E2/20201117_Cefas_Test6-Run2/Plate 4/@12/F6_02.tif </t>
  </si>
  <si>
    <t xml:space="preserve"> 81241.8842 </t>
  </si>
  <si>
    <t xml:space="preserve"> 52.1581 </t>
  </si>
  <si>
    <t xml:space="preserve">C:\Users\andre\Desktop\REACTIV CEFAS\E2\E2/20201117_Cefas_Test6-Run2/Plate 4/@12/F6_03.tif </t>
  </si>
  <si>
    <t xml:space="preserve"> 55.0345 </t>
  </si>
  <si>
    <t xml:space="preserve">C:\Users\andre\Desktop\REACTIV CEFAS\E2\E2/20201117_Cefas_Test6-Run2/Plate 4/@12/G6_01.tif </t>
  </si>
  <si>
    <t xml:space="preserve"> 49359.4195 </t>
  </si>
  <si>
    <t xml:space="preserve"> 37.1455 </t>
  </si>
  <si>
    <t xml:space="preserve">C:\Users\andre\Desktop\REACTIV CEFAS\E2\E2/20201117_Cefas_Test6-Run2/Plate 4/@12/G6_02.tif </t>
  </si>
  <si>
    <t xml:space="preserve"> 80203.6493 </t>
  </si>
  <si>
    <t xml:space="preserve"> 52.9051 </t>
  </si>
  <si>
    <t xml:space="preserve">C:\Users\andre\Desktop\REACTIV CEFAS\E2\E2/20201117_Cefas_Test6-Run2/Plate 4/@12/G6_03.tif </t>
  </si>
  <si>
    <t xml:space="preserve"> 75683.0013 </t>
  </si>
  <si>
    <t xml:space="preserve"> 50.8028 </t>
  </si>
  <si>
    <t xml:space="preserve">C:\Users\andre\Desktop\REACTIV CEFAS\E2\E2/20201117_Cefas_Test6-Run2/Plate 4/@12/H6_01.tif </t>
  </si>
  <si>
    <t xml:space="preserve"> 88314.8598 </t>
  </si>
  <si>
    <t xml:space="preserve"> 46.8097 </t>
  </si>
  <si>
    <t xml:space="preserve">C:\Users\andre\Desktop\REACTIV CEFAS\E2\E2/20201117_Cefas_Test6-Run2/Plate 4/@12/H6_02.tif </t>
  </si>
  <si>
    <t xml:space="preserve"> 88141.8206 </t>
  </si>
  <si>
    <t xml:space="preserve"> 56.1094 </t>
  </si>
  <si>
    <t xml:space="preserve">C:\Users\andre\Desktop\REACTIV CEFAS\E2\E2/20201117_Cefas_Test6-Run2/Plate 4/@12/H6_03.tif </t>
  </si>
  <si>
    <t xml:space="preserve"> 87428.0341 </t>
  </si>
  <si>
    <t xml:space="preserve"> 54.6865 </t>
  </si>
  <si>
    <t xml:space="preserve">C:\Users\andre\Desktop\REACTIV CEFAS\E2\E2/20201117_Cefas_Test6-Run2/Plate 4/@12/ </t>
  </si>
  <si>
    <t xml:space="preserve"> 48.6403 </t>
  </si>
  <si>
    <t xml:space="preserve"> 7.7691 </t>
  </si>
  <si>
    <t xml:space="preserve"> 3476196.17 </t>
  </si>
  <si>
    <t xml:space="preserve"> 1187473.96 </t>
  </si>
  <si>
    <t xml:space="preserve">C:\Users\andre\Desktop\REACTIV CEFAS\E2\E2/20201117_Cefas_Test6-Run2/Plate 4/@17/A8_01.tif </t>
  </si>
  <si>
    <t xml:space="preserve"> 59525.47 </t>
  </si>
  <si>
    <t xml:space="preserve"> 41.4037 </t>
  </si>
  <si>
    <t xml:space="preserve">C:\Users\andre\Desktop\REACTIV CEFAS\E2\E2/20201117_Cefas_Test6-Run2/Plate 4/@17/A8_02.tif </t>
  </si>
  <si>
    <t xml:space="preserve"> 53231.1707 </t>
  </si>
  <si>
    <t xml:space="preserve"> 47.7196 </t>
  </si>
  <si>
    <t xml:space="preserve">C:\Users\andre\Desktop\REACTIV CEFAS\E2\E2/20201117_Cefas_Test6-Run2/Plate 4/@17/A8_03.tif </t>
  </si>
  <si>
    <t xml:space="preserve"> 59330.801 </t>
  </si>
  <si>
    <t xml:space="preserve"> 46.8345 </t>
  </si>
  <si>
    <t xml:space="preserve">C:\Users\andre\Desktop\REACTIV CEFAS\E2\E2/20201117_Cefas_Test6-Run2/Plate 4/@17/B8_01.tif </t>
  </si>
  <si>
    <t xml:space="preserve"> 36165.1838 </t>
  </si>
  <si>
    <t xml:space="preserve"> 35.1447 </t>
  </si>
  <si>
    <t xml:space="preserve">C:\Users\andre\Desktop\REACTIV CEFAS\E2\E2/20201117_Cefas_Test6-Run2/Plate 4/@17/B8_02.tif </t>
  </si>
  <si>
    <t xml:space="preserve"> 63245.8119 </t>
  </si>
  <si>
    <t xml:space="preserve"> 42.236 </t>
  </si>
  <si>
    <t xml:space="preserve">C:\Users\andre\Desktop\REACTIV CEFAS\E2\E2/20201117_Cefas_Test6-Run2/Plate 4/@17/B8_03.tif </t>
  </si>
  <si>
    <t xml:space="preserve"> 62077.7976 </t>
  </si>
  <si>
    <t xml:space="preserve"> 41.7101 </t>
  </si>
  <si>
    <t>C:\Users\andre\Desktop\REACTIV CEFAS\E2\E2/20201117_Cefas_Test6-Run2/Plate 4/@17/C8_01- exclu.tif</t>
  </si>
  <si>
    <t xml:space="preserve">C:\Users\andre\Desktop\REACTIV CEFAS\E2\E2/20201117_Cefas_Test6-Run2/Plate 4/@17/C8_02.tif </t>
  </si>
  <si>
    <t xml:space="preserve"> 41442.8781 </t>
  </si>
  <si>
    <t xml:space="preserve"> 36.6816 </t>
  </si>
  <si>
    <t xml:space="preserve">C:\Users\andre\Desktop\REACTIV CEFAS\E2\E2/20201117_Cefas_Test6-Run2/Plate 4/@17/C8_03.tif </t>
  </si>
  <si>
    <t xml:space="preserve"> 37246.6786 </t>
  </si>
  <si>
    <t xml:space="preserve"> 35.7364 </t>
  </si>
  <si>
    <t xml:space="preserve">C:\Users\andre\Desktop\REACTIV CEFAS\E2\E2/20201117_Cefas_Test6-Run2/Plate 4/@17/D8_01.tif </t>
  </si>
  <si>
    <t xml:space="preserve"> 63159.2923 </t>
  </si>
  <si>
    <t xml:space="preserve"> 48.8853 </t>
  </si>
  <si>
    <t xml:space="preserve">C:\Users\andre\Desktop\REACTIV CEFAS\E2\E2/20201117_Cefas_Test6-Run2/Plate 4/@17/D8_02.tif </t>
  </si>
  <si>
    <t xml:space="preserve"> 28097.2331 </t>
  </si>
  <si>
    <t xml:space="preserve"> 38.0408 </t>
  </si>
  <si>
    <t>C:\Users\andre\Desktop\REACTIV CEFAS\E2\E2/20201117_Cefas_Test6-Run2/Plate 4/@17/D8_03- exclu.tif</t>
  </si>
  <si>
    <t xml:space="preserve">C:\Users\andre\Desktop\REACTIV CEFAS\E2\E2/20201117_Cefas_Test6-Run2/Plate 4/@17/E8_01.tif </t>
  </si>
  <si>
    <t xml:space="preserve"> 55523.9395 </t>
  </si>
  <si>
    <t xml:space="preserve"> 38.6884 </t>
  </si>
  <si>
    <t xml:space="preserve">C:\Users\andre\Desktop\REACTIV CEFAS\E2\E2/20201117_Cefas_Test6-Run2/Plate 4/@17/E8_02.tif </t>
  </si>
  <si>
    <t xml:space="preserve"> 55437.4199 </t>
  </si>
  <si>
    <t xml:space="preserve"> 44.151 </t>
  </si>
  <si>
    <t xml:space="preserve">C:\Users\andre\Desktop\REACTIV CEFAS\E2\E2/20201117_Cefas_Test6-Run2/Plate 4/@17/E8_03.tif </t>
  </si>
  <si>
    <t xml:space="preserve"> 54507.3345 </t>
  </si>
  <si>
    <t xml:space="preserve"> 42.6667 </t>
  </si>
  <si>
    <t xml:space="preserve">C:\Users\andre\Desktop\REACTIV CEFAS\E2\E2/20201117_Cefas_Test6-Run2/Plate 4/@17/F8_01.tif </t>
  </si>
  <si>
    <t xml:space="preserve"> 35.9066 </t>
  </si>
  <si>
    <t xml:space="preserve">C:\Users\andre\Desktop\REACTIV CEFAS\E2\E2/20201117_Cefas_Test6-Run2/Plate 4/@17/F8_02.tif </t>
  </si>
  <si>
    <t xml:space="preserve"> 68826.3247 </t>
  </si>
  <si>
    <t xml:space="preserve"> 46.3655 </t>
  </si>
  <si>
    <t>C:\Users\andre\Desktop\REACTIV CEFAS\E2\E2/20201117_Cefas_Test6-Run2/Plate 4/@17/F8_03- exclu.tif</t>
  </si>
  <si>
    <t xml:space="preserve">C:\Users\andre\Desktop\REACTIV CEFAS\E2\E2/20201117_Cefas_Test6-Run2/Plate 4/@17/G8_01.tif </t>
  </si>
  <si>
    <t xml:space="preserve"> 54615.4839 </t>
  </si>
  <si>
    <t xml:space="preserve"> 42.8424 </t>
  </si>
  <si>
    <t xml:space="preserve">C:\Users\andre\Desktop\REACTIV CEFAS\E2\E2/20201117_Cefas_Test6-Run2/Plate 4/@17/G8_02.tif </t>
  </si>
  <si>
    <t xml:space="preserve"> 38.5355 </t>
  </si>
  <si>
    <t xml:space="preserve">C:\Users\andre\Desktop\REACTIV CEFAS\E2\E2/20201117_Cefas_Test6-Run2/Plate 4/@17/G8_03.tif </t>
  </si>
  <si>
    <t xml:space="preserve"> 39366.4082 </t>
  </si>
  <si>
    <t xml:space="preserve"> 38.6346 </t>
  </si>
  <si>
    <t xml:space="preserve">C:\Users\andre\Desktop\REACTIV CEFAS\E2\E2/20201117_Cefas_Test6-Run2/Plate 4/@17/H8_01.tif </t>
  </si>
  <si>
    <t xml:space="preserve"> 62683.4346 </t>
  </si>
  <si>
    <t xml:space="preserve"> 41.4617 </t>
  </si>
  <si>
    <t xml:space="preserve">C:\Users\andre\Desktop\REACTIV CEFAS\E2\E2/20201117_Cefas_Test6-Run2/Plate 4/@17/H8_02.tif </t>
  </si>
  <si>
    <t xml:space="preserve"> 53836.8077 </t>
  </si>
  <si>
    <t xml:space="preserve"> 41.2045 </t>
  </si>
  <si>
    <t xml:space="preserve">C:\Users\andre\Desktop\REACTIV CEFAS\E2\E2/20201117_Cefas_Test6-Run2/Plate 4/@17/H8_03.tif </t>
  </si>
  <si>
    <t xml:space="preserve"> 77845.9908 </t>
  </si>
  <si>
    <t xml:space="preserve"> 42.8672 </t>
  </si>
  <si>
    <t xml:space="preserve">C:\Users\andre\Desktop\REACTIV CEFAS\E2\E2/20201117_Cefas_Test6-Run2/Plate 4/@17/ </t>
  </si>
  <si>
    <t xml:space="preserve"> 41.9085 </t>
  </si>
  <si>
    <t xml:space="preserve"> 4.2736 </t>
  </si>
  <si>
    <t xml:space="preserve"> 2165214.67 </t>
  </si>
  <si>
    <t xml:space="preserve"> 669977.235 </t>
  </si>
  <si>
    <t xml:space="preserve">C:\Users\andre\Desktop\REACTIV CEFAS\E2\E2/20201117_Cefas_Test6-Run2/Plate 4/@18/A9_01.tif </t>
  </si>
  <si>
    <t xml:space="preserve"> 72633.1862 </t>
  </si>
  <si>
    <t xml:space="preserve"> 42.3362 </t>
  </si>
  <si>
    <t xml:space="preserve">C:\Users\andre\Desktop\REACTIV CEFAS\E2\E2/20201117_Cefas_Test6-Run2/Plate 4/@18/A9_02.tif </t>
  </si>
  <si>
    <t xml:space="preserve"> 54550.5943 </t>
  </si>
  <si>
    <t xml:space="preserve"> 45.5032 </t>
  </si>
  <si>
    <t>C:\Users\andre\Desktop\REACTIV CEFAS\E2\E2/20201117_Cefas_Test6-Run2/Plate 4/@18/A9_03- exclu.tif</t>
  </si>
  <si>
    <t xml:space="preserve">C:\Users\andre\Desktop\REACTIV CEFAS\E2\E2/20201117_Cefas_Test6-Run2/Plate 4/@18/B9_01.tif </t>
  </si>
  <si>
    <t xml:space="preserve"> 57751.8187 </t>
  </si>
  <si>
    <t xml:space="preserve"> 39.6614 </t>
  </si>
  <si>
    <t>C:\Users\andre\Desktop\REACTIV CEFAS\E2\E2/20201117_Cefas_Test6-Run2/Plate 4/@18/B9_02- exclu.tif</t>
  </si>
  <si>
    <t>C:\Users\andre\Desktop\REACTIV CEFAS\E2\E2/20201117_Cefas_Test6-Run2/Plate 4/@18/B9_03- exclu.tif</t>
  </si>
  <si>
    <t xml:space="preserve">C:\Users\andre\Desktop\REACTIV CEFAS\E2\E2/20201117_Cefas_Test6-Run2/Plate 4/@18/C9_01.tif </t>
  </si>
  <si>
    <t xml:space="preserve"> 44.8038 </t>
  </si>
  <si>
    <t xml:space="preserve">C:\Users\andre\Desktop\REACTIV CEFAS\E2\E2/20201117_Cefas_Test6-Run2/Plate 4/@18/C9_02.tif </t>
  </si>
  <si>
    <t xml:space="preserve"> 49662.2381 </t>
  </si>
  <si>
    <t xml:space="preserve"> 41.7239 </t>
  </si>
  <si>
    <t xml:space="preserve">C:\Users\andre\Desktop\REACTIV CEFAS\E2\E2/20201117_Cefas_Test6-Run2/Plate 4/@18/C9_03.tif </t>
  </si>
  <si>
    <t xml:space="preserve"> 43.1164 </t>
  </si>
  <si>
    <t xml:space="preserve">C:\Users\andre\Desktop\REACTIV CEFAS\E2\E2/20201117_Cefas_Test6-Run2/Plate 4/@18/D9_01.tif </t>
  </si>
  <si>
    <t xml:space="preserve"> 51.0829 </t>
  </si>
  <si>
    <t xml:space="preserve">C:\Users\andre\Desktop\REACTIV CEFAS\E2\E2/20201117_Cefas_Test6-Run2/Plate 4/@18/D9_02.tif </t>
  </si>
  <si>
    <t xml:space="preserve"> 51652.1884 </t>
  </si>
  <si>
    <t xml:space="preserve"> 48.2701 </t>
  </si>
  <si>
    <t xml:space="preserve">C:\Users\andre\Desktop\REACTIV CEFAS\E2\E2/20201117_Cefas_Test6-Run2/Plate 4/@18/D9_03.tif </t>
  </si>
  <si>
    <t xml:space="preserve"> 42.2523 </t>
  </si>
  <si>
    <t xml:space="preserve">C:\Users\andre\Desktop\REACTIV CEFAS\E2\E2/20201117_Cefas_Test6-Run2/Plate 4/@18/E9_01.tif </t>
  </si>
  <si>
    <t xml:space="preserve"> 48.0203 </t>
  </si>
  <si>
    <t xml:space="preserve">C:\Users\andre\Desktop\REACTIV CEFAS\E2\E2/20201117_Cefas_Test6-Run2/Plate 4/@18/E9_02.tif </t>
  </si>
  <si>
    <t xml:space="preserve"> 67615.0506 </t>
  </si>
  <si>
    <t xml:space="preserve"> 48.2655 </t>
  </si>
  <si>
    <t xml:space="preserve">C:\Users\andre\Desktop\REACTIV CEFAS\E2\E2/20201117_Cefas_Test6-Run2/Plate 4/@18/E9_03.tif </t>
  </si>
  <si>
    <t xml:space="preserve"> 67809.7197 </t>
  </si>
  <si>
    <t xml:space="preserve"> 43.8182 </t>
  </si>
  <si>
    <t xml:space="preserve">C:\Users\andre\Desktop\REACTIV CEFAS\E2\E2/20201117_Cefas_Test6-Run2/Plate 4/@18/F9_01.tif </t>
  </si>
  <si>
    <t xml:space="preserve"> 76980.795 </t>
  </si>
  <si>
    <t xml:space="preserve"> 49.222 </t>
  </si>
  <si>
    <t xml:space="preserve">C:\Users\andre\Desktop\REACTIV CEFAS\E2\E2/20201117_Cefas_Test6-Run2/Plate 4/@18/F9_02.tif </t>
  </si>
  <si>
    <t xml:space="preserve"> 69756.4102 </t>
  </si>
  <si>
    <t xml:space="preserve"> 44.7119 </t>
  </si>
  <si>
    <t xml:space="preserve">C:\Users\andre\Desktop\REACTIV CEFAS\E2\E2/20201117_Cefas_Test6-Run2/Plate 4/@18/F9_03.tif </t>
  </si>
  <si>
    <t xml:space="preserve"> 61861.4986 </t>
  </si>
  <si>
    <t xml:space="preserve"> 44.5503 </t>
  </si>
  <si>
    <t xml:space="preserve">C:\Users\andre\Desktop\REACTIV CEFAS\E2\E2/20201117_Cefas_Test6-Run2/Plate 4/@18/G9_01.tif </t>
  </si>
  <si>
    <t xml:space="preserve"> 50851.8823 </t>
  </si>
  <si>
    <t xml:space="preserve"> 36.4351 </t>
  </si>
  <si>
    <t xml:space="preserve">C:\Users\andre\Desktop\REACTIV CEFAS\E2\E2/20201117_Cefas_Test6-Run2/Plate 4/@18/G9_02.tif </t>
  </si>
  <si>
    <t xml:space="preserve"> 73346.9727 </t>
  </si>
  <si>
    <t xml:space="preserve"> 49.0212 </t>
  </si>
  <si>
    <t xml:space="preserve">C:\Users\andre\Desktop\REACTIV CEFAS\E2\E2/20201117_Cefas_Test6-Run2/Plate 4/@18/G9_03.tif </t>
  </si>
  <si>
    <t xml:space="preserve"> 73866.0902 </t>
  </si>
  <si>
    <t xml:space="preserve"> 51.1818 </t>
  </si>
  <si>
    <t xml:space="preserve">C:\Users\andre\Desktop\REACTIV CEFAS\E2\E2/20201117_Cefas_Test6-Run2/Plate 4/@18/H9_01.tif </t>
  </si>
  <si>
    <t xml:space="preserve"> 49381.0494 </t>
  </si>
  <si>
    <t xml:space="preserve"> 41.5423 </t>
  </si>
  <si>
    <t>C:\Users\andre\Desktop\REACTIV CEFAS\E2\E2/20201117_Cefas_Test6-Run2/Plate 4/@18/H9_02- exclu.tif</t>
  </si>
  <si>
    <t>C:\Users\andre\Desktop\REACTIV CEFAS\E2\E2/20201117_Cefas_Test6-Run2/Plate 4/@18/H9_03- exclu.tif</t>
  </si>
  <si>
    <t xml:space="preserve">C:\Users\andre\Desktop\REACTIV CEFAS\E2\E2/20201117_Cefas_Test6-Run2/Plate 4/@18/ </t>
  </si>
  <si>
    <t xml:space="preserve"> 45.0083 </t>
  </si>
  <si>
    <t xml:space="preserve"> 4.4025 </t>
  </si>
  <si>
    <t xml:space="preserve"> 2678012.5 </t>
  </si>
  <si>
    <t xml:space="preserve"> 766887.103 </t>
  </si>
  <si>
    <t>C:\Users\andre\Desktop\REACTIV CEFAS\E2\E2/20201117_Cefas_Test6-Run2/Plate 4/@19/A10_01- exclu.tif</t>
  </si>
  <si>
    <t xml:space="preserve">C:\Users\andre\Desktop\REACTIV CEFAS\E2\E2/20201117_Cefas_Test6-Run2/Plate 4/@19/A10_02.tif </t>
  </si>
  <si>
    <t xml:space="preserve"> 50592.3235 </t>
  </si>
  <si>
    <t xml:space="preserve"> 46.6584 </t>
  </si>
  <si>
    <t xml:space="preserve">C:\Users\andre\Desktop\REACTIV CEFAS\E2\E2/20201117_Cefas_Test6-Run2/Plate 4/@19/A10_03.tif </t>
  </si>
  <si>
    <t xml:space="preserve"> 50159.7256 </t>
  </si>
  <si>
    <t xml:space="preserve"> 46.2837 </t>
  </si>
  <si>
    <t xml:space="preserve">C:\Users\andre\Desktop\REACTIV CEFAS\E2\E2/20201117_Cefas_Test6-Run2/Plate 4/@19/B10_01.tif </t>
  </si>
  <si>
    <t xml:space="preserve"> 88098.5608 </t>
  </si>
  <si>
    <t xml:space="preserve"> 50.4027 </t>
  </si>
  <si>
    <t xml:space="preserve">C:\Users\andre\Desktop\REACTIV CEFAS\E2\E2/20201117_Cefas_Test6-Run2/Plate 4/@19/B10_02.tif </t>
  </si>
  <si>
    <t xml:space="preserve"> 76375.1579 </t>
  </si>
  <si>
    <t xml:space="preserve"> 49.2209 </t>
  </si>
  <si>
    <t xml:space="preserve">C:\Users\andre\Desktop\REACTIV CEFAS\E2\E2/20201117_Cefas_Test6-Run2/Plate 4/@19/B10_03.tif </t>
  </si>
  <si>
    <t xml:space="preserve"> 80138.7596 </t>
  </si>
  <si>
    <t xml:space="preserve"> 46.9293 </t>
  </si>
  <si>
    <t xml:space="preserve">C:\Users\andre\Desktop\REACTIV CEFAS\E2\E2/20201117_Cefas_Test6-Run2/Plate 4/@19/C10_01.tif </t>
  </si>
  <si>
    <t xml:space="preserve"> 72243.8481 </t>
  </si>
  <si>
    <t xml:space="preserve"> 44.1784 </t>
  </si>
  <si>
    <t xml:space="preserve">C:\Users\andre\Desktop\REACTIV CEFAS\E2\E2/20201117_Cefas_Test6-Run2/Plate 4/@19/C10_02.tif </t>
  </si>
  <si>
    <t xml:space="preserve"> 67117.563 </t>
  </si>
  <si>
    <t xml:space="preserve"> 50.9268 </t>
  </si>
  <si>
    <t xml:space="preserve">C:\Users\andre\Desktop\REACTIV CEFAS\E2\E2/20201117_Cefas_Test6-Run2/Plate 4/@19/C10_03.tif </t>
  </si>
  <si>
    <t xml:space="preserve"> 59049.6123 </t>
  </si>
  <si>
    <t xml:space="preserve"> 52.5099 </t>
  </si>
  <si>
    <t xml:space="preserve">C:\Users\andre\Desktop\REACTIV CEFAS\E2\E2/20201117_Cefas_Test6-Run2/Plate 4/@19/D10_01.tif </t>
  </si>
  <si>
    <t xml:space="preserve"> 56216.0961 </t>
  </si>
  <si>
    <t xml:space="preserve"> 40.3821 </t>
  </si>
  <si>
    <t xml:space="preserve">C:\Users\andre\Desktop\REACTIV CEFAS\E2\E2/20201117_Cefas_Test6-Run2/Plate 4/@19/D10_02.tif </t>
  </si>
  <si>
    <t xml:space="preserve"> 54096.3665 </t>
  </si>
  <si>
    <t xml:space="preserve"> 44.3435 </t>
  </si>
  <si>
    <t xml:space="preserve">C:\Users\andre\Desktop\REACTIV CEFAS\E2\E2/20201117_Cefas_Test6-Run2/Plate 4/@19/D10_03.tif </t>
  </si>
  <si>
    <t xml:space="preserve"> 63072.7727 </t>
  </si>
  <si>
    <t xml:space="preserve"> 46.2147 </t>
  </si>
  <si>
    <t xml:space="preserve">C:\Users\andre\Desktop\REACTIV CEFAS\E2\E2/20201117_Cefas_Test6-Run2/Plate 4/@19/E10_01.tif </t>
  </si>
  <si>
    <t xml:space="preserve"> 66014.4384 </t>
  </si>
  <si>
    <t xml:space="preserve"> 45.6651 </t>
  </si>
  <si>
    <t>C:\Users\andre\Desktop\REACTIV CEFAS\E2\E2/20201117_Cefas_Test6-Run2/Plate 4/@19/E10_02- exclu.tif</t>
  </si>
  <si>
    <t>C:\Users\andre\Desktop\REACTIV CEFAS\E2\E2/20201117_Cefas_Test6-Run2/Plate 4/@19/E10_03- exclu.tif</t>
  </si>
  <si>
    <t xml:space="preserve">C:\Users\andre\Desktop\REACTIV CEFAS\E2\E2/20201117_Cefas_Test6-Run2/Plate 4/@19/F10_01.tif </t>
  </si>
  <si>
    <t xml:space="preserve"> 48.1781 </t>
  </si>
  <si>
    <t>C:\Users\andre\Desktop\REACTIV CEFAS\E2\E2/20201117_Cefas_Test6-Run2/Plate 4/@19/F10_02- exclu.tif</t>
  </si>
  <si>
    <t>C:\Users\andre\Desktop\REACTIV CEFAS\E2\E2/20201117_Cefas_Test6-Run2/Plate 4/@19/F10_03- exclu.tif</t>
  </si>
  <si>
    <t xml:space="preserve">C:\Users\andre\Desktop\REACTIV CEFAS\E2\E2/20201117_Cefas_Test6-Run2/Plate 4/@19/G10_01.tif </t>
  </si>
  <si>
    <t xml:space="preserve"> 69864.5597 </t>
  </si>
  <si>
    <t xml:space="preserve"> 44.4294 </t>
  </si>
  <si>
    <t xml:space="preserve">C:\Users\andre\Desktop\REACTIV CEFAS\E2\E2/20201117_Cefas_Test6-Run2/Plate 4/@19/G10_02.tif </t>
  </si>
  <si>
    <t xml:space="preserve"> 67528.531 </t>
  </si>
  <si>
    <t xml:space="preserve"> 47.9385 </t>
  </si>
  <si>
    <t>C:\Users\andre\Desktop\REACTIV CEFAS\E2\E2/20201117_Cefas_Test6-Run2/Plate 4/@19/G10_03- exclu.tif</t>
  </si>
  <si>
    <t xml:space="preserve">C:\Users\andre\Desktop\REACTIV CEFAS\E2\E2/20201117_Cefas_Test6-Run2/Plate 4/@19/H10_01.tif </t>
  </si>
  <si>
    <t xml:space="preserve"> 54896.6726 </t>
  </si>
  <si>
    <t xml:space="preserve"> 38.2396 </t>
  </si>
  <si>
    <t xml:space="preserve">C:\Users\andre\Desktop\REACTIV CEFAS\E2\E2/20201117_Cefas_Test6-Run2/Plate 4/@19/H10_02.tif </t>
  </si>
  <si>
    <t xml:space="preserve"> 68696.5453 </t>
  </si>
  <si>
    <t xml:space="preserve"> 54.0444 </t>
  </si>
  <si>
    <t xml:space="preserve">C:\Users\andre\Desktop\REACTIV CEFAS\E2\E2/20201117_Cefas_Test6-Run2/Plate 4/@19/H10_03.tif </t>
  </si>
  <si>
    <t xml:space="preserve"> 65776.5096 </t>
  </si>
  <si>
    <t xml:space="preserve"> 52.4574 </t>
  </si>
  <si>
    <t xml:space="preserve">C:\Users\andre\Desktop\REACTIV CEFAS\E2\E2/20201117_Cefas_Test6-Run2/Plate 4/@19/ </t>
  </si>
  <si>
    <t xml:space="preserve"> 45.4252 </t>
  </si>
  <si>
    <t xml:space="preserve"> 5.3808 </t>
  </si>
  <si>
    <t xml:space="preserve"> 2713153.04 </t>
  </si>
  <si>
    <t xml:space="preserve"> 979211.054 </t>
  </si>
  <si>
    <t xml:space="preserve">C:\Users\andre\Desktop\REACTIV CEFAS\E2\E2/20201117_Cefas_Test6-Run2/Plate 4/@20/A11_01.tif </t>
  </si>
  <si>
    <t xml:space="preserve"> 95106.6467 </t>
  </si>
  <si>
    <t xml:space="preserve"> 47.9802 </t>
  </si>
  <si>
    <t>C:\Users\andre\Desktop\REACTIV CEFAS\E2\E2/20201117_Cefas_Test6-Run2/Plate 4/@20/A11_02- exclu.tif</t>
  </si>
  <si>
    <t>C:\Users\andre\Desktop\REACTIV CEFAS\E2\E2/20201117_Cefas_Test6-Run2/Plate 4/@20/A11_03- exclu.tif</t>
  </si>
  <si>
    <t>C:\Users\andre\Desktop\REACTIV CEFAS\E2\E2/20201117_Cefas_Test6-Run2/Plate 4/@20/B11_01- exclu.tif</t>
  </si>
  <si>
    <t xml:space="preserve">C:\Users\andre\Desktop\REACTIV CEFAS\E2\E2/20201117_Cefas_Test6-Run2/Plate 4/@20/B11_02.tif </t>
  </si>
  <si>
    <t xml:space="preserve"> 67679.9403 </t>
  </si>
  <si>
    <t xml:space="preserve"> 50.3301 </t>
  </si>
  <si>
    <t xml:space="preserve">C:\Users\andre\Desktop\REACTIV CEFAS\E2\E2/20201117_Cefas_Test6-Run2/Plate 4/@20/B11_03.tif </t>
  </si>
  <si>
    <t xml:space="preserve"> 70145.7483 </t>
  </si>
  <si>
    <t xml:space="preserve"> 50.3358 </t>
  </si>
  <si>
    <t xml:space="preserve">C:\Users\andre\Desktop\REACTIV CEFAS\E2\E2/20201117_Cefas_Test6-Run2/Plate 4/@20/C11_01.tif </t>
  </si>
  <si>
    <t xml:space="preserve"> 48.2953 </t>
  </si>
  <si>
    <t xml:space="preserve">C:\Users\andre\Desktop\REACTIV CEFAS\E2\E2/20201117_Cefas_Test6-Run2/Plate 4/@20/C11_02.tif </t>
  </si>
  <si>
    <t xml:space="preserve"> 78905.8556 </t>
  </si>
  <si>
    <t xml:space="preserve"> 58.7812 </t>
  </si>
  <si>
    <t>C:\Users\andre\Desktop\REACTIV CEFAS\E2\E2/20201117_Cefas_Test6-Run2/Plate 4/@20/C11_03- exclu.tif</t>
  </si>
  <si>
    <t xml:space="preserve">C:\Users\andre\Desktop\REACTIV CEFAS\E2\E2/20201117_Cefas_Test6-Run2/Plate 4/@20/D11_01.tif </t>
  </si>
  <si>
    <t xml:space="preserve"> 92878.7675 </t>
  </si>
  <si>
    <t xml:space="preserve"> 47.0692 </t>
  </si>
  <si>
    <t xml:space="preserve">C:\Users\andre\Desktop\REACTIV CEFAS\E2\E2/20201117_Cefas_Test6-Run2/Plate 4/@20/D11_02.tif </t>
  </si>
  <si>
    <t xml:space="preserve"> 65149.2426 </t>
  </si>
  <si>
    <t xml:space="preserve"> 50.5262 </t>
  </si>
  <si>
    <t xml:space="preserve">C:\Users\andre\Desktop\REACTIV CEFAS\E2\E2/20201117_Cefas_Test6-Run2/Plate 4/@20/D11_03.tif </t>
  </si>
  <si>
    <t xml:space="preserve"> 67290.6022 </t>
  </si>
  <si>
    <t xml:space="preserve"> 47.5256 </t>
  </si>
  <si>
    <t xml:space="preserve">C:\Users\andre\Desktop\REACTIV CEFAS\E2\E2/20201117_Cefas_Test6-Run2/Plate 4/@20/E11_01.tif </t>
  </si>
  <si>
    <t xml:space="preserve"> 100622.27 </t>
  </si>
  <si>
    <t xml:space="preserve"> 52.4706 </t>
  </si>
  <si>
    <t xml:space="preserve">C:\Users\andre\Desktop\REACTIV CEFAS\E2\E2/20201117_Cefas_Test6-Run2/Plate 4/@20/E11_02.tif </t>
  </si>
  <si>
    <t xml:space="preserve"> 52.8117 </t>
  </si>
  <si>
    <t xml:space="preserve">C:\Users\andre\Desktop\REACTIV CEFAS\E2\E2/20201117_Cefas_Test6-Run2/Plate 4/@20/E11_03.tif </t>
  </si>
  <si>
    <t xml:space="preserve"> 65949.5487 </t>
  </si>
  <si>
    <t xml:space="preserve"> 54.1578 </t>
  </si>
  <si>
    <t xml:space="preserve">C:\Users\andre\Desktop\REACTIV CEFAS\E2\E2/20201117_Cefas_Test6-Run2/Plate 4/@20/F11_01.tif </t>
  </si>
  <si>
    <t xml:space="preserve"> 76721.2362 </t>
  </si>
  <si>
    <t xml:space="preserve"> 43.042 </t>
  </si>
  <si>
    <t xml:space="preserve">C:\Users\andre\Desktop\REACTIV CEFAS\E2\E2/20201117_Cefas_Test6-Run2/Plate 4/@20/F11_02.tif </t>
  </si>
  <si>
    <t xml:space="preserve"> 67247.3424 </t>
  </si>
  <si>
    <t xml:space="preserve"> 49.7166 </t>
  </si>
  <si>
    <t xml:space="preserve">C:\Users\andre\Desktop\REACTIV CEFAS\E2\E2/20201117_Cefas_Test6-Run2/Plate 4/@20/F11_03.tif </t>
  </si>
  <si>
    <t xml:space="preserve"> 50.729 </t>
  </si>
  <si>
    <t xml:space="preserve">C:\Users\andre\Desktop\REACTIV CEFAS\E2\E2/20201117_Cefas_Test6-Run2/Plate 4/@20/G11_01.tif </t>
  </si>
  <si>
    <t xml:space="preserve"> 50.9495 </t>
  </si>
  <si>
    <t xml:space="preserve">C:\Users\andre\Desktop\REACTIV CEFAS\E2\E2/20201117_Cefas_Test6-Run2/Plate 4/@20/G11_02.tif </t>
  </si>
  <si>
    <t xml:space="preserve"> 65733.2498 </t>
  </si>
  <si>
    <t xml:space="preserve"> 51.1218 </t>
  </si>
  <si>
    <t xml:space="preserve">C:\Users\andre\Desktop\REACTIV CEFAS\E2\E2/20201117_Cefas_Test6-Run2/Plate 4/@20/G11_03.tif </t>
  </si>
  <si>
    <t xml:space="preserve"> 65668.3601 </t>
  </si>
  <si>
    <t xml:space="preserve"> 48.6621 </t>
  </si>
  <si>
    <t xml:space="preserve">C:\Users\andre\Desktop\REACTIV CEFAS\E2\E2/20201117_Cefas_Test6-Run2/Plate 4/@20/H11_01.tif </t>
  </si>
  <si>
    <t xml:space="preserve"> 83577.9128 </t>
  </si>
  <si>
    <t xml:space="preserve"> 48.2019 </t>
  </si>
  <si>
    <t xml:space="preserve">C:\Users\andre\Desktop\REACTIV CEFAS\E2\E2/20201117_Cefas_Test6-Run2/Plate 4/@20/H11_02.tif </t>
  </si>
  <si>
    <t xml:space="preserve"> 55.7977 </t>
  </si>
  <si>
    <t xml:space="preserve">C:\Users\andre\Desktop\REACTIV CEFAS\E2\E2/20201117_Cefas_Test6-Run2/Plate 4/@20/H11_03.tif </t>
  </si>
  <si>
    <t xml:space="preserve"> 82496.4181 </t>
  </si>
  <si>
    <t xml:space="preserve"> 57.0362 </t>
  </si>
  <si>
    <t xml:space="preserve">C:\Users\andre\Desktop\REACTIV CEFAS\E2\E2/20201117_Cefas_Test6-Run2/Plate 4/@20/ </t>
  </si>
  <si>
    <t xml:space="preserve"> 48.9849 </t>
  </si>
  <si>
    <t xml:space="preserve"> 6.8267 </t>
  </si>
  <si>
    <t xml:space="preserve"> 3422240.5 </t>
  </si>
  <si>
    <t xml:space="preserve"> 1303126.25 </t>
  </si>
  <si>
    <t xml:space="preserve">C:\Users\andre\Desktop\REACTIV CEFAS\E2\E2/20201117_Cefas_Test6-Run2/Plate 4/@21/A12_01.tif </t>
  </si>
  <si>
    <t xml:space="preserve"> 73757.9407 </t>
  </si>
  <si>
    <t xml:space="preserve"> 48.4686 </t>
  </si>
  <si>
    <t xml:space="preserve">C:\Users\andre\Desktop\REACTIV CEFAS\E2\E2/20201117_Cefas_Test6-Run2/Plate 4/@21/A12_02.tif </t>
  </si>
  <si>
    <t xml:space="preserve"> 52.562 </t>
  </si>
  <si>
    <t xml:space="preserve">C:\Users\andre\Desktop\REACTIV CEFAS\E2\E2/20201117_Cefas_Test6-Run2/Plate 4/@21/A12_03.tif </t>
  </si>
  <si>
    <t xml:space="preserve"> 51.9383 </t>
  </si>
  <si>
    <t xml:space="preserve">C:\Users\andre\Desktop\REACTIV CEFAS\E2\E2/20201117_Cefas_Test6-Run2/Plate 4/@21/B12_01.tif </t>
  </si>
  <si>
    <t xml:space="preserve"> 46.7375 </t>
  </si>
  <si>
    <t xml:space="preserve">C:\Users\andre\Desktop\REACTIV CEFAS\E2\E2/20201117_Cefas_Test6-Run2/Plate 4/@21/B12_02.tif </t>
  </si>
  <si>
    <t xml:space="preserve"> 83988.8808 </t>
  </si>
  <si>
    <t xml:space="preserve"> 67.8112 </t>
  </si>
  <si>
    <t xml:space="preserve">C:\Users\andre\Desktop\REACTIV CEFAS\E2\E2/20201117_Cefas_Test6-Run2/Plate 4/@21/B12_03.tif </t>
  </si>
  <si>
    <t xml:space="preserve"> 92943.6572 </t>
  </si>
  <si>
    <t xml:space="preserve"> 66.2772 </t>
  </si>
  <si>
    <t xml:space="preserve">C:\Users\andre\Desktop\REACTIV CEFAS\E2\E2/20201117_Cefas_Test6-Run2/Plate 4/@21/C12_01.tif </t>
  </si>
  <si>
    <t xml:space="preserve"> 64781.5344 </t>
  </si>
  <si>
    <t xml:space="preserve"> 46.5599 </t>
  </si>
  <si>
    <t xml:space="preserve">C:\Users\andre\Desktop\REACTIV CEFAS\E2\E2/20201117_Cefas_Test6-Run2/Plate 4/@21/C12_02.tif </t>
  </si>
  <si>
    <t xml:space="preserve"> 65084.3529 </t>
  </si>
  <si>
    <t xml:space="preserve"> 56.4128 </t>
  </si>
  <si>
    <t xml:space="preserve">C:\Users\andre\Desktop\REACTIV CEFAS\E2\E2/20201117_Cefas_Test6-Run2/Plate 4/@21/C12_03.tif </t>
  </si>
  <si>
    <t xml:space="preserve"> 72373.6274 </t>
  </si>
  <si>
    <t xml:space="preserve"> 61.3305 </t>
  </si>
  <si>
    <t xml:space="preserve">C:\Users\andre\Desktop\REACTIV CEFAS\E2\E2/20201117_Cefas_Test6-Run2/Plate 4/@21/D12_01.tif </t>
  </si>
  <si>
    <t xml:space="preserve"> 89482.8741 </t>
  </si>
  <si>
    <t xml:space="preserve"> 55.8274 </t>
  </si>
  <si>
    <t xml:space="preserve">C:\Users\andre\Desktop\REACTIV CEFAS\E2\E2/20201117_Cefas_Test6-Run2/Plate 4/@21/D12_02.tif </t>
  </si>
  <si>
    <t xml:space="preserve"> 89331.4648 </t>
  </si>
  <si>
    <t xml:space="preserve"> 58.1199 </t>
  </si>
  <si>
    <t xml:space="preserve">C:\Users\andre\Desktop\REACTIV CEFAS\E2\E2/20201117_Cefas_Test6-Run2/Plate 4/@21/D12_03.tif </t>
  </si>
  <si>
    <t xml:space="preserve"> 93095.0665 </t>
  </si>
  <si>
    <t xml:space="preserve"> 62.6385 </t>
  </si>
  <si>
    <t xml:space="preserve">C:\Users\andre\Desktop\REACTIV CEFAS\E2\E2/20201117_Cefas_Test6-Run2/Plate 4/@21/E12_01.tif </t>
  </si>
  <si>
    <t xml:space="preserve"> 63786.5593 </t>
  </si>
  <si>
    <t xml:space="preserve"> 54.9569 </t>
  </si>
  <si>
    <t xml:space="preserve">C:\Users\andre\Desktop\REACTIV CEFAS\E2\E2/20201117_Cefas_Test6-Run2/Plate 4/@21/E12_02.tif </t>
  </si>
  <si>
    <t xml:space="preserve"> 74796.1756 </t>
  </si>
  <si>
    <t xml:space="preserve"> 59.4691 </t>
  </si>
  <si>
    <t xml:space="preserve">C:\Users\andre\Desktop\REACTIV CEFAS\E2\E2/20201117_Cefas_Test6-Run2/Plate 4/@21/E12_03.tif </t>
  </si>
  <si>
    <t xml:space="preserve"> 59.1444 </t>
  </si>
  <si>
    <t xml:space="preserve">C:\Users\andre\Desktop\REACTIV CEFAS\E2\E2/20201117_Cefas_Test6-Run2/Plate 4/@21/F12_01.tif </t>
  </si>
  <si>
    <t xml:space="preserve"> 85978.8311 </t>
  </si>
  <si>
    <t xml:space="preserve"> 51.3278 </t>
  </si>
  <si>
    <t xml:space="preserve">C:\Users\andre\Desktop\REACTIV CEFAS\E2\E2/20201117_Cefas_Test6-Run2/Plate 4/@21/F12_02.tif </t>
  </si>
  <si>
    <t xml:space="preserve"> 68566.766 </t>
  </si>
  <si>
    <t xml:space="preserve"> 55.2707 </t>
  </si>
  <si>
    <t xml:space="preserve">C:\Users\andre\Desktop\REACTIV CEFAS\E2\E2/20201117_Cefas_Test6-Run2/Plate 4/@21/F12_03.tif </t>
  </si>
  <si>
    <t xml:space="preserve"> 69237.2927 </t>
  </si>
  <si>
    <t xml:space="preserve"> 62.7473 </t>
  </si>
  <si>
    <t xml:space="preserve">C:\Users\andre\Desktop\REACTIV CEFAS\E2\E2/20201117_Cefas_Test6-Run2/Plate 4/@21/G12_01.tif </t>
  </si>
  <si>
    <t xml:space="preserve"> 48.8845 </t>
  </si>
  <si>
    <t xml:space="preserve">C:\Users\andre\Desktop\REACTIV CEFAS\E2\E2/20201117_Cefas_Test6-Run2/Plate 4/@21/G12_02.tif </t>
  </si>
  <si>
    <t xml:space="preserve"> 72806.2253 </t>
  </si>
  <si>
    <t xml:space="preserve"> 60.6881 </t>
  </si>
  <si>
    <t xml:space="preserve">C:\Users\andre\Desktop\REACTIV CEFAS\E2\E2/20201117_Cefas_Test6-Run2/Plate 4/@21/G12_03.tif </t>
  </si>
  <si>
    <t xml:space="preserve"> 61.0076 </t>
  </si>
  <si>
    <t xml:space="preserve">C:\Users\andre\Desktop\REACTIV CEFAS\E2\E2/20201117_Cefas_Test6-Run2/Plate 4/@21/H12_01.tif </t>
  </si>
  <si>
    <t xml:space="preserve"> 84378.2189 </t>
  </si>
  <si>
    <t xml:space="preserve"> 53.4842 </t>
  </si>
  <si>
    <t xml:space="preserve">C:\Users\andre\Desktop\REACTIV CEFAS\E2\E2/20201117_Cefas_Test6-Run2/Plate 4/@21/H12_02.tif </t>
  </si>
  <si>
    <t xml:space="preserve"> 83621.1726 </t>
  </si>
  <si>
    <t xml:space="preserve"> 57.2967 </t>
  </si>
  <si>
    <t xml:space="preserve">C:\Users\andre\Desktop\REACTIV CEFAS\E2\E2/20201117_Cefas_Test6-Run2/Plate 4/@21/H12_03.tif </t>
  </si>
  <si>
    <t xml:space="preserve"> 85156.8952 </t>
  </si>
  <si>
    <t xml:space="preserve"> 53.3696 </t>
  </si>
  <si>
    <t xml:space="preserve">C:\Users\andre\Desktop\REACTIV CEFAS\E2\E2/20201117_Cefas_Test6-Run2/Plate 4/@21/ </t>
  </si>
  <si>
    <t xml:space="preserve"> 56.3471 </t>
  </si>
  <si>
    <t xml:space="preserve"> 5.8342 </t>
  </si>
  <si>
    <t xml:space="preserve"> 4386062.25 </t>
  </si>
  <si>
    <t xml:space="preserve"> 798221.729 </t>
  </si>
  <si>
    <t xml:space="preserve">C:\Users\andre\Desktop\REACTIV CEFAS\E2\E2/20201117_Cefas_Test6-Run2/Plate 4/@8/A2_01.tif </t>
  </si>
  <si>
    <t xml:space="preserve"> 7656.9827 </t>
  </si>
  <si>
    <t xml:space="preserve"> 35.0706 </t>
  </si>
  <si>
    <t xml:space="preserve">C:\Users\andre\Desktop\REACTIV CEFAS\E2\E2/20201117_Cefas_Test6-Run2/Plate 4/@8/A2_02.tif </t>
  </si>
  <si>
    <t xml:space="preserve"> 38.1206 </t>
  </si>
  <si>
    <t xml:space="preserve">C:\Users\andre\Desktop\REACTIV CEFAS\E2\E2/20201117_Cefas_Test6-Run2/Plate 4/@8/A2_03.tif </t>
  </si>
  <si>
    <t xml:space="preserve"> 5753.552 </t>
  </si>
  <si>
    <t xml:space="preserve"> 38.6654 </t>
  </si>
  <si>
    <t xml:space="preserve">C:\Users\andre\Desktop\REACTIV CEFAS\E2\E2/20201117_Cefas_Test6-Run2/Plate 4/@8/B2_01.tif </t>
  </si>
  <si>
    <t xml:space="preserve"> 8392.3991 </t>
  </si>
  <si>
    <t xml:space="preserve"> 42.0438 </t>
  </si>
  <si>
    <t xml:space="preserve">C:\Users\andre\Desktop\REACTIV CEFAS\E2\E2/20201117_Cefas_Test6-Run2/Plate 4/@8/B2_02.tif </t>
  </si>
  <si>
    <t xml:space="preserve"> 3828.4913 </t>
  </si>
  <si>
    <t xml:space="preserve"> 33.6215 </t>
  </si>
  <si>
    <t xml:space="preserve">C:\Users\andre\Desktop\REACTIV CEFAS\E2\E2/20201117_Cefas_Test6-Run2/Plate 4/@8/B2_03.tif </t>
  </si>
  <si>
    <t xml:space="preserve"> 30.3333 </t>
  </si>
  <si>
    <t xml:space="preserve">C:\Users\andre\Desktop\REACTIV CEFAS\E2\E2/20201117_Cefas_Test6-Run2/Plate 4/@8/C2_01.tif </t>
  </si>
  <si>
    <t xml:space="preserve"> 37.527 </t>
  </si>
  <si>
    <t xml:space="preserve">C:\Users\andre\Desktop\REACTIV CEFAS\E2\E2/20201117_Cefas_Test6-Run2/Plate 4/@8/C2_02.tif </t>
  </si>
  <si>
    <t xml:space="preserve"> 951.7154 </t>
  </si>
  <si>
    <t xml:space="preserve"> 31.3409 </t>
  </si>
  <si>
    <t>C:\Users\andre\Desktop\REACTIV CEFAS\E2\E2/20201117_Cefas_Test6-Run2/Plate 4/@8/C2_03- exclu.tif</t>
  </si>
  <si>
    <t xml:space="preserve">C:\Users\andre\Desktop\REACTIV CEFAS\E2\E2/20201117_Cefas_Test6-Run2/Plate 4/@8/D2_01.tif </t>
  </si>
  <si>
    <t xml:space="preserve"> 33.1158 </t>
  </si>
  <si>
    <t xml:space="preserve">C:\Users\andre\Desktop\REACTIV CEFAS\E2\E2/20201117_Cefas_Test6-Run2/Plate 4/@8/D2_02.tif </t>
  </si>
  <si>
    <t xml:space="preserve"> 8500.5486 </t>
  </si>
  <si>
    <t xml:space="preserve"> 42.3588 </t>
  </si>
  <si>
    <t xml:space="preserve">C:\Users\andre\Desktop\REACTIV CEFAS\E2\E2/20201117_Cefas_Test6-Run2/Plate 4/@8/D2_03.tif </t>
  </si>
  <si>
    <t xml:space="preserve"> 9041.296 </t>
  </si>
  <si>
    <t xml:space="preserve"> 41.3445 </t>
  </si>
  <si>
    <t xml:space="preserve">C:\Users\andre\Desktop\REACTIV CEFAS\E2\E2/20201117_Cefas_Test6-Run2/Plate 4/@8/E2_01.tif </t>
  </si>
  <si>
    <t xml:space="preserve">C:\Users\andre\Desktop\REACTIV CEFAS\E2\E2/20201117_Cefas_Test6-Run2/Plate 4/@8/E2_02.tif </t>
  </si>
  <si>
    <t xml:space="preserve"> 3222.8543 </t>
  </si>
  <si>
    <t xml:space="preserve"> 33.1745 </t>
  </si>
  <si>
    <t xml:space="preserve">C:\Users\andre\Desktop\REACTIV CEFAS\E2\E2/20201117_Cefas_Test6-Run2/Plate 4/@8/E2_03.tif </t>
  </si>
  <si>
    <t xml:space="preserve"> 35.1186 </t>
  </si>
  <si>
    <t xml:space="preserve">C:\Users\andre\Desktop\REACTIV CEFAS\E2\E2/20201117_Cefas_Test6-Run2/Plate 4/@8/F2_01.tif </t>
  </si>
  <si>
    <t xml:space="preserve"> 8089.5806 </t>
  </si>
  <si>
    <t xml:space="preserve"> 39.4118 </t>
  </si>
  <si>
    <t xml:space="preserve">C:\Users\andre\Desktop\REACTIV CEFAS\E2\E2/20201117_Cefas_Test6-Run2/Plate 4/@8/F2_02.tif </t>
  </si>
  <si>
    <t xml:space="preserve"> 7938.1713 </t>
  </si>
  <si>
    <t xml:space="preserve"> 39.3052 </t>
  </si>
  <si>
    <t xml:space="preserve">C:\Users\andre\Desktop\REACTIV CEFAS\E2\E2/20201117_Cefas_Test6-Run2/Plate 4/@8/F2_03.tif </t>
  </si>
  <si>
    <t xml:space="preserve"> 5883.3313 </t>
  </si>
  <si>
    <t xml:space="preserve"> 37.4375 </t>
  </si>
  <si>
    <t xml:space="preserve">C:\Users\andre\Desktop\REACTIV CEFAS\E2\E2/20201117_Cefas_Test6-Run2/Plate 4/@8/G2_01.tif </t>
  </si>
  <si>
    <t xml:space="preserve"> 12502.0791 </t>
  </si>
  <si>
    <t xml:space="preserve"> 38.0952 </t>
  </si>
  <si>
    <t xml:space="preserve">C:\Users\andre\Desktop\REACTIV CEFAS\E2\E2/20201117_Cefas_Test6-Run2/Plate 4/@8/G2_02.tif </t>
  </si>
  <si>
    <t xml:space="preserve"> 7765.1322 </t>
  </si>
  <si>
    <t xml:space="preserve"> 41.1894 </t>
  </si>
  <si>
    <t xml:space="preserve">C:\Users\andre\Desktop\REACTIV CEFAS\E2\E2/20201117_Cefas_Test6-Run2/Plate 4/@8/G2_03.tif </t>
  </si>
  <si>
    <t xml:space="preserve"> 30.1667 </t>
  </si>
  <si>
    <t xml:space="preserve">C:\Users\andre\Desktop\REACTIV CEFAS\E2\E2/20201117_Cefas_Test6-Run2/Plate 4/@8/H2_01.tif </t>
  </si>
  <si>
    <t xml:space="preserve"> 35.1053 </t>
  </si>
  <si>
    <t xml:space="preserve">C:\Users\andre\Desktop\REACTIV CEFAS\E2\E2/20201117_Cefas_Test6-Run2/Plate 4/@8/H2_02.tif </t>
  </si>
  <si>
    <t xml:space="preserve"> 8024.6909 </t>
  </si>
  <si>
    <t xml:space="preserve"> 37.8868 </t>
  </si>
  <si>
    <t xml:space="preserve">C:\Users\andre\Desktop\REACTIV CEFAS\E2\E2/20201117_Cefas_Test6-Run2/Plate 4/@8/H2_03.tif </t>
  </si>
  <si>
    <t xml:space="preserve"> 6510.5983 </t>
  </si>
  <si>
    <t xml:space="preserve"> 38.8306 </t>
  </si>
  <si>
    <t xml:space="preserve">C:\Users\andre\Desktop\REACTIV CEFAS\E2\E2/20201117_Cefas_Test6-Run2/Plate 4/@8/ </t>
  </si>
  <si>
    <t xml:space="preserve"> 36.86 </t>
  </si>
  <si>
    <t xml:space="preserve"> 3.9906 </t>
  </si>
  <si>
    <t xml:space="preserve"> 224571.542 </t>
  </si>
  <si>
    <t xml:space="preserve"> 156121.815 </t>
  </si>
  <si>
    <t xml:space="preserve">C:\Users\andre\Desktop\REACTIV CEFAS\E2\E2/20201117_Cefas_Test6-Run2/Plate 4/@9/A3_01.tif </t>
  </si>
  <si>
    <t xml:space="preserve"> 34.2097 </t>
  </si>
  <si>
    <t xml:space="preserve">C:\Users\andre\Desktop\REACTIV CEFAS\E2\E2/20201117_Cefas_Test6-Run2/Plate 4/@9/A3_02.tif </t>
  </si>
  <si>
    <t xml:space="preserve"> 4434.1284 </t>
  </si>
  <si>
    <t xml:space="preserve"> 37.2537 </t>
  </si>
  <si>
    <t xml:space="preserve">C:\Users\andre\Desktop\REACTIV CEFAS\E2\E2/20201117_Cefas_Test6-Run2/Plate 4/@9/A3_03.tif </t>
  </si>
  <si>
    <t xml:space="preserve"> 5126.285 </t>
  </si>
  <si>
    <t xml:space="preserve"> 38.3207 </t>
  </si>
  <si>
    <t>C:\Users\andre\Desktop\REACTIV CEFAS\E2\E2/20201117_Cefas_Test6-Run2/Plate 4/@9/B3_01- exclu.tif</t>
  </si>
  <si>
    <t xml:space="preserve">C:\Users\andre\Desktop\REACTIV CEFAS\E2\E2/20201117_Cefas_Test6-Run2/Plate 4/@9/B3_02.tif </t>
  </si>
  <si>
    <t xml:space="preserve"> 2638.8471 </t>
  </si>
  <si>
    <t xml:space="preserve"> 34.1803 </t>
  </si>
  <si>
    <t xml:space="preserve">C:\Users\andre\Desktop\REACTIV CEFAS\E2\E2/20201117_Cefas_Test6-Run2/Plate 4/@9/B3_03.tif </t>
  </si>
  <si>
    <t xml:space="preserve"> 6272.6694 </t>
  </si>
  <si>
    <t xml:space="preserve"> 35.8241 </t>
  </si>
  <si>
    <t>C:\Users\andre\Desktop\REACTIV CEFAS\E2\E2/20201117_Cefas_Test6-Run2/Plate 4/@9/C3_01- exclu.tif</t>
  </si>
  <si>
    <t xml:space="preserve">C:\Users\andre\Desktop\REACTIV CEFAS\E2\E2/20201117_Cefas_Test6-Run2/Plate 4/@9/C3_02.tif </t>
  </si>
  <si>
    <t xml:space="preserve"> 33.0471 </t>
  </si>
  <si>
    <t xml:space="preserve">C:\Users\andre\Desktop\REACTIV CEFAS\E2\E2/20201117_Cefas_Test6-Run2/Plate 4/@9/C3_03.tif </t>
  </si>
  <si>
    <t xml:space="preserve"> 4196.1996 </t>
  </si>
  <si>
    <t xml:space="preserve"> 35.2216 </t>
  </si>
  <si>
    <t xml:space="preserve">C:\Users\andre\Desktop\REACTIV CEFAS\E2\E2/20201117_Cefas_Test6-Run2/Plate 4/@9/D3_01.tif </t>
  </si>
  <si>
    <t xml:space="preserve"> 38.1058 </t>
  </si>
  <si>
    <t xml:space="preserve">C:\Users\andre\Desktop\REACTIV CEFAS\E2\E2/20201117_Cefas_Test6-Run2/Plate 4/@9/D3_02.tif </t>
  </si>
  <si>
    <t xml:space="preserve"> 34.1416 </t>
  </si>
  <si>
    <t xml:space="preserve">C:\Users\andre\Desktop\REACTIV CEFAS\E2\E2/20201117_Cefas_Test6-Run2/Plate 4/@9/D3_03.tif </t>
  </si>
  <si>
    <t xml:space="preserve"> 31.9365 </t>
  </si>
  <si>
    <t xml:space="preserve">C:\Users\andre\Desktop\REACTIV CEFAS\E2\E2/20201117_Cefas_Test6-Run2/Plate 4/@9/E3_01.tif </t>
  </si>
  <si>
    <t xml:space="preserve"> 34.1646 </t>
  </si>
  <si>
    <t xml:space="preserve">C:\Users\andre\Desktop\REACTIV CEFAS\E2\E2/20201117_Cefas_Test6-Run2/Plate 4/@9/E3_02.tif </t>
  </si>
  <si>
    <t xml:space="preserve"> 10512.1288 </t>
  </si>
  <si>
    <t xml:space="preserve"> 37.963 </t>
  </si>
  <si>
    <t>C:\Users\andre\Desktop\REACTIV CEFAS\E2\E2/20201117_Cefas_Test6-Run2/Plate 4/@9/E3_03- exclu.tif</t>
  </si>
  <si>
    <t xml:space="preserve">C:\Users\andre\Desktop\REACTIV CEFAS\E2\E2/20201117_Cefas_Test6-Run2/Plate 4/@9/F3_01.tif </t>
  </si>
  <si>
    <t xml:space="preserve"> 35.2371 </t>
  </si>
  <si>
    <t xml:space="preserve">C:\Users\andre\Desktop\REACTIV CEFAS\E2\E2/20201117_Cefas_Test6-Run2/Plate 4/@9/F3_02.tif </t>
  </si>
  <si>
    <t xml:space="preserve"> 34.4259 </t>
  </si>
  <si>
    <t xml:space="preserve">C:\Users\andre\Desktop\REACTIV CEFAS\E2\E2/20201117_Cefas_Test6-Run2/Plate 4/@9/F3_03.tif </t>
  </si>
  <si>
    <t xml:space="preserve">C:\Users\andre\Desktop\REACTIV CEFAS\E2\E2/20201117_Cefas_Test6-Run2/Plate 4/@9/G3_01.tif </t>
  </si>
  <si>
    <t xml:space="preserve"> 8262.6197 </t>
  </si>
  <si>
    <t xml:space="preserve"> 40.5471 </t>
  </si>
  <si>
    <t xml:space="preserve">C:\Users\andre\Desktop\REACTIV CEFAS\E2\E2/20201117_Cefas_Test6-Run2/Plate 4/@9/G3_02.tif </t>
  </si>
  <si>
    <t xml:space="preserve"> 40.4556 </t>
  </si>
  <si>
    <t xml:space="preserve">C:\Users\andre\Desktop\REACTIV CEFAS\E2\E2/20201117_Cefas_Test6-Run2/Plate 4/@9/G3_03.tif </t>
  </si>
  <si>
    <t xml:space="preserve"> 5537.253 </t>
  </si>
  <si>
    <t xml:space="preserve"> 40.0078 </t>
  </si>
  <si>
    <t xml:space="preserve">C:\Users\andre\Desktop\REACTIV CEFAS\E2\E2/20201117_Cefas_Test6-Run2/Plate 4/@9/H3_01.tif </t>
  </si>
  <si>
    <t xml:space="preserve"> 39.5119 </t>
  </si>
  <si>
    <t xml:space="preserve">C:\Users\andre\Desktop\REACTIV CEFAS\E2\E2/20201117_Cefas_Test6-Run2/Plate 4/@9/H3_02.tif </t>
  </si>
  <si>
    <t xml:space="preserve"> 13561.9439 </t>
  </si>
  <si>
    <t xml:space="preserve"> 41.4418 </t>
  </si>
  <si>
    <t xml:space="preserve">C:\Users\andre\Desktop\REACTIV CEFAS\E2\E2/20201117_Cefas_Test6-Run2/Plate 4/@9/H3_03.tif </t>
  </si>
  <si>
    <t xml:space="preserve"> 7440.6838 </t>
  </si>
  <si>
    <t xml:space="preserve"> 39.7936 </t>
  </si>
  <si>
    <t xml:space="preserve">C:\Users\andre\Desktop\REACTIV CEFAS\E2\E2/20201117_Cefas_Test6-Run2/Plate 4/@9/ </t>
  </si>
  <si>
    <t xml:space="preserve"> 37.1952 </t>
  </si>
  <si>
    <t xml:space="preserve"> 3.1658 </t>
  </si>
  <si>
    <t xml:space="preserve"> 238745.333 </t>
  </si>
  <si>
    <t xml:space="preserve"> 140497.135 </t>
  </si>
  <si>
    <t>17ß estradiol-34ng/L + Testostérone</t>
  </si>
  <si>
    <t>17ß estradiol-68ng/L + Testostérone</t>
  </si>
  <si>
    <t>17ß estradiol-135ng/L + Testostérone</t>
  </si>
  <si>
    <t>17ß estradiol-270ng/L + Testostérone</t>
  </si>
  <si>
    <t>17ß estradiol-540ng/L + Testostérone</t>
  </si>
  <si>
    <t xml:space="preserve">C:\Users\andre\Desktop\REACTIV CEFAS\E2\E2/20201118_Cefas_Test6-Run3/Plate 1/@1/A10_01.tif </t>
  </si>
  <si>
    <t xml:space="preserve"> 38.9125 </t>
  </si>
  <si>
    <t xml:space="preserve">C:\Users\andre\Desktop\REACTIV CEFAS\E2\E2/20201118_Cefas_Test6-Run3/Plate 1/@1/A10_02.tif </t>
  </si>
  <si>
    <t xml:space="preserve"> 8478.9187 </t>
  </si>
  <si>
    <t xml:space="preserve"> 39.6837 </t>
  </si>
  <si>
    <t xml:space="preserve">C:\Users\andre\Desktop\REACTIV CEFAS\E2\E2/20201118_Cefas_Test6-Run3/Plate 1/@1/A10_03.tif </t>
  </si>
  <si>
    <t xml:space="preserve">C:\Users\andre\Desktop\REACTIV CEFAS\E2\E2/20201118_Cefas_Test6-Run3/Plate 1/@1/B10_01.tif </t>
  </si>
  <si>
    <t xml:space="preserve"> 6315.9292 </t>
  </si>
  <si>
    <t xml:space="preserve"> 34.7671 </t>
  </si>
  <si>
    <t xml:space="preserve">C:\Users\andre\Desktop\REACTIV CEFAS\E2\E2/20201118_Cefas_Test6-Run3/Plate 1/@1/B10_02.tif </t>
  </si>
  <si>
    <t xml:space="preserve"> 37.9537 </t>
  </si>
  <si>
    <t xml:space="preserve">C:\Users\andre\Desktop\REACTIV CEFAS\E2\E2/20201118_Cefas_Test6-Run3/Plate 1/@1/B10_03.tif </t>
  </si>
  <si>
    <t xml:space="preserve"> 9971.3814 </t>
  </si>
  <si>
    <t xml:space="preserve"> 37.2885 </t>
  </si>
  <si>
    <t xml:space="preserve">C:\Users\andre\Desktop\REACTIV CEFAS\E2\E2/20201118_Cefas_Test6-Run3/Plate 1/@1/C10_01.tif </t>
  </si>
  <si>
    <t xml:space="preserve"> 37.7919 </t>
  </si>
  <si>
    <t>C:\Users\andre\Desktop\REACTIV CEFAS\E2\E2/20201118_Cefas_Test6-Run3/Plate 1/@1/C10_02- exclu.tif</t>
  </si>
  <si>
    <t xml:space="preserve">C:\Users\andre\Desktop\REACTIV CEFAS\E2\E2/20201118_Cefas_Test6-Run3/Plate 1/@1/C10_03.tif </t>
  </si>
  <si>
    <t xml:space="preserve"> 36.3556 </t>
  </si>
  <si>
    <t>C:\Users\andre\Desktop\REACTIV CEFAS\E2\E2/20201118_Cefas_Test6-Run3/Plate 1/@1/D10_01- exclu.tif</t>
  </si>
  <si>
    <t>C:\Users\andre\Desktop\REACTIV CEFAS\E2\E2/20201118_Cefas_Test6-Run3/Plate 1/@1/D10_02- exclu.tif</t>
  </si>
  <si>
    <t>C:\Users\andre\Desktop\REACTIV CEFAS\E2\E2/20201118_Cefas_Test6-Run3/Plate 1/@1/D10_03- exclu.tif</t>
  </si>
  <si>
    <t xml:space="preserve">C:\Users\andre\Desktop\REACTIV CEFAS\E2\E2/20201118_Cefas_Test6-Run3/Plate 1/@1/E10_01.tif </t>
  </si>
  <si>
    <t xml:space="preserve"> 32.1458 </t>
  </si>
  <si>
    <t xml:space="preserve">C:\Users\andre\Desktop\REACTIV CEFAS\E2\E2/20201118_Cefas_Test6-Run3/Plate 1/@1/E10_02.tif </t>
  </si>
  <si>
    <t xml:space="preserve"> 2206.2493 </t>
  </si>
  <si>
    <t xml:space="preserve"> 32.8529 </t>
  </si>
  <si>
    <t xml:space="preserve">C:\Users\andre\Desktop\REACTIV CEFAS\E2\E2/20201118_Cefas_Test6-Run3/Plate 1/@1/E10_03.tif </t>
  </si>
  <si>
    <t xml:space="preserve">C:\Users\andre\Desktop\REACTIV CEFAS\E2\E2/20201118_Cefas_Test6-Run3/Plate 1/@1/F10_01.tif </t>
  </si>
  <si>
    <t xml:space="preserve"> 865.1958 </t>
  </si>
  <si>
    <t xml:space="preserve"> 32.175 </t>
  </si>
  <si>
    <t>C:\Users\andre\Desktop\REACTIV CEFAS\E2\E2/20201118_Cefas_Test6-Run3/Plate 1/@1/F10_02- exclu.tif</t>
  </si>
  <si>
    <t xml:space="preserve">C:\Users\andre\Desktop\REACTIV CEFAS\E2\E2/20201118_Cefas_Test6-Run3/Plate 1/@1/F10_03.tif </t>
  </si>
  <si>
    <t xml:space="preserve">C:\Users\andre\Desktop\REACTIV CEFAS\E2\E2/20201118_Cefas_Test6-Run3/Plate 1/@1/G10_01.tif </t>
  </si>
  <si>
    <t xml:space="preserve"> 31.875 </t>
  </si>
  <si>
    <t xml:space="preserve">C:\Users\andre\Desktop\REACTIV CEFAS\E2\E2/20201118_Cefas_Test6-Run3/Plate 1/@1/G10_02.tif </t>
  </si>
  <si>
    <t xml:space="preserve"> 1189.6442 </t>
  </si>
  <si>
    <t xml:space="preserve"> 32.5091 </t>
  </si>
  <si>
    <t xml:space="preserve">C:\Users\andre\Desktop\REACTIV CEFAS\E2\E2/20201118_Cefas_Test6-Run3/Plate 1/@1/G10_03.tif </t>
  </si>
  <si>
    <t xml:space="preserve"> 2292.7688 </t>
  </si>
  <si>
    <t xml:space="preserve"> 33.3679 </t>
  </si>
  <si>
    <t xml:space="preserve">C:\Users\andre\Desktop\REACTIV CEFAS\E2\E2/20201118_Cefas_Test6-Run3/Plate 1/@1/H10_01.tif </t>
  </si>
  <si>
    <t xml:space="preserve"> 40.5282 </t>
  </si>
  <si>
    <t xml:space="preserve">C:\Users\andre\Desktop\REACTIV CEFAS\E2\E2/20201118_Cefas_Test6-Run3/Plate 1/@1/H10_02.tif </t>
  </si>
  <si>
    <t xml:space="preserve"> 6597.1179 </t>
  </si>
  <si>
    <t xml:space="preserve"> 41.1541 </t>
  </si>
  <si>
    <t xml:space="preserve">C:\Users\andre\Desktop\REACTIV CEFAS\E2\E2/20201118_Cefas_Test6-Run3/Plate 1/@1/H10_03.tif </t>
  </si>
  <si>
    <t xml:space="preserve">C:\Users\andre\Desktop\REACTIV CEFAS\E2\E2/20201118_Cefas_Test6-Run3/Plate 1/@1/ </t>
  </si>
  <si>
    <t xml:space="preserve"> 33.7548 </t>
  </si>
  <si>
    <t xml:space="preserve"> 15.0189 </t>
  </si>
  <si>
    <t xml:space="preserve"> 300158.204 </t>
  </si>
  <si>
    <t xml:space="preserve">C:\Users\andre\Desktop\REACTIV CEFAS\E2\E2/20201118_Cefas_Test6-Run3/Plate 1/@13/A8_01.tif </t>
  </si>
  <si>
    <t xml:space="preserve"> 12891.4172 </t>
  </si>
  <si>
    <t xml:space="preserve"> 33.7836 </t>
  </si>
  <si>
    <t xml:space="preserve">C:\Users\andre\Desktop\REACTIV CEFAS\E2\E2/20201118_Cefas_Test6-Run3/Plate 1/@13/A8_02.tif </t>
  </si>
  <si>
    <t xml:space="preserve"> 14427.1397 </t>
  </si>
  <si>
    <t xml:space="preserve"> 34.2804 </t>
  </si>
  <si>
    <t xml:space="preserve">C:\Users\andre\Desktop\REACTIV CEFAS\E2\E2/20201118_Cefas_Test6-Run3/Plate 1/@13/A8_03.tif </t>
  </si>
  <si>
    <t xml:space="preserve"> 33.3906 </t>
  </si>
  <si>
    <t xml:space="preserve">C:\Users\andre\Desktop\REACTIV CEFAS\E2\E2/20201118_Cefas_Test6-Run3/Plate 1/@13/B8_01.tif </t>
  </si>
  <si>
    <t xml:space="preserve"> 49943.4267 </t>
  </si>
  <si>
    <t xml:space="preserve"> 39.3114 </t>
  </si>
  <si>
    <t>C:\Users\andre\Desktop\REACTIV CEFAS\E2\E2/20201118_Cefas_Test6-Run3/Plate 1/@13/B8_02- exclu.tif</t>
  </si>
  <si>
    <t xml:space="preserve">C:\Users\andre\Desktop\REACTIV CEFAS\E2\E2/20201118_Cefas_Test6-Run3/Plate 1/@13/B8_03.tif </t>
  </si>
  <si>
    <t xml:space="preserve"> 37.261 </t>
  </si>
  <si>
    <t xml:space="preserve">C:\Users\andre\Desktop\REACTIV CEFAS\E2\E2/20201118_Cefas_Test6-Run3/Plate 1/@13/C8_01.tif </t>
  </si>
  <si>
    <t xml:space="preserve"> 33439.8171 </t>
  </si>
  <si>
    <t xml:space="preserve"> 37.7691 </t>
  </si>
  <si>
    <t xml:space="preserve">C:\Users\andre\Desktop\REACTIV CEFAS\E2\E2/20201118_Cefas_Test6-Run3/Plate 1/@13/C8_02.tif </t>
  </si>
  <si>
    <t xml:space="preserve"> 32033.8739 </t>
  </si>
  <si>
    <t xml:space="preserve"> 35.5334 </t>
  </si>
  <si>
    <t xml:space="preserve">C:\Users\andre\Desktop\REACTIV CEFAS\E2\E2/20201118_Cefas_Test6-Run3/Plate 1/@13/C8_03.tif </t>
  </si>
  <si>
    <t xml:space="preserve"> 43259.7893 </t>
  </si>
  <si>
    <t xml:space="preserve"> 38.153 </t>
  </si>
  <si>
    <t xml:space="preserve">C:\Users\andre\Desktop\REACTIV CEFAS\E2\E2/20201118_Cefas_Test6-Run3/Plate 1/@13/D8_01.tif </t>
  </si>
  <si>
    <t xml:space="preserve"> 76807.7558 </t>
  </si>
  <si>
    <t xml:space="preserve"> 47.4244 </t>
  </si>
  <si>
    <t xml:space="preserve">C:\Users\andre\Desktop\REACTIV CEFAS\E2\E2/20201118_Cefas_Test6-Run3/Plate 1/@13/D8_02.tif </t>
  </si>
  <si>
    <t xml:space="preserve"> 79511.4927 </t>
  </si>
  <si>
    <t xml:space="preserve"> 43.0297 </t>
  </si>
  <si>
    <t xml:space="preserve">C:\Users\andre\Desktop\REACTIV CEFAS\E2\E2/20201118_Cefas_Test6-Run3/Plate 1/@13/D8_03.tif </t>
  </si>
  <si>
    <t xml:space="preserve"> 72568.2965 </t>
  </si>
  <si>
    <t xml:space="preserve"> 43.1308 </t>
  </si>
  <si>
    <t xml:space="preserve">C:\Users\andre\Desktop\REACTIV CEFAS\E2\E2/20201118_Cefas_Test6-Run3/Plate 1/@13/E8_01.tif </t>
  </si>
  <si>
    <t xml:space="preserve"> 28573.0908 </t>
  </si>
  <si>
    <t xml:space="preserve"> 36.3581 </t>
  </si>
  <si>
    <t xml:space="preserve">C:\Users\andre\Desktop\REACTIV CEFAS\E2\E2/20201118_Cefas_Test6-Run3/Plate 1/@13/E8_02.tif </t>
  </si>
  <si>
    <t xml:space="preserve"> 35.7455 </t>
  </si>
  <si>
    <t xml:space="preserve">C:\Users\andre\Desktop\REACTIV CEFAS\E2\E2/20201118_Cefas_Test6-Run3/Plate 1/@13/E8_03.tif </t>
  </si>
  <si>
    <t xml:space="preserve"> 20570.0298 </t>
  </si>
  <si>
    <t xml:space="preserve"> 35.5657 </t>
  </si>
  <si>
    <t xml:space="preserve">C:\Users\andre\Desktop\REACTIV CEFAS\E2\E2/20201118_Cefas_Test6-Run3/Plate 1/@13/F8_01.tif </t>
  </si>
  <si>
    <t xml:space="preserve"> 38328.1733 </t>
  </si>
  <si>
    <t xml:space="preserve"> 36.7381 </t>
  </si>
  <si>
    <t xml:space="preserve">C:\Users\andre\Desktop\REACTIV CEFAS\E2\E2/20201118_Cefas_Test6-Run3/Plate 1/@13/F8_02.tif </t>
  </si>
  <si>
    <t xml:space="preserve"> 39409.668 </t>
  </si>
  <si>
    <t xml:space="preserve"> 38.8743 </t>
  </si>
  <si>
    <t xml:space="preserve">C:\Users\andre\Desktop\REACTIV CEFAS\E2\E2/20201118_Cefas_Test6-Run3/Plate 1/@13/F8_03.tif </t>
  </si>
  <si>
    <t xml:space="preserve"> 39171.7392 </t>
  </si>
  <si>
    <t xml:space="preserve"> 36.1734 </t>
  </si>
  <si>
    <t xml:space="preserve">C:\Users\andre\Desktop\REACTIV CEFAS\E2\E2/20201118_Cefas_Test6-Run3/Plate 1/@13/G8_01.tif </t>
  </si>
  <si>
    <t xml:space="preserve"> 44319.6541 </t>
  </si>
  <si>
    <t xml:space="preserve"> 42.8145 </t>
  </si>
  <si>
    <t xml:space="preserve">C:\Users\andre\Desktop\REACTIV CEFAS\E2\E2/20201118_Cefas_Test6-Run3/Plate 1/@13/G8_02.tif </t>
  </si>
  <si>
    <t xml:space="preserve"> 36554.5219 </t>
  </si>
  <si>
    <t xml:space="preserve"> 39.4024 </t>
  </si>
  <si>
    <t xml:space="preserve">C:\Users\andre\Desktop\REACTIV CEFAS\E2\E2/20201118_Cefas_Test6-Run3/Plate 1/@13/G8_03.tif </t>
  </si>
  <si>
    <t xml:space="preserve"> 46461.0137 </t>
  </si>
  <si>
    <t xml:space="preserve"> 39.9413 </t>
  </si>
  <si>
    <t xml:space="preserve">C:\Users\andre\Desktop\REACTIV CEFAS\E2\E2/20201118_Cefas_Test6-Run3/Plate 1/@13/H8_01.tif </t>
  </si>
  <si>
    <t xml:space="preserve"> 44.5459 </t>
  </si>
  <si>
    <t xml:space="preserve">C:\Users\andre\Desktop\REACTIV CEFAS\E2\E2/20201118_Cefas_Test6-Run3/Plate 1/@13/H8_02.tif </t>
  </si>
  <si>
    <t xml:space="preserve"> 72698.0758 </t>
  </si>
  <si>
    <t xml:space="preserve"> 43.7025 </t>
  </si>
  <si>
    <t xml:space="preserve">C:\Users\andre\Desktop\REACTIV CEFAS\E2\E2/20201118_Cefas_Test6-Run3/Plate 1/@13/H8_03.tif </t>
  </si>
  <si>
    <t xml:space="preserve"> 69842.9298 </t>
  </si>
  <si>
    <t xml:space="preserve"> 44.6216 </t>
  </si>
  <si>
    <t xml:space="preserve">C:\Users\andre\Desktop\REACTIV CEFAS\E2\E2/20201118_Cefas_Test6-Run3/Plate 1/@13/ </t>
  </si>
  <si>
    <t xml:space="preserve"> 38.9202 </t>
  </si>
  <si>
    <t xml:space="preserve"> 3.907 </t>
  </si>
  <si>
    <t xml:space="preserve"> 1749689.96 </t>
  </si>
  <si>
    <t xml:space="preserve"> 1038018.4 </t>
  </si>
  <si>
    <t xml:space="preserve">C:\Users\andre\Desktop\REACTIV CEFAS\E2\E2/20201118_Cefas_Test6-Run3/Plate 1/@14/A9_01.tif </t>
  </si>
  <si>
    <t xml:space="preserve"> 17779.7734 </t>
  </si>
  <si>
    <t xml:space="preserve"> 35.163 </t>
  </si>
  <si>
    <t xml:space="preserve">C:\Users\andre\Desktop\REACTIV CEFAS\E2\E2/20201118_Cefas_Test6-Run3/Plate 1/@14/A9_02.tif </t>
  </si>
  <si>
    <t xml:space="preserve"> 26474.991 </t>
  </si>
  <si>
    <t xml:space="preserve"> 34.0441 </t>
  </si>
  <si>
    <t xml:space="preserve">C:\Users\andre\Desktop\REACTIV CEFAS\E2\E2/20201118_Cefas_Test6-Run3/Plate 1/@14/A9_03.tif </t>
  </si>
  <si>
    <t xml:space="preserve"> 30390.002 </t>
  </si>
  <si>
    <t xml:space="preserve"> 35.0256 </t>
  </si>
  <si>
    <t xml:space="preserve">C:\Users\andre\Desktop\REACTIV CEFAS\E2\E2/20201118_Cefas_Test6-Run3/Plate 1/@14/B9_01.tif </t>
  </si>
  <si>
    <t xml:space="preserve"> 53274.4305 </t>
  </si>
  <si>
    <t xml:space="preserve"> 40.1052 </t>
  </si>
  <si>
    <t xml:space="preserve">C:\Users\andre\Desktop\REACTIV CEFAS\E2\E2/20201118_Cefas_Test6-Run3/Plate 1/@14/B9_02.tif </t>
  </si>
  <si>
    <t xml:space="preserve"> 63721.6696 </t>
  </si>
  <si>
    <t xml:space="preserve"> 41.9745 </t>
  </si>
  <si>
    <t xml:space="preserve">C:\Users\andre\Desktop\REACTIV CEFAS\E2\E2/20201118_Cefas_Test6-Run3/Plate 1/@14/B9_03.tif </t>
  </si>
  <si>
    <t xml:space="preserve"> 52387.6048 </t>
  </si>
  <si>
    <t xml:space="preserve"> 39.6276 </t>
  </si>
  <si>
    <t xml:space="preserve">C:\Users\andre\Desktop\REACTIV CEFAS\E2\E2/20201118_Cefas_Test6-Run3/Plate 1/@14/C9_01.tif </t>
  </si>
  <si>
    <t xml:space="preserve"> 54399.185 </t>
  </si>
  <si>
    <t xml:space="preserve"> 38.0414 </t>
  </si>
  <si>
    <t xml:space="preserve">C:\Users\andre\Desktop\REACTIV CEFAS\E2\E2/20201118_Cefas_Test6-Run3/Plate 1/@14/C9_02.tif </t>
  </si>
  <si>
    <t xml:space="preserve"> 53598.8789 </t>
  </si>
  <si>
    <t xml:space="preserve"> 39.9374 </t>
  </si>
  <si>
    <t xml:space="preserve">C:\Users\andre\Desktop\REACTIV CEFAS\E2\E2/20201118_Cefas_Test6-Run3/Plate 1/@14/C9_03.tif </t>
  </si>
  <si>
    <t xml:space="preserve"> 59720.1391 </t>
  </si>
  <si>
    <t xml:space="preserve"> 40.5592 </t>
  </si>
  <si>
    <t>C:\Users\andre\Desktop\REACTIV CEFAS\E2\E2/20201118_Cefas_Test6-Run3/Plate 1/@14/D9_01- exclu.tif</t>
  </si>
  <si>
    <t xml:space="preserve">C:\Users\andre\Desktop\REACTIV CEFAS\E2\E2/20201118_Cefas_Test6-Run3/Plate 1/@14/D9_02.tif </t>
  </si>
  <si>
    <t xml:space="preserve"> 87276.6248 </t>
  </si>
  <si>
    <t xml:space="preserve"> 47.1299 </t>
  </si>
  <si>
    <t xml:space="preserve">C:\Users\andre\Desktop\REACTIV CEFAS\E2\E2/20201118_Cefas_Test6-Run3/Plate 1/@14/D9_03.tif </t>
  </si>
  <si>
    <t xml:space="preserve"> 86346.5394 </t>
  </si>
  <si>
    <t xml:space="preserve"> 50.2229 </t>
  </si>
  <si>
    <t xml:space="preserve">C:\Users\andre\Desktop\REACTIV CEFAS\E2\E2/20201118_Cefas_Test6-Run3/Plate 1/@14/E9_01.tif </t>
  </si>
  <si>
    <t xml:space="preserve"> 66728.2249 </t>
  </si>
  <si>
    <t xml:space="preserve"> 41.2703 </t>
  </si>
  <si>
    <t xml:space="preserve">C:\Users\andre\Desktop\REACTIV CEFAS\E2\E2/20201118_Cefas_Test6-Run3/Plate 1/@14/E9_02.tif </t>
  </si>
  <si>
    <t xml:space="preserve"> 55913.2776 </t>
  </si>
  <si>
    <t xml:space="preserve"> 38.5698 </t>
  </si>
  <si>
    <t xml:space="preserve">C:\Users\andre\Desktop\REACTIV CEFAS\E2\E2/20201118_Cefas_Test6-Run3/Plate 1/@14/E9_03.tif </t>
  </si>
  <si>
    <t xml:space="preserve"> 39258.2588 </t>
  </si>
  <si>
    <t xml:space="preserve"> 39.1609 </t>
  </si>
  <si>
    <t xml:space="preserve">C:\Users\andre\Desktop\REACTIV CEFAS\E2\E2/20201118_Cefas_Test6-Run3/Plate 1/@14/F9_01.tif </t>
  </si>
  <si>
    <t xml:space="preserve"> 46006.7859 </t>
  </si>
  <si>
    <t xml:space="preserve"> 40.0846 </t>
  </si>
  <si>
    <t xml:space="preserve">C:\Users\andre\Desktop\REACTIV CEFAS\E2\E2/20201118_Cefas_Test6-Run3/Plate 1/@14/F9_02.tif </t>
  </si>
  <si>
    <t xml:space="preserve"> 53512.3593 </t>
  </si>
  <si>
    <t xml:space="preserve"> 39.2846 </t>
  </si>
  <si>
    <t xml:space="preserve">C:\Users\andre\Desktop\REACTIV CEFAS\E2\E2/20201118_Cefas_Test6-Run3/Plate 1/@14/F9_03.tif </t>
  </si>
  <si>
    <t xml:space="preserve"> 48580.7433 </t>
  </si>
  <si>
    <t xml:space="preserve"> 38.6055 </t>
  </si>
  <si>
    <t xml:space="preserve">C:\Users\andre\Desktop\REACTIV CEFAS\E2\E2/20201118_Cefas_Test6-Run3/Plate 1/@14/G9_01.tif </t>
  </si>
  <si>
    <t xml:space="preserve"> 39.4283 </t>
  </si>
  <si>
    <t xml:space="preserve">C:\Users\andre\Desktop\REACTIV CEFAS\E2\E2/20201118_Cefas_Test6-Run3/Plate 1/@14/G9_02.tif </t>
  </si>
  <si>
    <t xml:space="preserve"> 43000.2305 </t>
  </si>
  <si>
    <t xml:space="preserve"> 39.5065 </t>
  </si>
  <si>
    <t xml:space="preserve">C:\Users\andre\Desktop\REACTIV CEFAS\E2\E2/20201118_Cefas_Test6-Run3/Plate 1/@14/G9_03.tif </t>
  </si>
  <si>
    <t xml:space="preserve"> 46374.4941 </t>
  </si>
  <si>
    <t xml:space="preserve"> 38.847 </t>
  </si>
  <si>
    <t xml:space="preserve">C:\Users\andre\Desktop\REACTIV CEFAS\E2\E2/20201118_Cefas_Test6-Run3/Plate 1/@14/H9_01.tif </t>
  </si>
  <si>
    <t xml:space="preserve"> 13388.9048 </t>
  </si>
  <si>
    <t xml:space="preserve"> 33.7431 </t>
  </si>
  <si>
    <t xml:space="preserve">C:\Users\andre\Desktop\REACTIV CEFAS\E2\E2/20201118_Cefas_Test6-Run3/Plate 1/@14/H9_02.tif </t>
  </si>
  <si>
    <t xml:space="preserve"> 11117.7658 </t>
  </si>
  <si>
    <t xml:space="preserve"> 33.4319 </t>
  </si>
  <si>
    <t xml:space="preserve">C:\Users\andre\Desktop\REACTIV CEFAS\E2\E2/20201118_Cefas_Test6-Run3/Plate 1/@14/H9_03.tif </t>
  </si>
  <si>
    <t xml:space="preserve"> 10252.5701 </t>
  </si>
  <si>
    <t xml:space="preserve"> 33.846 </t>
  </si>
  <si>
    <t xml:space="preserve">C:\Users\andre\Desktop\REACTIV CEFAS\E2\E2/20201118_Cefas_Test6-Run3/Plate 1/@14/ </t>
  </si>
  <si>
    <t xml:space="preserve"> 39.5245 </t>
  </si>
  <si>
    <t xml:space="preserve"> 4.621 </t>
  </si>
  <si>
    <t xml:space="preserve"> 1960315.54 </t>
  </si>
  <si>
    <t xml:space="preserve"> 1089906.12 </t>
  </si>
  <si>
    <t xml:space="preserve">C:\Users\andre\Desktop\REACTIV CEFAS\E2\E2/20201118_Cefas_Test6-Run3/Plate 1/@15/A11_01.tif </t>
  </si>
  <si>
    <t xml:space="preserve"> 68977.734 </t>
  </si>
  <si>
    <t xml:space="preserve"> 47.4008 </t>
  </si>
  <si>
    <t xml:space="preserve">C:\Users\andre\Desktop\REACTIV CEFAS\E2\E2/20201118_Cefas_Test6-Run3/Plate 1/@15/A11_02.tif </t>
  </si>
  <si>
    <t xml:space="preserve"> 45.058 </t>
  </si>
  <si>
    <t xml:space="preserve">C:\Users\andre\Desktop\REACTIV CEFAS\E2\E2/20201118_Cefas_Test6-Run3/Plate 1/@15/A11_03.tif </t>
  </si>
  <si>
    <t xml:space="preserve"> 66663.3352 </t>
  </si>
  <si>
    <t xml:space="preserve"> 43.5571 </t>
  </si>
  <si>
    <t xml:space="preserve">C:\Users\andre\Desktop\REACTIV CEFAS\E2\E2/20201118_Cefas_Test6-Run3/Plate 1/@15/B11_01.tif </t>
  </si>
  <si>
    <t xml:space="preserve"> 96144.8816 </t>
  </si>
  <si>
    <t xml:space="preserve"> 53.1618 </t>
  </si>
  <si>
    <t xml:space="preserve">C:\Users\andre\Desktop\REACTIV CEFAS\E2\E2/20201118_Cefas_Test6-Run3/Plate 1/@15/B11_02.tif </t>
  </si>
  <si>
    <t xml:space="preserve"> 89223.3153 </t>
  </si>
  <si>
    <t xml:space="preserve"> 49.0895 </t>
  </si>
  <si>
    <t xml:space="preserve">C:\Users\andre\Desktop\REACTIV CEFAS\E2\E2/20201118_Cefas_Test6-Run3/Plate 1/@15/B11_03.tif </t>
  </si>
  <si>
    <t xml:space="preserve"> 86865.6568 </t>
  </si>
  <si>
    <t xml:space="preserve"> 53.2271 </t>
  </si>
  <si>
    <t xml:space="preserve">C:\Users\andre\Desktop\REACTIV CEFAS\E2\E2/20201118_Cefas_Test6-Run3/Plate 1/@15/C11_01.tif </t>
  </si>
  <si>
    <t xml:space="preserve"> 82453.1583 </t>
  </si>
  <si>
    <t xml:space="preserve"> 54.7361 </t>
  </si>
  <si>
    <t xml:space="preserve">C:\Users\andre\Desktop\REACTIV CEFAS\E2\E2/20201118_Cefas_Test6-Run3/Plate 1/@15/C11_02.tif </t>
  </si>
  <si>
    <t xml:space="preserve"> 88379.7495 </t>
  </si>
  <si>
    <t xml:space="preserve"> 57.8769 </t>
  </si>
  <si>
    <t xml:space="preserve">C:\Users\andre\Desktop\REACTIV CEFAS\E2\E2/20201118_Cefas_Test6-Run3/Plate 1/@15/C11_03.tif </t>
  </si>
  <si>
    <t xml:space="preserve"> 71897.7697 </t>
  </si>
  <si>
    <t xml:space="preserve"> 59.5704 </t>
  </si>
  <si>
    <t xml:space="preserve">C:\Users\andre\Desktop\REACTIV CEFAS\E2\E2/20201118_Cefas_Test6-Run3/Plate 1/@15/D11_01.tif </t>
  </si>
  <si>
    <t xml:space="preserve"> 45.8361 </t>
  </si>
  <si>
    <t xml:space="preserve">C:\Users\andre\Desktop\REACTIV CEFAS\E2\E2/20201118_Cefas_Test6-Run3/Plate 1/@15/D11_02.tif </t>
  </si>
  <si>
    <t xml:space="preserve"> 85892.3116 </t>
  </si>
  <si>
    <t xml:space="preserve"> 48.789 </t>
  </si>
  <si>
    <t xml:space="preserve">C:\Users\andre\Desktop\REACTIV CEFAS\E2\E2/20201118_Cefas_Test6-Run3/Plate 1/@15/D11_03.tif </t>
  </si>
  <si>
    <t xml:space="preserve"> 84356.5891 </t>
  </si>
  <si>
    <t xml:space="preserve"> 46.6246 </t>
  </si>
  <si>
    <t xml:space="preserve">C:\Users\andre\Desktop\REACTIV CEFAS\E2\E2/20201118_Cefas_Test6-Run3/Plate 1/@15/E11_01.tif </t>
  </si>
  <si>
    <t xml:space="preserve"> 50.2359 </t>
  </si>
  <si>
    <t>C:\Users\andre\Desktop\REACTIV CEFAS\E2\E2/20201118_Cefas_Test6-Run3/Plate 1/@15/E11_02- exclu.tif</t>
  </si>
  <si>
    <t>C:\Users\andre\Desktop\REACTIV CEFAS\E2\E2/20201118_Cefas_Test6-Run3/Plate 1/@15/E11_03- exclu.tif</t>
  </si>
  <si>
    <t xml:space="preserve">C:\Users\andre\Desktop\REACTIV CEFAS\E2\E2/20201118_Cefas_Test6-Run3/Plate 1/@15/F11_01.tif </t>
  </si>
  <si>
    <t xml:space="preserve"> 47.7843 </t>
  </si>
  <si>
    <t xml:space="preserve">C:\Users\andre\Desktop\REACTIV CEFAS\E2\E2/20201118_Cefas_Test6-Run3/Plate 1/@15/F11_02.tif </t>
  </si>
  <si>
    <t xml:space="preserve"> 53014.8717 </t>
  </si>
  <si>
    <t xml:space="preserve"> 49.6202 </t>
  </si>
  <si>
    <t xml:space="preserve">C:\Users\andre\Desktop\REACTIV CEFAS\E2\E2/20201118_Cefas_Test6-Run3/Plate 1/@15/F11_03.tif </t>
  </si>
  <si>
    <t xml:space="preserve"> 55004.822 </t>
  </si>
  <si>
    <t xml:space="preserve"> 46.8537 </t>
  </si>
  <si>
    <t xml:space="preserve">C:\Users\andre\Desktop\REACTIV CEFAS\E2\E2/20201118_Cefas_Test6-Run3/Plate 1/@15/G11_01.tif </t>
  </si>
  <si>
    <t xml:space="preserve"> 79900.8308 </t>
  </si>
  <si>
    <t xml:space="preserve"> 48.6781 </t>
  </si>
  <si>
    <t xml:space="preserve">C:\Users\andre\Desktop\REACTIV CEFAS\E2\E2/20201118_Cefas_Test6-Run3/Plate 1/@15/G11_02.tif </t>
  </si>
  <si>
    <t xml:space="preserve"> 79554.7524 </t>
  </si>
  <si>
    <t xml:space="preserve"> 49.4407 </t>
  </si>
  <si>
    <t>C:\Users\andre\Desktop\REACTIV CEFAS\E2\E2/20201118_Cefas_Test6-Run3/Plate 1/@15/G11_03- exclu.tif</t>
  </si>
  <si>
    <t xml:space="preserve">C:\Users\andre\Desktop\REACTIV CEFAS\E2\E2/20201118_Cefas_Test6-Run3/Plate 1/@15/H11_01.tif </t>
  </si>
  <si>
    <t xml:space="preserve"> 54.6242 </t>
  </si>
  <si>
    <t xml:space="preserve">C:\Users\andre\Desktop\REACTIV CEFAS\E2\E2/20201118_Cefas_Test6-Run3/Plate 1/@15/H11_02.tif </t>
  </si>
  <si>
    <t xml:space="preserve"> 78797.7061 </t>
  </si>
  <si>
    <t xml:space="preserve"> 54.1672 </t>
  </si>
  <si>
    <t xml:space="preserve">C:\Users\andre\Desktop\REACTIV CEFAS\E2\E2/20201118_Cefas_Test6-Run3/Plate 1/@15/H11_03.tif </t>
  </si>
  <si>
    <t xml:space="preserve"> 52.6299 </t>
  </si>
  <si>
    <t xml:space="preserve">C:\Users\andre\Desktop\REACTIV CEFAS\E2\E2/20201118_Cefas_Test6-Run3/Plate 1/@15/ </t>
  </si>
  <si>
    <t xml:space="preserve"> 49.6402 </t>
  </si>
  <si>
    <t xml:space="preserve"> 5.3336 </t>
  </si>
  <si>
    <t xml:space="preserve"> 3745286.62 </t>
  </si>
  <si>
    <t xml:space="preserve"> 1027248.28 </t>
  </si>
  <si>
    <t>C:\Users\andre\Desktop\REACTIV CEFAS\E2\E2/20201118_Cefas_Test6-Run3/Plate 1/@16/A12_01- exclu.tif</t>
  </si>
  <si>
    <t xml:space="preserve">C:\Users\andre\Desktop\REACTIV CEFAS\E2\E2/20201118_Cefas_Test6-Run3/Plate 1/@16/A12_02.tif </t>
  </si>
  <si>
    <t xml:space="preserve"> 35.7358 </t>
  </si>
  <si>
    <t>C:\Users\andre\Desktop\REACTIV CEFAS\E2\E2/20201118_Cefas_Test6-Run3/Plate 1/@16/A12_03- exclu.tif</t>
  </si>
  <si>
    <t xml:space="preserve">C:\Users\andre\Desktop\REACTIV CEFAS\E2\E2/20201118_Cefas_Test6-Run3/Plate 1/@16/B12_01.tif </t>
  </si>
  <si>
    <t xml:space="preserve"> 35.9909 </t>
  </si>
  <si>
    <t xml:space="preserve">C:\Users\andre\Desktop\REACTIV CEFAS\E2\E2/20201118_Cefas_Test6-Run3/Plate 1/@16/B12_02.tif </t>
  </si>
  <si>
    <t xml:space="preserve"> 35.7066 </t>
  </si>
  <si>
    <t xml:space="preserve">C:\Users\andre\Desktop\REACTIV CEFAS\E2\E2/20201118_Cefas_Test6-Run3/Plate 1/@16/B12_03.tif </t>
  </si>
  <si>
    <t xml:space="preserve"> 36.8179 </t>
  </si>
  <si>
    <t xml:space="preserve">C:\Users\andre\Desktop\REACTIV CEFAS\E2\E2/20201118_Cefas_Test6-Run3/Plate 1/@16/C12_01.tif </t>
  </si>
  <si>
    <t xml:space="preserve"> 3568.9326 </t>
  </si>
  <si>
    <t xml:space="preserve"> 33.6788 </t>
  </si>
  <si>
    <t xml:space="preserve">C:\Users\andre\Desktop\REACTIV CEFAS\E2\E2/20201118_Cefas_Test6-Run3/Plate 1/@16/C12_02.tif </t>
  </si>
  <si>
    <t xml:space="preserve"> 41.1016 </t>
  </si>
  <si>
    <t xml:space="preserve">C:\Users\andre\Desktop\REACTIV CEFAS\E2\E2/20201118_Cefas_Test6-Run3/Plate 1/@16/C12_03.tif </t>
  </si>
  <si>
    <t xml:space="preserve"> 31.9714 </t>
  </si>
  <si>
    <t xml:space="preserve">C:\Users\andre\Desktop\REACTIV CEFAS\E2\E2/20201118_Cefas_Test6-Run3/Plate 1/@16/D12_01.tif </t>
  </si>
  <si>
    <t xml:space="preserve"> 34.2971 </t>
  </si>
  <si>
    <t xml:space="preserve">C:\Users\andre\Desktop\REACTIV CEFAS\E2\E2/20201118_Cefas_Test6-Run3/Plate 1/@16/D12_02.tif </t>
  </si>
  <si>
    <t xml:space="preserve">C:\Users\andre\Desktop\REACTIV CEFAS\E2\E2/20201118_Cefas_Test6-Run3/Plate 1/@16/D12_03.tif </t>
  </si>
  <si>
    <t xml:space="preserve"> 3028.1852 </t>
  </si>
  <si>
    <t xml:space="preserve"> 33.6429 </t>
  </si>
  <si>
    <t xml:space="preserve">C:\Users\andre\Desktop\REACTIV CEFAS\E2\E2/20201118_Cefas_Test6-Run3/Plate 1/@16/E12_01.tif </t>
  </si>
  <si>
    <t xml:space="preserve"> 32.6379 </t>
  </si>
  <si>
    <t>C:\Users\andre\Desktop\REACTIV CEFAS\E2\E2/20201118_Cefas_Test6-Run3/Plate 1/@16/E12_02- exclu.tif</t>
  </si>
  <si>
    <t xml:space="preserve">C:\Users\andre\Desktop\REACTIV CEFAS\E2\E2/20201118_Cefas_Test6-Run3/Plate 1/@16/E12_03.tif </t>
  </si>
  <si>
    <t xml:space="preserve"> 31.0909 </t>
  </si>
  <si>
    <t xml:space="preserve">C:\Users\andre\Desktop\REACTIV CEFAS\E2\E2/20201118_Cefas_Test6-Run3/Plate 1/@16/F12_01.tif </t>
  </si>
  <si>
    <t xml:space="preserve"> 33.7927 </t>
  </si>
  <si>
    <t xml:space="preserve">C:\Users\andre\Desktop\REACTIV CEFAS\E2\E2/20201118_Cefas_Test6-Run3/Plate 1/@16/F12_02.tif </t>
  </si>
  <si>
    <t xml:space="preserve"> 4693.6871 </t>
  </si>
  <si>
    <t xml:space="preserve"> 38.447 </t>
  </si>
  <si>
    <t xml:space="preserve">C:\Users\andre\Desktop\REACTIV CEFAS\E2\E2/20201118_Cefas_Test6-Run3/Plate 1/@16/F12_03.tif </t>
  </si>
  <si>
    <t xml:space="preserve"> 34.6784 </t>
  </si>
  <si>
    <t xml:space="preserve">C:\Users\andre\Desktop\REACTIV CEFAS\E2\E2/20201118_Cefas_Test6-Run3/Plate 1/@16/G12_01.tif </t>
  </si>
  <si>
    <t xml:space="preserve">C:\Users\andre\Desktop\REACTIV CEFAS\E2\E2/20201118_Cefas_Test6-Run3/Plate 1/@16/G12_02.tif </t>
  </si>
  <si>
    <t xml:space="preserve">C:\Users\andre\Desktop\REACTIV CEFAS\E2\E2/20201118_Cefas_Test6-Run3/Plate 1/@16/G12_03.tif </t>
  </si>
  <si>
    <t xml:space="preserve"> 36.0909 </t>
  </si>
  <si>
    <t xml:space="preserve">C:\Users\andre\Desktop\REACTIV CEFAS\E2\E2/20201118_Cefas_Test6-Run3/Plate 1/@16/H12_01.tif </t>
  </si>
  <si>
    <t xml:space="preserve"> 8868.2568 </t>
  </si>
  <si>
    <t xml:space="preserve"> 39.5439 </t>
  </si>
  <si>
    <t xml:space="preserve">C:\Users\andre\Desktop\REACTIV CEFAS\E2\E2/20201118_Cefas_Test6-Run3/Plate 1/@16/H12_02.tif </t>
  </si>
  <si>
    <t xml:space="preserve"> 34.375 </t>
  </si>
  <si>
    <t>C:\Users\andre\Desktop\REACTIV CEFAS\E2\E2/20201118_Cefas_Test6-Run3/Plate 1/@16/H12_03- exclu.tif</t>
  </si>
  <si>
    <t xml:space="preserve">C:\Users\andre\Desktop\REACTIV CEFAS\E2\E2/20201118_Cefas_Test6-Run3/Plate 1/@16/ </t>
  </si>
  <si>
    <t xml:space="preserve"> 31.3528 </t>
  </si>
  <si>
    <t xml:space="preserve"> 15.455 </t>
  </si>
  <si>
    <t xml:space="preserve"> 215029.917 </t>
  </si>
  <si>
    <t xml:space="preserve"> 275119.306 </t>
  </si>
  <si>
    <t xml:space="preserve">C:\Users\andre\Desktop\REACTIV CEFAS\E2\E2/20201118_Cefas_Test6-Run3/Plate 1/@2/A2_01.tif </t>
  </si>
  <si>
    <t xml:space="preserve"> 4325.9789 </t>
  </si>
  <si>
    <t xml:space="preserve"> 34.245 </t>
  </si>
  <si>
    <t xml:space="preserve">C:\Users\andre\Desktop\REACTIV CEFAS\E2\E2/20201118_Cefas_Test6-Run3/Plate 1/@2/A2_02.tif </t>
  </si>
  <si>
    <t xml:space="preserve"> 4628.7975 </t>
  </si>
  <si>
    <t xml:space="preserve"> 37.2103 </t>
  </si>
  <si>
    <t xml:space="preserve">C:\Users\andre\Desktop\REACTIV CEFAS\E2\E2/20201118_Cefas_Test6-Run3/Plate 1/@2/A2_03.tif </t>
  </si>
  <si>
    <t xml:space="preserve"> 5840.0715 </t>
  </si>
  <si>
    <t xml:space="preserve"> 38.7963 </t>
  </si>
  <si>
    <t xml:space="preserve">C:\Users\andre\Desktop\REACTIV CEFAS\E2\E2/20201118_Cefas_Test6-Run3/Plate 1/@2/B2_01.tif </t>
  </si>
  <si>
    <t xml:space="preserve"> 2465.808 </t>
  </si>
  <si>
    <t xml:space="preserve"> 34.6842 </t>
  </si>
  <si>
    <t xml:space="preserve">C:\Users\andre\Desktop\REACTIV CEFAS\E2\E2/20201118_Cefas_Test6-Run3/Plate 1/@2/B2_02.tif </t>
  </si>
  <si>
    <t xml:space="preserve">C:\Users\andre\Desktop\REACTIV CEFAS\E2\E2/20201118_Cefas_Test6-Run3/Plate 1/@2/B2_03.tif </t>
  </si>
  <si>
    <t xml:space="preserve"> 454.2278 </t>
  </si>
  <si>
    <t xml:space="preserve"> 32.3333 </t>
  </si>
  <si>
    <t xml:space="preserve">C:\Users\andre\Desktop\REACTIV CEFAS\E2\E2/20201118_Cefas_Test6-Run3/Plate 1/@2/C2_01.tif </t>
  </si>
  <si>
    <t xml:space="preserve"> 5796.8118 </t>
  </si>
  <si>
    <t xml:space="preserve"> 38.9515 </t>
  </si>
  <si>
    <t xml:space="preserve">C:\Users\andre\Desktop\REACTIV CEFAS\E2\E2/20201118_Cefas_Test6-Run3/Plate 1/@2/C2_02.tif </t>
  </si>
  <si>
    <t xml:space="preserve"> 39.5652 </t>
  </si>
  <si>
    <t xml:space="preserve">C:\Users\andre\Desktop\REACTIV CEFAS\E2\E2/20201118_Cefas_Test6-Run3/Plate 1/@2/C2_03.tif </t>
  </si>
  <si>
    <t xml:space="preserve"> 34.9713 </t>
  </si>
  <si>
    <t xml:space="preserve">C:\Users\andre\Desktop\REACTIV CEFAS\E2\E2/20201118_Cefas_Test6-Run3/Plate 1/@2/D2_01.tif </t>
  </si>
  <si>
    <t xml:space="preserve"> 34.7959 </t>
  </si>
  <si>
    <t xml:space="preserve">C:\Users\andre\Desktop\REACTIV CEFAS\E2\E2/20201118_Cefas_Test6-Run3/Plate 1/@2/D2_02.tif </t>
  </si>
  <si>
    <t xml:space="preserve"> 33.0958 </t>
  </si>
  <si>
    <t xml:space="preserve">C:\Users\andre\Desktop\REACTIV CEFAS\E2\E2/20201118_Cefas_Test6-Run3/Plate 1/@2/D2_03.tif </t>
  </si>
  <si>
    <t xml:space="preserve"> 7894.9115 </t>
  </si>
  <si>
    <t xml:space="preserve"> 36.2055 </t>
  </si>
  <si>
    <t xml:space="preserve">C:\Users\andre\Desktop\REACTIV CEFAS\E2\E2/20201118_Cefas_Test6-Run3/Plate 1/@2/E2_01.tif </t>
  </si>
  <si>
    <t xml:space="preserve"> 11355.6947 </t>
  </si>
  <si>
    <t xml:space="preserve"> 34.6438 </t>
  </si>
  <si>
    <t xml:space="preserve">C:\Users\andre\Desktop\REACTIV CEFAS\E2\E2/20201118_Cefas_Test6-Run3/Plate 1/@2/E2_02.tif </t>
  </si>
  <si>
    <t xml:space="preserve"> 35473.0272 </t>
  </si>
  <si>
    <t xml:space="preserve"> 35.8091 </t>
  </si>
  <si>
    <t xml:space="preserve">C:\Users\andre\Desktop\REACTIV CEFAS\E2\E2/20201118_Cefas_Test6-Run3/Plate 1/@2/E2_03.tif </t>
  </si>
  <si>
    <t xml:space="preserve"> 14665.0686 </t>
  </si>
  <si>
    <t xml:space="preserve"> 31.8879 </t>
  </si>
  <si>
    <t xml:space="preserve">C:\Users\andre\Desktop\REACTIV CEFAS\E2\E2/20201118_Cefas_Test6-Run3/Plate 1/@2/F2_01.tif </t>
  </si>
  <si>
    <t xml:space="preserve"> 43.3135 </t>
  </si>
  <si>
    <t xml:space="preserve">C:\Users\andre\Desktop\REACTIV CEFAS\E2\E2/20201118_Cefas_Test6-Run3/Plate 1/@2/F2_02.tif </t>
  </si>
  <si>
    <t xml:space="preserve"> 13713.3532 </t>
  </si>
  <si>
    <t xml:space="preserve"> 44.1877 </t>
  </si>
  <si>
    <t xml:space="preserve">C:\Users\andre\Desktop\REACTIV CEFAS\E2\E2/20201118_Cefas_Test6-Run3/Plate 1/@2/F2_03.tif </t>
  </si>
  <si>
    <t xml:space="preserve"> 11961.3317 </t>
  </si>
  <si>
    <t xml:space="preserve"> 45.4955 </t>
  </si>
  <si>
    <t xml:space="preserve">C:\Users\andre\Desktop\REACTIV CEFAS\E2\E2/20201118_Cefas_Test6-Run3/Plate 1/@2/G2_01.tif </t>
  </si>
  <si>
    <t xml:space="preserve"> 39.5858 </t>
  </si>
  <si>
    <t xml:space="preserve">C:\Users\andre\Desktop\REACTIV CEFAS\E2\E2/20201118_Cefas_Test6-Run3/Plate 1/@2/G2_02.tif </t>
  </si>
  <si>
    <t xml:space="preserve"> 6640.3777 </t>
  </si>
  <si>
    <t xml:space="preserve"> 38.8925 </t>
  </si>
  <si>
    <t xml:space="preserve">C:\Users\andre\Desktop\REACTIV CEFAS\E2\E2/20201118_Cefas_Test6-Run3/Plate 1/@2/G2_03.tif </t>
  </si>
  <si>
    <t xml:space="preserve"> 6662.0075 </t>
  </si>
  <si>
    <t xml:space="preserve"> 40.039 </t>
  </si>
  <si>
    <t xml:space="preserve">C:\Users\andre\Desktop\REACTIV CEFAS\E2\E2/20201118_Cefas_Test6-Run3/Plate 1/@2/H2_01.tif </t>
  </si>
  <si>
    <t xml:space="preserve"> 10879.837 </t>
  </si>
  <si>
    <t xml:space="preserve"> 43.2704 </t>
  </si>
  <si>
    <t xml:space="preserve">C:\Users\andre\Desktop\REACTIV CEFAS\E2\E2/20201118_Cefas_Test6-Run3/Plate 1/@2/H2_02.tif </t>
  </si>
  <si>
    <t xml:space="preserve"> 10663.5381 </t>
  </si>
  <si>
    <t xml:space="preserve"> 41.4016 </t>
  </si>
  <si>
    <t xml:space="preserve">C:\Users\andre\Desktop\REACTIV CEFAS\E2\E2/20201118_Cefas_Test6-Run3/Plate 1/@2/H2_03.tif </t>
  </si>
  <si>
    <t xml:space="preserve"> 6791.7869 </t>
  </si>
  <si>
    <t xml:space="preserve"> 47.3248 </t>
  </si>
  <si>
    <t xml:space="preserve">C:\Users\andre\Desktop\REACTIV CEFAS\E2\E2/20201118_Cefas_Test6-Run3/Plate 1/@2/ </t>
  </si>
  <si>
    <t xml:space="preserve"> 38.1961 </t>
  </si>
  <si>
    <t xml:space="preserve"> 4.2809 </t>
  </si>
  <si>
    <t xml:space="preserve"> 319024.75 </t>
  </si>
  <si>
    <t xml:space="preserve"> 268850.788 </t>
  </si>
  <si>
    <t xml:space="preserve">C:\Users\andre\Desktop\REACTIV CEFAS\E2\E2/20201118_Cefas_Test6-Run3/Plate 1/@3/A3_01.tif </t>
  </si>
  <si>
    <t xml:space="preserve"> 2119.7297 </t>
  </si>
  <si>
    <t xml:space="preserve"> 33.949 </t>
  </si>
  <si>
    <t xml:space="preserve">C:\Users\andre\Desktop\REACTIV CEFAS\E2\E2/20201118_Cefas_Test6-Run3/Plate 1/@3/A3_02.tif </t>
  </si>
  <si>
    <t xml:space="preserve">C:\Users\andre\Desktop\REACTIV CEFAS\E2\E2/20201118_Cefas_Test6-Run3/Plate 1/@3/A3_03.tif </t>
  </si>
  <si>
    <t xml:space="preserve"> 627.2669 </t>
  </si>
  <si>
    <t xml:space="preserve">C:\Users\andre\Desktop\REACTIV CEFAS\E2\E2/20201118_Cefas_Test6-Run3/Plate 1/@3/B3_01.tif </t>
  </si>
  <si>
    <t xml:space="preserve"> 12480.4492 </t>
  </si>
  <si>
    <t xml:space="preserve"> 39.2513 </t>
  </si>
  <si>
    <t xml:space="preserve">C:\Users\andre\Desktop\REACTIV CEFAS\E2\E2/20201118_Cefas_Test6-Run3/Plate 1/@3/B3_02.tif </t>
  </si>
  <si>
    <t xml:space="preserve"> 16049.3818 </t>
  </si>
  <si>
    <t xml:space="preserve"> 42.8194 </t>
  </si>
  <si>
    <t xml:space="preserve">C:\Users\andre\Desktop\REACTIV CEFAS\E2\E2/20201118_Cefas_Test6-Run3/Plate 1/@3/B3_03.tif </t>
  </si>
  <si>
    <t xml:space="preserve"> 16006.122 </t>
  </si>
  <si>
    <t xml:space="preserve"> 47.0676 </t>
  </si>
  <si>
    <t xml:space="preserve">C:\Users\andre\Desktop\REACTIV CEFAS\E2\E2/20201118_Cefas_Test6-Run3/Plate 1/@3/C3_01.tif </t>
  </si>
  <si>
    <t xml:space="preserve"> 37.9929 </t>
  </si>
  <si>
    <t xml:space="preserve">C:\Users\andre\Desktop\REACTIV CEFAS\E2\E2/20201118_Cefas_Test6-Run3/Plate 1/@3/C3_02.tif </t>
  </si>
  <si>
    <t xml:space="preserve"> 35.455 </t>
  </si>
  <si>
    <t xml:space="preserve">C:\Users\andre\Desktop\REACTIV CEFAS\E2\E2/20201118_Cefas_Test6-Run3/Plate 1/@3/C3_03.tif </t>
  </si>
  <si>
    <t xml:space="preserve"> 5061.3953 </t>
  </si>
  <si>
    <t xml:space="preserve"> 37.3504 </t>
  </si>
  <si>
    <t xml:space="preserve">C:\Users\andre\Desktop\REACTIV CEFAS\E2\E2/20201118_Cefas_Test6-Run3/Plate 1/@3/D3_01.tif </t>
  </si>
  <si>
    <t xml:space="preserve"> 37.1789 </t>
  </si>
  <si>
    <t>C:\Users\andre\Desktop\REACTIV CEFAS\E2\E2/20201118_Cefas_Test6-Run3/Plate 1/@3/D3_02- exclu.tif</t>
  </si>
  <si>
    <t>C:\Users\andre\Desktop\REACTIV CEFAS\E2\E2/20201118_Cefas_Test6-Run3/Plate 1/@3/D3_03- exclu.tif</t>
  </si>
  <si>
    <t xml:space="preserve">C:\Users\andre\Desktop\REACTIV CEFAS\E2\E2/20201118_Cefas_Test6-Run3/Plate 1/@3/E3_01.tif </t>
  </si>
  <si>
    <t xml:space="preserve"> 7397.424 </t>
  </si>
  <si>
    <t xml:space="preserve"> 42.2661 </t>
  </si>
  <si>
    <t xml:space="preserve">C:\Users\andre\Desktop\REACTIV CEFAS\E2\E2/20201118_Cefas_Test6-Run3/Plate 1/@3/E3_02.tif </t>
  </si>
  <si>
    <t xml:space="preserve"> 9798.3423 </t>
  </si>
  <si>
    <t xml:space="preserve"> 41.5806 </t>
  </si>
  <si>
    <t xml:space="preserve">C:\Users\andre\Desktop\REACTIV CEFAS\E2\E2/20201118_Cefas_Test6-Run3/Plate 1/@3/E3_03.tif </t>
  </si>
  <si>
    <t xml:space="preserve"> 11788.2926 </t>
  </si>
  <si>
    <t xml:space="preserve"> 41.2679 </t>
  </si>
  <si>
    <t xml:space="preserve">C:\Users\andre\Desktop\REACTIV CEFAS\E2\E2/20201118_Cefas_Test6-Run3/Plate 1/@3/F3_01.tif </t>
  </si>
  <si>
    <t xml:space="preserve"> 33.6531 </t>
  </si>
  <si>
    <t xml:space="preserve">C:\Users\andre\Desktop\REACTIV CEFAS\E2\E2/20201118_Cefas_Test6-Run3/Plate 1/@3/F3_02.tif </t>
  </si>
  <si>
    <t xml:space="preserve"> 3201.2244 </t>
  </si>
  <si>
    <t xml:space="preserve"> 34.9865 </t>
  </si>
  <si>
    <t xml:space="preserve">C:\Users\andre\Desktop\REACTIV CEFAS\E2\E2/20201118_Cefas_Test6-Run3/Plate 1/@3/F3_03.tif </t>
  </si>
  <si>
    <t xml:space="preserve"> 33.11 </t>
  </si>
  <si>
    <t xml:space="preserve">C:\Users\andre\Desktop\REACTIV CEFAS\E2\E2/20201118_Cefas_Test6-Run3/Plate 1/@3/G3_01.tif </t>
  </si>
  <si>
    <t xml:space="preserve"> 9560.4134 </t>
  </si>
  <si>
    <t xml:space="preserve"> 41.4095 </t>
  </si>
  <si>
    <t xml:space="preserve">C:\Users\andre\Desktop\REACTIV CEFAS\E2\E2/20201118_Cefas_Test6-Run3/Plate 1/@3/G3_02.tif </t>
  </si>
  <si>
    <t xml:space="preserve"> 41.9419 </t>
  </si>
  <si>
    <t xml:space="preserve">C:\Users\andre\Desktop\REACTIV CEFAS\E2\E2/20201118_Cefas_Test6-Run3/Plate 1/@3/G3_03.tif </t>
  </si>
  <si>
    <t xml:space="preserve"> 39.5732 </t>
  </si>
  <si>
    <t xml:space="preserve">C:\Users\andre\Desktop\REACTIV CEFAS\E2\E2/20201118_Cefas_Test6-Run3/Plate 1/@3/H3_01.tif </t>
  </si>
  <si>
    <t xml:space="preserve"> 3482.413 </t>
  </si>
  <si>
    <t xml:space="preserve"> 34.8882 </t>
  </si>
  <si>
    <t xml:space="preserve">C:\Users\andre\Desktop\REACTIV CEFAS\E2\E2/20201118_Cefas_Test6-Run3/Plate 1/@3/H3_02.tif </t>
  </si>
  <si>
    <t xml:space="preserve"> 4715.317 </t>
  </si>
  <si>
    <t xml:space="preserve"> 36.4128 </t>
  </si>
  <si>
    <t xml:space="preserve">C:\Users\andre\Desktop\REACTIV CEFAS\E2\E2/20201118_Cefas_Test6-Run3/Plate 1/@3/H3_03.tif </t>
  </si>
  <si>
    <t xml:space="preserve">C:\Users\andre\Desktop\REACTIV CEFAS\E2\E2/20201118_Cefas_Test6-Run3/Plate 1/@3/ </t>
  </si>
  <si>
    <t xml:space="preserve"> 34.6371 </t>
  </si>
  <si>
    <t xml:space="preserve"> 11.3424 </t>
  </si>
  <si>
    <t xml:space="preserve"> 243944.75 </t>
  </si>
  <si>
    <t xml:space="preserve"> 209807.607 </t>
  </si>
  <si>
    <t xml:space="preserve">C:\Users\andre\Desktop\REACTIV CEFAS\E2\E2/20201118_Cefas_Test6-Run3/Plate 1/@4/A4_01.tif </t>
  </si>
  <si>
    <t xml:space="preserve"> 31.2273 </t>
  </si>
  <si>
    <t xml:space="preserve">C:\Users\andre\Desktop\REACTIV CEFAS\E2\E2/20201118_Cefas_Test6-Run3/Plate 1/@4/A4_02.tif </t>
  </si>
  <si>
    <t xml:space="preserve"> 12047.8513 </t>
  </si>
  <si>
    <t xml:space="preserve"> 33.5081 </t>
  </si>
  <si>
    <t xml:space="preserve">C:\Users\andre\Desktop\REACTIV CEFAS\E2\E2/20201118_Cefas_Test6-Run3/Plate 1/@4/A4_03.tif </t>
  </si>
  <si>
    <t xml:space="preserve"> 31.4368 </t>
  </si>
  <si>
    <t xml:space="preserve">C:\Users\andre\Desktop\REACTIV CEFAS\E2\E2/20201118_Cefas_Test6-Run3/Plate 1/@4/B4_01.tif </t>
  </si>
  <si>
    <t xml:space="preserve"> 26821.0693 </t>
  </si>
  <si>
    <t xml:space="preserve"> 34.2944 </t>
  </si>
  <si>
    <t xml:space="preserve">C:\Users\andre\Desktop\REACTIV CEFAS\E2\E2/20201118_Cefas_Test6-Run3/Plate 1/@4/B4_02.tif </t>
  </si>
  <si>
    <t xml:space="preserve"> 26431.7312 </t>
  </si>
  <si>
    <t xml:space="preserve"> 34.3175 </t>
  </si>
  <si>
    <t xml:space="preserve">C:\Users\andre\Desktop\REACTIV CEFAS\E2\E2/20201118_Cefas_Test6-Run3/Plate 1/@4/B4_03.tif </t>
  </si>
  <si>
    <t xml:space="preserve"> 28053.9733 </t>
  </si>
  <si>
    <t xml:space="preserve"> 34.2891 </t>
  </si>
  <si>
    <t xml:space="preserve">C:\Users\andre\Desktop\REACTIV CEFAS\E2\E2/20201118_Cefas_Test6-Run3/Plate 1/@4/C4_01.tif </t>
  </si>
  <si>
    <t xml:space="preserve"> 16676.6488 </t>
  </si>
  <si>
    <t xml:space="preserve"> 34.546 </t>
  </si>
  <si>
    <t xml:space="preserve">C:\Users\andre\Desktop\REACTIV CEFAS\E2\E2/20201118_Cefas_Test6-Run3/Plate 1/@4/C4_02.tif </t>
  </si>
  <si>
    <t xml:space="preserve"> 33.1765 </t>
  </si>
  <si>
    <t xml:space="preserve">C:\Users\andre\Desktop\REACTIV CEFAS\E2\E2/20201118_Cefas_Test6-Run3/Plate 1/@4/C4_03.tif </t>
  </si>
  <si>
    <t xml:space="preserve"> 12069.4812 </t>
  </si>
  <si>
    <t xml:space="preserve"> 33.1846 </t>
  </si>
  <si>
    <t xml:space="preserve">C:\Users\andre\Desktop\REACTIV CEFAS\E2\E2/20201118_Cefas_Test6-Run3/Plate 1/@4/D4_01.tif </t>
  </si>
  <si>
    <t xml:space="preserve"> 25458.386 </t>
  </si>
  <si>
    <t xml:space="preserve"> 33.3976 </t>
  </si>
  <si>
    <t xml:space="preserve">C:\Users\andre\Desktop\REACTIV CEFAS\E2\E2/20201118_Cefas_Test6-Run3/Plate 1/@4/D4_02.tif </t>
  </si>
  <si>
    <t xml:space="preserve"> 35.8626 </t>
  </si>
  <si>
    <t xml:space="preserve">C:\Users\andre\Desktop\REACTIV CEFAS\E2\E2/20201118_Cefas_Test6-Run3/Plate 1/@4/D4_03.tif </t>
  </si>
  <si>
    <t xml:space="preserve"> 23035.8378 </t>
  </si>
  <si>
    <t xml:space="preserve"> 34.7333 </t>
  </si>
  <si>
    <t xml:space="preserve">C:\Users\andre\Desktop\REACTIV CEFAS\E2\E2/20201118_Cefas_Test6-Run3/Plate 1/@4/E4_01.tif </t>
  </si>
  <si>
    <t xml:space="preserve"> 8370.7692 </t>
  </si>
  <si>
    <t xml:space="preserve"> 34.2972 </t>
  </si>
  <si>
    <t xml:space="preserve">C:\Users\andre\Desktop\REACTIV CEFAS\E2\E2/20201118_Cefas_Test6-Run3/Plate 1/@4/E4_02.tif </t>
  </si>
  <si>
    <t xml:space="preserve"> 16979.4673 </t>
  </si>
  <si>
    <t xml:space="preserve"> 34.4369 </t>
  </si>
  <si>
    <t xml:space="preserve">C:\Users\andre\Desktop\REACTIV CEFAS\E2\E2/20201118_Cefas_Test6-Run3/Plate 1/@4/E4_03.tif </t>
  </si>
  <si>
    <t xml:space="preserve"> 11463.8442 </t>
  </si>
  <si>
    <t xml:space="preserve"> 32.5528 </t>
  </si>
  <si>
    <t xml:space="preserve">C:\Users\andre\Desktop\REACTIV CEFAS\E2\E2/20201118_Cefas_Test6-Run3/Plate 1/@4/F4_01.tif </t>
  </si>
  <si>
    <t xml:space="preserve"> 32271.8028 </t>
  </si>
  <si>
    <t xml:space="preserve"> 35.0476 </t>
  </si>
  <si>
    <t xml:space="preserve">C:\Users\andre\Desktop\REACTIV CEFAS\E2\E2/20201118_Cefas_Test6-Run3/Plate 1/@4/F4_02.tif </t>
  </si>
  <si>
    <t xml:space="preserve"> 38176.764 </t>
  </si>
  <si>
    <t xml:space="preserve"> 35.647 </t>
  </si>
  <si>
    <t xml:space="preserve">C:\Users\andre\Desktop\REACTIV CEFAS\E2\E2/20201118_Cefas_Test6-Run3/Plate 1/@4/F4_03.tif </t>
  </si>
  <si>
    <t xml:space="preserve"> 17952.8125 </t>
  </si>
  <si>
    <t xml:space="preserve"> 33.0988 </t>
  </si>
  <si>
    <t xml:space="preserve">C:\Users\andre\Desktop\REACTIV CEFAS\E2\E2/20201118_Cefas_Test6-Run3/Plate 1/@4/G4_01.tif </t>
  </si>
  <si>
    <t xml:space="preserve"> 55978.1673 </t>
  </si>
  <si>
    <t xml:space="preserve"> 36.3605 </t>
  </si>
  <si>
    <t xml:space="preserve">C:\Users\andre\Desktop\REACTIV CEFAS\E2\E2/20201118_Cefas_Test6-Run3/Plate 1/@4/G4_02.tif </t>
  </si>
  <si>
    <t xml:space="preserve"> 56843.3631 </t>
  </si>
  <si>
    <t xml:space="preserve"> 38.7249 </t>
  </si>
  <si>
    <t xml:space="preserve">C:\Users\andre\Desktop\REACTIV CEFAS\E2\E2/20201118_Cefas_Test6-Run3/Plate 1/@4/G4_03.tif </t>
  </si>
  <si>
    <t xml:space="preserve"> 55350.9004 </t>
  </si>
  <si>
    <t xml:space="preserve"> 37.8343 </t>
  </si>
  <si>
    <t xml:space="preserve">C:\Users\andre\Desktop\REACTIV CEFAS\E2\E2/20201118_Cefas_Test6-Run3/Plate 1/@4/H4_01.tif </t>
  </si>
  <si>
    <t xml:space="preserve"> 13410.5347 </t>
  </si>
  <si>
    <t xml:space="preserve"> 34.0468 </t>
  </si>
  <si>
    <t xml:space="preserve">C:\Users\andre\Desktop\REACTIV CEFAS\E2\E2/20201118_Cefas_Test6-Run3/Plate 1/@4/H4_02.tif </t>
  </si>
  <si>
    <t xml:space="preserve"> 16957.8374 </t>
  </si>
  <si>
    <t xml:space="preserve"> 34.8431 </t>
  </si>
  <si>
    <t xml:space="preserve">C:\Users\andre\Desktop\REACTIV CEFAS\E2\E2/20201118_Cefas_Test6-Run3/Plate 1/@4/H4_03.tif </t>
  </si>
  <si>
    <t xml:space="preserve"> 6207.7798 </t>
  </si>
  <si>
    <t xml:space="preserve"> 33.1742 </t>
  </si>
  <si>
    <t xml:space="preserve">C:\Users\andre\Desktop\REACTIV CEFAS\E2\E2/20201118_Cefas_Test6-Run3/Plate 1/@4/ </t>
  </si>
  <si>
    <t xml:space="preserve"> 34.3349 </t>
  </si>
  <si>
    <t xml:space="preserve"> 1.733 </t>
  </si>
  <si>
    <t xml:space="preserve"> 817173.792 </t>
  </si>
  <si>
    <t xml:space="preserve"> 615437.833 </t>
  </si>
  <si>
    <t xml:space="preserve">C:\Users\andre\Desktop\REACTIV CEFAS\E2\E2/20201118_Cefas_Test6-Run3/Plate 1/@5/A5_01.tif </t>
  </si>
  <si>
    <t xml:space="preserve"> 34.0963 </t>
  </si>
  <si>
    <t xml:space="preserve">C:\Users\andre\Desktop\REACTIV CEFAS\E2\E2/20201118_Cefas_Test6-Run3/Plate 1/@5/A5_02.tif </t>
  </si>
  <si>
    <t xml:space="preserve"> 35.7765 </t>
  </si>
  <si>
    <t xml:space="preserve">C:\Users\andre\Desktop\REACTIV CEFAS\E2\E2/20201118_Cefas_Test6-Run3/Plate 1/@5/A5_03.tif </t>
  </si>
  <si>
    <t xml:space="preserve"> 15076.0366 </t>
  </si>
  <si>
    <t xml:space="preserve"> 33.6643 </t>
  </si>
  <si>
    <t xml:space="preserve">C:\Users\andre\Desktop\REACTIV CEFAS\E2\E2/20201118_Cefas_Test6-Run3/Plate 1/@5/B5_01.tif </t>
  </si>
  <si>
    <t xml:space="preserve"> 59438.9504 </t>
  </si>
  <si>
    <t xml:space="preserve"> 38.0073 </t>
  </si>
  <si>
    <t xml:space="preserve">C:\Users\andre\Desktop\REACTIV CEFAS\E2\E2/20201118_Cefas_Test6-Run3/Plate 1/@5/B5_02.tif </t>
  </si>
  <si>
    <t xml:space="preserve"> 52560.6439 </t>
  </si>
  <si>
    <t xml:space="preserve"> 41.8815 </t>
  </si>
  <si>
    <t xml:space="preserve">C:\Users\andre\Desktop\REACTIV CEFAS\E2\E2/20201118_Cefas_Test6-Run3/Plate 1/@5/B5_03.tif </t>
  </si>
  <si>
    <t xml:space="preserve"> 59547.0999 </t>
  </si>
  <si>
    <t xml:space="preserve"> 41.3985 </t>
  </si>
  <si>
    <t xml:space="preserve">C:\Users\andre\Desktop\REACTIV CEFAS\E2\E2/20201118_Cefas_Test6-Run3/Plate 1/@5/C5_01.tif </t>
  </si>
  <si>
    <t xml:space="preserve"> 40.3066 </t>
  </si>
  <si>
    <t xml:space="preserve">C:\Users\andre\Desktop\REACTIV CEFAS\E2\E2/20201118_Cefas_Test6-Run3/Plate 1/@5/C5_02.tif </t>
  </si>
  <si>
    <t xml:space="preserve"> 60022.9576 </t>
  </si>
  <si>
    <t xml:space="preserve"> 40.2948 </t>
  </si>
  <si>
    <t xml:space="preserve">C:\Users\andre\Desktop\REACTIV CEFAS\E2\E2/20201118_Cefas_Test6-Run3/Plate 1/@5/C5_03.tif </t>
  </si>
  <si>
    <t xml:space="preserve"> 53425.8397 </t>
  </si>
  <si>
    <t xml:space="preserve"> 39.7733 </t>
  </si>
  <si>
    <t xml:space="preserve">C:\Users\andre\Desktop\REACTIV CEFAS\E2\E2/20201118_Cefas_Test6-Run3/Plate 1/@5/D5_01.tif </t>
  </si>
  <si>
    <t xml:space="preserve"> 88747.4577 </t>
  </si>
  <si>
    <t xml:space="preserve"> 41.8484 </t>
  </si>
  <si>
    <t xml:space="preserve">C:\Users\andre\Desktop\REACTIV CEFAS\E2\E2/20201118_Cefas_Test6-Run3/Plate 1/@5/D5_02.tif </t>
  </si>
  <si>
    <t xml:space="preserve"> 87168.4754 </t>
  </si>
  <si>
    <t xml:space="preserve"> 47.0104 </t>
  </si>
  <si>
    <t xml:space="preserve">C:\Users\andre\Desktop\REACTIV CEFAS\E2\E2/20201118_Cefas_Test6-Run3/Plate 1/@5/D5_03.tif </t>
  </si>
  <si>
    <t xml:space="preserve"> 98156.4618 </t>
  </si>
  <si>
    <t xml:space="preserve"> 46.4667 </t>
  </si>
  <si>
    <t xml:space="preserve">C:\Users\andre\Desktop\REACTIV CEFAS\E2\E2/20201118_Cefas_Test6-Run3/Plate 1/@5/E5_01.tif </t>
  </si>
  <si>
    <t xml:space="preserve"> 37.7126 </t>
  </si>
  <si>
    <t xml:space="preserve">C:\Users\andre\Desktop\REACTIV CEFAS\E2\E2/20201118_Cefas_Test6-Run3/Plate 1/@5/E5_02.tif </t>
  </si>
  <si>
    <t xml:space="preserve"> 53339.3202 </t>
  </si>
  <si>
    <t xml:space="preserve"> 35.09 </t>
  </si>
  <si>
    <t xml:space="preserve">C:\Users\andre\Desktop\REACTIV CEFAS\E2\E2/20201118_Cefas_Test6-Run3/Plate 1/@5/E5_03.tif </t>
  </si>
  <si>
    <t xml:space="preserve"> 60433.9256 </t>
  </si>
  <si>
    <t xml:space="preserve"> 35.9012 </t>
  </si>
  <si>
    <t xml:space="preserve">C:\Users\andre\Desktop\REACTIV CEFAS\E2\E2/20201118_Cefas_Test6-Run3/Plate 1/@5/F5_01.tif </t>
  </si>
  <si>
    <t xml:space="preserve"> 49208.0103 </t>
  </si>
  <si>
    <t xml:space="preserve"> 38.1473 </t>
  </si>
  <si>
    <t xml:space="preserve">C:\Users\andre\Desktop\REACTIV CEFAS\E2\E2/20201118_Cefas_Test6-Run3/Plate 1/@5/F5_02.tif </t>
  </si>
  <si>
    <t xml:space="preserve"> 36511.2621 </t>
  </si>
  <si>
    <t xml:space="preserve"> 36.4295 </t>
  </si>
  <si>
    <t xml:space="preserve">C:\Users\andre\Desktop\REACTIV CEFAS\E2\E2/20201118_Cefas_Test6-Run3/Plate 1/@5/F5_03.tif </t>
  </si>
  <si>
    <t xml:space="preserve"> 36619.4116 </t>
  </si>
  <si>
    <t xml:space="preserve"> 36.251 </t>
  </si>
  <si>
    <t xml:space="preserve">C:\Users\andre\Desktop\REACTIV CEFAS\E2\E2/20201118_Cefas_Test6-Run3/Plate 1/@5/G5_01.tif </t>
  </si>
  <si>
    <t xml:space="preserve"> 43173.2697 </t>
  </si>
  <si>
    <t xml:space="preserve"> 35.8938 </t>
  </si>
  <si>
    <t xml:space="preserve">C:\Users\andre\Desktop\REACTIV CEFAS\E2\E2/20201118_Cefas_Test6-Run3/Plate 1/@5/G5_02.tif </t>
  </si>
  <si>
    <t xml:space="preserve"> 42589.2625 </t>
  </si>
  <si>
    <t xml:space="preserve"> 35.7491 </t>
  </si>
  <si>
    <t xml:space="preserve">C:\Users\andre\Desktop\REACTIV CEFAS\E2\E2/20201118_Cefas_Test6-Run3/Plate 1/@5/G5_03.tif </t>
  </si>
  <si>
    <t xml:space="preserve"> 54031.4768 </t>
  </si>
  <si>
    <t xml:space="preserve"> 38.2782 </t>
  </si>
  <si>
    <t xml:space="preserve">C:\Users\andre\Desktop\REACTIV CEFAS\E2\E2/20201118_Cefas_Test6-Run3/Plate 1/@5/H5_01.tif </t>
  </si>
  <si>
    <t xml:space="preserve"> 81955.6707 </t>
  </si>
  <si>
    <t xml:space="preserve"> 40.9963 </t>
  </si>
  <si>
    <t xml:space="preserve">C:\Users\andre\Desktop\REACTIV CEFAS\E2\E2/20201118_Cefas_Test6-Run3/Plate 1/@5/H5_02.tif </t>
  </si>
  <si>
    <t xml:space="preserve"> 84810.8168 </t>
  </si>
  <si>
    <t xml:space="preserve"> 43.0138 </t>
  </si>
  <si>
    <t xml:space="preserve">C:\Users\andre\Desktop\REACTIV CEFAS\E2\E2/20201118_Cefas_Test6-Run3/Plate 1/@5/H5_03.tif </t>
  </si>
  <si>
    <t xml:space="preserve"> 73822.8304 </t>
  </si>
  <si>
    <t xml:space="preserve"> 38.482 </t>
  </si>
  <si>
    <t xml:space="preserve">C:\Users\andre\Desktop\REACTIV CEFAS\E2\E2/20201118_Cefas_Test6-Run3/Plate 1/@5/ </t>
  </si>
  <si>
    <t xml:space="preserve"> 38.8529 </t>
  </si>
  <si>
    <t xml:space="preserve"> 3.563 </t>
  </si>
  <si>
    <t xml:space="preserve"> 2252440.79 </t>
  </si>
  <si>
    <t xml:space="preserve"> 1067687.28 </t>
  </si>
  <si>
    <t xml:space="preserve">C:\Users\andre\Desktop\REACTIV CEFAS\E2\E2/20201118_Cefas_Test6-Run3/Plate 1/@6/A6_01.tif </t>
  </si>
  <si>
    <t xml:space="preserve"> 59958.0679 </t>
  </si>
  <si>
    <t xml:space="preserve"> 46.2763 </t>
  </si>
  <si>
    <t xml:space="preserve">C:\Users\andre\Desktop\REACTIV CEFAS\E2\E2/20201118_Cefas_Test6-Run3/Plate 1/@6/A6_02.tif </t>
  </si>
  <si>
    <t xml:space="preserve"> 58833.3134 </t>
  </si>
  <si>
    <t xml:space="preserve"> 50.2114 </t>
  </si>
  <si>
    <t xml:space="preserve">C:\Users\andre\Desktop\REACTIV CEFAS\E2\E2/20201118_Cefas_Test6-Run3/Plate 1/@6/A6_03.tif </t>
  </si>
  <si>
    <t xml:space="preserve"> 64932.9437 </t>
  </si>
  <si>
    <t xml:space="preserve">C:\Users\andre\Desktop\REACTIV CEFAS\E2\E2/20201118_Cefas_Test6-Run3/Plate 1/@6/B6_01.tif </t>
  </si>
  <si>
    <t xml:space="preserve"> 74774.5457 </t>
  </si>
  <si>
    <t xml:space="preserve"> 45.7226 </t>
  </si>
  <si>
    <t xml:space="preserve">C:\Users\andre\Desktop\REACTIV CEFAS\E2\E2/20201118_Cefas_Test6-Run3/Plate 1/@6/B6_02.tif </t>
  </si>
  <si>
    <t xml:space="preserve"> 82755.9769 </t>
  </si>
  <si>
    <t xml:space="preserve"> 47.1576 </t>
  </si>
  <si>
    <t xml:space="preserve">C:\Users\andre\Desktop\REACTIV CEFAS\E2\E2/20201118_Cefas_Test6-Run3/Plate 1/@6/B6_03.tif </t>
  </si>
  <si>
    <t xml:space="preserve"> 79489.8628 </t>
  </si>
  <si>
    <t xml:space="preserve"> 47.2789 </t>
  </si>
  <si>
    <t xml:space="preserve">C:\Users\andre\Desktop\REACTIV CEFAS\E2\E2/20201118_Cefas_Test6-Run3/Plate 1/@6/C6_01.tif </t>
  </si>
  <si>
    <t xml:space="preserve"> 65538.5807 </t>
  </si>
  <si>
    <t xml:space="preserve"> 45.7782 </t>
  </si>
  <si>
    <t xml:space="preserve">C:\Users\andre\Desktop\REACTIV CEFAS\E2\E2/20201118_Cefas_Test6-Run3/Plate 1/@6/C6_02.tif </t>
  </si>
  <si>
    <t xml:space="preserve"> 65452.0611 </t>
  </si>
  <si>
    <t xml:space="preserve"> 45.7442 </t>
  </si>
  <si>
    <t xml:space="preserve">C:\Users\andre\Desktop\REACTIV CEFAS\E2\E2/20201118_Cefas_Test6-Run3/Plate 1/@6/C6_03.tif </t>
  </si>
  <si>
    <t xml:space="preserve"> 46.3746 </t>
  </si>
  <si>
    <t xml:space="preserve">C:\Users\andre\Desktop\REACTIV CEFAS\E2\E2/20201118_Cefas_Test6-Run3/Plate 1/@6/D6_01.tif </t>
  </si>
  <si>
    <t xml:space="preserve"> 41572.6575 </t>
  </si>
  <si>
    <t xml:space="preserve"> 34.3059 </t>
  </si>
  <si>
    <t xml:space="preserve">C:\Users\andre\Desktop\REACTIV CEFAS\E2\E2/20201118_Cefas_Test6-Run3/Plate 1/@6/D6_02.tif </t>
  </si>
  <si>
    <t xml:space="preserve"> 38090.2444 </t>
  </si>
  <si>
    <t xml:space="preserve"> 34.2379 </t>
  </si>
  <si>
    <t xml:space="preserve">C:\Users\andre\Desktop\REACTIV CEFAS\E2\E2/20201118_Cefas_Test6-Run3/Plate 1/@6/D6_03.tif </t>
  </si>
  <si>
    <t xml:space="preserve"> 34348.2727 </t>
  </si>
  <si>
    <t xml:space="preserve"> 33.1058 </t>
  </si>
  <si>
    <t xml:space="preserve">C:\Users\andre\Desktop\REACTIV CEFAS\E2\E2/20201118_Cefas_Test6-Run3/Plate 1/@6/E6_01.tif </t>
  </si>
  <si>
    <t xml:space="preserve"> 91580.9739 </t>
  </si>
  <si>
    <t xml:space="preserve"> 56.8878 </t>
  </si>
  <si>
    <t xml:space="preserve">C:\Users\andre\Desktop\REACTIV CEFAS\E2\E2/20201118_Cefas_Test6-Run3/Plate 1/@6/E6_02.tif </t>
  </si>
  <si>
    <t xml:space="preserve"> 85611.1229 </t>
  </si>
  <si>
    <t xml:space="preserve"> 55.9219 </t>
  </si>
  <si>
    <t xml:space="preserve">C:\Users\andre\Desktop\REACTIV CEFAS\E2\E2/20201118_Cefas_Test6-Run3/Plate 1/@6/E6_03.tif </t>
  </si>
  <si>
    <t xml:space="preserve"> 87557.8135 </t>
  </si>
  <si>
    <t xml:space="preserve"> 59.1566 </t>
  </si>
  <si>
    <t xml:space="preserve">C:\Users\andre\Desktop\REACTIV CEFAS\E2\E2/20201118_Cefas_Test6-Run3/Plate 1/@6/F6_01.tif </t>
  </si>
  <si>
    <t xml:space="preserve"> 82323.379 </t>
  </si>
  <si>
    <t xml:space="preserve"> 61.4616 </t>
  </si>
  <si>
    <t xml:space="preserve">C:\Users\andre\Desktop\REACTIV CEFAS\E2\E2/20201118_Cefas_Test6-Run3/Plate 1/@6/F6_02.tif </t>
  </si>
  <si>
    <t xml:space="preserve"> 82842.4964 </t>
  </si>
  <si>
    <t xml:space="preserve"> 57.0099 </t>
  </si>
  <si>
    <t xml:space="preserve">C:\Users\andre\Desktop\REACTIV CEFAS\E2\E2/20201118_Cefas_Test6-Run3/Plate 1/@6/F6_03.tif </t>
  </si>
  <si>
    <t xml:space="preserve"> 56.5611 </t>
  </si>
  <si>
    <t xml:space="preserve">C:\Users\andre\Desktop\REACTIV CEFAS\E2\E2/20201118_Cefas_Test6-Run3/Plate 1/@6/G6_01.tif </t>
  </si>
  <si>
    <t xml:space="preserve"> 50570.6936 </t>
  </si>
  <si>
    <t xml:space="preserve"> 38.3875 </t>
  </si>
  <si>
    <t xml:space="preserve">C:\Users\andre\Desktop\REACTIV CEFAS\E2\E2/20201118_Cefas_Test6-Run3/Plate 1/@6/G6_02.tif </t>
  </si>
  <si>
    <t xml:space="preserve"> 56929.8827 </t>
  </si>
  <si>
    <t xml:space="preserve"> 40.1687 </t>
  </si>
  <si>
    <t xml:space="preserve">C:\Users\andre\Desktop\REACTIV CEFAS\E2\E2/20201118_Cefas_Test6-Run3/Plate 1/@6/G6_03.tif </t>
  </si>
  <si>
    <t xml:space="preserve"> 39.3674 </t>
  </si>
  <si>
    <t xml:space="preserve">C:\Users\andre\Desktop\REACTIV CEFAS\E2\E2/20201118_Cefas_Test6-Run3/Plate 1/@6/H6_01.tif </t>
  </si>
  <si>
    <t xml:space="preserve"> 76461.6775 </t>
  </si>
  <si>
    <t xml:space="preserve"> 48.0379 </t>
  </si>
  <si>
    <t xml:space="preserve">C:\Users\andre\Desktop\REACTIV CEFAS\E2\E2/20201118_Cefas_Test6-Run3/Plate 1/@6/H6_02.tif </t>
  </si>
  <si>
    <t xml:space="preserve"> 78343.4783 </t>
  </si>
  <si>
    <t xml:space="preserve"> 49.0519 </t>
  </si>
  <si>
    <t xml:space="preserve">C:\Users\andre\Desktop\REACTIV CEFAS\E2\E2/20201118_Cefas_Test6-Run3/Plate 1/@6/H6_03.tif </t>
  </si>
  <si>
    <t xml:space="preserve"> 79165.4143 </t>
  </si>
  <si>
    <t xml:space="preserve"> 50.5044 </t>
  </si>
  <si>
    <t xml:space="preserve">C:\Users\andre\Desktop\REACTIV CEFAS\E2\E2/20201118_Cefas_Test6-Run3/Plate 1/@6/ </t>
  </si>
  <si>
    <t xml:space="preserve"> 7.9484 </t>
  </si>
  <si>
    <t xml:space="preserve"> 3342932.71 </t>
  </si>
  <si>
    <t xml:space="preserve"> 1231422.4 </t>
  </si>
  <si>
    <t xml:space="preserve">C:\Users\andre\Desktop\REACTIV CEFAS\E2\E2/20201118_Cefas_Test6-Run3/Plate 1/@7/A7_01.tif </t>
  </si>
  <si>
    <t xml:space="preserve"> 69972.7091 </t>
  </si>
  <si>
    <t xml:space="preserve"> 53.8482 </t>
  </si>
  <si>
    <t xml:space="preserve">C:\Users\andre\Desktop\REACTIV CEFAS\E2\E2/20201118_Cefas_Test6-Run3/Plate 1/@7/A7_02.tif </t>
  </si>
  <si>
    <t xml:space="preserve"> 93614.184 </t>
  </si>
  <si>
    <t xml:space="preserve"> 52.6296 </t>
  </si>
  <si>
    <t xml:space="preserve">C:\Users\andre\Desktop\REACTIV CEFAS\E2\E2/20201118_Cefas_Test6-Run3/Plate 1/@7/A7_03.tif </t>
  </si>
  <si>
    <t xml:space="preserve"> 83361.6139 </t>
  </si>
  <si>
    <t xml:space="preserve"> 55.9442 </t>
  </si>
  <si>
    <t xml:space="preserve">C:\Users\andre\Desktop\REACTIV CEFAS\E2\E2/20201118_Cefas_Test6-Run3/Plate 1/@7/B7_01.tif </t>
  </si>
  <si>
    <t xml:space="preserve"> 75639.7415 </t>
  </si>
  <si>
    <t xml:space="preserve"> 55.9371 </t>
  </si>
  <si>
    <t>C:\Users\andre\Desktop\REACTIV CEFAS\E2\E2/20201118_Cefas_Test6-Run3/Plate 1/@7/B7_02- exclu.tif</t>
  </si>
  <si>
    <t xml:space="preserve">C:\Users\andre\Desktop\REACTIV CEFAS\E2\E2/20201118_Cefas_Test6-Run3/Plate 1/@7/B7_03.tif </t>
  </si>
  <si>
    <t xml:space="preserve"> 61948.0182 </t>
  </si>
  <si>
    <t xml:space="preserve"> 60.6264 </t>
  </si>
  <si>
    <t xml:space="preserve">C:\Users\andre\Desktop\REACTIV CEFAS\E2\E2/20201118_Cefas_Test6-Run3/Plate 1/@7/C7_01.tif </t>
  </si>
  <si>
    <t xml:space="preserve"> 46763.8322 </t>
  </si>
  <si>
    <t xml:space="preserve"> 51.5291 </t>
  </si>
  <si>
    <t xml:space="preserve">C:\Users\andre\Desktop\REACTIV CEFAS\E2\E2/20201118_Cefas_Test6-Run3/Plate 1/@7/C7_02.tif </t>
  </si>
  <si>
    <t xml:space="preserve"> 43584.2377 </t>
  </si>
  <si>
    <t xml:space="preserve"> 52.0328 </t>
  </si>
  <si>
    <t xml:space="preserve">C:\Users\andre\Desktop\REACTIV CEFAS\E2\E2/20201118_Cefas_Test6-Run3/Plate 1/@7/C7_03.tif </t>
  </si>
  <si>
    <t xml:space="preserve"> 44817.1417 </t>
  </si>
  <si>
    <t xml:space="preserve"> 52.7017 </t>
  </si>
  <si>
    <t xml:space="preserve">C:\Users\andre\Desktop\REACTIV CEFAS\E2\E2/20201118_Cefas_Test6-Run3/Plate 1/@7/D7_01.tif </t>
  </si>
  <si>
    <t xml:space="preserve"> 80073.8699 </t>
  </si>
  <si>
    <t xml:space="preserve"> 57.4938 </t>
  </si>
  <si>
    <t xml:space="preserve">C:\Users\andre\Desktop\REACTIV CEFAS\E2\E2/20201118_Cefas_Test6-Run3/Plate 1/@7/D7_02.tif </t>
  </si>
  <si>
    <t xml:space="preserve"> 57.2506 </t>
  </si>
  <si>
    <t xml:space="preserve">C:\Users\andre\Desktop\REACTIV CEFAS\E2\E2/20201118_Cefas_Test6-Run3/Plate 1/@7/D7_03.tif </t>
  </si>
  <si>
    <t xml:space="preserve"> 82366.6387 </t>
  </si>
  <si>
    <t xml:space="preserve"> 57.8887 </t>
  </si>
  <si>
    <t>C:\Users\andre\Desktop\REACTIV CEFAS\E2\E2/20201118_Cefas_Test6-Run3/Plate 1/@7/E7_01- exclu.tif</t>
  </si>
  <si>
    <t>C:\Users\andre\Desktop\REACTIV CEFAS\E2\E2/20201118_Cefas_Test6-Run3/Plate 1/@7/E7_02- exclu.tif</t>
  </si>
  <si>
    <t>C:\Users\andre\Desktop\REACTIV CEFAS\E2\E2/20201118_Cefas_Test6-Run3/Plate 1/@7/E7_03- exclu.tif</t>
  </si>
  <si>
    <t xml:space="preserve">C:\Users\andre\Desktop\REACTIV CEFAS\E2\E2/20201118_Cefas_Test6-Run3/Plate 1/@7/F7_01.tif </t>
  </si>
  <si>
    <t xml:space="preserve"> 69951.0792 </t>
  </si>
  <si>
    <t xml:space="preserve"> 53.4879 </t>
  </si>
  <si>
    <t xml:space="preserve">C:\Users\andre\Desktop\REACTIV CEFAS\E2\E2/20201118_Cefas_Test6-Run3/Plate 1/@7/F7_02.tif </t>
  </si>
  <si>
    <t xml:space="preserve"> 55480.6797 </t>
  </si>
  <si>
    <t xml:space="preserve"> 55.4476 </t>
  </si>
  <si>
    <t xml:space="preserve">C:\Users\andre\Desktop\REACTIV CEFAS\E2\E2/20201118_Cefas_Test6-Run3/Plate 1/@7/F7_03.tif </t>
  </si>
  <si>
    <t xml:space="preserve"> 55891.6477 </t>
  </si>
  <si>
    <t xml:space="preserve"> 56.3514 </t>
  </si>
  <si>
    <t xml:space="preserve">C:\Users\andre\Desktop\REACTIV CEFAS\E2\E2/20201118_Cefas_Test6-Run3/Plate 1/@7/G7_01.tif </t>
  </si>
  <si>
    <t xml:space="preserve"> 51.7963 </t>
  </si>
  <si>
    <t xml:space="preserve">C:\Users\andre\Desktop\REACTIV CEFAS\E2\E2/20201118_Cefas_Test6-Run3/Plate 1/@7/G7_02.tif </t>
  </si>
  <si>
    <t xml:space="preserve"> 87644.333 </t>
  </si>
  <si>
    <t xml:space="preserve"> 55.6273 </t>
  </si>
  <si>
    <t xml:space="preserve">C:\Users\andre\Desktop\REACTIV CEFAS\E2\E2/20201118_Cefas_Test6-Run3/Plate 1/@7/G7_03.tif </t>
  </si>
  <si>
    <t xml:space="preserve"> 54.5726 </t>
  </si>
  <si>
    <t xml:space="preserve">C:\Users\andre\Desktop\REACTIV CEFAS\E2\E2/20201118_Cefas_Test6-Run3/Plate 1/@7/H7_01.tif </t>
  </si>
  <si>
    <t xml:space="preserve"> 66490.2961 </t>
  </si>
  <si>
    <t xml:space="preserve"> 50.1675 </t>
  </si>
  <si>
    <t xml:space="preserve">C:\Users\andre\Desktop\REACTIV CEFAS\E2\E2/20201118_Cefas_Test6-Run3/Plate 1/@7/H7_02.tif </t>
  </si>
  <si>
    <t xml:space="preserve"> 62942.9934 </t>
  </si>
  <si>
    <t xml:space="preserve"> 49.6732 </t>
  </si>
  <si>
    <t xml:space="preserve">C:\Users\andre\Desktop\REACTIV CEFAS\E2\E2/20201118_Cefas_Test6-Run3/Plate 1/@7/H7_03.tif </t>
  </si>
  <si>
    <t xml:space="preserve"> 62705.0645 </t>
  </si>
  <si>
    <t xml:space="preserve"> 48.8917 </t>
  </si>
  <si>
    <t xml:space="preserve">C:\Users\andre\Desktop\REACTIV CEFAS\E2\E2/20201118_Cefas_Test6-Run3/Plate 1/@7/ </t>
  </si>
  <si>
    <t xml:space="preserve"> 55.3415 </t>
  </si>
  <si>
    <t xml:space="preserve"> 4.0827 </t>
  </si>
  <si>
    <t xml:space="preserve"> 3807723.96 </t>
  </si>
  <si>
    <t xml:space="preserve"> 866063.873 </t>
  </si>
  <si>
    <t xml:space="preserve">C:\Users\andre\Desktop\REACTIV CEFAS\E2\E2/20201118_Cefas_Test6-Run3/Plate 4/@10/A4_01.tif </t>
  </si>
  <si>
    <t xml:space="preserve"> 63851.4489 </t>
  </si>
  <si>
    <t xml:space="preserve"> 38.6616 </t>
  </si>
  <si>
    <t xml:space="preserve">C:\Users\andre\Desktop\REACTIV CEFAS\E2\E2/20201118_Cefas_Test6-Run3/Plate 4/@10/A4_02.tif </t>
  </si>
  <si>
    <t xml:space="preserve"> 64067.7479 </t>
  </si>
  <si>
    <t xml:space="preserve"> 37.7411 </t>
  </si>
  <si>
    <t xml:space="preserve">C:\Users\andre\Desktop\REACTIV CEFAS\E2\E2/20201118_Cefas_Test6-Run3/Plate 4/@10/A4_03.tif </t>
  </si>
  <si>
    <t xml:space="preserve"> 43735.6469 </t>
  </si>
  <si>
    <t xml:space="preserve"> 38.1642 </t>
  </si>
  <si>
    <t xml:space="preserve">C:\Users\andre\Desktop\REACTIV CEFAS\E2\E2/20201118_Cefas_Test6-Run3/Plate 4/@10/B4_01.tif </t>
  </si>
  <si>
    <t xml:space="preserve"> 31.4634 </t>
  </si>
  <si>
    <t xml:space="preserve">C:\Users\andre\Desktop\REACTIV CEFAS\E2\E2/20201118_Cefas_Test6-Run3/Plate 4/@10/B4_02.tif </t>
  </si>
  <si>
    <t xml:space="preserve"> 389.3381 </t>
  </si>
  <si>
    <t xml:space="preserve"> 32.5 </t>
  </si>
  <si>
    <t xml:space="preserve">C:\Users\andre\Desktop\REACTIV CEFAS\E2\E2/20201118_Cefas_Test6-Run3/Plate 4/@10/B4_03.tif </t>
  </si>
  <si>
    <t xml:space="preserve"> 30.4 </t>
  </si>
  <si>
    <t xml:space="preserve">C:\Users\andre\Desktop\REACTIV CEFAS\E2\E2/20201118_Cefas_Test6-Run3/Plate 4/@10/C4_01.tif </t>
  </si>
  <si>
    <t xml:space="preserve"> 3331.0038 </t>
  </si>
  <si>
    <t xml:space="preserve"> 38.6364 </t>
  </si>
  <si>
    <t>C:\Users\andre\Desktop\REACTIV CEFAS\E2\E2/20201118_Cefas_Test6-Run3/Plate 4/@10/C4_02- exclu.tif</t>
  </si>
  <si>
    <t>C:\Users\andre\Desktop\REACTIV CEFAS\E2\E2/20201118_Cefas_Test6-Run3/Plate 4/@10/C4_03- exclu.tif</t>
  </si>
  <si>
    <t>C:\Users\andre\Desktop\REACTIV CEFAS\E2\E2/20201118_Cefas_Test6-Run3/Plate 4/@10/D4_01- exclu.tif</t>
  </si>
  <si>
    <t xml:space="preserve">C:\Users\andre\Desktop\REACTIV CEFAS\E2\E2/20201118_Cefas_Test6-Run3/Plate 4/@10/D4_02.tif </t>
  </si>
  <si>
    <t xml:space="preserve"> 28335.162 </t>
  </si>
  <si>
    <t xml:space="preserve"> 36.5359 </t>
  </si>
  <si>
    <t xml:space="preserve">C:\Users\andre\Desktop\REACTIV CEFAS\E2\E2/20201118_Cefas_Test6-Run3/Plate 4/@10/D4_03.tif </t>
  </si>
  <si>
    <t xml:space="preserve"> 15768.1932 </t>
  </si>
  <si>
    <t xml:space="preserve"> 34.5487 </t>
  </si>
  <si>
    <t xml:space="preserve">C:\Users\andre\Desktop\REACTIV CEFAS\E2\E2/20201118_Cefas_Test6-Run3/Plate 4/@10/E4_01.tif </t>
  </si>
  <si>
    <t xml:space="preserve"> 24355.2614 </t>
  </si>
  <si>
    <t xml:space="preserve"> 37.8233 </t>
  </si>
  <si>
    <t xml:space="preserve">C:\Users\andre\Desktop\REACTIV CEFAS\E2\E2/20201118_Cefas_Test6-Run3/Plate 4/@10/E4_02.tif </t>
  </si>
  <si>
    <t xml:space="preserve"> 10923.0968 </t>
  </si>
  <si>
    <t xml:space="preserve"> 35.0059 </t>
  </si>
  <si>
    <t xml:space="preserve">C:\Users\andre\Desktop\REACTIV CEFAS\E2\E2/20201118_Cefas_Test6-Run3/Plate 4/@10/E4_03.tif </t>
  </si>
  <si>
    <t xml:space="preserve"> 22365.311 </t>
  </si>
  <si>
    <t xml:space="preserve"> 38.3162 </t>
  </si>
  <si>
    <t xml:space="preserve">C:\Users\andre\Desktop\REACTIV CEFAS\E2\E2/20201118_Cefas_Test6-Run3/Plate 4/@10/F4_01.tif </t>
  </si>
  <si>
    <t xml:space="preserve"> 53707.0284 </t>
  </si>
  <si>
    <t xml:space="preserve"> 37.4716 </t>
  </si>
  <si>
    <t xml:space="preserve">C:\Users\andre\Desktop\REACTIV CEFAS\E2\E2/20201118_Cefas_Test6-Run3/Plate 4/@10/F4_02.tif </t>
  </si>
  <si>
    <t xml:space="preserve"> 44838.7716 </t>
  </si>
  <si>
    <t xml:space="preserve"> 35.9387 </t>
  </si>
  <si>
    <t xml:space="preserve">C:\Users\andre\Desktop\REACTIV CEFAS\E2\E2/20201118_Cefas_Test6-Run3/Plate 4/@10/F4_03.tif </t>
  </si>
  <si>
    <t xml:space="preserve"> 51868.4873 </t>
  </si>
  <si>
    <t xml:space="preserve"> 38.4299 </t>
  </si>
  <si>
    <t xml:space="preserve">C:\Users\andre\Desktop\REACTIV CEFAS\E2\E2/20201118_Cefas_Test6-Run3/Plate 4/@10/G4_01.tif </t>
  </si>
  <si>
    <t xml:space="preserve"> 75120.624 </t>
  </si>
  <si>
    <t xml:space="preserve"> 40.6124 </t>
  </si>
  <si>
    <t xml:space="preserve">C:\Users\andre\Desktop\REACTIV CEFAS\E2\E2/20201118_Cefas_Test6-Run3/Plate 4/@10/G4_02.tif </t>
  </si>
  <si>
    <t xml:space="preserve"> 41.895 </t>
  </si>
  <si>
    <t xml:space="preserve">C:\Users\andre\Desktop\REACTIV CEFAS\E2\E2/20201118_Cefas_Test6-Run3/Plate 4/@10/G4_03.tif </t>
  </si>
  <si>
    <t xml:space="preserve"> 71638.211 </t>
  </si>
  <si>
    <t xml:space="preserve"> 41.9327 </t>
  </si>
  <si>
    <t xml:space="preserve">C:\Users\andre\Desktop\REACTIV CEFAS\E2\E2/20201118_Cefas_Test6-Run3/Plate 4/@10/H4_01.tif </t>
  </si>
  <si>
    <t xml:space="preserve"> 42048.5152 </t>
  </si>
  <si>
    <t xml:space="preserve"> 34.9048 </t>
  </si>
  <si>
    <t xml:space="preserve">C:\Users\andre\Desktop\REACTIV CEFAS\E2\E2/20201118_Cefas_Test6-Run3/Plate 4/@10/H4_02.tif </t>
  </si>
  <si>
    <t xml:space="preserve"> 35.3479 </t>
  </si>
  <si>
    <t xml:space="preserve">C:\Users\andre\Desktop\REACTIV CEFAS\E2\E2/20201118_Cefas_Test6-Run3/Plate 4/@10/H4_03.tif </t>
  </si>
  <si>
    <t xml:space="preserve"> 29524.8062 </t>
  </si>
  <si>
    <t xml:space="preserve"> 33.3912 </t>
  </si>
  <si>
    <t xml:space="preserve">C:\Users\andre\Desktop\REACTIV CEFAS\E2\E2/20201118_Cefas_Test6-Run3/Plate 4/@10/ </t>
  </si>
  <si>
    <t xml:space="preserve"> 36.6811 </t>
  </si>
  <si>
    <t xml:space="preserve"> 3.128 </t>
  </si>
  <si>
    <t xml:space="preserve"> 1239502.96 </t>
  </si>
  <si>
    <t xml:space="preserve"> 1011639.1 </t>
  </si>
  <si>
    <t xml:space="preserve">C:\Users\andre\Desktop\REACTIV CEFAS\E2\E2/20201118_Cefas_Test6-Run3/Plate 4/@11/A5_01.tif </t>
  </si>
  <si>
    <t xml:space="preserve"> 86562.8383 </t>
  </si>
  <si>
    <t xml:space="preserve"> 53.911 </t>
  </si>
  <si>
    <t xml:space="preserve">C:\Users\andre\Desktop\REACTIV CEFAS\E2\E2/20201118_Cefas_Test6-Run3/Plate 4/@11/A5_02.tif </t>
  </si>
  <si>
    <t xml:space="preserve"> 91256.5254 </t>
  </si>
  <si>
    <t xml:space="preserve"> 47.9604 </t>
  </si>
  <si>
    <t xml:space="preserve">C:\Users\andre\Desktop\REACTIV CEFAS\E2\E2/20201118_Cefas_Test6-Run3/Plate 4/@11/A5_03.tif </t>
  </si>
  <si>
    <t xml:space="preserve"> 92121.7212 </t>
  </si>
  <si>
    <t xml:space="preserve"> 51.4642 </t>
  </si>
  <si>
    <t>C:\Users\andre\Desktop\REACTIV CEFAS\E2\E2/20201118_Cefas_Test6-Run3/Plate 4/@11/B5_01- exclu.tif</t>
  </si>
  <si>
    <t>C:\Users\andre\Desktop\REACTIV CEFAS\E2\E2/20201118_Cefas_Test6-Run3/Plate 4/@11/B5_02- exclu.tif</t>
  </si>
  <si>
    <t>C:\Users\andre\Desktop\REACTIV CEFAS\E2\E2/20201118_Cefas_Test6-Run3/Plate 4/@11/B5_03- exclu.tif</t>
  </si>
  <si>
    <t xml:space="preserve">C:\Users\andre\Desktop\REACTIV CEFAS\E2\E2/20201118_Cefas_Test6-Run3/Plate 4/@11/C5_01.tif </t>
  </si>
  <si>
    <t xml:space="preserve"> 52.9957 </t>
  </si>
  <si>
    <t xml:space="preserve">C:\Users\andre\Desktop\REACTIV CEFAS\E2\E2/20201118_Cefas_Test6-Run3/Plate 4/@11/C5_02.tif </t>
  </si>
  <si>
    <t xml:space="preserve"> 89050.2762 </t>
  </si>
  <si>
    <t xml:space="preserve"> 54.6944 </t>
  </si>
  <si>
    <t xml:space="preserve">C:\Users\andre\Desktop\REACTIV CEFAS\E2\E2/20201118_Cefas_Test6-Run3/Plate 4/@11/C5_03.tif </t>
  </si>
  <si>
    <t xml:space="preserve"> 50.8479 </t>
  </si>
  <si>
    <t xml:space="preserve">C:\Users\andre\Desktop\REACTIV CEFAS\E2\E2/20201118_Cefas_Test6-Run3/Plate 4/@11/D5_01.tif </t>
  </si>
  <si>
    <t xml:space="preserve"> 48.6096 </t>
  </si>
  <si>
    <t xml:space="preserve">C:\Users\andre\Desktop\REACTIV CEFAS\E2\E2/20201118_Cefas_Test6-Run3/Plate 4/@11/D5_02.tif </t>
  </si>
  <si>
    <t xml:space="preserve"> 60996.3029 </t>
  </si>
  <si>
    <t xml:space="preserve"> 48.5043 </t>
  </si>
  <si>
    <t xml:space="preserve">C:\Users\andre\Desktop\REACTIV CEFAS\E2\E2/20201118_Cefas_Test6-Run3/Plate 4/@11/D5_03.tif </t>
  </si>
  <si>
    <t xml:space="preserve"> 67485.2712 </t>
  </si>
  <si>
    <t xml:space="preserve"> 47.5067 </t>
  </si>
  <si>
    <t xml:space="preserve">C:\Users\andre\Desktop\REACTIV CEFAS\E2\E2/20201118_Cefas_Test6-Run3/Plate 4/@11/E5_01.tif </t>
  </si>
  <si>
    <t xml:space="preserve"> 51.3103 </t>
  </si>
  <si>
    <t xml:space="preserve">C:\Users\andre\Desktop\REACTIV CEFAS\E2\E2/20201118_Cefas_Test6-Run3/Plate 4/@11/E5_02.tif </t>
  </si>
  <si>
    <t xml:space="preserve"> 63981.2283 </t>
  </si>
  <si>
    <t xml:space="preserve"> 47.5105 </t>
  </si>
  <si>
    <t xml:space="preserve">C:\Users\andre\Desktop\REACTIV CEFAS\E2\E2/20201118_Cefas_Test6-Run3/Plate 4/@11/E5_03.tif </t>
  </si>
  <si>
    <t xml:space="preserve"> 61320.7513 </t>
  </si>
  <si>
    <t xml:space="preserve"> 48.1792 </t>
  </si>
  <si>
    <t xml:space="preserve">C:\Users\andre\Desktop\REACTIV CEFAS\E2\E2/20201118_Cefas_Test6-Run3/Plate 4/@11/F5_01.tif </t>
  </si>
  <si>
    <t xml:space="preserve"> 44.9335 </t>
  </si>
  <si>
    <t xml:space="preserve">C:\Users\andre\Desktop\REACTIV CEFAS\E2\E2/20201118_Cefas_Test6-Run3/Plate 4/@11/F5_02.tif </t>
  </si>
  <si>
    <t xml:space="preserve"> 59568.7298 </t>
  </si>
  <si>
    <t xml:space="preserve"> 46.7814 </t>
  </si>
  <si>
    <t xml:space="preserve">C:\Users\andre\Desktop\REACTIV CEFAS\E2\E2/20201118_Cefas_Test6-Run3/Plate 4/@11/F5_03.tif </t>
  </si>
  <si>
    <t xml:space="preserve"> 62229.2068 </t>
  </si>
  <si>
    <t xml:space="preserve"> 46.448 </t>
  </si>
  <si>
    <t xml:space="preserve">C:\Users\andre\Desktop\REACTIV CEFAS\E2\E2/20201118_Cefas_Test6-Run3/Plate 4/@11/G5_01.tif </t>
  </si>
  <si>
    <t xml:space="preserve"> 78516.5175 </t>
  </si>
  <si>
    <t xml:space="preserve"> 54.6298 </t>
  </si>
  <si>
    <t xml:space="preserve">C:\Users\andre\Desktop\REACTIV CEFAS\E2\E2/20201118_Cefas_Test6-Run3/Plate 4/@11/G5_02.tif </t>
  </si>
  <si>
    <t xml:space="preserve"> 51.2841 </t>
  </si>
  <si>
    <t xml:space="preserve">C:\Users\andre\Desktop\REACTIV CEFAS\E2\E2/20201118_Cefas_Test6-Run3/Plate 4/@11/G5_03.tif </t>
  </si>
  <si>
    <t xml:space="preserve"> 76699.6064 </t>
  </si>
  <si>
    <t xml:space="preserve"> 50.0767 </t>
  </si>
  <si>
    <t xml:space="preserve">C:\Users\andre\Desktop\REACTIV CEFAS\E2\E2/20201118_Cefas_Test6-Run3/Plate 4/@11/H5_01.tif </t>
  </si>
  <si>
    <t xml:space="preserve"> 44.9277 </t>
  </si>
  <si>
    <t xml:space="preserve">C:\Users\andre\Desktop\REACTIV CEFAS\E2\E2/20201118_Cefas_Test6-Run3/Plate 4/@11/H5_02.tif </t>
  </si>
  <si>
    <t xml:space="preserve"> 63440.4809 </t>
  </si>
  <si>
    <t xml:space="preserve"> 40.1964 </t>
  </si>
  <si>
    <t>C:\Users\andre\Desktop\REACTIV CEFAS\E2\E2/20201118_Cefas_Test6-Run3/Plate 4/@11/H5_03- exclu.tif</t>
  </si>
  <si>
    <t xml:space="preserve">C:\Users\andre\Desktop\REACTIV CEFAS\E2\E2/20201118_Cefas_Test6-Run3/Plate 4/@11/ </t>
  </si>
  <si>
    <t xml:space="preserve"> 48.6003 </t>
  </si>
  <si>
    <t xml:space="preserve"> 3.8104 </t>
  </si>
  <si>
    <t xml:space="preserve"> 3388237.38 </t>
  </si>
  <si>
    <t xml:space="preserve"> 837233.705 </t>
  </si>
  <si>
    <t xml:space="preserve">C:\Users\andre\Desktop\REACTIV CEFAS\E2\E2/20201118_Cefas_Test6-Run3/Plate 4/@12/A6_01.tif </t>
  </si>
  <si>
    <t xml:space="preserve"> 83815.8417 </t>
  </si>
  <si>
    <t xml:space="preserve"> 53.2963 </t>
  </si>
  <si>
    <t xml:space="preserve">C:\Users\andre\Desktop\REACTIV CEFAS\E2\E2/20201118_Cefas_Test6-Run3/Plate 4/@12/A6_02.tif </t>
  </si>
  <si>
    <t xml:space="preserve"> 87125.2156 </t>
  </si>
  <si>
    <t xml:space="preserve"> 50.969 </t>
  </si>
  <si>
    <t xml:space="preserve">C:\Users\andre\Desktop\REACTIV CEFAS\E2\E2/20201118_Cefas_Test6-Run3/Plate 4/@12/A6_03.tif </t>
  </si>
  <si>
    <t xml:space="preserve"> 80809.2863 </t>
  </si>
  <si>
    <t xml:space="preserve"> 50.9893 </t>
  </si>
  <si>
    <t xml:space="preserve">C:\Users\andre\Desktop\REACTIV CEFAS\E2\E2/20201118_Cefas_Test6-Run3/Plate 4/@12/B6_01.tif </t>
  </si>
  <si>
    <t xml:space="preserve"> 63591.8902 </t>
  </si>
  <si>
    <t xml:space="preserve"> 58.3167 </t>
  </si>
  <si>
    <t xml:space="preserve">C:\Users\andre\Desktop\REACTIV CEFAS\E2\E2/20201118_Cefas_Test6-Run3/Plate 4/@12/B6_02.tif </t>
  </si>
  <si>
    <t xml:space="preserve"> 58357.4557 </t>
  </si>
  <si>
    <t xml:space="preserve"> 58.6512 </t>
  </si>
  <si>
    <t xml:space="preserve">C:\Users\andre\Desktop\REACTIV CEFAS\E2\E2/20201118_Cefas_Test6-Run3/Plate 4/@12/B6_03.tif </t>
  </si>
  <si>
    <t xml:space="preserve"> 59.6387 </t>
  </si>
  <si>
    <t>C:\Users\andre\Desktop\REACTIV CEFAS\E2\E2/20201118_Cefas_Test6-Run3/Plate 4/@12/C6_01- exclu.tif</t>
  </si>
  <si>
    <t xml:space="preserve">C:\Users\andre\Desktop\REACTIV CEFAS\E2\E2/20201118_Cefas_Test6-Run3/Plate 4/@12/C6_02.tif </t>
  </si>
  <si>
    <t xml:space="preserve"> 88293.2299 </t>
  </si>
  <si>
    <t xml:space="preserve"> 57.1259 </t>
  </si>
  <si>
    <t xml:space="preserve">C:\Users\andre\Desktop\REACTIV CEFAS\E2\E2/20201118_Cefas_Test6-Run3/Plate 4/@12/C6_03.tif </t>
  </si>
  <si>
    <t xml:space="preserve"> 93592.5541 </t>
  </si>
  <si>
    <t xml:space="preserve"> 61.3795 </t>
  </si>
  <si>
    <t>C:\Users\andre\Desktop\REACTIV CEFAS\E2\E2/20201118_Cefas_Test6-Run3/Plate 4/@12/D6_01- exclu.tif</t>
  </si>
  <si>
    <t>C:\Users\andre\Desktop\REACTIV CEFAS\E2\E2/20201118_Cefas_Test6-Run3/Plate 4/@12/D6_02- exclu.tif</t>
  </si>
  <si>
    <t>C:\Users\andre\Desktop\REACTIV CEFAS\E2\E2/20201118_Cefas_Test6-Run3/Plate 4/@12/D6_03- exclu.tif</t>
  </si>
  <si>
    <t xml:space="preserve">C:\Users\andre\Desktop\REACTIV CEFAS\E2\E2/20201118_Cefas_Test6-Run3/Plate 4/@12/E6_01.tif </t>
  </si>
  <si>
    <t xml:space="preserve"> 92619.2088 </t>
  </si>
  <si>
    <t xml:space="preserve"> 56.6268 </t>
  </si>
  <si>
    <t xml:space="preserve">C:\Users\andre\Desktop\REACTIV CEFAS\E2\E2/20201118_Cefas_Test6-Run3/Plate 4/@12/E6_02.tif </t>
  </si>
  <si>
    <t xml:space="preserve"> 84789.1869 </t>
  </si>
  <si>
    <t xml:space="preserve"> 53.0337 </t>
  </si>
  <si>
    <t xml:space="preserve">C:\Users\andre\Desktop\REACTIV CEFAS\E2\E2/20201118_Cefas_Test6-Run3/Plate 4/@12/E6_03.tif </t>
  </si>
  <si>
    <t xml:space="preserve"> 86908.9166 </t>
  </si>
  <si>
    <t xml:space="preserve"> 53.8121 </t>
  </si>
  <si>
    <t xml:space="preserve">C:\Users\andre\Desktop\REACTIV CEFAS\E2\E2/20201118_Cefas_Test6-Run3/Plate 4/@12/F6_01.tif </t>
  </si>
  <si>
    <t xml:space="preserve"> 88033.6711 </t>
  </si>
  <si>
    <t xml:space="preserve"> 56.5722 </t>
  </si>
  <si>
    <t xml:space="preserve">C:\Users\andre\Desktop\REACTIV CEFAS\E2\E2/20201118_Cefas_Test6-Run3/Plate 4/@12/F6_02.tif </t>
  </si>
  <si>
    <t xml:space="preserve"> 81761.0017 </t>
  </si>
  <si>
    <t xml:space="preserve"> 53.5754 </t>
  </si>
  <si>
    <t xml:space="preserve">C:\Users\andre\Desktop\REACTIV CEFAS\E2\E2/20201118_Cefas_Test6-Run3/Plate 4/@12/F6_03.tif </t>
  </si>
  <si>
    <t xml:space="preserve"> 85005.4859 </t>
  </si>
  <si>
    <t xml:space="preserve"> 55.5501 </t>
  </si>
  <si>
    <t xml:space="preserve">C:\Users\andre\Desktop\REACTIV CEFAS\E2\E2/20201118_Cefas_Test6-Run3/Plate 4/@12/G6_01.tif </t>
  </si>
  <si>
    <t xml:space="preserve"> 65430.4313 </t>
  </si>
  <si>
    <t xml:space="preserve"> 59.1134 </t>
  </si>
  <si>
    <t xml:space="preserve">C:\Users\andre\Desktop\REACTIV CEFAS\E2\E2/20201118_Cefas_Test6-Run3/Plate 4/@12/G6_02.tif </t>
  </si>
  <si>
    <t xml:space="preserve"> 54.06 </t>
  </si>
  <si>
    <t xml:space="preserve">C:\Users\andre\Desktop\REACTIV CEFAS\E2\E2/20201118_Cefas_Test6-Run3/Plate 4/@12/G6_03.tif </t>
  </si>
  <si>
    <t xml:space="preserve"> 62012.9079 </t>
  </si>
  <si>
    <t xml:space="preserve"> 57.7084 </t>
  </si>
  <si>
    <t xml:space="preserve">C:\Users\andre\Desktop\REACTIV CEFAS\E2\E2/20201118_Cefas_Test6-Run3/Plate 4/@12/H6_01.tif </t>
  </si>
  <si>
    <t xml:space="preserve"> 110615.281 </t>
  </si>
  <si>
    <t xml:space="preserve"> 55.8004 </t>
  </si>
  <si>
    <t xml:space="preserve">C:\Users\andre\Desktop\REACTIV CEFAS\E2\E2/20201118_Cefas_Test6-Run3/Plate 4/@12/H6_02.tif </t>
  </si>
  <si>
    <t xml:space="preserve"> 94803.8282 </t>
  </si>
  <si>
    <t xml:space="preserve"> 57.4221 </t>
  </si>
  <si>
    <t xml:space="preserve">C:\Users\andre\Desktop\REACTIV CEFAS\E2\E2/20201118_Cefas_Test6-Run3/Plate 4/@12/H6_03.tif </t>
  </si>
  <si>
    <t xml:space="preserve"> 94090.0416 </t>
  </si>
  <si>
    <t xml:space="preserve"> 58.4002 </t>
  </si>
  <si>
    <t xml:space="preserve">C:\Users\andre\Desktop\REACTIV CEFAS\E2\E2/20201118_Cefas_Test6-Run3/Plate 4/@12/ </t>
  </si>
  <si>
    <t xml:space="preserve"> 56.6472 </t>
  </si>
  <si>
    <t xml:space="preserve"> 2.9733 </t>
  </si>
  <si>
    <t xml:space="preserve"> 4856157.42 </t>
  </si>
  <si>
    <t xml:space="preserve"> 1028679.24 </t>
  </si>
  <si>
    <t xml:space="preserve">C:\Users\andre\Desktop\REACTIV CEFAS\E2\E2/20201118_Cefas_Test6-Run3/Plate 4/@17/A8_01.tif </t>
  </si>
  <si>
    <t xml:space="preserve"> 37073.6394 </t>
  </si>
  <si>
    <t xml:space="preserve"> 33.2275 </t>
  </si>
  <si>
    <t xml:space="preserve">C:\Users\andre\Desktop\REACTIV CEFAS\E2\E2/20201118_Cefas_Test6-Run3/Plate 4/@17/A8_02.tif </t>
  </si>
  <si>
    <t xml:space="preserve"> 32985.5893 </t>
  </si>
  <si>
    <t xml:space="preserve"> 33.4951 </t>
  </si>
  <si>
    <t xml:space="preserve">C:\Users\andre\Desktop\REACTIV CEFAS\E2\E2/20201118_Cefas_Test6-Run3/Plate 4/@17/A8_03.tif </t>
  </si>
  <si>
    <t xml:space="preserve"> 35408.1375 </t>
  </si>
  <si>
    <t xml:space="preserve"> 33.1185 </t>
  </si>
  <si>
    <t xml:space="preserve">C:\Users\andre\Desktop\REACTIV CEFAS\E2\E2/20201118_Cefas_Test6-Run3/Plate 4/@17/B8_01.tif </t>
  </si>
  <si>
    <t xml:space="preserve"> 47650.6579 </t>
  </si>
  <si>
    <t xml:space="preserve"> 38.9696 </t>
  </si>
  <si>
    <t xml:space="preserve">C:\Users\andre\Desktop\REACTIV CEFAS\E2\E2/20201118_Cefas_Test6-Run3/Plate 4/@17/B8_02.tif </t>
  </si>
  <si>
    <t xml:space="preserve"> 42329.7038 </t>
  </si>
  <si>
    <t xml:space="preserve"> 36.7149 </t>
  </si>
  <si>
    <t xml:space="preserve">C:\Users\andre\Desktop\REACTIV CEFAS\E2\E2/20201118_Cefas_Test6-Run3/Plate 4/@17/B8_03.tif </t>
  </si>
  <si>
    <t xml:space="preserve"> 51911.7471 </t>
  </si>
  <si>
    <t xml:space="preserve"> 38.8329 </t>
  </si>
  <si>
    <t xml:space="preserve">C:\Users\andre\Desktop\REACTIV CEFAS\E2\E2/20201118_Cefas_Test6-Run3/Plate 4/@17/C8_01.tif </t>
  </si>
  <si>
    <t xml:space="preserve"> 40556.0524 </t>
  </si>
  <si>
    <t xml:space="preserve"> 34.7851 </t>
  </si>
  <si>
    <t xml:space="preserve">C:\Users\andre\Desktop\REACTIV CEFAS\E2\E2/20201118_Cefas_Test6-Run3/Plate 4/@17/C8_02.tif </t>
  </si>
  <si>
    <t xml:space="preserve"> 34780.8706 </t>
  </si>
  <si>
    <t xml:space="preserve"> 33.9409 </t>
  </si>
  <si>
    <t xml:space="preserve">C:\Users\andre\Desktop\REACTIV CEFAS\E2\E2/20201118_Cefas_Test6-Run3/Plate 4/@17/C8_03.tif </t>
  </si>
  <si>
    <t xml:space="preserve"> 29092.2083 </t>
  </si>
  <si>
    <t xml:space="preserve"> 33.768 </t>
  </si>
  <si>
    <t xml:space="preserve">C:\Users\andre\Desktop\REACTIV CEFAS\E2\E2/20201118_Cefas_Test6-Run3/Plate 4/@17/D8_01.tif </t>
  </si>
  <si>
    <t xml:space="preserve"> 56367.5054 </t>
  </si>
  <si>
    <t xml:space="preserve"> 42.6289 </t>
  </si>
  <si>
    <t xml:space="preserve">C:\Users\andre\Desktop\REACTIV CEFAS\E2\E2/20201118_Cefas_Test6-Run3/Plate 4/@17/D8_02.tif </t>
  </si>
  <si>
    <t xml:space="preserve"> 41.6414 </t>
  </si>
  <si>
    <t xml:space="preserve">C:\Users\andre\Desktop\REACTIV CEFAS\E2\E2/20201118_Cefas_Test6-Run3/Plate 4/@17/D8_03.tif </t>
  </si>
  <si>
    <t xml:space="preserve"> 46720.5724 </t>
  </si>
  <si>
    <t xml:space="preserve"> 41.5662 </t>
  </si>
  <si>
    <t xml:space="preserve">C:\Users\andre\Desktop\REACTIV CEFAS\E2\E2/20201118_Cefas_Test6-Run3/Plate 4/@17/E8_01.tif </t>
  </si>
  <si>
    <t xml:space="preserve"> 59698.5092 </t>
  </si>
  <si>
    <t xml:space="preserve"> 40.083 </t>
  </si>
  <si>
    <t xml:space="preserve">C:\Users\andre\Desktop\REACTIV CEFAS\E2\E2/20201118_Cefas_Test6-Run3/Plate 4/@17/E8_02.tif </t>
  </si>
  <si>
    <t xml:space="preserve"> 41.0627 </t>
  </si>
  <si>
    <t xml:space="preserve">C:\Users\andre\Desktop\REACTIV CEFAS\E2\E2/20201118_Cefas_Test6-Run3/Plate 4/@17/E8_03.tif </t>
  </si>
  <si>
    <t xml:space="preserve"> 57643.6692 </t>
  </si>
  <si>
    <t xml:space="preserve"> 40.839 </t>
  </si>
  <si>
    <t>C:\Users\andre\Desktop\REACTIV CEFAS\E2\E2/20201118_Cefas_Test6-Run3/Plate 4/@17/F8_01- exclu.tif</t>
  </si>
  <si>
    <t>C:\Users\andre\Desktop\REACTIV CEFAS\E2\E2/20201118_Cefas_Test6-Run3/Plate 4/@17/F8_02- exclu.tif</t>
  </si>
  <si>
    <t>C:\Users\andre\Desktop\REACTIV CEFAS\E2\E2/20201118_Cefas_Test6-Run3/Plate 4/@17/F8_03- exclu.tif</t>
  </si>
  <si>
    <t xml:space="preserve">C:\Users\andre\Desktop\REACTIV CEFAS\E2\E2/20201118_Cefas_Test6-Run3/Plate 4/@17/G8_01.tif </t>
  </si>
  <si>
    <t xml:space="preserve"> 37.6798 </t>
  </si>
  <si>
    <t xml:space="preserve">C:\Users\andre\Desktop\REACTIV CEFAS\E2\E2/20201118_Cefas_Test6-Run3/Plate 4/@17/G8_02.tif </t>
  </si>
  <si>
    <t xml:space="preserve"> 36705.9312 </t>
  </si>
  <si>
    <t xml:space="preserve"> 35.4873 </t>
  </si>
  <si>
    <t xml:space="preserve">C:\Users\andre\Desktop\REACTIV CEFAS\E2\E2/20201118_Cefas_Test6-Run3/Plate 4/@17/G8_03.tif </t>
  </si>
  <si>
    <t xml:space="preserve"> 39.1252 </t>
  </si>
  <si>
    <t xml:space="preserve">C:\Users\andre\Desktop\REACTIV CEFAS\E2\E2/20201118_Cefas_Test6-Run3/Plate 4/@17/H8_01.tif </t>
  </si>
  <si>
    <t xml:space="preserve"> 71811.2502 </t>
  </si>
  <si>
    <t xml:space="preserve"> 38.816 </t>
  </si>
  <si>
    <t xml:space="preserve">C:\Users\andre\Desktop\REACTIV CEFAS\E2\E2/20201118_Cefas_Test6-Run3/Plate 4/@17/H8_02.tif </t>
  </si>
  <si>
    <t xml:space="preserve"> 39.2544 </t>
  </si>
  <si>
    <t xml:space="preserve">C:\Users\andre\Desktop\REACTIV CEFAS\E2\E2/20201118_Cefas_Test6-Run3/Plate 4/@17/H8_03.tif </t>
  </si>
  <si>
    <t xml:space="preserve"> 73217.1933 </t>
  </si>
  <si>
    <t xml:space="preserve"> 45.0845 </t>
  </si>
  <si>
    <t xml:space="preserve">C:\Users\andre\Desktop\REACTIV CEFAS\E2\E2/20201118_Cefas_Test6-Run3/Plate 4/@17/ </t>
  </si>
  <si>
    <t xml:space="preserve"> 38.1664 </t>
  </si>
  <si>
    <t xml:space="preserve"> 3.2721 </t>
  </si>
  <si>
    <t xml:space="preserve"> 1816432.71 </t>
  </si>
  <si>
    <t xml:space="preserve"> 672593.726 </t>
  </si>
  <si>
    <t xml:space="preserve">C:\Users\andre\Desktop\REACTIV CEFAS\E2\E2/20201118_Cefas_Test6-Run3/Plate 4/@18/A9_01.tif </t>
  </si>
  <si>
    <t xml:space="preserve"> 44.9383 </t>
  </si>
  <si>
    <t xml:space="preserve">C:\Users\andre\Desktop\REACTIV CEFAS\E2\E2/20201118_Cefas_Test6-Run3/Plate 4/@18/A9_02.tif </t>
  </si>
  <si>
    <t xml:space="preserve"> 75012.4746 </t>
  </si>
  <si>
    <t xml:space="preserve"> 47.7191 </t>
  </si>
  <si>
    <t xml:space="preserve">C:\Users\andre\Desktop\REACTIV CEFAS\E2\E2/20201118_Cefas_Test6-Run3/Plate 4/@18/A9_03.tif </t>
  </si>
  <si>
    <t xml:space="preserve"> 73498.3819 </t>
  </si>
  <si>
    <t xml:space="preserve"> 45.5433 </t>
  </si>
  <si>
    <t xml:space="preserve">C:\Users\andre\Desktop\REACTIV CEFAS\E2\E2/20201118_Cefas_Test6-Run3/Plate 4/@18/B9_01.tif </t>
  </si>
  <si>
    <t xml:space="preserve"> 71443.542 </t>
  </si>
  <si>
    <t xml:space="preserve"> 50.3887 </t>
  </si>
  <si>
    <t xml:space="preserve">C:\Users\andre\Desktop\REACTIV CEFAS\E2\E2/20201118_Cefas_Test6-Run3/Plate 4/@18/B9_02.tif </t>
  </si>
  <si>
    <t xml:space="preserve"> 74406.8375 </t>
  </si>
  <si>
    <t xml:space="preserve"> 54.7587 </t>
  </si>
  <si>
    <t xml:space="preserve">C:\Users\andre\Desktop\REACTIV CEFAS\E2\E2/20201118_Cefas_Test6-Run3/Plate 4/@18/B9_03.tif </t>
  </si>
  <si>
    <t xml:space="preserve"> 78538.1474 </t>
  </si>
  <si>
    <t xml:space="preserve"> 54.6191 </t>
  </si>
  <si>
    <t xml:space="preserve">C:\Users\andre\Desktop\REACTIV CEFAS\E2\E2/20201118_Cefas_Test6-Run3/Plate 4/@18/C9_01.tif </t>
  </si>
  <si>
    <t xml:space="preserve"> 42.3432 </t>
  </si>
  <si>
    <t xml:space="preserve">C:\Users\andre\Desktop\REACTIV CEFAS\E2\E2/20201118_Cefas_Test6-Run3/Plate 4/@18/C9_02.tif </t>
  </si>
  <si>
    <t xml:space="preserve"> 57859.9681 </t>
  </si>
  <si>
    <t xml:space="preserve"> 42.8101 </t>
  </si>
  <si>
    <t xml:space="preserve">C:\Users\andre\Desktop\REACTIV CEFAS\E2\E2/20201118_Cefas_Test6-Run3/Plate 4/@18/C9_03.tif </t>
  </si>
  <si>
    <t xml:space="preserve"> 60239.2565 </t>
  </si>
  <si>
    <t xml:space="preserve"> 45.3476 </t>
  </si>
  <si>
    <t xml:space="preserve">C:\Users\andre\Desktop\REACTIV CEFAS\E2\E2/20201118_Cefas_Test6-Run3/Plate 4/@18/D9_01.tif </t>
  </si>
  <si>
    <t xml:space="preserve"> 31363.3472 </t>
  </si>
  <si>
    <t xml:space="preserve"> 41.0717 </t>
  </si>
  <si>
    <t xml:space="preserve">C:\Users\andre\Desktop\REACTIV CEFAS\E2\E2/20201118_Cefas_Test6-Run3/Plate 4/@18/D9_02.tif </t>
  </si>
  <si>
    <t xml:space="preserve"> 31536.3864 </t>
  </si>
  <si>
    <t xml:space="preserve"> 40.0898 </t>
  </si>
  <si>
    <t xml:space="preserve">C:\Users\andre\Desktop\REACTIV CEFAS\E2\E2/20201118_Cefas_Test6-Run3/Plate 4/@18/D9_03.tif </t>
  </si>
  <si>
    <t xml:space="preserve"> 38436.3228 </t>
  </si>
  <si>
    <t xml:space="preserve"> 44.3894 </t>
  </si>
  <si>
    <t xml:space="preserve">C:\Users\andre\Desktop\REACTIV CEFAS\E2\E2/20201118_Cefas_Test6-Run3/Plate 4/@18/E9_01.tif </t>
  </si>
  <si>
    <t xml:space="preserve"> 51457.5193 </t>
  </si>
  <si>
    <t xml:space="preserve"> 46.9681 </t>
  </si>
  <si>
    <t xml:space="preserve">C:\Users\andre\Desktop\REACTIV CEFAS\E2\E2/20201118_Cefas_Test6-Run3/Plate 4/@18/E9_02.tif </t>
  </si>
  <si>
    <t xml:space="preserve"> 54377.5551 </t>
  </si>
  <si>
    <t xml:space="preserve"> 45.9443 </t>
  </si>
  <si>
    <t xml:space="preserve">C:\Users\andre\Desktop\REACTIV CEFAS\E2\E2/20201118_Cefas_Test6-Run3/Plate 4/@18/E9_03.tif </t>
  </si>
  <si>
    <t xml:space="preserve"> 53642.1387 </t>
  </si>
  <si>
    <t xml:space="preserve"> 48.4641 </t>
  </si>
  <si>
    <t xml:space="preserve">C:\Users\andre\Desktop\REACTIV CEFAS\E2\E2/20201118_Cefas_Test6-Run3/Plate 4/@18/F9_01.tif </t>
  </si>
  <si>
    <t xml:space="preserve"> 59849.9184 </t>
  </si>
  <si>
    <t xml:space="preserve"> 39.8139 </t>
  </si>
  <si>
    <t xml:space="preserve">C:\Users\andre\Desktop\REACTIV CEFAS\E2\E2/20201118_Cefas_Test6-Run3/Plate 4/@18/F9_02.tif </t>
  </si>
  <si>
    <t xml:space="preserve"> 52885.0924 </t>
  </si>
  <si>
    <t xml:space="preserve"> 39.816 </t>
  </si>
  <si>
    <t xml:space="preserve">C:\Users\andre\Desktop\REACTIV CEFAS\E2\E2/20201118_Cefas_Test6-Run3/Plate 4/@18/F9_03.tif </t>
  </si>
  <si>
    <t xml:space="preserve"> 49597.3484 </t>
  </si>
  <si>
    <t xml:space="preserve"> 42.3846 </t>
  </si>
  <si>
    <t xml:space="preserve">C:\Users\andre\Desktop\REACTIV CEFAS\E2\E2/20201118_Cefas_Test6-Run3/Plate 4/@18/G9_01.tif </t>
  </si>
  <si>
    <t xml:space="preserve"> 86324.9095 </t>
  </si>
  <si>
    <t xml:space="preserve"> 45.6054 </t>
  </si>
  <si>
    <t xml:space="preserve">C:\Users\andre\Desktop\REACTIV CEFAS\E2\E2/20201118_Cefas_Test6-Run3/Plate 4/@18/G9_02.tif </t>
  </si>
  <si>
    <t xml:space="preserve"> 85113.6354 </t>
  </si>
  <si>
    <t xml:space="preserve"> 45.722 </t>
  </si>
  <si>
    <t xml:space="preserve">C:\Users\andre\Desktop\REACTIV CEFAS\E2\E2/20201118_Cefas_Test6-Run3/Plate 4/@18/G9_03.tif </t>
  </si>
  <si>
    <t xml:space="preserve"> 87190.1052 </t>
  </si>
  <si>
    <t xml:space="preserve"> 46.6383 </t>
  </si>
  <si>
    <t xml:space="preserve">C:\Users\andre\Desktop\REACTIV CEFAS\E2\E2/20201118_Cefas_Test6-Run3/Plate 4/@18/H9_01.tif </t>
  </si>
  <si>
    <t xml:space="preserve"> 45.9411 </t>
  </si>
  <si>
    <t xml:space="preserve">C:\Users\andre\Desktop\REACTIV CEFAS\E2\E2/20201118_Cefas_Test6-Run3/Plate 4/@18/H9_02.tif </t>
  </si>
  <si>
    <t xml:space="preserve"> 69648.2607 </t>
  </si>
  <si>
    <t xml:space="preserve"> 46.9739 </t>
  </si>
  <si>
    <t xml:space="preserve">C:\Users\andre\Desktop\REACTIV CEFAS\E2\E2/20201118_Cefas_Test6-Run3/Plate 4/@18/H9_03.tif </t>
  </si>
  <si>
    <t xml:space="preserve"> 66555.1858 </t>
  </si>
  <si>
    <t xml:space="preserve"> 45.0504 </t>
  </si>
  <si>
    <t xml:space="preserve">C:\Users\andre\Desktop\REACTIV CEFAS\E2\E2/20201118_Cefas_Test6-Run3/Plate 4/@18/ </t>
  </si>
  <si>
    <t xml:space="preserve"> 45.5559 </t>
  </si>
  <si>
    <t xml:space="preserve"> 3.927 </t>
  </si>
  <si>
    <t xml:space="preserve"> 2905850.17 </t>
  </si>
  <si>
    <t xml:space="preserve"> 866525.072 </t>
  </si>
  <si>
    <t xml:space="preserve">C:\Users\andre\Desktop\REACTIV CEFAS\E2\E2/20201118_Cefas_Test6-Run3/Plate 4/@19/A10_01.tif </t>
  </si>
  <si>
    <t xml:space="preserve"> 88682.568 </t>
  </si>
  <si>
    <t xml:space="preserve"> 48.4415 </t>
  </si>
  <si>
    <t xml:space="preserve">C:\Users\andre\Desktop\REACTIV CEFAS\E2\E2/20201118_Cefas_Test6-Run3/Plate 4/@19/A10_02.tif </t>
  </si>
  <si>
    <t xml:space="preserve"> 89028.6463 </t>
  </si>
  <si>
    <t xml:space="preserve"> 47.2505 </t>
  </si>
  <si>
    <t xml:space="preserve">C:\Users\andre\Desktop\REACTIV CEFAS\E2\E2/20201118_Cefas_Test6-Run3/Plate 4/@19/A10_03.tif </t>
  </si>
  <si>
    <t xml:space="preserve"> 82864.1263 </t>
  </si>
  <si>
    <t xml:space="preserve"> 44.7486 </t>
  </si>
  <si>
    <t xml:space="preserve">C:\Users\andre\Desktop\REACTIV CEFAS\E2\E2/20201118_Cefas_Test6-Run3/Plate 4/@19/B10_01.tif </t>
  </si>
  <si>
    <t xml:space="preserve"> 47.598 </t>
  </si>
  <si>
    <t xml:space="preserve">C:\Users\andre\Desktop\REACTIV CEFAS\E2\E2/20201118_Cefas_Test6-Run3/Plate 4/@19/B10_02.tif </t>
  </si>
  <si>
    <t xml:space="preserve"> 47.3684 </t>
  </si>
  <si>
    <t xml:space="preserve">C:\Users\andre\Desktop\REACTIV CEFAS\E2\E2/20201118_Cefas_Test6-Run3/Plate 4/@19/B10_03.tif </t>
  </si>
  <si>
    <t xml:space="preserve"> 61082.8224 </t>
  </si>
  <si>
    <t xml:space="preserve"> 47.3017 </t>
  </si>
  <si>
    <t xml:space="preserve">C:\Users\andre\Desktop\REACTIV CEFAS\E2\E2/20201118_Cefas_Test6-Run3/Plate 4/@19/C10_01.tif </t>
  </si>
  <si>
    <t xml:space="preserve"> 28140.4929 </t>
  </si>
  <si>
    <t xml:space="preserve"> 39.5488 </t>
  </si>
  <si>
    <t xml:space="preserve">C:\Users\andre\Desktop\REACTIV CEFAS\E2\E2/20201118_Cefas_Test6-Run3/Plate 4/@19/C10_02.tif </t>
  </si>
  <si>
    <t xml:space="preserve"> 36100.2941 </t>
  </si>
  <si>
    <t xml:space="preserve"> 43.2007 </t>
  </si>
  <si>
    <t xml:space="preserve">C:\Users\andre\Desktop\REACTIV CEFAS\E2\E2/20201118_Cefas_Test6-Run3/Plate 4/@19/C10_03.tif </t>
  </si>
  <si>
    <t xml:space="preserve"> 34542.9417 </t>
  </si>
  <si>
    <t xml:space="preserve"> 39.3106 </t>
  </si>
  <si>
    <t xml:space="preserve">C:\Users\andre\Desktop\REACTIV CEFAS\E2\E2/20201118_Cefas_Test6-Run3/Plate 4/@19/D10_01.tif </t>
  </si>
  <si>
    <t xml:space="preserve"> 49.298 </t>
  </si>
  <si>
    <t>C:\Users\andre\Desktop\REACTIV CEFAS\E2\E2/20201118_Cefas_Test6-Run3/Plate 4/@19/D10_02- exclu.tif</t>
  </si>
  <si>
    <t>C:\Users\andre\Desktop\REACTIV CEFAS\E2\E2/20201118_Cefas_Test6-Run3/Plate 4/@19/D10_03- exclu.tif</t>
  </si>
  <si>
    <t xml:space="preserve">C:\Users\andre\Desktop\REACTIV CEFAS\E2\E2/20201118_Cefas_Test6-Run3/Plate 4/@19/E10_01.tif </t>
  </si>
  <si>
    <t xml:space="preserve"> 79014.0051 </t>
  </si>
  <si>
    <t xml:space="preserve"> 50.7408 </t>
  </si>
  <si>
    <t xml:space="preserve">C:\Users\andre\Desktop\REACTIV CEFAS\E2\E2/20201118_Cefas_Test6-Run3/Plate 4/@19/E10_02.tif </t>
  </si>
  <si>
    <t xml:space="preserve"> 82171.9697 </t>
  </si>
  <si>
    <t xml:space="preserve"> 54.1374 </t>
  </si>
  <si>
    <t xml:space="preserve">C:\Users\andre\Desktop\REACTIV CEFAS\E2\E2/20201118_Cefas_Test6-Run3/Plate 4/@19/E10_03.tif </t>
  </si>
  <si>
    <t xml:space="preserve"> 51.0915 </t>
  </si>
  <si>
    <t>C:\Users\andre\Desktop\REACTIV CEFAS\E2\E2/20201118_Cefas_Test6-Run3/Plate 4/@19/F10_01- exclu.tif</t>
  </si>
  <si>
    <t xml:space="preserve">C:\Users\andre\Desktop\REACTIV CEFAS\E2\E2/20201118_Cefas_Test6-Run3/Plate 4/@19/F10_02.tif </t>
  </si>
  <si>
    <t xml:space="preserve"> 79187.0442 </t>
  </si>
  <si>
    <t xml:space="preserve"> 50.2475 </t>
  </si>
  <si>
    <t xml:space="preserve">C:\Users\andre\Desktop\REACTIV CEFAS\E2\E2/20201118_Cefas_Test6-Run3/Plate 4/@19/F10_03.tif </t>
  </si>
  <si>
    <t xml:space="preserve"> 70297.1575 </t>
  </si>
  <si>
    <t xml:space="preserve"> 58.0351 </t>
  </si>
  <si>
    <t xml:space="preserve">C:\Users\andre\Desktop\REACTIV CEFAS\E2\E2/20201118_Cefas_Test6-Run3/Plate 4/@19/G10_01.tif </t>
  </si>
  <si>
    <t xml:space="preserve"> 28313.5321 </t>
  </si>
  <si>
    <t xml:space="preserve"> 34.9664 </t>
  </si>
  <si>
    <t xml:space="preserve">C:\Users\andre\Desktop\REACTIV CEFAS\E2\E2/20201118_Cefas_Test6-Run3/Plate 4/@19/G10_02.tif </t>
  </si>
  <si>
    <t xml:space="preserve"> 38284.9135 </t>
  </si>
  <si>
    <t xml:space="preserve"> 37.7017 </t>
  </si>
  <si>
    <t xml:space="preserve">C:\Users\andre\Desktop\REACTIV CEFAS\E2\E2/20201118_Cefas_Test6-Run3/Plate 4/@19/G10_03.tif </t>
  </si>
  <si>
    <t xml:space="preserve"> 32617.8811 </t>
  </si>
  <si>
    <t xml:space="preserve"> 35.9562 </t>
  </si>
  <si>
    <t xml:space="preserve">C:\Users\andre\Desktop\REACTIV CEFAS\E2\E2/20201118_Cefas_Test6-Run3/Plate 4/@19/H10_01.tif </t>
  </si>
  <si>
    <t xml:space="preserve"> 75207.1436 </t>
  </si>
  <si>
    <t xml:space="preserve"> 48.4783 </t>
  </si>
  <si>
    <t xml:space="preserve">C:\Users\andre\Desktop\REACTIV CEFAS\E2\E2/20201118_Cefas_Test6-Run3/Plate 4/@19/H10_02.tif </t>
  </si>
  <si>
    <t xml:space="preserve"> 69064.2535 </t>
  </si>
  <si>
    <t xml:space="preserve"> 50.1625 </t>
  </si>
  <si>
    <t xml:space="preserve">C:\Users\andre\Desktop\REACTIV CEFAS\E2\E2/20201118_Cefas_Test6-Run3/Plate 4/@19/H10_03.tif </t>
  </si>
  <si>
    <t xml:space="preserve"> 80225.2792 </t>
  </si>
  <si>
    <t xml:space="preserve"> 48.7646 </t>
  </si>
  <si>
    <t xml:space="preserve">C:\Users\andre\Desktop\REACTIV CEFAS\E2\E2/20201118_Cefas_Test6-Run3/Plate 4/@19/ </t>
  </si>
  <si>
    <t xml:space="preserve"> 47.1811 </t>
  </si>
  <si>
    <t xml:space="preserve"> 6.0396 </t>
  </si>
  <si>
    <t xml:space="preserve"> 2972673.92 </t>
  </si>
  <si>
    <t xml:space="preserve"> 1175581.31 </t>
  </si>
  <si>
    <t xml:space="preserve">C:\Users\andre\Desktop\REACTIV CEFAS\E2\E2/20201118_Cefas_Test6-Run3/Plate 4/@20/A11_01.tif </t>
  </si>
  <si>
    <t xml:space="preserve"> 57665.2991 </t>
  </si>
  <si>
    <t xml:space="preserve"> 56.0371 </t>
  </si>
  <si>
    <t xml:space="preserve">C:\Users\andre\Desktop\REACTIV CEFAS\E2\E2/20201118_Cefas_Test6-Run3/Plate 4/@20/A11_02.tif </t>
  </si>
  <si>
    <t xml:space="preserve"> 61493.7904 </t>
  </si>
  <si>
    <t xml:space="preserve"> 56.4763 </t>
  </si>
  <si>
    <t xml:space="preserve">C:\Users\andre\Desktop\REACTIV CEFAS\E2\E2/20201118_Cefas_Test6-Run3/Plate 4/@20/A11_03.tif </t>
  </si>
  <si>
    <t xml:space="preserve"> 51.4814 </t>
  </si>
  <si>
    <t xml:space="preserve">C:\Users\andre\Desktop\REACTIV CEFAS\E2\E2/20201118_Cefas_Test6-Run3/Plate 4/@20/B11_01.tif </t>
  </si>
  <si>
    <t xml:space="preserve"> 56735.2136 </t>
  </si>
  <si>
    <t xml:space="preserve"> 51.8437 </t>
  </si>
  <si>
    <t xml:space="preserve">C:\Users\andre\Desktop\REACTIV CEFAS\E2\E2/20201118_Cefas_Test6-Run3/Plate 4/@20/B11_02.tif </t>
  </si>
  <si>
    <t xml:space="preserve"> 62834.8439 </t>
  </si>
  <si>
    <t xml:space="preserve"> 50.116 </t>
  </si>
  <si>
    <t xml:space="preserve">C:\Users\andre\Desktop\REACTIV CEFAS\E2\E2/20201118_Cefas_Test6-Run3/Plate 4/@20/B11_03.tif </t>
  </si>
  <si>
    <t xml:space="preserve"> 56973.1425 </t>
  </si>
  <si>
    <t xml:space="preserve"> 55.1382 </t>
  </si>
  <si>
    <t xml:space="preserve">C:\Users\andre\Desktop\REACTIV CEFAS\E2\E2/20201118_Cefas_Test6-Run3/Plate 4/@20/C11_01.tif </t>
  </si>
  <si>
    <t xml:space="preserve"> 53.6081 </t>
  </si>
  <si>
    <t xml:space="preserve">C:\Users\andre\Desktop\REACTIV CEFAS\E2\E2/20201118_Cefas_Test6-Run3/Plate 4/@20/C11_02.tif </t>
  </si>
  <si>
    <t xml:space="preserve"> 82647.8274 </t>
  </si>
  <si>
    <t xml:space="preserve"> 51.0775 </t>
  </si>
  <si>
    <t xml:space="preserve">C:\Users\andre\Desktop\REACTIV CEFAS\E2\E2/20201118_Cefas_Test6-Run3/Plate 4/@20/C11_03.tif </t>
  </si>
  <si>
    <t xml:space="preserve"> 84897.3364 </t>
  </si>
  <si>
    <t xml:space="preserve"> 51.4132 </t>
  </si>
  <si>
    <t xml:space="preserve">C:\Users\andre\Desktop\REACTIV CEFAS\E2\E2/20201118_Cefas_Test6-Run3/Plate 4/@20/D11_01.tif </t>
  </si>
  <si>
    <t xml:space="preserve"> 45.3741 </t>
  </si>
  <si>
    <t xml:space="preserve">C:\Users\andre\Desktop\REACTIV CEFAS\E2\E2/20201118_Cefas_Test6-Run3/Plate 4/@20/D11_02.tif </t>
  </si>
  <si>
    <t xml:space="preserve"> 61299.1214 </t>
  </si>
  <si>
    <t xml:space="preserve"> 45.0907 </t>
  </si>
  <si>
    <t xml:space="preserve">C:\Users\andre\Desktop\REACTIV CEFAS\E2\E2/20201118_Cefas_Test6-Run3/Plate 4/@20/D11_03.tif </t>
  </si>
  <si>
    <t xml:space="preserve"> 51.0394 </t>
  </si>
  <si>
    <t xml:space="preserve">C:\Users\andre\Desktop\REACTIV CEFAS\E2\E2/20201118_Cefas_Test6-Run3/Plate 4/@20/E11_01.tif </t>
  </si>
  <si>
    <t xml:space="preserve"> 81479.8131 </t>
  </si>
  <si>
    <t xml:space="preserve"> 52.2158 </t>
  </si>
  <si>
    <t xml:space="preserve">C:\Users\andre\Desktop\REACTIV CEFAS\E2\E2/20201118_Cefas_Test6-Run3/Plate 4/@20/E11_02.tif </t>
  </si>
  <si>
    <t xml:space="preserve"> 51.8193 </t>
  </si>
  <si>
    <t xml:space="preserve">C:\Users\andre\Desktop\REACTIV CEFAS\E2\E2/20201118_Cefas_Test6-Run3/Plate 4/@20/E11_03.tif </t>
  </si>
  <si>
    <t xml:space="preserve"> 81587.9625 </t>
  </si>
  <si>
    <t xml:space="preserve"> 49.267 </t>
  </si>
  <si>
    <t xml:space="preserve">C:\Users\andre\Desktop\REACTIV CEFAS\E2\E2/20201118_Cefas_Test6-Run3/Plate 4/@20/F11_01.tif </t>
  </si>
  <si>
    <t xml:space="preserve"> 34326.6428 </t>
  </si>
  <si>
    <t xml:space="preserve"> 36.9282 </t>
  </si>
  <si>
    <t xml:space="preserve">C:\Users\andre\Desktop\REACTIV CEFAS\E2\E2/20201118_Cefas_Test6-Run3/Plate 4/@20/F11_02.tif </t>
  </si>
  <si>
    <t xml:space="preserve"> 37.4282 </t>
  </si>
  <si>
    <t xml:space="preserve">C:\Users\andre\Desktop\REACTIV CEFAS\E2\E2/20201118_Cefas_Test6-Run3/Plate 4/@20/F11_03.tif </t>
  </si>
  <si>
    <t xml:space="preserve"> 35819.1055 </t>
  </si>
  <si>
    <t xml:space="preserve"> 37.1377 </t>
  </si>
  <si>
    <t xml:space="preserve">C:\Users\andre\Desktop\REACTIV CEFAS\E2\E2/20201118_Cefas_Test6-Run3/Plate 4/@20/G11_01.tif </t>
  </si>
  <si>
    <t xml:space="preserve"> 84053.7705 </t>
  </si>
  <si>
    <t xml:space="preserve"> 55.3991 </t>
  </si>
  <si>
    <t xml:space="preserve">C:\Users\andre\Desktop\REACTIV CEFAS\E2\E2/20201118_Cefas_Test6-Run3/Plate 4/@20/G11_02.tif </t>
  </si>
  <si>
    <t xml:space="preserve"> 83123.6851 </t>
  </si>
  <si>
    <t xml:space="preserve"> 58.4879 </t>
  </si>
  <si>
    <t xml:space="preserve">C:\Users\andre\Desktop\REACTIV CEFAS\E2\E2/20201118_Cefas_Test6-Run3/Plate 4/@20/G11_03.tif </t>
  </si>
  <si>
    <t xml:space="preserve"> 72676.446 </t>
  </si>
  <si>
    <t xml:space="preserve"> 55.261 </t>
  </si>
  <si>
    <t xml:space="preserve">C:\Users\andre\Desktop\REACTIV CEFAS\E2\E2/20201118_Cefas_Test6-Run3/Plate 4/@20/H11_01.tif </t>
  </si>
  <si>
    <t xml:space="preserve"> 80333.4287 </t>
  </si>
  <si>
    <t xml:space="preserve"> 50.3277 </t>
  </si>
  <si>
    <t xml:space="preserve">C:\Users\andre\Desktop\REACTIV CEFAS\E2\E2/20201118_Cefas_Test6-Run3/Plate 4/@20/H11_02.tif </t>
  </si>
  <si>
    <t xml:space="preserve"> 53.5029 </t>
  </si>
  <si>
    <t xml:space="preserve">C:\Users\andre\Desktop\REACTIV CEFAS\E2\E2/20201118_Cefas_Test6-Run3/Plate 4/@20/H11_03.tif </t>
  </si>
  <si>
    <t xml:space="preserve"> 82582.9377 </t>
  </si>
  <si>
    <t xml:space="preserve"> 53.8049 </t>
  </si>
  <si>
    <t xml:space="preserve">C:\Users\andre\Desktop\REACTIV CEFAS\E2\E2/20201118_Cefas_Test6-Run3/Plate 4/@20/ </t>
  </si>
  <si>
    <t xml:space="preserve"> 50.4281 </t>
  </si>
  <si>
    <t xml:space="preserve"> 5.9986 </t>
  </si>
  <si>
    <t xml:space="preserve"> 3493098.12 </t>
  </si>
  <si>
    <t xml:space="preserve"> 1037536.01 </t>
  </si>
  <si>
    <t xml:space="preserve">C:\Users\andre\Desktop\REACTIV CEFAS\E2\E2/20201118_Cefas_Test6-Run3/Plate 4/@21/A12_01.tif </t>
  </si>
  <si>
    <t xml:space="preserve"> 61277.4915 </t>
  </si>
  <si>
    <t xml:space="preserve"> 58.0205 </t>
  </si>
  <si>
    <t xml:space="preserve">C:\Users\andre\Desktop\REACTIV CEFAS\E2\E2/20201118_Cefas_Test6-Run3/Plate 4/@21/A12_02.tif </t>
  </si>
  <si>
    <t xml:space="preserve"> 54269.4056 </t>
  </si>
  <si>
    <t xml:space="preserve"> 63.9183 </t>
  </si>
  <si>
    <t xml:space="preserve">C:\Users\andre\Desktop\REACTIV CEFAS\E2\E2/20201118_Cefas_Test6-Run3/Plate 4/@21/A12_03.tif </t>
  </si>
  <si>
    <t xml:space="preserve"> 56670.3239 </t>
  </si>
  <si>
    <t xml:space="preserve"> 61.3195 </t>
  </si>
  <si>
    <t xml:space="preserve">C:\Users\andre\Desktop\REACTIV CEFAS\E2\E2/20201118_Cefas_Test6-Run3/Plate 4/@21/B12_01.tif </t>
  </si>
  <si>
    <t xml:space="preserve"> 40.9089 </t>
  </si>
  <si>
    <t xml:space="preserve">C:\Users\andre\Desktop\REACTIV CEFAS\E2\E2/20201118_Cefas_Test6-Run3/Plate 4/@21/B12_02.tif </t>
  </si>
  <si>
    <t xml:space="preserve"> 50.5449 </t>
  </si>
  <si>
    <t xml:space="preserve">C:\Users\andre\Desktop\REACTIV CEFAS\E2\E2/20201118_Cefas_Test6-Run3/Plate 4/@21/B12_03.tif </t>
  </si>
  <si>
    <t xml:space="preserve"> 52517.3842 </t>
  </si>
  <si>
    <t xml:space="preserve"> 45.6808 </t>
  </si>
  <si>
    <t xml:space="preserve">C:\Users\andre\Desktop\REACTIV CEFAS\E2\E2/20201118_Cefas_Test6-Run3/Plate 4/@21/C12_01.tif </t>
  </si>
  <si>
    <t xml:space="preserve"> 58011.3774 </t>
  </si>
  <si>
    <t xml:space="preserve"> 58.9691 </t>
  </si>
  <si>
    <t xml:space="preserve">C:\Users\andre\Desktop\REACTIV CEFAS\E2\E2/20201118_Cefas_Test6-Run3/Plate 4/@21/C12_02.tif </t>
  </si>
  <si>
    <t xml:space="preserve"> 52.456 </t>
  </si>
  <si>
    <t xml:space="preserve">C:\Users\andre\Desktop\REACTIV CEFAS\E2\E2/20201118_Cefas_Test6-Run3/Plate 4/@21/C12_03.tif </t>
  </si>
  <si>
    <t xml:space="preserve"> 55329.2705 </t>
  </si>
  <si>
    <t xml:space="preserve"> 61.3026 </t>
  </si>
  <si>
    <t xml:space="preserve">C:\Users\andre\Desktop\REACTIV CEFAS\E2\E2/20201118_Cefas_Test6-Run3/Plate 4/@21/D12_01.tif </t>
  </si>
  <si>
    <t xml:space="preserve"> 91321.4151 </t>
  </si>
  <si>
    <t xml:space="preserve"> 47.3614 </t>
  </si>
  <si>
    <t xml:space="preserve">C:\Users\andre\Desktop\REACTIV CEFAS\E2\E2/20201118_Cefas_Test6-Run3/Plate 4/@21/D12_02.tif </t>
  </si>
  <si>
    <t xml:space="preserve"> 83166.9448 </t>
  </si>
  <si>
    <t xml:space="preserve"> 52.7664 </t>
  </si>
  <si>
    <t xml:space="preserve">C:\Users\andre\Desktop\REACTIV CEFAS\E2\E2/20201118_Cefas_Test6-Run3/Plate 4/@21/D12_03.tif </t>
  </si>
  <si>
    <t xml:space="preserve"> 86973.8063 </t>
  </si>
  <si>
    <t xml:space="preserve"> 57.2328 </t>
  </si>
  <si>
    <t xml:space="preserve">C:\Users\andre\Desktop\REACTIV CEFAS\E2\E2/20201118_Cefas_Test6-Run3/Plate 4/@21/E12_01.tif </t>
  </si>
  <si>
    <t xml:space="preserve"> 64435.4561 </t>
  </si>
  <si>
    <t xml:space="preserve"> 52.8506 </t>
  </si>
  <si>
    <t xml:space="preserve">C:\Users\andre\Desktop\REACTIV CEFAS\E2\E2/20201118_Cefas_Test6-Run3/Plate 4/@21/E12_02.tif </t>
  </si>
  <si>
    <t xml:space="preserve"> 68545.1361 </t>
  </si>
  <si>
    <t xml:space="preserve"> 53.5021 </t>
  </si>
  <si>
    <t xml:space="preserve">C:\Users\andre\Desktop\REACTIV CEFAS\E2\E2/20201118_Cefas_Test6-Run3/Plate 4/@21/E12_03.tif </t>
  </si>
  <si>
    <t xml:space="preserve"> 55.2415 </t>
  </si>
  <si>
    <t xml:space="preserve">C:\Users\andre\Desktop\REACTIV CEFAS\E2\E2/20201118_Cefas_Test6-Run3/Plate 4/@21/F12_01.tif </t>
  </si>
  <si>
    <t xml:space="preserve"> 54939.9324 </t>
  </si>
  <si>
    <t xml:space="preserve"> 52.5854 </t>
  </si>
  <si>
    <t xml:space="preserve">C:\Users\andre\Desktop\REACTIV CEFAS\E2\E2/20201118_Cefas_Test6-Run3/Plate 4/@21/F12_02.tif </t>
  </si>
  <si>
    <t xml:space="preserve"> 67961.1289 </t>
  </si>
  <si>
    <t xml:space="preserve"> 52.1346 </t>
  </si>
  <si>
    <t xml:space="preserve">C:\Users\andre\Desktop\REACTIV CEFAS\E2\E2/20201118_Cefas_Test6-Run3/Plate 4/@21/F12_03.tif </t>
  </si>
  <si>
    <t xml:space="preserve"> 56.489 </t>
  </si>
  <si>
    <t xml:space="preserve">C:\Users\andre\Desktop\REACTIV CEFAS\E2\E2/20201118_Cefas_Test6-Run3/Plate 4/@21/G12_01.tif </t>
  </si>
  <si>
    <t xml:space="preserve"> 57189.4414 </t>
  </si>
  <si>
    <t xml:space="preserve"> 48.8491 </t>
  </si>
  <si>
    <t xml:space="preserve">C:\Users\andre\Desktop\REACTIV CEFAS\E2\E2/20201118_Cefas_Test6-Run3/Plate 4/@21/G12_02.tif </t>
  </si>
  <si>
    <t xml:space="preserve"> 45.7927 </t>
  </si>
  <si>
    <t xml:space="preserve">C:\Users\andre\Desktop\REACTIV CEFAS\E2\E2/20201118_Cefas_Test6-Run3/Plate 4/@21/G12_03.tif </t>
  </si>
  <si>
    <t xml:space="preserve"> 59611.9896 </t>
  </si>
  <si>
    <t xml:space="preserve"> 48.549 </t>
  </si>
  <si>
    <t xml:space="preserve">C:\Users\andre\Desktop\REACTIV CEFAS\E2\E2/20201118_Cefas_Test6-Run3/Plate 4/@21/H12_01.tif </t>
  </si>
  <si>
    <t xml:space="preserve"> 71659.8409 </t>
  </si>
  <si>
    <t xml:space="preserve"> 60.1675 </t>
  </si>
  <si>
    <t>C:\Users\andre\Desktop\REACTIV CEFAS\E2\E2/20201118_Cefas_Test6-Run3/Plate 4/@21/H12_02- exclu.tif</t>
  </si>
  <si>
    <t xml:space="preserve">C:\Users\andre\Desktop\REACTIV CEFAS\E2\E2/20201118_Cefas_Test6-Run3/Plate 4/@21/H12_03.tif </t>
  </si>
  <si>
    <t xml:space="preserve"> 75315.2931 </t>
  </si>
  <si>
    <t xml:space="preserve"> 62.6289 </t>
  </si>
  <si>
    <t xml:space="preserve">C:\Users\andre\Desktop\REACTIV CEFAS\E2\E2/20201118_Cefas_Test6-Run3/Plate 4/@21/ </t>
  </si>
  <si>
    <t xml:space="preserve"> 53.6924 </t>
  </si>
  <si>
    <t xml:space="preserve"> 5.9977 </t>
  </si>
  <si>
    <t xml:space="preserve"> 3590289.46 </t>
  </si>
  <si>
    <t xml:space="preserve"> 795644.129 </t>
  </si>
  <si>
    <t xml:space="preserve">C:\Users\andre\Desktop\REACTIV CEFAS\E2\E2/20201118_Cefas_Test6-Run3/Plate 4/@8/A2_01.tif </t>
  </si>
  <si>
    <t xml:space="preserve"> 34.2136 </t>
  </si>
  <si>
    <t xml:space="preserve">C:\Users\andre\Desktop\REACTIV CEFAS\E2\E2/20201118_Cefas_Test6-Run3/Plate 4/@8/A2_02.tif </t>
  </si>
  <si>
    <t xml:space="preserve"> 34.3385 </t>
  </si>
  <si>
    <t xml:space="preserve">C:\Users\andre\Desktop\REACTIV CEFAS\E2\E2/20201118_Cefas_Test6-Run3/Plate 4/@8/A2_03.tif </t>
  </si>
  <si>
    <t xml:space="preserve"> 7548.8332 </t>
  </si>
  <si>
    <t xml:space="preserve"> 37.2808 </t>
  </si>
  <si>
    <t xml:space="preserve">C:\Users\andre\Desktop\REACTIV CEFAS\E2\E2/20201118_Cefas_Test6-Run3/Plate 4/@8/B2_01.tif </t>
  </si>
  <si>
    <t xml:space="preserve"> 34.5901 </t>
  </si>
  <si>
    <t xml:space="preserve">C:\Users\andre\Desktop\REACTIV CEFAS\E2\E2/20201118_Cefas_Test6-Run3/Plate 4/@8/B2_02.tif </t>
  </si>
  <si>
    <t xml:space="preserve"> 8240.9899 </t>
  </si>
  <si>
    <t xml:space="preserve"> 34.3333 </t>
  </si>
  <si>
    <t xml:space="preserve">C:\Users\andre\Desktop\REACTIV CEFAS\E2\E2/20201118_Cefas_Test6-Run3/Plate 4/@8/B2_03.tif </t>
  </si>
  <si>
    <t xml:space="preserve"> 8349.1393 </t>
  </si>
  <si>
    <t xml:space="preserve"> 37.8601 </t>
  </si>
  <si>
    <t xml:space="preserve">C:\Users\andre\Desktop\REACTIV CEFAS\E2\E2/20201118_Cefas_Test6-Run3/Plate 4/@8/C2_01.tif </t>
  </si>
  <si>
    <t xml:space="preserve"> 4974.8758 </t>
  </si>
  <si>
    <t xml:space="preserve"> 35.8 </t>
  </si>
  <si>
    <t xml:space="preserve">C:\Users\andre\Desktop\REACTIV CEFAS\E2\E2/20201118_Cefas_Test6-Run3/Plate 4/@8/C2_02.tif </t>
  </si>
  <si>
    <t xml:space="preserve"> 35.9931 </t>
  </si>
  <si>
    <t xml:space="preserve">C:\Users\andre\Desktop\REACTIV CEFAS\E2\E2/20201118_Cefas_Test6-Run3/Plate 4/@8/C2_03.tif </t>
  </si>
  <si>
    <t xml:space="preserve"> 40.1174 </t>
  </si>
  <si>
    <t xml:space="preserve">C:\Users\andre\Desktop\REACTIV CEFAS\E2\E2/20201118_Cefas_Test6-Run3/Plate 4/@8/D2_01.tif </t>
  </si>
  <si>
    <t xml:space="preserve"> 32.9836 </t>
  </si>
  <si>
    <t xml:space="preserve">C:\Users\andre\Desktop\REACTIV CEFAS\E2\E2/20201118_Cefas_Test6-Run3/Plate 4/@8/D2_02.tif </t>
  </si>
  <si>
    <t xml:space="preserve"> 2530.6977 </t>
  </si>
  <si>
    <t xml:space="preserve"> 34.9231 </t>
  </si>
  <si>
    <t xml:space="preserve">C:\Users\andre\Desktop\REACTIV CEFAS\E2\E2/20201118_Cefas_Test6-Run3/Plate 4/@8/D2_03.tif </t>
  </si>
  <si>
    <t xml:space="preserve">C:\Users\andre\Desktop\REACTIV CEFAS\E2\E2/20201118_Cefas_Test6-Run3/Plate 4/@8/E2_01.tif </t>
  </si>
  <si>
    <t xml:space="preserve"> 10641.9082 </t>
  </si>
  <si>
    <t xml:space="preserve"> 42.0772 </t>
  </si>
  <si>
    <t xml:space="preserve">C:\Users\andre\Desktop\REACTIV CEFAS\E2\E2/20201118_Cefas_Test6-Run3/Plate 4/@8/E2_02.tif </t>
  </si>
  <si>
    <t xml:space="preserve"> 12329.0399 </t>
  </si>
  <si>
    <t xml:space="preserve"> 41.9351 </t>
  </si>
  <si>
    <t xml:space="preserve">C:\Users\andre\Desktop\REACTIV CEFAS\E2\E2/20201118_Cefas_Test6-Run3/Plate 4/@8/E2_03.tif </t>
  </si>
  <si>
    <t xml:space="preserve"> 11009.6164 </t>
  </si>
  <si>
    <t xml:space="preserve"> 39.2908 </t>
  </si>
  <si>
    <t xml:space="preserve">C:\Users\andre\Desktop\REACTIV CEFAS\E2\E2/20201118_Cefas_Test6-Run3/Plate 4/@8/F2_01.tif </t>
  </si>
  <si>
    <t xml:space="preserve">C:\Users\andre\Desktop\REACTIV CEFAS\E2\E2/20201118_Cefas_Test6-Run3/Plate 4/@8/F2_02.tif </t>
  </si>
  <si>
    <t xml:space="preserve"> 36.8694 </t>
  </si>
  <si>
    <t xml:space="preserve">C:\Users\andre\Desktop\REACTIV CEFAS\E2\E2/20201118_Cefas_Test6-Run3/Plate 4/@8/F2_03.tif </t>
  </si>
  <si>
    <t xml:space="preserve"> 4261.0892 </t>
  </si>
  <si>
    <t xml:space="preserve"> 35.2589 </t>
  </si>
  <si>
    <t>C:\Users\andre\Desktop\REACTIV CEFAS\E2\E2/20201118_Cefas_Test6-Run3/Plate 4/@8/G2_01- exclu.tif</t>
  </si>
  <si>
    <t>C:\Users\andre\Desktop\REACTIV CEFAS\E2\E2/20201118_Cefas_Test6-Run3/Plate 4/@8/G2_02- exclu.tif</t>
  </si>
  <si>
    <t>C:\Users\andre\Desktop\REACTIV CEFAS\E2\E2/20201118_Cefas_Test6-Run3/Plate 4/@8/G2_03- exclu.tif</t>
  </si>
  <si>
    <t xml:space="preserve">C:\Users\andre\Desktop\REACTIV CEFAS\E2\E2/20201118_Cefas_Test6-Run3/Plate 4/@8/H2_01.tif </t>
  </si>
  <si>
    <t xml:space="preserve"> 5515.6231 </t>
  </si>
  <si>
    <t xml:space="preserve"> 34.4588 </t>
  </si>
  <si>
    <t xml:space="preserve">C:\Users\andre\Desktop\REACTIV CEFAS\E2\E2/20201118_Cefas_Test6-Run3/Plate 4/@8/H2_02.tif </t>
  </si>
  <si>
    <t xml:space="preserve">C:\Users\andre\Desktop\REACTIV CEFAS\E2\E2/20201118_Cefas_Test6-Run3/Plate 4/@8/H2_03.tif </t>
  </si>
  <si>
    <t xml:space="preserve"> 35.5286 </t>
  </si>
  <si>
    <t xml:space="preserve">C:\Users\andre\Desktop\REACTIV CEFAS\E2\E2/20201118_Cefas_Test6-Run3/Plate 4/@8/ </t>
  </si>
  <si>
    <t xml:space="preserve"> 35.9817 </t>
  </si>
  <si>
    <t xml:space="preserve"> 8.833 </t>
  </si>
  <si>
    <t xml:space="preserve"> 255960.083 </t>
  </si>
  <si>
    <t xml:space="preserve"> 160076.784 </t>
  </si>
  <si>
    <t xml:space="preserve">C:\Users\andre\Desktop\REACTIV CEFAS\E2\E2/20201118_Cefas_Test6-Run3/Plate 4/@9/A3_01.tif </t>
  </si>
  <si>
    <t xml:space="preserve"> 33.8492 </t>
  </si>
  <si>
    <t xml:space="preserve">C:\Users\andre\Desktop\REACTIV CEFAS\E2\E2/20201118_Cefas_Test6-Run3/Plate 4/@9/A3_02.tif </t>
  </si>
  <si>
    <t xml:space="preserve"> 32.2 </t>
  </si>
  <si>
    <t xml:space="preserve">C:\Users\andre\Desktop\REACTIV CEFAS\E2\E2/20201118_Cefas_Test6-Run3/Plate 4/@9/A3_03.tif </t>
  </si>
  <si>
    <t xml:space="preserve"> 2400.9183 </t>
  </si>
  <si>
    <t xml:space="preserve"> 34.0541 </t>
  </si>
  <si>
    <t xml:space="preserve">C:\Users\andre\Desktop\REACTIV CEFAS\E2\E2/20201118_Cefas_Test6-Run3/Plate 4/@9/B3_01.tif </t>
  </si>
  <si>
    <t xml:space="preserve"> 37.2764 </t>
  </si>
  <si>
    <t xml:space="preserve">C:\Users\andre\Desktop\REACTIV CEFAS\E2\E2/20201118_Cefas_Test6-Run3/Plate 4/@9/B3_02.tif </t>
  </si>
  <si>
    <t xml:space="preserve"> 35.379 </t>
  </si>
  <si>
    <t>C:\Users\andre\Desktop\REACTIV CEFAS\E2\E2/20201118_Cefas_Test6-Run3/Plate 4/@9/B3_03- exclu.tif</t>
  </si>
  <si>
    <t xml:space="preserve">C:\Users\andre\Desktop\REACTIV CEFAS\E2\E2/20201118_Cefas_Test6-Run3/Plate 4/@9/C3_01.tif </t>
  </si>
  <si>
    <t xml:space="preserve"> 37.5057 </t>
  </si>
  <si>
    <t xml:space="preserve">C:\Users\andre\Desktop\REACTIV CEFAS\E2\E2/20201118_Cefas_Test6-Run3/Plate 4/@9/C3_02.tif </t>
  </si>
  <si>
    <t xml:space="preserve"> 7959.8012 </t>
  </si>
  <si>
    <t xml:space="preserve"> 34.5353 </t>
  </si>
  <si>
    <t>C:\Users\andre\Desktop\REACTIV CEFAS\E2\E2/20201118_Cefas_Test6-Run3/Plate 4/@9/C3_03- exclu.tif</t>
  </si>
  <si>
    <t xml:space="preserve">C:\Users\andre\Desktop\REACTIV CEFAS\E2\E2/20201118_Cefas_Test6-Run3/Plate 4/@9/D3_01.tif </t>
  </si>
  <si>
    <t xml:space="preserve"> 34.9388 </t>
  </si>
  <si>
    <t xml:space="preserve">C:\Users\andre\Desktop\REACTIV CEFAS\E2\E2/20201118_Cefas_Test6-Run3/Plate 4/@9/D3_02.tif </t>
  </si>
  <si>
    <t xml:space="preserve"> 33.7063 </t>
  </si>
  <si>
    <t xml:space="preserve">C:\Users\andre\Desktop\REACTIV CEFAS\E2\E2/20201118_Cefas_Test6-Run3/Plate 4/@9/D3_03.tif </t>
  </si>
  <si>
    <t xml:space="preserve"> 7786.7621 </t>
  </si>
  <si>
    <t xml:space="preserve"> 35.6639 </t>
  </si>
  <si>
    <t xml:space="preserve">C:\Users\andre\Desktop\REACTIV CEFAS\E2\E2/20201118_Cefas_Test6-Run3/Plate 4/@9/E3_01.tif </t>
  </si>
  <si>
    <t xml:space="preserve">C:\Users\andre\Desktop\REACTIV CEFAS\E2\E2/20201118_Cefas_Test6-Run3/Plate 4/@9/E3_02.tif </t>
  </si>
  <si>
    <t xml:space="preserve"> 9149.4454 </t>
  </si>
  <si>
    <t xml:space="preserve"> 36.5106 </t>
  </si>
  <si>
    <t xml:space="preserve">C:\Users\andre\Desktop\REACTIV CEFAS\E2\E2/20201118_Cefas_Test6-Run3/Plate 4/@9/E3_03.tif </t>
  </si>
  <si>
    <t xml:space="preserve"> 41.772 </t>
  </si>
  <si>
    <t xml:space="preserve">C:\Users\andre\Desktop\REACTIV CEFAS\E2\E2/20201118_Cefas_Test6-Run3/Plate 4/@9/F3_01.tif </t>
  </si>
  <si>
    <t xml:space="preserve"> 4585.5377 </t>
  </si>
  <si>
    <t xml:space="preserve"> 36.1368 </t>
  </si>
  <si>
    <t xml:space="preserve">C:\Users\andre\Desktop\REACTIV CEFAS\E2\E2/20201118_Cefas_Test6-Run3/Plate 4/@9/F3_02.tif </t>
  </si>
  <si>
    <t xml:space="preserve"> 7181.125 </t>
  </si>
  <si>
    <t xml:space="preserve"> 38.0934 </t>
  </si>
  <si>
    <t xml:space="preserve">C:\Users\andre\Desktop\REACTIV CEFAS\E2\E2/20201118_Cefas_Test6-Run3/Plate 4/@9/F3_03.tif </t>
  </si>
  <si>
    <t xml:space="preserve"> 5645.4025 </t>
  </si>
  <si>
    <t xml:space="preserve"> 36.4904 </t>
  </si>
  <si>
    <t xml:space="preserve">C:\Users\andre\Desktop\REACTIV CEFAS\E2\E2/20201118_Cefas_Test6-Run3/Plate 4/@9/G3_01.tif </t>
  </si>
  <si>
    <t xml:space="preserve"> 11225.9153 </t>
  </si>
  <si>
    <t xml:space="preserve"> 37.7592 </t>
  </si>
  <si>
    <t xml:space="preserve">C:\Users\andre\Desktop\REACTIV CEFAS\E2\E2/20201118_Cefas_Test6-Run3/Plate 4/@9/G3_02.tif </t>
  </si>
  <si>
    <t xml:space="preserve">C:\Users\andre\Desktop\REACTIV CEFAS\E2\E2/20201118_Cefas_Test6-Run3/Plate 4/@9/G3_03.tif </t>
  </si>
  <si>
    <t xml:space="preserve"> 40.2854 </t>
  </si>
  <si>
    <t xml:space="preserve">C:\Users\andre\Desktop\REACTIV CEFAS\E2\E2/20201118_Cefas_Test6-Run3/Plate 4/@9/H3_01.tif </t>
  </si>
  <si>
    <t xml:space="preserve"> 40.6709 </t>
  </si>
  <si>
    <t xml:space="preserve">C:\Users\andre\Desktop\REACTIV CEFAS\E2\E2/20201118_Cefas_Test6-Run3/Plate 4/@9/H3_02.tif </t>
  </si>
  <si>
    <t xml:space="preserve"> 7505.5734 </t>
  </si>
  <si>
    <t xml:space="preserve"> 39.1614 </t>
  </si>
  <si>
    <t xml:space="preserve">C:\Users\andre\Desktop\REACTIV CEFAS\E2\E2/20201118_Cefas_Test6-Run3/Plate 4/@9/H3_03.tif </t>
  </si>
  <si>
    <t xml:space="preserve"> 1925.0606 </t>
  </si>
  <si>
    <t xml:space="preserve"> 33.7528 </t>
  </si>
  <si>
    <t xml:space="preserve">C:\Users\andre\Desktop\REACTIV CEFAS\E2\E2/20201118_Cefas_Test6-Run3/Plate 4/@9/ </t>
  </si>
  <si>
    <t xml:space="preserve"> 33.0984 </t>
  </si>
  <si>
    <t xml:space="preserve"> 10.5304 </t>
  </si>
  <si>
    <t xml:space="preserve"> 188587.458 </t>
  </si>
  <si>
    <t xml:space="preserve"> 143757.795 </t>
  </si>
  <si>
    <t>estradiol 34ng/L</t>
  </si>
  <si>
    <t>estradiol 68ng/L</t>
  </si>
  <si>
    <t>estradiol 135ng/L</t>
  </si>
  <si>
    <t>estradiol 540ng/L</t>
  </si>
  <si>
    <t>estradiol 270ng/L</t>
  </si>
  <si>
    <t>estradiol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</si>
</sst>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20" x14ac:knownFonts="1">
    <font>
      <sz val="11"/>
      <color theme="1"/>
      <name val="Calibri"/>
      <family val="2"/>
      <scheme val="minor"/>
    </font>
    <font>
      <b/>
      <sz val="11"/>
      <color theme="1"/>
      <name val="Calibri"/>
      <family val="2"/>
      <scheme val="minor"/>
    </font>
    <font>
      <sz val="13"/>
      <name val="Arial"/>
      <family val="2"/>
    </font>
    <font>
      <sz val="16"/>
      <color theme="1"/>
      <name val="Calibri"/>
      <family val="2"/>
      <scheme val="minor"/>
    </font>
    <font>
      <sz val="10"/>
      <name val="Arial"/>
      <family val="2"/>
    </font>
    <font>
      <b/>
      <sz val="16"/>
      <color theme="1"/>
      <name val="Calibri"/>
      <family val="2"/>
      <scheme val="minor"/>
    </font>
    <font>
      <sz val="11"/>
      <name val="Calibri"/>
      <family val="2"/>
      <scheme val="minor"/>
    </font>
    <font>
      <b/>
      <sz val="20"/>
      <color theme="1"/>
      <name val="Calibri"/>
      <family val="2"/>
      <scheme val="minor"/>
    </font>
    <font>
      <sz val="12"/>
      <color theme="1"/>
      <name val="Calibri"/>
      <family val="2"/>
      <scheme val="minor"/>
    </font>
    <font>
      <b/>
      <sz val="20"/>
      <color rgb="FFFF0000"/>
      <name val="Calibri"/>
      <family val="2"/>
      <scheme val="minor"/>
    </font>
    <font>
      <b/>
      <sz val="9"/>
      <color indexed="81"/>
      <name val="Tahoma"/>
      <family val="2"/>
    </font>
    <font>
      <sz val="11"/>
      <color theme="1"/>
      <name val="Calibri"/>
      <family val="2"/>
      <scheme val="minor"/>
    </font>
    <font>
      <b/>
      <sz val="12"/>
      <color theme="1"/>
      <name val="Calibri"/>
      <family val="2"/>
      <scheme val="minor"/>
    </font>
    <font>
      <sz val="12"/>
      <name val="Calibri"/>
      <family val="2"/>
      <scheme val="minor"/>
    </font>
    <font>
      <sz val="12"/>
      <name val="Arial"/>
      <family val="2"/>
    </font>
    <font>
      <b/>
      <sz val="12"/>
      <name val="Calibri"/>
      <family val="2"/>
      <scheme val="minor"/>
    </font>
    <font>
      <b/>
      <sz val="11"/>
      <name val="Calibri"/>
      <family val="2"/>
      <scheme val="minor"/>
    </font>
    <font>
      <sz val="11"/>
      <color rgb="FFFF0000"/>
      <name val="Calibri"/>
      <family val="2"/>
      <scheme val="minor"/>
    </font>
    <font>
      <b/>
      <sz val="11"/>
      <color rgb="FFFF0000"/>
      <name val="Calibri"/>
      <family val="2"/>
      <scheme val="minor"/>
    </font>
    <font>
      <sz val="7"/>
      <name val="Arial"/>
      <family val="2"/>
    </font>
  </fonts>
  <fills count="21">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rgb="FF00B050"/>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6" tint="0.39997558519241921"/>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6" tint="0.59999389629810485"/>
        <bgColor indexed="64"/>
      </patternFill>
    </fill>
    <fill>
      <patternFill patternType="solid">
        <fgColor theme="1"/>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rgb="FFFFC000"/>
        <bgColor indexed="64"/>
      </patternFill>
    </fill>
    <fill>
      <patternFill patternType="solid">
        <fgColor theme="0" tint="-0.14999847407452621"/>
        <bgColor theme="0" tint="-0.14999847407452621"/>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right/>
      <top style="medium">
        <color indexed="64"/>
      </top>
      <bottom/>
      <diagonal/>
    </border>
    <border>
      <left/>
      <right style="medium">
        <color indexed="64"/>
      </right>
      <top/>
      <bottom/>
      <diagonal/>
    </border>
    <border>
      <left/>
      <right style="thin">
        <color auto="1"/>
      </right>
      <top/>
      <bottom style="thin">
        <color auto="1"/>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medium">
        <color indexed="64"/>
      </top>
      <bottom/>
      <diagonal/>
    </border>
    <border>
      <left style="thin">
        <color indexed="64"/>
      </left>
      <right style="thin">
        <color indexed="64"/>
      </right>
      <top style="thin">
        <color theme="1"/>
      </top>
      <bottom style="medium">
        <color theme="1"/>
      </bottom>
      <diagonal/>
    </border>
    <border>
      <left style="thin">
        <color theme="1"/>
      </left>
      <right style="thin">
        <color theme="1"/>
      </right>
      <top style="thin">
        <color theme="1"/>
      </top>
      <bottom style="medium">
        <color theme="1"/>
      </bottom>
      <diagonal/>
    </border>
    <border>
      <left style="thin">
        <color theme="1"/>
      </left>
      <right style="thin">
        <color theme="1"/>
      </right>
      <top style="thin">
        <color theme="1"/>
      </top>
      <bottom style="thin">
        <color theme="1"/>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theme="1"/>
      </left>
      <right style="thin">
        <color theme="1"/>
      </right>
      <top/>
      <bottom/>
      <diagonal/>
    </border>
    <border>
      <left/>
      <right style="thin">
        <color theme="1"/>
      </right>
      <top style="thin">
        <color theme="1"/>
      </top>
      <bottom style="medium">
        <color theme="1"/>
      </bottom>
      <diagonal/>
    </border>
    <border>
      <left/>
      <right style="thin">
        <color theme="1"/>
      </right>
      <top style="thin">
        <color theme="1"/>
      </top>
      <bottom style="thin">
        <color theme="1"/>
      </bottom>
      <diagonal/>
    </border>
    <border>
      <left style="thin">
        <color theme="1"/>
      </left>
      <right/>
      <top/>
      <bottom/>
      <diagonal/>
    </border>
    <border>
      <left/>
      <right style="thin">
        <color indexed="64"/>
      </right>
      <top style="medium">
        <color indexed="64"/>
      </top>
      <bottom/>
      <diagonal/>
    </border>
  </borders>
  <cellStyleXfs count="8">
    <xf numFmtId="0" fontId="0" fillId="0" borderId="0"/>
    <xf numFmtId="0" fontId="4" fillId="0" borderId="0"/>
    <xf numFmtId="0" fontId="8" fillId="0" borderId="0"/>
    <xf numFmtId="0" fontId="4" fillId="0" borderId="0"/>
    <xf numFmtId="0" fontId="8" fillId="0" borderId="0"/>
    <xf numFmtId="0" fontId="4" fillId="0" borderId="0"/>
    <xf numFmtId="0" fontId="8" fillId="0" borderId="0"/>
    <xf numFmtId="9" fontId="11" fillId="0" borderId="0" applyFont="0" applyFill="0" applyBorder="0" applyAlignment="0" applyProtection="0"/>
  </cellStyleXfs>
  <cellXfs count="243">
    <xf numFmtId="0" fontId="0" fillId="0" borderId="0" xfId="0"/>
    <xf numFmtId="0" fontId="0" fillId="0" borderId="0" xfId="0"/>
    <xf numFmtId="0" fontId="1" fillId="0" borderId="0" xfId="0" applyFont="1"/>
    <xf numFmtId="0" fontId="0" fillId="0" borderId="0" xfId="0" applyAlignment="1">
      <alignment horizontal="center"/>
    </xf>
    <xf numFmtId="0" fontId="0" fillId="0" borderId="1" xfId="0" applyBorder="1" applyAlignment="1">
      <alignment horizontal="center"/>
    </xf>
    <xf numFmtId="1" fontId="0" fillId="0" borderId="0" xfId="0" applyNumberFormat="1" applyAlignment="1">
      <alignment horizontal="center"/>
    </xf>
    <xf numFmtId="0" fontId="0" fillId="0" borderId="2" xfId="0" applyBorder="1" applyAlignment="1">
      <alignment horizontal="center"/>
    </xf>
    <xf numFmtId="0" fontId="0" fillId="0" borderId="0" xfId="0" applyBorder="1" applyAlignment="1">
      <alignment horizontal="center"/>
    </xf>
    <xf numFmtId="164" fontId="0" fillId="0" borderId="0" xfId="0" applyNumberFormat="1" applyAlignment="1">
      <alignment horizontal="center"/>
    </xf>
    <xf numFmtId="2" fontId="0" fillId="5" borderId="0" xfId="0" applyNumberFormat="1" applyFill="1" applyAlignment="1">
      <alignment horizontal="center"/>
    </xf>
    <xf numFmtId="164" fontId="0" fillId="5" borderId="0" xfId="0" applyNumberFormat="1" applyFill="1" applyAlignment="1">
      <alignment horizontal="center"/>
    </xf>
    <xf numFmtId="164" fontId="0" fillId="0" borderId="1" xfId="0" applyNumberFormat="1" applyBorder="1" applyAlignment="1">
      <alignment horizontal="center"/>
    </xf>
    <xf numFmtId="0" fontId="2" fillId="0" borderId="0" xfId="0" applyFont="1"/>
    <xf numFmtId="0" fontId="0" fillId="0" borderId="1" xfId="0" applyBorder="1"/>
    <xf numFmtId="0" fontId="2" fillId="0" borderId="1" xfId="0" applyFont="1" applyBorder="1"/>
    <xf numFmtId="0" fontId="0" fillId="0" borderId="0" xfId="0" applyFont="1" applyAlignment="1">
      <alignment horizontal="center"/>
    </xf>
    <xf numFmtId="0" fontId="0" fillId="0" borderId="1" xfId="0" applyBorder="1" applyAlignment="1">
      <alignment horizontal="center"/>
    </xf>
    <xf numFmtId="0" fontId="4" fillId="0" borderId="0" xfId="1"/>
    <xf numFmtId="0" fontId="4" fillId="6" borderId="0" xfId="1" applyFill="1"/>
    <xf numFmtId="0" fontId="4" fillId="2" borderId="0" xfId="1" applyFill="1"/>
    <xf numFmtId="0" fontId="4" fillId="7" borderId="0" xfId="1" applyFill="1"/>
    <xf numFmtId="0" fontId="4" fillId="0" borderId="0" xfId="1" applyFill="1" applyBorder="1"/>
    <xf numFmtId="0" fontId="4" fillId="6" borderId="0" xfId="1" applyFill="1" applyBorder="1"/>
    <xf numFmtId="0" fontId="4" fillId="0" borderId="0" xfId="1" applyFont="1"/>
    <xf numFmtId="0" fontId="4" fillId="6" borderId="0" xfId="1" applyNumberFormat="1" applyFill="1" applyBorder="1"/>
    <xf numFmtId="0" fontId="4" fillId="7" borderId="0" xfId="1" applyNumberFormat="1" applyFill="1"/>
    <xf numFmtId="0" fontId="4" fillId="0" borderId="0" xfId="1" applyFill="1"/>
    <xf numFmtId="0" fontId="4" fillId="6" borderId="0" xfId="1" applyNumberFormat="1" applyFill="1"/>
    <xf numFmtId="0" fontId="4" fillId="0" borderId="0" xfId="1" applyFont="1" applyFill="1" applyBorder="1"/>
    <xf numFmtId="0" fontId="4" fillId="6" borderId="0" xfId="1" applyNumberFormat="1" applyFont="1" applyFill="1" applyBorder="1"/>
    <xf numFmtId="14" fontId="4" fillId="0" borderId="0" xfId="1" applyNumberFormat="1" applyFont="1"/>
    <xf numFmtId="14" fontId="4" fillId="0" borderId="0" xfId="1" applyNumberFormat="1"/>
    <xf numFmtId="0" fontId="0" fillId="0" borderId="1" xfId="0" applyBorder="1" applyAlignment="1">
      <alignment horizontal="center"/>
    </xf>
    <xf numFmtId="0" fontId="0" fillId="0" borderId="0" xfId="0" applyBorder="1"/>
    <xf numFmtId="0" fontId="0" fillId="9" borderId="1" xfId="0" applyFill="1" applyBorder="1" applyAlignment="1">
      <alignment horizontal="center"/>
    </xf>
    <xf numFmtId="0" fontId="0" fillId="9" borderId="12" xfId="0" applyFill="1" applyBorder="1" applyAlignment="1">
      <alignment horizontal="center"/>
    </xf>
    <xf numFmtId="0" fontId="0" fillId="11" borderId="12" xfId="0" applyFill="1" applyBorder="1" applyAlignment="1">
      <alignment horizontal="center"/>
    </xf>
    <xf numFmtId="0" fontId="5" fillId="0" borderId="7" xfId="0" applyFont="1" applyBorder="1" applyAlignment="1">
      <alignment vertical="center"/>
    </xf>
    <xf numFmtId="0" fontId="5" fillId="0" borderId="6" xfId="0" applyFont="1" applyBorder="1" applyAlignment="1">
      <alignment vertical="center" wrapText="1"/>
    </xf>
    <xf numFmtId="0" fontId="1" fillId="4" borderId="3" xfId="0" applyFont="1" applyFill="1" applyBorder="1" applyAlignment="1">
      <alignment horizontal="center"/>
    </xf>
    <xf numFmtId="0" fontId="3" fillId="0" borderId="15" xfId="0" applyFont="1" applyBorder="1" applyAlignment="1">
      <alignment vertical="center"/>
    </xf>
    <xf numFmtId="0" fontId="0" fillId="0" borderId="0" xfId="0" applyFont="1"/>
    <xf numFmtId="0" fontId="3" fillId="0" borderId="9" xfId="0" applyNumberFormat="1" applyFont="1" applyBorder="1" applyAlignment="1">
      <alignment vertical="center"/>
    </xf>
    <xf numFmtId="0" fontId="3" fillId="0" borderId="1" xfId="0" applyNumberFormat="1" applyFont="1" applyBorder="1" applyAlignment="1">
      <alignment vertical="center"/>
    </xf>
    <xf numFmtId="0" fontId="0" fillId="0" borderId="0" xfId="0" applyNumberFormat="1"/>
    <xf numFmtId="0" fontId="0" fillId="7" borderId="8" xfId="0" applyFill="1" applyBorder="1" applyAlignment="1">
      <alignment horizontal="center"/>
    </xf>
    <xf numFmtId="0" fontId="0" fillId="7" borderId="9" xfId="0" applyFill="1" applyBorder="1" applyAlignment="1">
      <alignment horizontal="center"/>
    </xf>
    <xf numFmtId="0" fontId="0" fillId="7" borderId="23" xfId="0" applyFill="1" applyBorder="1"/>
    <xf numFmtId="0" fontId="0" fillId="7" borderId="16" xfId="0" applyFill="1" applyBorder="1" applyAlignment="1">
      <alignment horizontal="center"/>
    </xf>
    <xf numFmtId="0" fontId="0" fillId="0" borderId="0" xfId="0" applyAlignment="1">
      <alignment vertical="center"/>
    </xf>
    <xf numFmtId="164" fontId="7" fillId="12" borderId="7" xfId="0" applyNumberFormat="1" applyFont="1" applyFill="1" applyBorder="1" applyAlignment="1">
      <alignment horizontal="left" vertical="center"/>
    </xf>
    <xf numFmtId="164" fontId="7" fillId="12" borderId="6" xfId="0" applyNumberFormat="1" applyFont="1" applyFill="1" applyBorder="1" applyAlignment="1">
      <alignment horizontal="left" vertical="center"/>
    </xf>
    <xf numFmtId="164" fontId="7" fillId="12" borderId="5" xfId="0" applyNumberFormat="1" applyFont="1" applyFill="1" applyBorder="1" applyAlignment="1">
      <alignment horizontal="left" vertical="center"/>
    </xf>
    <xf numFmtId="0" fontId="1" fillId="0" borderId="0" xfId="0" applyFont="1" applyAlignment="1">
      <alignment horizontal="center"/>
    </xf>
    <xf numFmtId="0" fontId="3" fillId="14" borderId="26" xfId="0" applyFont="1" applyFill="1" applyBorder="1" applyAlignment="1">
      <alignment vertical="center"/>
    </xf>
    <xf numFmtId="164" fontId="0" fillId="3" borderId="1" xfId="0" applyNumberFormat="1" applyFill="1" applyBorder="1" applyAlignment="1">
      <alignment horizontal="center"/>
    </xf>
    <xf numFmtId="164" fontId="0" fillId="4" borderId="1" xfId="0" applyNumberFormat="1" applyFill="1" applyBorder="1" applyAlignment="1">
      <alignment horizontal="center"/>
    </xf>
    <xf numFmtId="0" fontId="5" fillId="0" borderId="6" xfId="0" applyFont="1" applyBorder="1" applyAlignment="1">
      <alignment vertical="center"/>
    </xf>
    <xf numFmtId="0" fontId="5" fillId="0" borderId="6" xfId="0" applyFont="1" applyBorder="1" applyAlignment="1">
      <alignment horizontal="center" vertical="center"/>
    </xf>
    <xf numFmtId="0" fontId="0" fillId="0" borderId="6" xfId="0" applyBorder="1"/>
    <xf numFmtId="0" fontId="0" fillId="0" borderId="5" xfId="0" applyBorder="1"/>
    <xf numFmtId="49" fontId="0" fillId="0" borderId="0" xfId="0" applyNumberFormat="1" applyFill="1" applyBorder="1" applyAlignment="1">
      <alignment horizontal="center"/>
    </xf>
    <xf numFmtId="164" fontId="0" fillId="0" borderId="0" xfId="0" applyNumberFormat="1" applyFill="1" applyBorder="1" applyAlignment="1">
      <alignment horizontal="center"/>
    </xf>
    <xf numFmtId="0" fontId="0" fillId="0" borderId="0" xfId="0" applyFill="1"/>
    <xf numFmtId="164" fontId="0" fillId="7" borderId="10" xfId="0" applyNumberFormat="1" applyFill="1" applyBorder="1" applyAlignment="1">
      <alignment horizontal="center"/>
    </xf>
    <xf numFmtId="164" fontId="0" fillId="7" borderId="18" xfId="0" applyNumberFormat="1" applyFill="1" applyBorder="1" applyAlignment="1">
      <alignment horizontal="center"/>
    </xf>
    <xf numFmtId="2" fontId="4" fillId="0" borderId="0" xfId="1" applyNumberFormat="1" applyFill="1"/>
    <xf numFmtId="0" fontId="3" fillId="8" borderId="2" xfId="0" applyNumberFormat="1" applyFont="1" applyFill="1" applyBorder="1" applyAlignment="1">
      <alignment horizontal="center" vertical="center" wrapText="1"/>
    </xf>
    <xf numFmtId="0" fontId="3" fillId="0" borderId="3" xfId="0" applyFont="1" applyBorder="1" applyAlignment="1">
      <alignment vertical="center"/>
    </xf>
    <xf numFmtId="0" fontId="1" fillId="0" borderId="0" xfId="0" applyFont="1" applyBorder="1" applyAlignment="1">
      <alignment horizontal="center" vertical="center"/>
    </xf>
    <xf numFmtId="0" fontId="2" fillId="0" borderId="0" xfId="0" applyFont="1" applyBorder="1"/>
    <xf numFmtId="0" fontId="6" fillId="0" borderId="0" xfId="0" applyFont="1" applyAlignment="1">
      <alignment horizontal="center"/>
    </xf>
    <xf numFmtId="0" fontId="6" fillId="0" borderId="0" xfId="0" applyFont="1"/>
    <xf numFmtId="0" fontId="6" fillId="0" borderId="0" xfId="0" applyFont="1" applyBorder="1" applyAlignment="1">
      <alignment horizontal="center"/>
    </xf>
    <xf numFmtId="0" fontId="1" fillId="3" borderId="1" xfId="0" applyFont="1" applyFill="1" applyBorder="1" applyAlignment="1">
      <alignment horizontal="center"/>
    </xf>
    <xf numFmtId="0" fontId="1" fillId="10" borderId="0" xfId="0" applyFont="1" applyFill="1" applyBorder="1" applyAlignment="1">
      <alignment vertical="center"/>
    </xf>
    <xf numFmtId="0" fontId="3" fillId="0" borderId="4" xfId="0" applyFont="1" applyBorder="1" applyAlignment="1">
      <alignment vertical="center"/>
    </xf>
    <xf numFmtId="0" fontId="3" fillId="14" borderId="3" xfId="0" applyFont="1" applyFill="1" applyBorder="1" applyAlignment="1">
      <alignment vertical="center"/>
    </xf>
    <xf numFmtId="164" fontId="7" fillId="12" borderId="6" xfId="0" applyNumberFormat="1" applyFont="1" applyFill="1" applyBorder="1" applyAlignment="1">
      <alignment horizontal="left" vertical="center"/>
    </xf>
    <xf numFmtId="2" fontId="3" fillId="8" borderId="2" xfId="0" applyNumberFormat="1" applyFont="1" applyFill="1" applyBorder="1" applyAlignment="1">
      <alignment horizontal="center" vertical="center" wrapText="1"/>
    </xf>
    <xf numFmtId="0" fontId="8" fillId="0" borderId="0" xfId="0" applyFont="1"/>
    <xf numFmtId="0" fontId="8" fillId="0" borderId="0" xfId="0" applyFont="1" applyAlignment="1">
      <alignment horizontal="center"/>
    </xf>
    <xf numFmtId="0" fontId="8" fillId="0" borderId="0" xfId="0" applyFont="1" applyFill="1"/>
    <xf numFmtId="0" fontId="13" fillId="0" borderId="1" xfId="0" applyFont="1" applyFill="1" applyBorder="1"/>
    <xf numFmtId="0" fontId="12" fillId="0" borderId="1" xfId="0" applyFont="1" applyFill="1" applyBorder="1" applyAlignment="1">
      <alignment horizontal="center"/>
    </xf>
    <xf numFmtId="0" fontId="8" fillId="15" borderId="1" xfId="0" applyFont="1" applyFill="1" applyBorder="1"/>
    <xf numFmtId="0" fontId="8" fillId="0" borderId="1" xfId="0" applyFont="1" applyFill="1" applyBorder="1" applyAlignment="1">
      <alignment horizontal="center"/>
    </xf>
    <xf numFmtId="2" fontId="13" fillId="0" borderId="1" xfId="0" applyNumberFormat="1" applyFont="1" applyFill="1" applyBorder="1" applyAlignment="1">
      <alignment horizontal="left"/>
    </xf>
    <xf numFmtId="0" fontId="14" fillId="0" borderId="1" xfId="0" applyFont="1" applyFill="1" applyBorder="1"/>
    <xf numFmtId="2" fontId="8" fillId="0" borderId="1" xfId="0" applyNumberFormat="1" applyFont="1" applyFill="1" applyBorder="1"/>
    <xf numFmtId="0" fontId="8" fillId="0" borderId="1" xfId="0" applyFont="1" applyFill="1" applyBorder="1"/>
    <xf numFmtId="0" fontId="12" fillId="0" borderId="1" xfId="0" applyFont="1" applyFill="1" applyBorder="1" applyAlignment="1">
      <alignment horizontal="center" vertical="center" wrapText="1"/>
    </xf>
    <xf numFmtId="0" fontId="12" fillId="0" borderId="1" xfId="0" applyFont="1" applyFill="1" applyBorder="1" applyAlignment="1">
      <alignment vertical="center" wrapText="1"/>
    </xf>
    <xf numFmtId="0" fontId="8" fillId="0" borderId="1" xfId="0" applyFont="1" applyBorder="1" applyAlignment="1">
      <alignment horizontal="center" vertical="center"/>
    </xf>
    <xf numFmtId="0" fontId="13" fillId="15" borderId="1" xfId="0" applyFont="1" applyFill="1" applyBorder="1"/>
    <xf numFmtId="0" fontId="8" fillId="15" borderId="32" xfId="0" applyFont="1" applyFill="1" applyBorder="1"/>
    <xf numFmtId="0" fontId="8" fillId="9" borderId="32" xfId="0" applyFont="1" applyFill="1" applyBorder="1"/>
    <xf numFmtId="0" fontId="13" fillId="17" borderId="1" xfId="0" applyFont="1" applyFill="1" applyBorder="1"/>
    <xf numFmtId="0" fontId="12" fillId="0" borderId="1" xfId="0" applyFont="1" applyBorder="1" applyAlignment="1">
      <alignment horizontal="center" vertical="center" wrapText="1"/>
    </xf>
    <xf numFmtId="0" fontId="12" fillId="0" borderId="30" xfId="0" applyFont="1" applyBorder="1" applyAlignment="1">
      <alignment horizontal="center" vertical="center" wrapText="1"/>
    </xf>
    <xf numFmtId="0" fontId="12" fillId="0" borderId="31" xfId="0" applyFont="1" applyBorder="1" applyAlignment="1">
      <alignment horizontal="center" vertical="center" wrapText="1"/>
    </xf>
    <xf numFmtId="0" fontId="13" fillId="16" borderId="1" xfId="0" applyFont="1" applyFill="1" applyBorder="1" applyAlignment="1">
      <alignment horizontal="center"/>
    </xf>
    <xf numFmtId="0" fontId="8" fillId="0" borderId="1" xfId="0" applyNumberFormat="1" applyFont="1" applyFill="1" applyBorder="1" applyAlignment="1">
      <alignment horizontal="center"/>
    </xf>
    <xf numFmtId="0" fontId="13" fillId="0" borderId="1" xfId="0" applyNumberFormat="1" applyFont="1" applyFill="1" applyBorder="1" applyAlignment="1">
      <alignment horizontal="center"/>
    </xf>
    <xf numFmtId="2" fontId="3" fillId="8" borderId="21" xfId="0" applyNumberFormat="1" applyFont="1" applyFill="1" applyBorder="1" applyAlignment="1">
      <alignment horizontal="center" vertical="center" wrapText="1"/>
    </xf>
    <xf numFmtId="0" fontId="3" fillId="0" borderId="25" xfId="0" applyFont="1" applyBorder="1" applyAlignment="1">
      <alignment vertical="center"/>
    </xf>
    <xf numFmtId="0" fontId="3" fillId="14" borderId="13" xfId="0" applyFont="1" applyFill="1" applyBorder="1" applyAlignment="1">
      <alignment vertical="center"/>
    </xf>
    <xf numFmtId="0" fontId="3" fillId="14" borderId="15" xfId="0" applyFont="1" applyFill="1" applyBorder="1" applyAlignment="1">
      <alignment vertical="center"/>
    </xf>
    <xf numFmtId="0" fontId="3" fillId="14" borderId="4" xfId="0" applyFont="1" applyFill="1" applyBorder="1" applyAlignment="1">
      <alignment vertical="center"/>
    </xf>
    <xf numFmtId="0" fontId="3" fillId="0" borderId="1" xfId="0" applyNumberFormat="1" applyFont="1" applyBorder="1" applyAlignment="1">
      <alignment horizontal="center" vertical="center"/>
    </xf>
    <xf numFmtId="0" fontId="3" fillId="14" borderId="9" xfId="0" applyNumberFormat="1" applyFont="1" applyFill="1" applyBorder="1" applyAlignment="1">
      <alignment horizontal="center" vertical="center"/>
    </xf>
    <xf numFmtId="0" fontId="3" fillId="14" borderId="1" xfId="0" applyNumberFormat="1" applyFont="1" applyFill="1" applyBorder="1" applyAlignment="1">
      <alignment horizontal="center" vertical="center"/>
    </xf>
    <xf numFmtId="0" fontId="3" fillId="8" borderId="0" xfId="0" applyFont="1" applyFill="1" applyBorder="1" applyAlignment="1">
      <alignment horizontal="center" vertical="center"/>
    </xf>
    <xf numFmtId="0" fontId="3" fillId="0" borderId="0" xfId="0" applyFont="1"/>
    <xf numFmtId="0" fontId="3" fillId="0" borderId="0" xfId="0" applyFont="1" applyFill="1" applyBorder="1" applyAlignment="1">
      <alignment vertical="center"/>
    </xf>
    <xf numFmtId="0" fontId="3" fillId="0" borderId="0" xfId="0" applyFont="1" applyAlignment="1">
      <alignment vertical="center"/>
    </xf>
    <xf numFmtId="0" fontId="3" fillId="14" borderId="23" xfId="0" applyFont="1" applyFill="1" applyBorder="1" applyAlignment="1">
      <alignment vertical="center"/>
    </xf>
    <xf numFmtId="0" fontId="3" fillId="14" borderId="0" xfId="0" applyFont="1" applyFill="1" applyBorder="1" applyAlignment="1">
      <alignment vertical="center"/>
    </xf>
    <xf numFmtId="0" fontId="3" fillId="0" borderId="3" xfId="0" applyNumberFormat="1" applyFont="1" applyBorder="1" applyAlignment="1">
      <alignment horizontal="center" vertical="center"/>
    </xf>
    <xf numFmtId="0" fontId="3" fillId="0" borderId="4" xfId="0" applyNumberFormat="1" applyFont="1" applyBorder="1" applyAlignment="1">
      <alignment horizontal="center" vertical="center"/>
    </xf>
    <xf numFmtId="0" fontId="3" fillId="14" borderId="26" xfId="0" applyNumberFormat="1" applyFont="1" applyFill="1" applyBorder="1" applyAlignment="1">
      <alignment horizontal="center" vertical="center"/>
    </xf>
    <xf numFmtId="0" fontId="3" fillId="14" borderId="3" xfId="0" applyNumberFormat="1" applyFont="1" applyFill="1" applyBorder="1" applyAlignment="1">
      <alignment horizontal="center" vertical="center"/>
    </xf>
    <xf numFmtId="0" fontId="0" fillId="0" borderId="0" xfId="0" pivotButton="1"/>
    <xf numFmtId="2" fontId="8" fillId="16" borderId="1" xfId="0" applyNumberFormat="1" applyFont="1" applyFill="1" applyBorder="1" applyAlignment="1">
      <alignment horizontal="center"/>
    </xf>
    <xf numFmtId="2" fontId="8" fillId="15" borderId="1" xfId="0" applyNumberFormat="1" applyFont="1" applyFill="1" applyBorder="1" applyAlignment="1">
      <alignment horizontal="center"/>
    </xf>
    <xf numFmtId="2" fontId="8" fillId="15" borderId="32" xfId="0" applyNumberFormat="1" applyFont="1" applyFill="1" applyBorder="1" applyAlignment="1">
      <alignment horizontal="center"/>
    </xf>
    <xf numFmtId="2" fontId="8" fillId="15" borderId="32" xfId="7" applyNumberFormat="1" applyFont="1" applyFill="1" applyBorder="1" applyAlignment="1">
      <alignment horizontal="center"/>
    </xf>
    <xf numFmtId="2" fontId="8" fillId="17" borderId="1" xfId="0" applyNumberFormat="1" applyFont="1" applyFill="1" applyBorder="1" applyAlignment="1">
      <alignment horizontal="center"/>
    </xf>
    <xf numFmtId="1" fontId="8" fillId="15" borderId="32" xfId="0" applyNumberFormat="1" applyFont="1" applyFill="1" applyBorder="1" applyAlignment="1">
      <alignment horizontal="center"/>
    </xf>
    <xf numFmtId="1" fontId="8" fillId="9" borderId="32" xfId="0" applyNumberFormat="1" applyFont="1" applyFill="1" applyBorder="1" applyAlignment="1">
      <alignment horizontal="center"/>
    </xf>
    <xf numFmtId="0" fontId="15" fillId="0" borderId="1" xfId="0" applyFont="1" applyBorder="1" applyAlignment="1">
      <alignment horizontal="center" vertical="center" wrapText="1"/>
    </xf>
    <xf numFmtId="0" fontId="13" fillId="0" borderId="1" xfId="0" applyFont="1" applyFill="1" applyBorder="1" applyAlignment="1">
      <alignment horizontal="left"/>
    </xf>
    <xf numFmtId="0" fontId="8" fillId="16" borderId="1" xfId="0" applyNumberFormat="1" applyFont="1" applyFill="1" applyBorder="1" applyAlignment="1">
      <alignment horizontal="center"/>
    </xf>
    <xf numFmtId="0" fontId="8" fillId="16" borderId="32" xfId="0" applyNumberFormat="1" applyFont="1" applyFill="1" applyBorder="1" applyAlignment="1">
      <alignment horizontal="center"/>
    </xf>
    <xf numFmtId="0" fontId="8" fillId="16" borderId="32" xfId="7" applyNumberFormat="1" applyFont="1" applyFill="1" applyBorder="1" applyAlignment="1">
      <alignment horizontal="center"/>
    </xf>
    <xf numFmtId="0" fontId="8" fillId="9" borderId="32" xfId="7" applyNumberFormat="1" applyFont="1" applyFill="1" applyBorder="1" applyAlignment="1">
      <alignment horizontal="center"/>
    </xf>
    <xf numFmtId="0" fontId="8" fillId="17" borderId="1" xfId="0" applyNumberFormat="1" applyFont="1" applyFill="1" applyBorder="1" applyAlignment="1">
      <alignment horizontal="center"/>
    </xf>
    <xf numFmtId="0" fontId="8" fillId="15" borderId="1" xfId="0" applyNumberFormat="1" applyFont="1" applyFill="1" applyBorder="1" applyAlignment="1">
      <alignment horizontal="center"/>
    </xf>
    <xf numFmtId="0" fontId="8" fillId="15" borderId="32" xfId="0" applyNumberFormat="1" applyFont="1" applyFill="1" applyBorder="1" applyAlignment="1">
      <alignment horizontal="center"/>
    </xf>
    <xf numFmtId="0" fontId="8" fillId="15" borderId="32" xfId="7" applyNumberFormat="1" applyFont="1" applyFill="1" applyBorder="1" applyAlignment="1">
      <alignment horizontal="center"/>
    </xf>
    <xf numFmtId="0" fontId="8" fillId="15" borderId="32" xfId="0" applyNumberFormat="1" applyFont="1" applyFill="1" applyBorder="1"/>
    <xf numFmtId="0" fontId="8" fillId="17" borderId="32" xfId="0" applyNumberFormat="1" applyFont="1" applyFill="1" applyBorder="1" applyAlignment="1">
      <alignment horizontal="center"/>
    </xf>
    <xf numFmtId="0" fontId="8" fillId="17" borderId="32" xfId="7" applyNumberFormat="1" applyFont="1" applyFill="1" applyBorder="1" applyAlignment="1">
      <alignment horizontal="center"/>
    </xf>
    <xf numFmtId="0" fontId="8" fillId="9" borderId="32" xfId="0" applyNumberFormat="1" applyFont="1" applyFill="1" applyBorder="1" applyAlignment="1">
      <alignment horizontal="center"/>
    </xf>
    <xf numFmtId="0" fontId="8" fillId="9" borderId="32" xfId="0" applyNumberFormat="1" applyFont="1" applyFill="1" applyBorder="1"/>
    <xf numFmtId="164" fontId="0" fillId="7" borderId="1" xfId="0" applyNumberFormat="1" applyFill="1" applyBorder="1" applyAlignment="1">
      <alignment horizontal="center"/>
    </xf>
    <xf numFmtId="0" fontId="0" fillId="7" borderId="11" xfId="0" applyFill="1" applyBorder="1" applyAlignment="1">
      <alignment horizontal="center"/>
    </xf>
    <xf numFmtId="0" fontId="16" fillId="18" borderId="31" xfId="0" applyFont="1" applyFill="1" applyBorder="1" applyAlignment="1">
      <alignment horizontal="center" vertical="center" wrapText="1"/>
    </xf>
    <xf numFmtId="13" fontId="16" fillId="18" borderId="31" xfId="0" applyNumberFormat="1" applyFont="1" applyFill="1" applyBorder="1" applyAlignment="1">
      <alignment horizontal="center" vertical="center" wrapText="1"/>
    </xf>
    <xf numFmtId="0" fontId="0" fillId="0" borderId="0" xfId="0" applyAlignment="1">
      <alignment horizontal="left"/>
    </xf>
    <xf numFmtId="0" fontId="0" fillId="18" borderId="0" xfId="0" applyFill="1" applyAlignment="1">
      <alignment horizontal="center" vertical="center" wrapText="1"/>
    </xf>
    <xf numFmtId="0" fontId="0" fillId="0" borderId="0" xfId="0" applyNumberFormat="1" applyAlignment="1">
      <alignment wrapText="1"/>
    </xf>
    <xf numFmtId="164" fontId="0" fillId="7" borderId="0" xfId="0" applyNumberFormat="1" applyFill="1" applyBorder="1" applyAlignment="1">
      <alignment horizontal="center"/>
    </xf>
    <xf numFmtId="164" fontId="0" fillId="7" borderId="15" xfId="0" applyNumberFormat="1" applyFill="1" applyBorder="1" applyAlignment="1">
      <alignment horizontal="center"/>
    </xf>
    <xf numFmtId="164" fontId="0" fillId="7" borderId="3" xfId="0" applyNumberFormat="1" applyFill="1" applyBorder="1" applyAlignment="1">
      <alignment horizontal="center"/>
    </xf>
    <xf numFmtId="164" fontId="0" fillId="7" borderId="17" xfId="0" applyNumberFormat="1" applyFill="1" applyBorder="1" applyAlignment="1">
      <alignment horizontal="center"/>
    </xf>
    <xf numFmtId="0" fontId="0" fillId="7" borderId="1" xfId="0" applyFill="1" applyBorder="1" applyAlignment="1">
      <alignment horizontal="center"/>
    </xf>
    <xf numFmtId="0" fontId="0" fillId="7" borderId="22" xfId="0" applyFill="1" applyBorder="1" applyAlignment="1">
      <alignment horizontal="center"/>
    </xf>
    <xf numFmtId="0" fontId="1" fillId="0" borderId="0" xfId="0" applyFont="1" applyAlignment="1">
      <alignment horizontal="center"/>
    </xf>
    <xf numFmtId="0" fontId="1" fillId="19" borderId="3" xfId="0" applyFont="1" applyFill="1" applyBorder="1" applyAlignment="1">
      <alignment horizontal="center"/>
    </xf>
    <xf numFmtId="164" fontId="0" fillId="19" borderId="1" xfId="0" applyNumberFormat="1" applyFill="1" applyBorder="1" applyAlignment="1">
      <alignment horizontal="center"/>
    </xf>
    <xf numFmtId="0" fontId="17" fillId="2" borderId="0" xfId="0" applyFont="1" applyFill="1"/>
    <xf numFmtId="2" fontId="3" fillId="8" borderId="2" xfId="0" applyNumberFormat="1" applyFont="1" applyFill="1" applyBorder="1" applyAlignment="1">
      <alignment horizontal="center" vertical="center"/>
    </xf>
    <xf numFmtId="0" fontId="3" fillId="14" borderId="26" xfId="0" applyFont="1" applyFill="1" applyBorder="1" applyAlignment="1">
      <alignment horizontal="center" vertical="center"/>
    </xf>
    <xf numFmtId="0" fontId="3" fillId="14" borderId="3" xfId="0" applyFont="1" applyFill="1" applyBorder="1" applyAlignment="1">
      <alignment horizontal="center" vertical="center"/>
    </xf>
    <xf numFmtId="0" fontId="0" fillId="0" borderId="0" xfId="0" applyAlignment="1"/>
    <xf numFmtId="0" fontId="3" fillId="0" borderId="3" xfId="0" applyNumberFormat="1" applyFont="1" applyFill="1" applyBorder="1" applyAlignment="1">
      <alignment vertical="center"/>
    </xf>
    <xf numFmtId="2" fontId="3" fillId="0" borderId="15" xfId="0" applyNumberFormat="1" applyFont="1" applyFill="1" applyBorder="1" applyAlignment="1">
      <alignment vertical="center"/>
    </xf>
    <xf numFmtId="0" fontId="3" fillId="0" borderId="1" xfId="0" applyNumberFormat="1" applyFont="1" applyFill="1" applyBorder="1" applyAlignment="1">
      <alignment horizontal="center" vertical="center"/>
    </xf>
    <xf numFmtId="0" fontId="3" fillId="0" borderId="3" xfId="0" applyNumberFormat="1" applyFont="1" applyFill="1" applyBorder="1" applyAlignment="1">
      <alignment horizontal="center" vertical="center"/>
    </xf>
    <xf numFmtId="2" fontId="3" fillId="0" borderId="3" xfId="0" applyNumberFormat="1" applyFont="1" applyFill="1" applyBorder="1" applyAlignment="1">
      <alignment horizontal="center" vertical="center"/>
    </xf>
    <xf numFmtId="0" fontId="3" fillId="0" borderId="0" xfId="0" applyFont="1" applyFill="1"/>
    <xf numFmtId="0" fontId="3" fillId="0" borderId="21" xfId="0" applyFont="1" applyBorder="1" applyAlignment="1">
      <alignment vertical="center"/>
    </xf>
    <xf numFmtId="0" fontId="3" fillId="0" borderId="22" xfId="0" applyNumberFormat="1" applyFont="1" applyBorder="1" applyAlignment="1">
      <alignment horizontal="center" vertical="center"/>
    </xf>
    <xf numFmtId="0" fontId="3" fillId="14" borderId="34" xfId="0" applyNumberFormat="1" applyFont="1" applyFill="1" applyBorder="1" applyAlignment="1">
      <alignment vertical="center"/>
    </xf>
    <xf numFmtId="0" fontId="3" fillId="14" borderId="29" xfId="0" applyFont="1" applyFill="1" applyBorder="1" applyAlignment="1">
      <alignment vertical="center"/>
    </xf>
    <xf numFmtId="0" fontId="3" fillId="14" borderId="35" xfId="0" applyNumberFormat="1" applyFont="1" applyFill="1" applyBorder="1" applyAlignment="1">
      <alignment vertical="center"/>
    </xf>
    <xf numFmtId="0" fontId="3" fillId="14" borderId="24" xfId="0" applyFont="1" applyFill="1" applyBorder="1" applyAlignment="1">
      <alignment vertical="center"/>
    </xf>
    <xf numFmtId="0" fontId="3" fillId="14" borderId="36" xfId="0" applyNumberFormat="1" applyFont="1" applyFill="1" applyBorder="1" applyAlignment="1">
      <alignment vertical="center"/>
    </xf>
    <xf numFmtId="0" fontId="3" fillId="14" borderId="37" xfId="0" applyFont="1" applyFill="1" applyBorder="1" applyAlignment="1">
      <alignment vertical="center"/>
    </xf>
    <xf numFmtId="0" fontId="3" fillId="14" borderId="11" xfId="0" applyNumberFormat="1" applyFont="1" applyFill="1" applyBorder="1" applyAlignment="1">
      <alignment horizontal="center" vertical="center"/>
    </xf>
    <xf numFmtId="0" fontId="3" fillId="14" borderId="38" xfId="0" applyNumberFormat="1" applyFont="1" applyFill="1" applyBorder="1" applyAlignment="1">
      <alignment horizontal="center" vertical="center"/>
    </xf>
    <xf numFmtId="0" fontId="3" fillId="14" borderId="38" xfId="0" applyFont="1" applyFill="1" applyBorder="1" applyAlignment="1">
      <alignment horizontal="center" vertical="center"/>
    </xf>
    <xf numFmtId="0" fontId="3" fillId="14" borderId="33" xfId="0" applyFont="1" applyFill="1" applyBorder="1" applyAlignment="1">
      <alignment vertical="center"/>
    </xf>
    <xf numFmtId="0" fontId="3" fillId="0" borderId="11" xfId="0" applyNumberFormat="1" applyFont="1" applyBorder="1" applyAlignment="1">
      <alignment vertical="center"/>
    </xf>
    <xf numFmtId="0" fontId="0" fillId="0" borderId="0" xfId="0" applyAlignment="1">
      <alignment wrapText="1"/>
    </xf>
    <xf numFmtId="0" fontId="0" fillId="20" borderId="44" xfId="0" applyFont="1" applyFill="1" applyBorder="1" applyAlignment="1">
      <alignment horizontal="left" vertical="top" wrapText="1"/>
    </xf>
    <xf numFmtId="0" fontId="0" fillId="20" borderId="32" xfId="0" applyFont="1" applyFill="1" applyBorder="1" applyAlignment="1">
      <alignment horizontal="left" vertical="top" wrapText="1"/>
    </xf>
    <xf numFmtId="0" fontId="0" fillId="20" borderId="42" xfId="0" applyFont="1" applyFill="1" applyBorder="1" applyAlignment="1">
      <alignment horizontal="left" vertical="top" wrapText="1"/>
    </xf>
    <xf numFmtId="0" fontId="0" fillId="20" borderId="45" xfId="0" applyFont="1" applyFill="1" applyBorder="1" applyAlignment="1">
      <alignment horizontal="left" vertical="top" wrapText="1"/>
    </xf>
    <xf numFmtId="0" fontId="1" fillId="0" borderId="43"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42" xfId="0" applyFont="1" applyFill="1" applyBorder="1" applyAlignment="1">
      <alignment horizontal="center" vertical="center" wrapText="1"/>
    </xf>
    <xf numFmtId="0" fontId="1" fillId="0" borderId="45" xfId="0" applyFont="1" applyFill="1" applyBorder="1" applyAlignment="1">
      <alignment horizontal="center" vertical="center" wrapText="1"/>
    </xf>
    <xf numFmtId="0" fontId="3" fillId="9" borderId="8" xfId="0" applyFont="1" applyFill="1" applyBorder="1" applyAlignment="1">
      <alignment horizontal="center"/>
    </xf>
    <xf numFmtId="0" fontId="3" fillId="9" borderId="10" xfId="0" applyFont="1" applyFill="1" applyBorder="1" applyAlignment="1">
      <alignment horizontal="center"/>
    </xf>
    <xf numFmtId="0" fontId="3" fillId="9" borderId="18" xfId="0" applyFont="1" applyFill="1" applyBorder="1" applyAlignment="1">
      <alignment horizontal="center"/>
    </xf>
    <xf numFmtId="0" fontId="3" fillId="14" borderId="46" xfId="0" applyNumberFormat="1" applyFont="1" applyFill="1" applyBorder="1" applyAlignment="1">
      <alignment vertical="center"/>
    </xf>
    <xf numFmtId="0" fontId="3" fillId="14" borderId="25" xfId="0" applyNumberFormat="1" applyFont="1" applyFill="1" applyBorder="1" applyAlignment="1">
      <alignment vertical="center"/>
    </xf>
    <xf numFmtId="0" fontId="3" fillId="14" borderId="1" xfId="0" applyNumberFormat="1" applyFont="1" applyFill="1" applyBorder="1" applyAlignment="1">
      <alignment vertical="center"/>
    </xf>
    <xf numFmtId="0" fontId="18" fillId="9" borderId="12" xfId="0" applyFont="1" applyFill="1" applyBorder="1" applyAlignment="1">
      <alignment horizontal="left"/>
    </xf>
    <xf numFmtId="0" fontId="0" fillId="0" borderId="0" xfId="0" applyNumberFormat="1" applyFont="1"/>
    <xf numFmtId="0" fontId="19" fillId="0" borderId="0" xfId="0" applyFont="1"/>
    <xf numFmtId="0" fontId="7" fillId="13" borderId="7" xfId="0" applyFont="1" applyFill="1" applyBorder="1" applyAlignment="1">
      <alignment horizontal="center" vertical="center" wrapText="1"/>
    </xf>
    <xf numFmtId="0" fontId="7" fillId="13" borderId="6" xfId="0" applyFont="1" applyFill="1" applyBorder="1" applyAlignment="1">
      <alignment horizontal="center" vertical="center" wrapText="1"/>
    </xf>
    <xf numFmtId="0" fontId="7" fillId="13" borderId="5" xfId="0" applyFont="1" applyFill="1" applyBorder="1" applyAlignment="1">
      <alignment horizontal="center" vertical="center" wrapText="1"/>
    </xf>
    <xf numFmtId="14" fontId="3" fillId="0" borderId="9" xfId="0" applyNumberFormat="1" applyFont="1" applyBorder="1" applyAlignment="1">
      <alignment horizontal="center" vertical="center"/>
    </xf>
    <xf numFmtId="0" fontId="3" fillId="0" borderId="16" xfId="0" applyFont="1" applyBorder="1" applyAlignment="1">
      <alignment horizontal="center" vertical="center"/>
    </xf>
    <xf numFmtId="14" fontId="3" fillId="0" borderId="1" xfId="0" applyNumberFormat="1" applyFont="1" applyBorder="1" applyAlignment="1">
      <alignment horizontal="center" vertical="center"/>
    </xf>
    <xf numFmtId="0" fontId="3" fillId="0" borderId="17" xfId="0" applyFont="1" applyBorder="1" applyAlignment="1">
      <alignment horizontal="center" vertical="center"/>
    </xf>
    <xf numFmtId="14" fontId="3" fillId="0" borderId="11" xfId="0" applyNumberFormat="1" applyFont="1" applyBorder="1" applyAlignment="1">
      <alignment horizontal="center" vertical="center"/>
    </xf>
    <xf numFmtId="0" fontId="3" fillId="0" borderId="39" xfId="0" applyFont="1" applyBorder="1" applyAlignment="1">
      <alignment horizontal="center" vertical="center"/>
    </xf>
    <xf numFmtId="0" fontId="3" fillId="0" borderId="38" xfId="0" applyFont="1" applyBorder="1" applyAlignment="1">
      <alignment horizontal="left" vertical="center"/>
    </xf>
    <xf numFmtId="0" fontId="3" fillId="0" borderId="40" xfId="0" applyFont="1" applyBorder="1" applyAlignment="1">
      <alignment horizontal="left" vertical="center"/>
    </xf>
    <xf numFmtId="0" fontId="3" fillId="0" borderId="41" xfId="0" applyFont="1" applyBorder="1" applyAlignment="1">
      <alignment horizontal="left" vertical="center"/>
    </xf>
    <xf numFmtId="0" fontId="3" fillId="0" borderId="3" xfId="0" applyFont="1" applyBorder="1" applyAlignment="1">
      <alignment horizontal="left" vertical="center"/>
    </xf>
    <xf numFmtId="0" fontId="3" fillId="0" borderId="14" xfId="0" applyFont="1" applyBorder="1" applyAlignment="1">
      <alignment horizontal="left" vertical="center"/>
    </xf>
    <xf numFmtId="0" fontId="3" fillId="0" borderId="20" xfId="0" applyFont="1" applyBorder="1" applyAlignment="1">
      <alignment horizontal="left" vertical="center"/>
    </xf>
    <xf numFmtId="0" fontId="3" fillId="0" borderId="26" xfId="0" applyFont="1" applyBorder="1" applyAlignment="1">
      <alignment horizontal="left" vertical="center"/>
    </xf>
    <xf numFmtId="0" fontId="3" fillId="0" borderId="27" xfId="0" applyFont="1" applyBorder="1" applyAlignment="1">
      <alignment horizontal="left" vertical="center"/>
    </xf>
    <xf numFmtId="0" fontId="3" fillId="0" borderId="28" xfId="0" applyFont="1" applyBorder="1" applyAlignment="1">
      <alignment horizontal="left" vertical="center"/>
    </xf>
    <xf numFmtId="0" fontId="7" fillId="12" borderId="7" xfId="0" applyFont="1" applyFill="1" applyBorder="1" applyAlignment="1">
      <alignment horizontal="left"/>
    </xf>
    <xf numFmtId="0" fontId="7" fillId="12" borderId="6" xfId="0" applyFont="1" applyFill="1" applyBorder="1" applyAlignment="1">
      <alignment horizontal="left"/>
    </xf>
    <xf numFmtId="0" fontId="7" fillId="12" borderId="5" xfId="0" applyFont="1" applyFill="1" applyBorder="1" applyAlignment="1">
      <alignment horizontal="left"/>
    </xf>
    <xf numFmtId="164" fontId="7" fillId="12" borderId="7" xfId="0" applyNumberFormat="1" applyFont="1" applyFill="1" applyBorder="1" applyAlignment="1">
      <alignment horizontal="left"/>
    </xf>
    <xf numFmtId="164" fontId="7" fillId="12" borderId="6" xfId="0" applyNumberFormat="1" applyFont="1" applyFill="1" applyBorder="1" applyAlignment="1">
      <alignment horizontal="left"/>
    </xf>
    <xf numFmtId="164" fontId="7" fillId="12" borderId="5" xfId="0" applyNumberFormat="1" applyFont="1" applyFill="1" applyBorder="1" applyAlignment="1">
      <alignment horizontal="left"/>
    </xf>
    <xf numFmtId="0" fontId="1" fillId="0" borderId="19" xfId="0" applyFont="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wrapText="1"/>
    </xf>
    <xf numFmtId="0" fontId="1" fillId="0" borderId="2" xfId="0" applyFont="1" applyBorder="1" applyAlignment="1">
      <alignment horizontal="center" vertical="center" wrapText="1"/>
    </xf>
    <xf numFmtId="0" fontId="1" fillId="2" borderId="7" xfId="0" applyFont="1" applyFill="1" applyBorder="1" applyAlignment="1">
      <alignment horizontal="center" vertical="center"/>
    </xf>
    <xf numFmtId="0" fontId="1" fillId="2" borderId="6" xfId="0" applyFont="1" applyFill="1" applyBorder="1" applyAlignment="1">
      <alignment horizontal="center" vertical="center"/>
    </xf>
    <xf numFmtId="0" fontId="1" fillId="2" borderId="5" xfId="0" applyFont="1" applyFill="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25" xfId="0" applyFont="1" applyBorder="1" applyAlignment="1">
      <alignment horizontal="center" vertical="center" wrapText="1"/>
    </xf>
    <xf numFmtId="164" fontId="7" fillId="12" borderId="7" xfId="0" applyNumberFormat="1" applyFont="1" applyFill="1" applyBorder="1" applyAlignment="1">
      <alignment horizontal="left" vertical="center"/>
    </xf>
    <xf numFmtId="164" fontId="7" fillId="12" borderId="6" xfId="0" applyNumberFormat="1" applyFont="1" applyFill="1" applyBorder="1" applyAlignment="1">
      <alignment horizontal="left" vertical="center"/>
    </xf>
    <xf numFmtId="164" fontId="7" fillId="12" borderId="5" xfId="0" applyNumberFormat="1" applyFont="1" applyFill="1" applyBorder="1" applyAlignment="1">
      <alignment horizontal="left" vertical="center"/>
    </xf>
    <xf numFmtId="0" fontId="16" fillId="18" borderId="0" xfId="0" applyFont="1" applyFill="1" applyBorder="1" applyAlignment="1">
      <alignment horizontal="center" vertical="center" wrapText="1"/>
    </xf>
  </cellXfs>
  <cellStyles count="8">
    <cellStyle name="Normal" xfId="0" builtinId="0"/>
    <cellStyle name="Normal 2" xfId="1" xr:uid="{00000000-0005-0000-0000-000001000000}"/>
    <cellStyle name="Normal 2 2" xfId="5" xr:uid="{00000000-0005-0000-0000-000002000000}"/>
    <cellStyle name="Normal 2 2 2" xfId="3" xr:uid="{00000000-0005-0000-0000-000003000000}"/>
    <cellStyle name="Normal 3" xfId="2" xr:uid="{00000000-0005-0000-0000-000004000000}"/>
    <cellStyle name="Normal 3 2" xfId="4" xr:uid="{00000000-0005-0000-0000-000005000000}"/>
    <cellStyle name="Normal 4" xfId="6" xr:uid="{00000000-0005-0000-0000-000006000000}"/>
    <cellStyle name="Percent" xfId="7" builtinId="5"/>
  </cellStyles>
  <dxfs count="42">
    <dxf>
      <font>
        <color theme="6" tint="-0.499984740745262"/>
      </font>
      <fill>
        <patternFill>
          <bgColor theme="6" tint="0.79998168889431442"/>
        </patternFill>
      </fill>
    </dxf>
    <dxf>
      <font>
        <color rgb="FFFF0000"/>
      </font>
      <fill>
        <patternFill>
          <bgColor theme="5" tint="0.79998168889431442"/>
        </patternFill>
      </fill>
    </dxf>
    <dxf>
      <font>
        <color theme="6" tint="-0.499984740745262"/>
      </font>
      <fill>
        <patternFill>
          <bgColor theme="6" tint="0.79998168889431442"/>
        </patternFill>
      </fill>
    </dxf>
    <dxf>
      <font>
        <color rgb="FFFF0000"/>
      </font>
      <fill>
        <patternFill>
          <bgColor theme="5" tint="0.79998168889431442"/>
        </patternFill>
      </fill>
    </dxf>
    <dxf>
      <font>
        <color theme="6" tint="-0.499984740745262"/>
      </font>
      <fill>
        <patternFill>
          <bgColor theme="6" tint="0.79998168889431442"/>
        </patternFill>
      </fill>
    </dxf>
    <dxf>
      <font>
        <color rgb="FFFF0000"/>
      </font>
      <fill>
        <patternFill>
          <bgColor theme="5" tint="0.79998168889431442"/>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trike val="0"/>
        <condense val="0"/>
        <extend val="0"/>
        <outline val="0"/>
        <shadow val="0"/>
        <u val="none"/>
        <vertAlign val="baseline"/>
        <sz val="11"/>
        <color auto="1"/>
        <name val="Calibri"/>
        <scheme val="minor"/>
      </font>
      <fill>
        <patternFill patternType="solid">
          <fgColor indexed="64"/>
          <bgColor theme="4" tint="0.59999389629810485"/>
        </patternFill>
      </fill>
      <alignment horizontal="center" vertical="center" textRotation="0" wrapText="1"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right style="thin">
          <color theme="1"/>
        </right>
        <top style="thin">
          <color theme="1"/>
        </top>
        <bottom style="thin">
          <color theme="1"/>
        </bottom>
      </border>
    </dxf>
    <dxf>
      <border outline="0">
        <left style="thin">
          <color theme="1"/>
        </left>
        <right style="thin">
          <color theme="1"/>
        </right>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border diagonalUp="0" diagonalDown="0" outline="0">
        <left style="thin">
          <color theme="1"/>
        </left>
        <right style="thin">
          <color theme="1"/>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font>
        <strike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6"/>
        <color theme="1"/>
        <name val="Calibri"/>
        <scheme val="minor"/>
      </font>
      <numFmt numFmtId="165" formatCode="#,000"/>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numFmt numFmtId="2" formatCode="0.00"/>
      <fill>
        <patternFill patternType="solid">
          <fgColor indexed="64"/>
          <bgColor theme="0" tint="-0.14999847407452621"/>
        </patternFill>
      </fill>
      <alignment horizontal="center" vertical="center" textRotation="0" wrapText="1" indent="0" justifyLastLine="0" shrinkToFit="0" readingOrder="0"/>
    </dxf>
  </dxfs>
  <tableStyles count="0" defaultTableStyle="TableStyleMedium2" defaultPivotStyle="PivotStyleMedium9"/>
  <colors>
    <mruColors>
      <color rgb="FF5F5F5F"/>
      <color rgb="FFBA3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hartsheet" Target="chartsheets/sheet2.xml"/><Relationship Id="rId13" Type="http://schemas.openxmlformats.org/officeDocument/2006/relationships/chartsheet" Target="chartsheets/sheet4.xml"/><Relationship Id="rId18" Type="http://schemas.openxmlformats.org/officeDocument/2006/relationships/worksheet" Target="worksheets/sheet14.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ivotCacheDefinition" Target="pivotCache/pivotCacheDefinition1.xml"/><Relationship Id="rId7" Type="http://schemas.openxmlformats.org/officeDocument/2006/relationships/worksheet" Target="worksheets/sheet6.xml"/><Relationship Id="rId12" Type="http://schemas.openxmlformats.org/officeDocument/2006/relationships/worksheet" Target="worksheets/sheet9.xml"/><Relationship Id="rId17" Type="http://schemas.openxmlformats.org/officeDocument/2006/relationships/worksheet" Target="worksheets/sheet13.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2.xml"/><Relationship Id="rId20" Type="http://schemas.openxmlformats.org/officeDocument/2006/relationships/externalLink" Target="externalLinks/externalLink2.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chartsheet" Target="chartsheets/sheet3.xml"/><Relationship Id="rId24" Type="http://schemas.openxmlformats.org/officeDocument/2006/relationships/pivotCacheDefinition" Target="pivotCache/pivotCacheDefinition4.xml"/><Relationship Id="rId5" Type="http://schemas.openxmlformats.org/officeDocument/2006/relationships/chartsheet" Target="chartsheets/sheet1.xml"/><Relationship Id="rId15" Type="http://schemas.openxmlformats.org/officeDocument/2006/relationships/worksheet" Target="worksheets/sheet11.xml"/><Relationship Id="rId23" Type="http://schemas.openxmlformats.org/officeDocument/2006/relationships/pivotCacheDefinition" Target="pivotCache/pivotCacheDefinition3.xml"/><Relationship Id="rId28" Type="http://schemas.openxmlformats.org/officeDocument/2006/relationships/calcChain" Target="calcChain.xml"/><Relationship Id="rId10" Type="http://schemas.openxmlformats.org/officeDocument/2006/relationships/worksheet" Target="worksheets/sheet8.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7.xml"/><Relationship Id="rId14" Type="http://schemas.openxmlformats.org/officeDocument/2006/relationships/worksheet" Target="worksheets/sheet10.xml"/><Relationship Id="rId22" Type="http://schemas.openxmlformats.org/officeDocument/2006/relationships/pivotCacheDefinition" Target="pivotCache/pivotCacheDefinition2.xml"/><Relationship Id="rId27" Type="http://schemas.openxmlformats.org/officeDocument/2006/relationships/sharedStrings" Target="sharedStrings.xml"/><Relationship Id="rId30"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661954963560215E-2"/>
          <c:y val="0.14661966108751268"/>
          <c:w val="0.9002738512986157"/>
          <c:h val="0.63968468033016779"/>
        </c:manualLayout>
      </c:layout>
      <c:barChart>
        <c:barDir val="col"/>
        <c:grouping val="clustered"/>
        <c:varyColors val="0"/>
        <c:ser>
          <c:idx val="0"/>
          <c:order val="0"/>
          <c:tx>
            <c:v>R1</c:v>
          </c:tx>
          <c:spPr>
            <a:solidFill>
              <a:srgbClr val="00B050"/>
            </a:solidFill>
          </c:spPr>
          <c:invertIfNegative val="0"/>
          <c:errBars>
            <c:errBarType val="plus"/>
            <c:errValType val="cust"/>
            <c:noEndCap val="0"/>
            <c:plus>
              <c:numRef>
                <c:f>'R1'!$N$48:$AK$48</c:f>
                <c:numCache>
                  <c:formatCode>General</c:formatCode>
                  <c:ptCount val="24"/>
                  <c:pt idx="0">
                    <c:v>0</c:v>
                  </c:pt>
                  <c:pt idx="1">
                    <c:v>0.24954716600746679</c:v>
                  </c:pt>
                  <c:pt idx="2">
                    <c:v>0.45312558055857671</c:v>
                  </c:pt>
                  <c:pt idx="3">
                    <c:v>4.1102807042711111E-2</c:v>
                  </c:pt>
                  <c:pt idx="4">
                    <c:v>0.71229554709165954</c:v>
                  </c:pt>
                  <c:pt idx="5">
                    <c:v>0.43974484075482284</c:v>
                  </c:pt>
                  <c:pt idx="6">
                    <c:v>0.49546451047044193</c:v>
                  </c:pt>
                  <c:pt idx="7">
                    <c:v>0.55918396226807476</c:v>
                  </c:pt>
                  <c:pt idx="8">
                    <c:v>0.76845758596519054</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plus>
            <c:minus>
              <c:numRef>
                <c:f>'R1'!$N$48:$AK$48</c:f>
                <c:numCache>
                  <c:formatCode>General</c:formatCode>
                  <c:ptCount val="24"/>
                  <c:pt idx="0">
                    <c:v>0</c:v>
                  </c:pt>
                  <c:pt idx="1">
                    <c:v>0.24954716600746679</c:v>
                  </c:pt>
                  <c:pt idx="2">
                    <c:v>0.45312558055857671</c:v>
                  </c:pt>
                  <c:pt idx="3">
                    <c:v>4.1102807042711111E-2</c:v>
                  </c:pt>
                  <c:pt idx="4">
                    <c:v>0.71229554709165954</c:v>
                  </c:pt>
                  <c:pt idx="5">
                    <c:v>0.43974484075482284</c:v>
                  </c:pt>
                  <c:pt idx="6">
                    <c:v>0.49546451047044193</c:v>
                  </c:pt>
                  <c:pt idx="7">
                    <c:v>0.55918396226807476</c:v>
                  </c:pt>
                  <c:pt idx="8">
                    <c:v>0.76845758596519054</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minus>
          </c:errBars>
          <c:cat>
            <c:strRef>
              <c:f>'R1'!$B$52:$AK$52</c:f>
              <c:strCache>
                <c:ptCount val="36"/>
                <c:pt idx="0">
                  <c:v>Témoin solvant</c:v>
                </c:pt>
                <c:pt idx="1">
                  <c:v>EE2-33.8ng/L</c:v>
                </c:pt>
                <c:pt idx="2">
                  <c:v>EE2-50.6ng/L</c:v>
                </c:pt>
                <c:pt idx="3">
                  <c:v>EE2-76ng/L</c:v>
                </c:pt>
                <c:pt idx="4">
                  <c:v>EE2-114ng/L</c:v>
                </c:pt>
                <c:pt idx="5">
                  <c:v>EE2-170.9ng/L</c:v>
                </c:pt>
                <c:pt idx="6">
                  <c:v>EE2-488ng/L</c:v>
                </c:pt>
                <c:pt idx="7">
                  <c:v>estradiol 34ng/L</c:v>
                </c:pt>
                <c:pt idx="8">
                  <c:v>estradiol 68ng/L</c:v>
                </c:pt>
                <c:pt idx="9">
                  <c:v>estradiol 135ng/L</c:v>
                </c:pt>
                <c:pt idx="10">
                  <c:v>estradiol 270ng/L</c:v>
                </c:pt>
                <c:pt idx="11">
                  <c:v>estradiol 540ng/L</c:v>
                </c:pt>
                <c:pt idx="13">
                  <c:v>Testo -30µg/L</c:v>
                </c:pt>
                <c:pt idx="14">
                  <c:v>Testo 30µg/L + EE2 -64ng/L</c:v>
                </c:pt>
                <c:pt idx="15">
                  <c:v>Testo 30µg/L + FAD-10mg/L</c:v>
                </c:pt>
                <c:pt idx="16">
                  <c:v>estradiol-34ng/L + Testostérone</c:v>
                </c:pt>
                <c:pt idx="17">
                  <c:v>estradiol-68ng/L + Testostérone</c:v>
                </c:pt>
                <c:pt idx="18">
                  <c:v>estradiol-135ng/L + Testostérone</c:v>
                </c:pt>
                <c:pt idx="19">
                  <c:v>estradiol-270ng/L + Testostérone</c:v>
                </c:pt>
                <c:pt idx="20">
                  <c:v>estradiol-540ng/L + Testostérone</c:v>
                </c:pt>
                <c:pt idx="21">
                  <c:v>0-00 + Testostérone</c:v>
                </c:pt>
                <c:pt idx="22">
                  <c:v>0-00 + Testostérone</c:v>
                </c:pt>
                <c:pt idx="23">
                  <c:v>0-00 + Testostérone</c:v>
                </c:pt>
                <c:pt idx="24">
                  <c:v>0-00 + Testostérone</c:v>
                </c:pt>
                <c:pt idx="25">
                  <c:v>0-00 + Testostérone</c:v>
                </c:pt>
                <c:pt idx="26">
                  <c:v>0-00 + Testostérone</c:v>
                </c:pt>
                <c:pt idx="27">
                  <c:v>0-00 + Testostérone</c:v>
                </c:pt>
                <c:pt idx="28">
                  <c:v>0-00 + Testostérone</c:v>
                </c:pt>
                <c:pt idx="29">
                  <c:v>0-00 + Testostérone</c:v>
                </c:pt>
                <c:pt idx="30">
                  <c:v>0-00 + Testostérone</c:v>
                </c:pt>
                <c:pt idx="31">
                  <c:v>0-00 + Testostérone</c:v>
                </c:pt>
                <c:pt idx="32">
                  <c:v>0-00 + Testostérone</c:v>
                </c:pt>
                <c:pt idx="33">
                  <c:v>0-00 + Testostérone</c:v>
                </c:pt>
                <c:pt idx="34">
                  <c:v>0-00 + Testostérone</c:v>
                </c:pt>
                <c:pt idx="35">
                  <c:v>0-00 + Testostérone</c:v>
                </c:pt>
              </c:strCache>
            </c:strRef>
          </c:cat>
          <c:val>
            <c:numRef>
              <c:f>'R1'!$B$53:$AK$53</c:f>
              <c:numCache>
                <c:formatCode>0.0000</c:formatCode>
                <c:ptCount val="36"/>
                <c:pt idx="0">
                  <c:v>0.28711179742097781</c:v>
                </c:pt>
                <c:pt idx="1">
                  <c:v>0.27885507671434989</c:v>
                </c:pt>
                <c:pt idx="2">
                  <c:v>0.29579698899899443</c:v>
                </c:pt>
                <c:pt idx="3">
                  <c:v>1.589627535074531</c:v>
                </c:pt>
                <c:pt idx="4">
                  <c:v>3.3475787057035342</c:v>
                </c:pt>
                <c:pt idx="5">
                  <c:v>3.8854558950719187</c:v>
                </c:pt>
                <c:pt idx="6">
                  <c:v>5.9796625195592217</c:v>
                </c:pt>
                <c:pt idx="7">
                  <c:v>0.27157228453869109</c:v>
                </c:pt>
                <c:pt idx="8">
                  <c:v>0.29527457555721692</c:v>
                </c:pt>
                <c:pt idx="9">
                  <c:v>1.6456774473137379</c:v>
                </c:pt>
                <c:pt idx="10">
                  <c:v>2.1008252761607591</c:v>
                </c:pt>
                <c:pt idx="11">
                  <c:v>5.4428771304079619</c:v>
                </c:pt>
                <c:pt idx="13">
                  <c:v>0.99999999999999989</c:v>
                </c:pt>
                <c:pt idx="14">
                  <c:v>4.9194636556095812</c:v>
                </c:pt>
                <c:pt idx="15">
                  <c:v>0.15808032301624825</c:v>
                </c:pt>
                <c:pt idx="16">
                  <c:v>2.115992787771336</c:v>
                </c:pt>
                <c:pt idx="17">
                  <c:v>3.2726957272321648</c:v>
                </c:pt>
                <c:pt idx="18">
                  <c:v>3.389415771945425</c:v>
                </c:pt>
                <c:pt idx="19">
                  <c:v>4.8728056570683433</c:v>
                </c:pt>
                <c:pt idx="20">
                  <c:v>5.2660478515303426</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0-4E48-433F-93CE-959A7E8575BB}"/>
            </c:ext>
          </c:extLst>
        </c:ser>
        <c:dLbls>
          <c:showLegendKey val="0"/>
          <c:showVal val="0"/>
          <c:showCatName val="0"/>
          <c:showSerName val="0"/>
          <c:showPercent val="0"/>
          <c:showBubbleSize val="0"/>
        </c:dLbls>
        <c:gapWidth val="150"/>
        <c:axId val="324817512"/>
        <c:axId val="324817904"/>
      </c:barChart>
      <c:catAx>
        <c:axId val="324817512"/>
        <c:scaling>
          <c:orientation val="minMax"/>
        </c:scaling>
        <c:delete val="0"/>
        <c:axPos val="b"/>
        <c:numFmt formatCode="General" sourceLinked="1"/>
        <c:majorTickMark val="out"/>
        <c:minorTickMark val="none"/>
        <c:tickLblPos val="nextTo"/>
        <c:txPr>
          <a:bodyPr rot="-2700000" vert="horz"/>
          <a:lstStyle/>
          <a:p>
            <a:pPr>
              <a:defRPr lang="en-GB"/>
            </a:pPr>
            <a:endParaRPr lang="en-US"/>
          </a:p>
        </c:txPr>
        <c:crossAx val="324817904"/>
        <c:crosses val="autoZero"/>
        <c:auto val="1"/>
        <c:lblAlgn val="ctr"/>
        <c:lblOffset val="100"/>
        <c:noMultiLvlLbl val="0"/>
      </c:catAx>
      <c:valAx>
        <c:axId val="324817904"/>
        <c:scaling>
          <c:orientation val="minMax"/>
          <c:max val="2.8"/>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en-US"/>
          </a:p>
        </c:txPr>
        <c:crossAx val="324817512"/>
        <c:crosses val="autoZero"/>
        <c:crossBetween val="between"/>
        <c:majorUnit val="0.2"/>
        <c:minorUnit val="0.1"/>
      </c:valAx>
    </c:plotArea>
    <c:plotVisOnly val="1"/>
    <c:dispBlanksAs val="gap"/>
    <c:showDLblsOverMax val="0"/>
  </c:chart>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accent2"/>
            </a:solidFill>
          </c:spPr>
          <c:invertIfNegative val="0"/>
          <c:dPt>
            <c:idx val="9"/>
            <c:invertIfNegative val="0"/>
            <c:bubble3D val="0"/>
            <c:spPr>
              <a:solidFill>
                <a:schemeClr val="bg1">
                  <a:lumMod val="65000"/>
                </a:schemeClr>
              </a:solidFill>
            </c:spPr>
            <c:extLst>
              <c:ext xmlns:c16="http://schemas.microsoft.com/office/drawing/2014/chart" uri="{C3380CC4-5D6E-409C-BE32-E72D297353CC}">
                <c16:uniqueId val="{00000001-EED2-4ACE-91AA-7F8713196E92}"/>
              </c:ext>
            </c:extLst>
          </c:dPt>
          <c:dPt>
            <c:idx val="11"/>
            <c:invertIfNegative val="0"/>
            <c:bubble3D val="0"/>
            <c:spPr>
              <a:solidFill>
                <a:schemeClr val="bg1">
                  <a:lumMod val="65000"/>
                </a:schemeClr>
              </a:solidFill>
            </c:spPr>
            <c:extLst>
              <c:ext xmlns:c16="http://schemas.microsoft.com/office/drawing/2014/chart" uri="{C3380CC4-5D6E-409C-BE32-E72D297353CC}">
                <c16:uniqueId val="{00000003-EED2-4ACE-91AA-7F8713196E92}"/>
              </c:ext>
            </c:extLst>
          </c:dPt>
          <c:dPt>
            <c:idx val="13"/>
            <c:invertIfNegative val="0"/>
            <c:bubble3D val="0"/>
            <c:spPr>
              <a:solidFill>
                <a:schemeClr val="bg1">
                  <a:lumMod val="65000"/>
                </a:schemeClr>
              </a:solidFill>
            </c:spPr>
            <c:extLst>
              <c:ext xmlns:c16="http://schemas.microsoft.com/office/drawing/2014/chart" uri="{C3380CC4-5D6E-409C-BE32-E72D297353CC}">
                <c16:uniqueId val="{00000005-EED2-4ACE-91AA-7F8713196E92}"/>
              </c:ext>
            </c:extLst>
          </c:dPt>
          <c:dPt>
            <c:idx val="15"/>
            <c:invertIfNegative val="0"/>
            <c:bubble3D val="0"/>
            <c:spPr>
              <a:solidFill>
                <a:schemeClr val="bg1">
                  <a:lumMod val="65000"/>
                </a:schemeClr>
              </a:solidFill>
            </c:spPr>
            <c:extLst>
              <c:ext xmlns:c16="http://schemas.microsoft.com/office/drawing/2014/chart" uri="{C3380CC4-5D6E-409C-BE32-E72D297353CC}">
                <c16:uniqueId val="{00000007-EED2-4ACE-91AA-7F8713196E92}"/>
              </c:ext>
            </c:extLst>
          </c:dPt>
          <c:dPt>
            <c:idx val="25"/>
            <c:invertIfNegative val="0"/>
            <c:bubble3D val="0"/>
            <c:spPr>
              <a:solidFill>
                <a:srgbClr val="00B050"/>
              </a:solidFill>
            </c:spPr>
            <c:extLst>
              <c:ext xmlns:c16="http://schemas.microsoft.com/office/drawing/2014/chart" uri="{C3380CC4-5D6E-409C-BE32-E72D297353CC}">
                <c16:uniqueId val="{00000009-EED2-4ACE-91AA-7F8713196E92}"/>
              </c:ext>
            </c:extLst>
          </c:dPt>
          <c:dPt>
            <c:idx val="26"/>
            <c:invertIfNegative val="0"/>
            <c:bubble3D val="0"/>
            <c:spPr>
              <a:solidFill>
                <a:srgbClr val="FF0000"/>
              </a:solidFill>
            </c:spPr>
            <c:extLst>
              <c:ext xmlns:c16="http://schemas.microsoft.com/office/drawing/2014/chart" uri="{C3380CC4-5D6E-409C-BE32-E72D297353CC}">
                <c16:uniqueId val="{0000000B-EED2-4ACE-91AA-7F8713196E92}"/>
              </c:ext>
            </c:extLst>
          </c:dPt>
          <c:dPt>
            <c:idx val="27"/>
            <c:invertIfNegative val="0"/>
            <c:bubble3D val="0"/>
            <c:spPr>
              <a:solidFill>
                <a:srgbClr val="0070C0"/>
              </a:solidFill>
            </c:spPr>
            <c:extLst>
              <c:ext xmlns:c16="http://schemas.microsoft.com/office/drawing/2014/chart" uri="{C3380CC4-5D6E-409C-BE32-E72D297353CC}">
                <c16:uniqueId val="{0000000D-EED2-4ACE-91AA-7F8713196E92}"/>
              </c:ext>
            </c:extLst>
          </c:dPt>
          <c:dPt>
            <c:idx val="28"/>
            <c:invertIfNegative val="0"/>
            <c:bubble3D val="0"/>
            <c:spPr>
              <a:solidFill>
                <a:schemeClr val="bg1">
                  <a:lumMod val="65000"/>
                </a:schemeClr>
              </a:solidFill>
            </c:spPr>
            <c:extLst>
              <c:ext xmlns:c16="http://schemas.microsoft.com/office/drawing/2014/chart" uri="{C3380CC4-5D6E-409C-BE32-E72D297353CC}">
                <c16:uniqueId val="{0000000F-EED2-4ACE-91AA-7F8713196E92}"/>
              </c:ext>
            </c:extLst>
          </c:dPt>
          <c:dPt>
            <c:idx val="30"/>
            <c:invertIfNegative val="0"/>
            <c:bubble3D val="0"/>
            <c:spPr>
              <a:solidFill>
                <a:schemeClr val="bg1">
                  <a:lumMod val="65000"/>
                </a:schemeClr>
              </a:solidFill>
            </c:spPr>
            <c:extLst>
              <c:ext xmlns:c16="http://schemas.microsoft.com/office/drawing/2014/chart" uri="{C3380CC4-5D6E-409C-BE32-E72D297353CC}">
                <c16:uniqueId val="{00000011-EED2-4ACE-91AA-7F8713196E92}"/>
              </c:ext>
            </c:extLst>
          </c:dPt>
          <c:dPt>
            <c:idx val="32"/>
            <c:invertIfNegative val="0"/>
            <c:bubble3D val="0"/>
            <c:spPr>
              <a:solidFill>
                <a:schemeClr val="bg1">
                  <a:lumMod val="65000"/>
                </a:schemeClr>
              </a:solidFill>
            </c:spPr>
            <c:extLst>
              <c:ext xmlns:c16="http://schemas.microsoft.com/office/drawing/2014/chart" uri="{C3380CC4-5D6E-409C-BE32-E72D297353CC}">
                <c16:uniqueId val="{00000013-EED2-4ACE-91AA-7F8713196E92}"/>
              </c:ext>
            </c:extLst>
          </c:dPt>
          <c:dPt>
            <c:idx val="34"/>
            <c:invertIfNegative val="0"/>
            <c:bubble3D val="0"/>
            <c:spPr>
              <a:solidFill>
                <a:schemeClr val="bg1">
                  <a:lumMod val="65000"/>
                </a:schemeClr>
              </a:solidFill>
            </c:spPr>
            <c:extLst>
              <c:ext xmlns:c16="http://schemas.microsoft.com/office/drawing/2014/chart" uri="{C3380CC4-5D6E-409C-BE32-E72D297353CC}">
                <c16:uniqueId val="{00000015-EED2-4ACE-91AA-7F8713196E92}"/>
              </c:ext>
            </c:extLst>
          </c:dPt>
          <c:errBars>
            <c:errBarType val="plus"/>
            <c:errValType val="cust"/>
            <c:noEndCap val="0"/>
            <c:plus>
              <c:numRef>
                <c:f>'R2'!$B$54:$X$54</c:f>
                <c:numCache>
                  <c:formatCode>General</c:formatCode>
                  <c:ptCount val="23"/>
                  <c:pt idx="0">
                    <c:v>2.1169799562375139E-2</c:v>
                  </c:pt>
                  <c:pt idx="1">
                    <c:v>2.586095440943182E-2</c:v>
                  </c:pt>
                  <c:pt idx="2">
                    <c:v>1.8968644821349492E-2</c:v>
                  </c:pt>
                  <c:pt idx="3">
                    <c:v>3.8335221496451286E-2</c:v>
                  </c:pt>
                  <c:pt idx="4">
                    <c:v>9.7154849242037503E-2</c:v>
                  </c:pt>
                  <c:pt idx="5">
                    <c:v>0.21740639123390113</c:v>
                  </c:pt>
                  <c:pt idx="6">
                    <c:v>0.12386837897172352</c:v>
                  </c:pt>
                  <c:pt idx="7">
                    <c:v>1.8855117553351973E-2</c:v>
                  </c:pt>
                  <c:pt idx="8">
                    <c:v>2.444262312514273E-2</c:v>
                  </c:pt>
                  <c:pt idx="9">
                    <c:v>0.20001886997582749</c:v>
                  </c:pt>
                  <c:pt idx="10">
                    <c:v>0.18315911939492915</c:v>
                  </c:pt>
                  <c:pt idx="11">
                    <c:v>0.24932543823179937</c:v>
                  </c:pt>
                  <c:pt idx="13">
                    <c:v>0.19126297881440404</c:v>
                  </c:pt>
                  <c:pt idx="14">
                    <c:v>0.29525546825469384</c:v>
                  </c:pt>
                  <c:pt idx="15">
                    <c:v>2.4464900314738414E-2</c:v>
                  </c:pt>
                  <c:pt idx="16">
                    <c:v>9.9480605223247143E-2</c:v>
                  </c:pt>
                  <c:pt idx="17">
                    <c:v>0.10724961432601977</c:v>
                  </c:pt>
                  <c:pt idx="18">
                    <c:v>0.12174300218593512</c:v>
                  </c:pt>
                  <c:pt idx="19">
                    <c:v>0.110827237512524</c:v>
                  </c:pt>
                  <c:pt idx="20">
                    <c:v>0.14335917858782257</c:v>
                  </c:pt>
                  <c:pt idx="21">
                    <c:v>0</c:v>
                  </c:pt>
                  <c:pt idx="22">
                    <c:v>0</c:v>
                  </c:pt>
                </c:numCache>
              </c:numRef>
            </c:plus>
            <c:minus>
              <c:numRef>
                <c:f>'R1'!$N$48:$AK$48</c:f>
                <c:numCache>
                  <c:formatCode>General</c:formatCode>
                  <c:ptCount val="24"/>
                  <c:pt idx="0">
                    <c:v>0</c:v>
                  </c:pt>
                  <c:pt idx="1">
                    <c:v>0.24954716600746679</c:v>
                  </c:pt>
                  <c:pt idx="2">
                    <c:v>0.45312558055857671</c:v>
                  </c:pt>
                  <c:pt idx="3">
                    <c:v>4.1102807042711111E-2</c:v>
                  </c:pt>
                  <c:pt idx="4">
                    <c:v>0.71229554709165954</c:v>
                  </c:pt>
                  <c:pt idx="5">
                    <c:v>0.43974484075482284</c:v>
                  </c:pt>
                  <c:pt idx="6">
                    <c:v>0.49546451047044193</c:v>
                  </c:pt>
                  <c:pt idx="7">
                    <c:v>0.55918396226807476</c:v>
                  </c:pt>
                  <c:pt idx="8">
                    <c:v>0.76845758596519054</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minus>
          </c:errBars>
          <c:cat>
            <c:strRef>
              <c:f>'R2'!$B$52:$AK$52</c:f>
              <c:strCache>
                <c:ptCount val="36"/>
                <c:pt idx="0">
                  <c:v>Témoin solvant</c:v>
                </c:pt>
                <c:pt idx="1">
                  <c:v>EE2-33.8ng/L</c:v>
                </c:pt>
                <c:pt idx="2">
                  <c:v>EE2-50.6ng/L</c:v>
                </c:pt>
                <c:pt idx="3">
                  <c:v>EE2-76ng/L</c:v>
                </c:pt>
                <c:pt idx="4">
                  <c:v>EE2-114ng/L</c:v>
                </c:pt>
                <c:pt idx="5">
                  <c:v>EE2-170.9ng/L</c:v>
                </c:pt>
                <c:pt idx="6">
                  <c:v>EE2-488ng/L</c:v>
                </c:pt>
                <c:pt idx="7">
                  <c:v>estradiol 34ng/L</c:v>
                </c:pt>
                <c:pt idx="8">
                  <c:v>estradiol 68ng/L</c:v>
                </c:pt>
                <c:pt idx="9">
                  <c:v>estradiol 135ng/L</c:v>
                </c:pt>
                <c:pt idx="10">
                  <c:v>estradiol 270ng/L</c:v>
                </c:pt>
                <c:pt idx="11">
                  <c:v>estradiol 540ng/L</c:v>
                </c:pt>
                <c:pt idx="13">
                  <c:v>Testo -30µg/L</c:v>
                </c:pt>
                <c:pt idx="14">
                  <c:v>Testo 30µg/L + EE2 -64ng/L</c:v>
                </c:pt>
                <c:pt idx="15">
                  <c:v>Testo 30µg/L + FAD-10mg/L</c:v>
                </c:pt>
                <c:pt idx="16">
                  <c:v>estradiol-34ng/L + Testostérone</c:v>
                </c:pt>
                <c:pt idx="17">
                  <c:v>estradiol-68ng/L + Testostérone</c:v>
                </c:pt>
                <c:pt idx="18">
                  <c:v>estradiol-135ng/L + Testostérone</c:v>
                </c:pt>
                <c:pt idx="19">
                  <c:v>estradiol-270ng/L + Testostérone</c:v>
                </c:pt>
                <c:pt idx="20">
                  <c:v>estradiol-540ng/L + Testostérone</c:v>
                </c:pt>
                <c:pt idx="21">
                  <c:v>0-00 + Testostérone</c:v>
                </c:pt>
                <c:pt idx="22">
                  <c:v>0-00 + Testostérone</c:v>
                </c:pt>
                <c:pt idx="23">
                  <c:v>0-00 + Testostérone</c:v>
                </c:pt>
                <c:pt idx="24">
                  <c:v>0-00 + Testostérone</c:v>
                </c:pt>
                <c:pt idx="25">
                  <c:v>0-00 + Testostérone</c:v>
                </c:pt>
                <c:pt idx="26">
                  <c:v>0-00 + Testostérone</c:v>
                </c:pt>
                <c:pt idx="27">
                  <c:v>0-00 + Testostérone</c:v>
                </c:pt>
                <c:pt idx="28">
                  <c:v>0-00 + Testostérone</c:v>
                </c:pt>
                <c:pt idx="29">
                  <c:v>0-00 + Testostérone</c:v>
                </c:pt>
                <c:pt idx="30">
                  <c:v>0-00 + Testostérone</c:v>
                </c:pt>
                <c:pt idx="31">
                  <c:v>0-00 + Testostérone</c:v>
                </c:pt>
                <c:pt idx="32">
                  <c:v>0-00 + Testostérone</c:v>
                </c:pt>
                <c:pt idx="33">
                  <c:v>0-00 + Testostérone</c:v>
                </c:pt>
                <c:pt idx="34">
                  <c:v>0-00 + Testostérone</c:v>
                </c:pt>
                <c:pt idx="35">
                  <c:v>0-00 + Testostérone</c:v>
                </c:pt>
              </c:strCache>
            </c:strRef>
          </c:cat>
          <c:val>
            <c:numRef>
              <c:f>'R2'!$B$53:$AK$53</c:f>
              <c:numCache>
                <c:formatCode>0.0000</c:formatCode>
                <c:ptCount val="36"/>
                <c:pt idx="0">
                  <c:v>7.5471003775064799E-2</c:v>
                </c:pt>
                <c:pt idx="1">
                  <c:v>0.10244642144926765</c:v>
                </c:pt>
                <c:pt idx="2">
                  <c:v>7.5997429226482019E-2</c:v>
                </c:pt>
                <c:pt idx="3">
                  <c:v>0.11780963085220983</c:v>
                </c:pt>
                <c:pt idx="4">
                  <c:v>0.17216828052045899</c:v>
                </c:pt>
                <c:pt idx="5">
                  <c:v>1.9334980295205682</c:v>
                </c:pt>
                <c:pt idx="6">
                  <c:v>3.0003535676119482</c:v>
                </c:pt>
                <c:pt idx="7">
                  <c:v>0.13977320123176321</c:v>
                </c:pt>
                <c:pt idx="8">
                  <c:v>0.1437241522750746</c:v>
                </c:pt>
                <c:pt idx="9">
                  <c:v>0.6026985897277326</c:v>
                </c:pt>
                <c:pt idx="10">
                  <c:v>1.8832439285592488</c:v>
                </c:pt>
                <c:pt idx="11">
                  <c:v>2.3958039016470214</c:v>
                </c:pt>
                <c:pt idx="13">
                  <c:v>1</c:v>
                </c:pt>
                <c:pt idx="14">
                  <c:v>2.3858498407246445</c:v>
                </c:pt>
                <c:pt idx="15">
                  <c:v>0.11768570181683487</c:v>
                </c:pt>
                <c:pt idx="16">
                  <c:v>1.4859339530747047</c:v>
                </c:pt>
                <c:pt idx="17">
                  <c:v>1.8534014819418267</c:v>
                </c:pt>
                <c:pt idx="18">
                  <c:v>2.1180716649565126</c:v>
                </c:pt>
                <c:pt idx="19">
                  <c:v>2.6931738076652039</c:v>
                </c:pt>
                <c:pt idx="20">
                  <c:v>3.0131044942692595</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16-EED2-4ACE-91AA-7F8713196E92}"/>
            </c:ext>
          </c:extLst>
        </c:ser>
        <c:dLbls>
          <c:showLegendKey val="0"/>
          <c:showVal val="0"/>
          <c:showCatName val="0"/>
          <c:showSerName val="0"/>
          <c:showPercent val="0"/>
          <c:showBubbleSize val="0"/>
        </c:dLbls>
        <c:gapWidth val="150"/>
        <c:axId val="324818296"/>
        <c:axId val="324818688"/>
      </c:barChart>
      <c:catAx>
        <c:axId val="324818296"/>
        <c:scaling>
          <c:orientation val="minMax"/>
        </c:scaling>
        <c:delete val="0"/>
        <c:axPos val="b"/>
        <c:numFmt formatCode="General" sourceLinked="1"/>
        <c:majorTickMark val="out"/>
        <c:minorTickMark val="none"/>
        <c:tickLblPos val="nextTo"/>
        <c:txPr>
          <a:bodyPr rot="-2700000" vert="horz"/>
          <a:lstStyle/>
          <a:p>
            <a:pPr>
              <a:defRPr lang="en-GB"/>
            </a:pPr>
            <a:endParaRPr lang="en-US"/>
          </a:p>
        </c:txPr>
        <c:crossAx val="324818688"/>
        <c:crosses val="autoZero"/>
        <c:auto val="1"/>
        <c:lblAlgn val="ctr"/>
        <c:lblOffset val="100"/>
        <c:noMultiLvlLbl val="0"/>
      </c:catAx>
      <c:valAx>
        <c:axId val="324818688"/>
        <c:scaling>
          <c:orientation val="minMax"/>
          <c:max val="2.8"/>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en-US"/>
          </a:p>
        </c:txPr>
        <c:crossAx val="324818296"/>
        <c:crosses val="autoZero"/>
        <c:crossBetween val="between"/>
        <c:majorUnit val="0.2"/>
      </c:valAx>
    </c:plotArea>
    <c:plotVisOnly val="1"/>
    <c:dispBlanksAs val="gap"/>
    <c:showDLblsOverMax val="0"/>
  </c:chart>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accent2"/>
            </a:solidFill>
          </c:spPr>
          <c:invertIfNegative val="0"/>
          <c:dPt>
            <c:idx val="9"/>
            <c:invertIfNegative val="0"/>
            <c:bubble3D val="0"/>
            <c:spPr>
              <a:solidFill>
                <a:schemeClr val="bg1">
                  <a:lumMod val="65000"/>
                </a:schemeClr>
              </a:solidFill>
            </c:spPr>
            <c:extLst>
              <c:ext xmlns:c16="http://schemas.microsoft.com/office/drawing/2014/chart" uri="{C3380CC4-5D6E-409C-BE32-E72D297353CC}">
                <c16:uniqueId val="{00000001-EED2-4ACE-91AA-7F8713196E92}"/>
              </c:ext>
            </c:extLst>
          </c:dPt>
          <c:dPt>
            <c:idx val="11"/>
            <c:invertIfNegative val="0"/>
            <c:bubble3D val="0"/>
            <c:spPr>
              <a:solidFill>
                <a:schemeClr val="bg1">
                  <a:lumMod val="65000"/>
                </a:schemeClr>
              </a:solidFill>
            </c:spPr>
            <c:extLst>
              <c:ext xmlns:c16="http://schemas.microsoft.com/office/drawing/2014/chart" uri="{C3380CC4-5D6E-409C-BE32-E72D297353CC}">
                <c16:uniqueId val="{00000003-EED2-4ACE-91AA-7F8713196E92}"/>
              </c:ext>
            </c:extLst>
          </c:dPt>
          <c:dPt>
            <c:idx val="13"/>
            <c:invertIfNegative val="0"/>
            <c:bubble3D val="0"/>
            <c:spPr>
              <a:solidFill>
                <a:schemeClr val="bg1">
                  <a:lumMod val="65000"/>
                </a:schemeClr>
              </a:solidFill>
            </c:spPr>
            <c:extLst>
              <c:ext xmlns:c16="http://schemas.microsoft.com/office/drawing/2014/chart" uri="{C3380CC4-5D6E-409C-BE32-E72D297353CC}">
                <c16:uniqueId val="{00000005-EED2-4ACE-91AA-7F8713196E92}"/>
              </c:ext>
            </c:extLst>
          </c:dPt>
          <c:dPt>
            <c:idx val="15"/>
            <c:invertIfNegative val="0"/>
            <c:bubble3D val="0"/>
            <c:spPr>
              <a:solidFill>
                <a:schemeClr val="bg1">
                  <a:lumMod val="65000"/>
                </a:schemeClr>
              </a:solidFill>
            </c:spPr>
            <c:extLst>
              <c:ext xmlns:c16="http://schemas.microsoft.com/office/drawing/2014/chart" uri="{C3380CC4-5D6E-409C-BE32-E72D297353CC}">
                <c16:uniqueId val="{00000007-EED2-4ACE-91AA-7F8713196E92}"/>
              </c:ext>
            </c:extLst>
          </c:dPt>
          <c:dPt>
            <c:idx val="25"/>
            <c:invertIfNegative val="0"/>
            <c:bubble3D val="0"/>
            <c:spPr>
              <a:solidFill>
                <a:srgbClr val="00B050"/>
              </a:solidFill>
            </c:spPr>
            <c:extLst>
              <c:ext xmlns:c16="http://schemas.microsoft.com/office/drawing/2014/chart" uri="{C3380CC4-5D6E-409C-BE32-E72D297353CC}">
                <c16:uniqueId val="{00000009-EED2-4ACE-91AA-7F8713196E92}"/>
              </c:ext>
            </c:extLst>
          </c:dPt>
          <c:dPt>
            <c:idx val="26"/>
            <c:invertIfNegative val="0"/>
            <c:bubble3D val="0"/>
            <c:spPr>
              <a:solidFill>
                <a:srgbClr val="FF0000"/>
              </a:solidFill>
            </c:spPr>
            <c:extLst>
              <c:ext xmlns:c16="http://schemas.microsoft.com/office/drawing/2014/chart" uri="{C3380CC4-5D6E-409C-BE32-E72D297353CC}">
                <c16:uniqueId val="{0000000B-EED2-4ACE-91AA-7F8713196E92}"/>
              </c:ext>
            </c:extLst>
          </c:dPt>
          <c:dPt>
            <c:idx val="27"/>
            <c:invertIfNegative val="0"/>
            <c:bubble3D val="0"/>
            <c:spPr>
              <a:solidFill>
                <a:srgbClr val="0070C0"/>
              </a:solidFill>
            </c:spPr>
            <c:extLst>
              <c:ext xmlns:c16="http://schemas.microsoft.com/office/drawing/2014/chart" uri="{C3380CC4-5D6E-409C-BE32-E72D297353CC}">
                <c16:uniqueId val="{0000000D-EED2-4ACE-91AA-7F8713196E92}"/>
              </c:ext>
            </c:extLst>
          </c:dPt>
          <c:dPt>
            <c:idx val="28"/>
            <c:invertIfNegative val="0"/>
            <c:bubble3D val="0"/>
            <c:spPr>
              <a:solidFill>
                <a:schemeClr val="bg1">
                  <a:lumMod val="65000"/>
                </a:schemeClr>
              </a:solidFill>
            </c:spPr>
            <c:extLst>
              <c:ext xmlns:c16="http://schemas.microsoft.com/office/drawing/2014/chart" uri="{C3380CC4-5D6E-409C-BE32-E72D297353CC}">
                <c16:uniqueId val="{0000000F-EED2-4ACE-91AA-7F8713196E92}"/>
              </c:ext>
            </c:extLst>
          </c:dPt>
          <c:dPt>
            <c:idx val="30"/>
            <c:invertIfNegative val="0"/>
            <c:bubble3D val="0"/>
            <c:spPr>
              <a:solidFill>
                <a:schemeClr val="bg1">
                  <a:lumMod val="65000"/>
                </a:schemeClr>
              </a:solidFill>
            </c:spPr>
            <c:extLst>
              <c:ext xmlns:c16="http://schemas.microsoft.com/office/drawing/2014/chart" uri="{C3380CC4-5D6E-409C-BE32-E72D297353CC}">
                <c16:uniqueId val="{00000011-EED2-4ACE-91AA-7F8713196E92}"/>
              </c:ext>
            </c:extLst>
          </c:dPt>
          <c:dPt>
            <c:idx val="32"/>
            <c:invertIfNegative val="0"/>
            <c:bubble3D val="0"/>
            <c:spPr>
              <a:solidFill>
                <a:schemeClr val="bg1">
                  <a:lumMod val="65000"/>
                </a:schemeClr>
              </a:solidFill>
            </c:spPr>
            <c:extLst>
              <c:ext xmlns:c16="http://schemas.microsoft.com/office/drawing/2014/chart" uri="{C3380CC4-5D6E-409C-BE32-E72D297353CC}">
                <c16:uniqueId val="{00000013-EED2-4ACE-91AA-7F8713196E92}"/>
              </c:ext>
            </c:extLst>
          </c:dPt>
          <c:dPt>
            <c:idx val="34"/>
            <c:invertIfNegative val="0"/>
            <c:bubble3D val="0"/>
            <c:spPr>
              <a:solidFill>
                <a:schemeClr val="bg1">
                  <a:lumMod val="65000"/>
                </a:schemeClr>
              </a:solidFill>
            </c:spPr>
            <c:extLst>
              <c:ext xmlns:c16="http://schemas.microsoft.com/office/drawing/2014/chart" uri="{C3380CC4-5D6E-409C-BE32-E72D297353CC}">
                <c16:uniqueId val="{00000015-EED2-4ACE-91AA-7F8713196E92}"/>
              </c:ext>
            </c:extLst>
          </c:dPt>
          <c:errBars>
            <c:errBarType val="plus"/>
            <c:errValType val="cust"/>
            <c:noEndCap val="0"/>
            <c:plus>
              <c:numRef>
                <c:f>'R3'!$B$54:$X$54</c:f>
                <c:numCache>
                  <c:formatCode>General</c:formatCode>
                  <c:ptCount val="23"/>
                  <c:pt idx="0">
                    <c:v>2.2142319573996351E-2</c:v>
                  </c:pt>
                  <c:pt idx="1">
                    <c:v>4.387046739915447E-2</c:v>
                  </c:pt>
                  <c:pt idx="2">
                    <c:v>3.8596027025372022E-2</c:v>
                  </c:pt>
                  <c:pt idx="3">
                    <c:v>0.11615731318052896</c:v>
                  </c:pt>
                  <c:pt idx="4">
                    <c:v>0.20495952479425708</c:v>
                  </c:pt>
                  <c:pt idx="5">
                    <c:v>0.24156726860485694</c:v>
                  </c:pt>
                  <c:pt idx="6">
                    <c:v>0.17873635590995918</c:v>
                  </c:pt>
                  <c:pt idx="7">
                    <c:v>2.6214762535271895E-2</c:v>
                  </c:pt>
                  <c:pt idx="8">
                    <c:v>1.5114543185808356E-2</c:v>
                  </c:pt>
                  <c:pt idx="9">
                    <c:v>0.19583477642216202</c:v>
                  </c:pt>
                  <c:pt idx="10">
                    <c:v>0.15821503049009208</c:v>
                  </c:pt>
                  <c:pt idx="11">
                    <c:v>0.16125220112288396</c:v>
                  </c:pt>
                  <c:pt idx="13">
                    <c:v>0.14277818838509165</c:v>
                  </c:pt>
                  <c:pt idx="14">
                    <c:v>0.13861377042072751</c:v>
                  </c:pt>
                  <c:pt idx="15">
                    <c:v>1.6005590546447613E-2</c:v>
                  </c:pt>
                  <c:pt idx="16">
                    <c:v>0.13448742592881774</c:v>
                  </c:pt>
                  <c:pt idx="17">
                    <c:v>0.16842494892896559</c:v>
                  </c:pt>
                  <c:pt idx="18">
                    <c:v>0.22539660323179955</c:v>
                  </c:pt>
                  <c:pt idx="19">
                    <c:v>0.20033450437820255</c:v>
                  </c:pt>
                  <c:pt idx="20">
                    <c:v>0.13716965621902513</c:v>
                  </c:pt>
                  <c:pt idx="21">
                    <c:v>0</c:v>
                  </c:pt>
                  <c:pt idx="22">
                    <c:v>0</c:v>
                  </c:pt>
                </c:numCache>
              </c:numRef>
            </c:plus>
            <c:minus>
              <c:numRef>
                <c:f>'R1'!$N$48:$AK$48</c:f>
                <c:numCache>
                  <c:formatCode>General</c:formatCode>
                  <c:ptCount val="24"/>
                  <c:pt idx="0">
                    <c:v>0</c:v>
                  </c:pt>
                  <c:pt idx="1">
                    <c:v>0.24954716600746679</c:v>
                  </c:pt>
                  <c:pt idx="2">
                    <c:v>0.45312558055857671</c:v>
                  </c:pt>
                  <c:pt idx="3">
                    <c:v>4.1102807042711111E-2</c:v>
                  </c:pt>
                  <c:pt idx="4">
                    <c:v>0.71229554709165954</c:v>
                  </c:pt>
                  <c:pt idx="5">
                    <c:v>0.43974484075482284</c:v>
                  </c:pt>
                  <c:pt idx="6">
                    <c:v>0.49546451047044193</c:v>
                  </c:pt>
                  <c:pt idx="7">
                    <c:v>0.55918396226807476</c:v>
                  </c:pt>
                  <c:pt idx="8">
                    <c:v>0.76845758596519054</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minus>
          </c:errBars>
          <c:cat>
            <c:strRef>
              <c:f>'R3'!$B$52:$AK$52</c:f>
              <c:strCache>
                <c:ptCount val="36"/>
                <c:pt idx="0">
                  <c:v>Témoin solvant</c:v>
                </c:pt>
                <c:pt idx="1">
                  <c:v>EE2-33.8ng/L</c:v>
                </c:pt>
                <c:pt idx="2">
                  <c:v>EE2-50.6ng/L</c:v>
                </c:pt>
                <c:pt idx="3">
                  <c:v>EE2-76ng/L</c:v>
                </c:pt>
                <c:pt idx="4">
                  <c:v>EE2-114ng/L</c:v>
                </c:pt>
                <c:pt idx="5">
                  <c:v>EE2-170.9ng/L</c:v>
                </c:pt>
                <c:pt idx="6">
                  <c:v>EE2-488ng/L</c:v>
                </c:pt>
                <c:pt idx="7">
                  <c:v>estradiol 34ng/L</c:v>
                </c:pt>
                <c:pt idx="8">
                  <c:v>estradiol 68ng/L</c:v>
                </c:pt>
                <c:pt idx="9">
                  <c:v>estradiol 135ng/L</c:v>
                </c:pt>
                <c:pt idx="10">
                  <c:v>estradiol 270ng/L</c:v>
                </c:pt>
                <c:pt idx="11">
                  <c:v>estradiol 540ng/L</c:v>
                </c:pt>
                <c:pt idx="13">
                  <c:v>Testo -30µg/L</c:v>
                </c:pt>
                <c:pt idx="14">
                  <c:v>Testo 30µg/L + EE2 -64ng/L</c:v>
                </c:pt>
                <c:pt idx="15">
                  <c:v>Testo 30µg/L + FAD-10mg/L</c:v>
                </c:pt>
                <c:pt idx="16">
                  <c:v>estradiol-34ng/L + Testostérone</c:v>
                </c:pt>
                <c:pt idx="17">
                  <c:v>estradiol-68ng/L + Testostérone</c:v>
                </c:pt>
                <c:pt idx="18">
                  <c:v>estradiol-135ng/L + Testostérone</c:v>
                </c:pt>
                <c:pt idx="19">
                  <c:v>estradiol-270ng/L + Testostérone</c:v>
                </c:pt>
                <c:pt idx="20">
                  <c:v>estradiol-540ng/L + Testostérone</c:v>
                </c:pt>
                <c:pt idx="21">
                  <c:v>0-00 + Testostérone</c:v>
                </c:pt>
                <c:pt idx="22">
                  <c:v>0-00 + Testostérone</c:v>
                </c:pt>
                <c:pt idx="23">
                  <c:v>0-00 + Testostérone</c:v>
                </c:pt>
                <c:pt idx="24">
                  <c:v>0-00 + Testostérone</c:v>
                </c:pt>
                <c:pt idx="25">
                  <c:v>0-00 + Testostérone</c:v>
                </c:pt>
                <c:pt idx="26">
                  <c:v>0-00 + Testostérone</c:v>
                </c:pt>
                <c:pt idx="27">
                  <c:v>0-00 + Testostérone</c:v>
                </c:pt>
                <c:pt idx="28">
                  <c:v>0-00 + Testostérone</c:v>
                </c:pt>
                <c:pt idx="29">
                  <c:v>0-00 + Testostérone</c:v>
                </c:pt>
                <c:pt idx="30">
                  <c:v>0-00 + Testostérone</c:v>
                </c:pt>
                <c:pt idx="31">
                  <c:v>0-00 + Testostérone</c:v>
                </c:pt>
                <c:pt idx="32">
                  <c:v>0-00 + Testostérone</c:v>
                </c:pt>
                <c:pt idx="33">
                  <c:v>0-00 + Testostérone</c:v>
                </c:pt>
                <c:pt idx="34">
                  <c:v>0-00 + Testostérone</c:v>
                </c:pt>
                <c:pt idx="35">
                  <c:v>0-00 + Testostérone</c:v>
                </c:pt>
              </c:strCache>
            </c:strRef>
          </c:cat>
          <c:val>
            <c:numRef>
              <c:f>'R3'!$B$53:$AK$53</c:f>
              <c:numCache>
                <c:formatCode>0.0000</c:formatCode>
                <c:ptCount val="36"/>
                <c:pt idx="0">
                  <c:v>7.5028694826113101E-2</c:v>
                </c:pt>
                <c:pt idx="1">
                  <c:v>0.17045229160096434</c:v>
                </c:pt>
                <c:pt idx="2">
                  <c:v>0.13354081291877376</c:v>
                </c:pt>
                <c:pt idx="3">
                  <c:v>0.43660921425636201</c:v>
                </c:pt>
                <c:pt idx="4">
                  <c:v>1.2034605297396945</c:v>
                </c:pt>
                <c:pt idx="5">
                  <c:v>1.7861013629921652</c:v>
                </c:pt>
                <c:pt idx="6">
                  <c:v>2.0321641136260289</c:v>
                </c:pt>
                <c:pt idx="7">
                  <c:v>0.1190772204271614</c:v>
                </c:pt>
                <c:pt idx="8">
                  <c:v>0.1107967144285459</c:v>
                </c:pt>
                <c:pt idx="9">
                  <c:v>0.6661546519154653</c:v>
                </c:pt>
                <c:pt idx="10">
                  <c:v>1.8955637012696758</c:v>
                </c:pt>
                <c:pt idx="11">
                  <c:v>2.4589765893590365</c:v>
                </c:pt>
                <c:pt idx="13">
                  <c:v>1</c:v>
                </c:pt>
                <c:pt idx="14">
                  <c:v>2.0800810164388492</c:v>
                </c:pt>
                <c:pt idx="15">
                  <c:v>7.3942649847199518E-2</c:v>
                </c:pt>
                <c:pt idx="16">
                  <c:v>1.0244320954762183</c:v>
                </c:pt>
                <c:pt idx="17">
                  <c:v>1.5525717674173478</c:v>
                </c:pt>
                <c:pt idx="18">
                  <c:v>1.6459270731278162</c:v>
                </c:pt>
                <c:pt idx="19">
                  <c:v>1.8663335060783897</c:v>
                </c:pt>
                <c:pt idx="20">
                  <c:v>1.9000725495842918</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16-EED2-4ACE-91AA-7F8713196E92}"/>
            </c:ext>
          </c:extLst>
        </c:ser>
        <c:dLbls>
          <c:showLegendKey val="0"/>
          <c:showVal val="0"/>
          <c:showCatName val="0"/>
          <c:showSerName val="0"/>
          <c:showPercent val="0"/>
          <c:showBubbleSize val="0"/>
        </c:dLbls>
        <c:gapWidth val="150"/>
        <c:axId val="434373488"/>
        <c:axId val="434373880"/>
      </c:barChart>
      <c:catAx>
        <c:axId val="434373488"/>
        <c:scaling>
          <c:orientation val="minMax"/>
        </c:scaling>
        <c:delete val="0"/>
        <c:axPos val="b"/>
        <c:numFmt formatCode="General" sourceLinked="1"/>
        <c:majorTickMark val="out"/>
        <c:minorTickMark val="none"/>
        <c:tickLblPos val="nextTo"/>
        <c:txPr>
          <a:bodyPr rot="-2700000" vert="horz"/>
          <a:lstStyle/>
          <a:p>
            <a:pPr>
              <a:defRPr lang="en-GB"/>
            </a:pPr>
            <a:endParaRPr lang="en-US"/>
          </a:p>
        </c:txPr>
        <c:crossAx val="434373880"/>
        <c:crosses val="autoZero"/>
        <c:auto val="1"/>
        <c:lblAlgn val="ctr"/>
        <c:lblOffset val="100"/>
        <c:noMultiLvlLbl val="0"/>
      </c:catAx>
      <c:valAx>
        <c:axId val="434373880"/>
        <c:scaling>
          <c:orientation val="minMax"/>
          <c:max val="2.8"/>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en-US"/>
          </a:p>
        </c:txPr>
        <c:crossAx val="434373488"/>
        <c:crosses val="autoZero"/>
        <c:crossBetween val="between"/>
        <c:majorUnit val="0.2"/>
      </c:valAx>
    </c:plotArea>
    <c:plotVisOnly val="1"/>
    <c:dispBlanksAs val="gap"/>
    <c:showDLblsOverMax val="0"/>
  </c:chart>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8086563142153819E-2"/>
          <c:y val="0.10694631110669023"/>
          <c:w val="0.91688911122572669"/>
          <c:h val="0.69895377069250364"/>
        </c:manualLayout>
      </c:layout>
      <c:barChart>
        <c:barDir val="col"/>
        <c:grouping val="clustered"/>
        <c:varyColors val="0"/>
        <c:ser>
          <c:idx val="0"/>
          <c:order val="0"/>
          <c:tx>
            <c:v>Pool</c:v>
          </c:tx>
          <c:spPr>
            <a:solidFill>
              <a:srgbClr val="00B050"/>
            </a:solidFill>
          </c:spPr>
          <c:invertIfNegative val="0"/>
          <c:dPt>
            <c:idx val="1"/>
            <c:invertIfNegative val="0"/>
            <c:bubble3D val="0"/>
            <c:spPr>
              <a:solidFill>
                <a:srgbClr val="BA3838"/>
              </a:solidFill>
            </c:spPr>
            <c:extLst>
              <c:ext xmlns:c16="http://schemas.microsoft.com/office/drawing/2014/chart" uri="{C3380CC4-5D6E-409C-BE32-E72D297353CC}">
                <c16:uniqueId val="{00000001-033C-4530-84A9-991A3866ABD4}"/>
              </c:ext>
            </c:extLst>
          </c:dPt>
          <c:dPt>
            <c:idx val="2"/>
            <c:invertIfNegative val="0"/>
            <c:bubble3D val="0"/>
            <c:spPr>
              <a:solidFill>
                <a:schemeClr val="bg1">
                  <a:lumMod val="65000"/>
                </a:schemeClr>
              </a:solidFill>
            </c:spPr>
            <c:extLst>
              <c:ext xmlns:c16="http://schemas.microsoft.com/office/drawing/2014/chart" uri="{C3380CC4-5D6E-409C-BE32-E72D297353CC}">
                <c16:uniqueId val="{00000003-033C-4530-84A9-991A3866ABD4}"/>
              </c:ext>
            </c:extLst>
          </c:dPt>
          <c:dPt>
            <c:idx val="3"/>
            <c:invertIfNegative val="0"/>
            <c:bubble3D val="0"/>
            <c:spPr>
              <a:solidFill>
                <a:schemeClr val="bg1">
                  <a:lumMod val="65000"/>
                </a:schemeClr>
              </a:solidFill>
            </c:spPr>
            <c:extLst>
              <c:ext xmlns:c16="http://schemas.microsoft.com/office/drawing/2014/chart" uri="{C3380CC4-5D6E-409C-BE32-E72D297353CC}">
                <c16:uniqueId val="{00000005-033C-4530-84A9-991A3866ABD4}"/>
              </c:ext>
            </c:extLst>
          </c:dPt>
          <c:dPt>
            <c:idx val="4"/>
            <c:invertIfNegative val="0"/>
            <c:bubble3D val="0"/>
            <c:spPr>
              <a:solidFill>
                <a:schemeClr val="bg1">
                  <a:lumMod val="65000"/>
                </a:schemeClr>
              </a:solidFill>
            </c:spPr>
            <c:extLst>
              <c:ext xmlns:c16="http://schemas.microsoft.com/office/drawing/2014/chart" uri="{C3380CC4-5D6E-409C-BE32-E72D297353CC}">
                <c16:uniqueId val="{00000007-033C-4530-84A9-991A3866ABD4}"/>
              </c:ext>
            </c:extLst>
          </c:dPt>
          <c:dPt>
            <c:idx val="5"/>
            <c:invertIfNegative val="0"/>
            <c:bubble3D val="0"/>
            <c:spPr>
              <a:solidFill>
                <a:schemeClr val="tx2">
                  <a:lumMod val="40000"/>
                  <a:lumOff val="60000"/>
                </a:schemeClr>
              </a:solidFill>
            </c:spPr>
            <c:extLst>
              <c:ext xmlns:c16="http://schemas.microsoft.com/office/drawing/2014/chart" uri="{C3380CC4-5D6E-409C-BE32-E72D297353CC}">
                <c16:uniqueId val="{00000009-033C-4530-84A9-991A3866ABD4}"/>
              </c:ext>
            </c:extLst>
          </c:dPt>
          <c:dPt>
            <c:idx val="6"/>
            <c:invertIfNegative val="0"/>
            <c:bubble3D val="0"/>
            <c:spPr>
              <a:solidFill>
                <a:schemeClr val="tx2">
                  <a:lumMod val="40000"/>
                  <a:lumOff val="60000"/>
                </a:schemeClr>
              </a:solidFill>
            </c:spPr>
            <c:extLst>
              <c:ext xmlns:c16="http://schemas.microsoft.com/office/drawing/2014/chart" uri="{C3380CC4-5D6E-409C-BE32-E72D297353CC}">
                <c16:uniqueId val="{0000000B-033C-4530-84A9-991A3866ABD4}"/>
              </c:ext>
            </c:extLst>
          </c:dPt>
          <c:dPt>
            <c:idx val="7"/>
            <c:invertIfNegative val="0"/>
            <c:bubble3D val="0"/>
            <c:spPr>
              <a:solidFill>
                <a:schemeClr val="tx2">
                  <a:lumMod val="40000"/>
                  <a:lumOff val="60000"/>
                </a:schemeClr>
              </a:solidFill>
            </c:spPr>
            <c:extLst>
              <c:ext xmlns:c16="http://schemas.microsoft.com/office/drawing/2014/chart" uri="{C3380CC4-5D6E-409C-BE32-E72D297353CC}">
                <c16:uniqueId val="{0000000D-033C-4530-84A9-991A3866ABD4}"/>
              </c:ext>
            </c:extLst>
          </c:dPt>
          <c:dPt>
            <c:idx val="8"/>
            <c:invertIfNegative val="0"/>
            <c:bubble3D val="0"/>
            <c:spPr>
              <a:solidFill>
                <a:schemeClr val="bg1">
                  <a:lumMod val="65000"/>
                </a:schemeClr>
              </a:solidFill>
            </c:spPr>
            <c:extLst>
              <c:ext xmlns:c16="http://schemas.microsoft.com/office/drawing/2014/chart" uri="{C3380CC4-5D6E-409C-BE32-E72D297353CC}">
                <c16:uniqueId val="{0000000F-033C-4530-84A9-991A3866ABD4}"/>
              </c:ext>
            </c:extLst>
          </c:dPt>
          <c:dPt>
            <c:idx val="9"/>
            <c:invertIfNegative val="0"/>
            <c:bubble3D val="0"/>
            <c:spPr>
              <a:solidFill>
                <a:schemeClr val="bg1">
                  <a:lumMod val="65000"/>
                </a:schemeClr>
              </a:solidFill>
            </c:spPr>
            <c:extLst>
              <c:ext xmlns:c16="http://schemas.microsoft.com/office/drawing/2014/chart" uri="{C3380CC4-5D6E-409C-BE32-E72D297353CC}">
                <c16:uniqueId val="{00000011-033C-4530-84A9-991A3866ABD4}"/>
              </c:ext>
            </c:extLst>
          </c:dPt>
          <c:dPt>
            <c:idx val="10"/>
            <c:invertIfNegative val="0"/>
            <c:bubble3D val="0"/>
            <c:spPr>
              <a:solidFill>
                <a:schemeClr val="bg1">
                  <a:lumMod val="65000"/>
                </a:schemeClr>
              </a:solidFill>
            </c:spPr>
            <c:extLst>
              <c:ext xmlns:c16="http://schemas.microsoft.com/office/drawing/2014/chart" uri="{C3380CC4-5D6E-409C-BE32-E72D297353CC}">
                <c16:uniqueId val="{00000013-033C-4530-84A9-991A3866ABD4}"/>
              </c:ext>
            </c:extLst>
          </c:dPt>
          <c:dPt>
            <c:idx val="11"/>
            <c:invertIfNegative val="0"/>
            <c:bubble3D val="0"/>
            <c:spPr>
              <a:solidFill>
                <a:schemeClr val="tx2">
                  <a:lumMod val="40000"/>
                  <a:lumOff val="60000"/>
                </a:schemeClr>
              </a:solidFill>
            </c:spPr>
            <c:extLst>
              <c:ext xmlns:c16="http://schemas.microsoft.com/office/drawing/2014/chart" uri="{C3380CC4-5D6E-409C-BE32-E72D297353CC}">
                <c16:uniqueId val="{00000015-033C-4530-84A9-991A3866ABD4}"/>
              </c:ext>
            </c:extLst>
          </c:dPt>
          <c:dPt>
            <c:idx val="12"/>
            <c:invertIfNegative val="0"/>
            <c:bubble3D val="0"/>
            <c:spPr>
              <a:solidFill>
                <a:schemeClr val="tx2">
                  <a:lumMod val="40000"/>
                  <a:lumOff val="60000"/>
                </a:schemeClr>
              </a:solidFill>
            </c:spPr>
            <c:extLst>
              <c:ext xmlns:c16="http://schemas.microsoft.com/office/drawing/2014/chart" uri="{C3380CC4-5D6E-409C-BE32-E72D297353CC}">
                <c16:uniqueId val="{00000017-033C-4530-84A9-991A3866ABD4}"/>
              </c:ext>
            </c:extLst>
          </c:dPt>
          <c:dPt>
            <c:idx val="13"/>
            <c:invertIfNegative val="0"/>
            <c:bubble3D val="0"/>
            <c:spPr>
              <a:solidFill>
                <a:schemeClr val="tx2">
                  <a:lumMod val="40000"/>
                  <a:lumOff val="60000"/>
                </a:schemeClr>
              </a:solidFill>
            </c:spPr>
            <c:extLst>
              <c:ext xmlns:c16="http://schemas.microsoft.com/office/drawing/2014/chart" uri="{C3380CC4-5D6E-409C-BE32-E72D297353CC}">
                <c16:uniqueId val="{00000019-033C-4530-84A9-991A3866ABD4}"/>
              </c:ext>
            </c:extLst>
          </c:dPt>
          <c:dPt>
            <c:idx val="14"/>
            <c:invertIfNegative val="0"/>
            <c:bubble3D val="0"/>
            <c:spPr>
              <a:solidFill>
                <a:schemeClr val="bg1">
                  <a:lumMod val="65000"/>
                </a:schemeClr>
              </a:solidFill>
            </c:spPr>
            <c:extLst>
              <c:ext xmlns:c16="http://schemas.microsoft.com/office/drawing/2014/chart" uri="{C3380CC4-5D6E-409C-BE32-E72D297353CC}">
                <c16:uniqueId val="{0000001B-033C-4530-84A9-991A3866ABD4}"/>
              </c:ext>
            </c:extLst>
          </c:dPt>
          <c:dPt>
            <c:idx val="15"/>
            <c:invertIfNegative val="0"/>
            <c:bubble3D val="0"/>
            <c:spPr>
              <a:solidFill>
                <a:schemeClr val="bg1">
                  <a:lumMod val="65000"/>
                </a:schemeClr>
              </a:solidFill>
            </c:spPr>
            <c:extLst>
              <c:ext xmlns:c16="http://schemas.microsoft.com/office/drawing/2014/chart" uri="{C3380CC4-5D6E-409C-BE32-E72D297353CC}">
                <c16:uniqueId val="{0000001D-033C-4530-84A9-991A3866ABD4}"/>
              </c:ext>
            </c:extLst>
          </c:dPt>
          <c:dPt>
            <c:idx val="16"/>
            <c:invertIfNegative val="0"/>
            <c:bubble3D val="0"/>
            <c:spPr>
              <a:solidFill>
                <a:schemeClr val="bg1">
                  <a:lumMod val="65000"/>
                </a:schemeClr>
              </a:solidFill>
            </c:spPr>
            <c:extLst>
              <c:ext xmlns:c16="http://schemas.microsoft.com/office/drawing/2014/chart" uri="{C3380CC4-5D6E-409C-BE32-E72D297353CC}">
                <c16:uniqueId val="{0000001F-033C-4530-84A9-991A3866ABD4}"/>
              </c:ext>
            </c:extLst>
          </c:dPt>
          <c:dPt>
            <c:idx val="17"/>
            <c:invertIfNegative val="0"/>
            <c:bubble3D val="0"/>
            <c:spPr>
              <a:solidFill>
                <a:schemeClr val="tx2">
                  <a:lumMod val="40000"/>
                  <a:lumOff val="60000"/>
                </a:schemeClr>
              </a:solidFill>
            </c:spPr>
            <c:extLst>
              <c:ext xmlns:c16="http://schemas.microsoft.com/office/drawing/2014/chart" uri="{C3380CC4-5D6E-409C-BE32-E72D297353CC}">
                <c16:uniqueId val="{00000021-033C-4530-84A9-991A3866ABD4}"/>
              </c:ext>
            </c:extLst>
          </c:dPt>
          <c:dPt>
            <c:idx val="18"/>
            <c:invertIfNegative val="0"/>
            <c:bubble3D val="0"/>
            <c:spPr>
              <a:solidFill>
                <a:schemeClr val="tx2">
                  <a:lumMod val="40000"/>
                  <a:lumOff val="60000"/>
                </a:schemeClr>
              </a:solidFill>
            </c:spPr>
            <c:extLst>
              <c:ext xmlns:c16="http://schemas.microsoft.com/office/drawing/2014/chart" uri="{C3380CC4-5D6E-409C-BE32-E72D297353CC}">
                <c16:uniqueId val="{00000023-033C-4530-84A9-991A3866ABD4}"/>
              </c:ext>
            </c:extLst>
          </c:dPt>
          <c:dPt>
            <c:idx val="19"/>
            <c:invertIfNegative val="0"/>
            <c:bubble3D val="0"/>
            <c:spPr>
              <a:solidFill>
                <a:schemeClr val="tx2">
                  <a:lumMod val="40000"/>
                  <a:lumOff val="60000"/>
                </a:schemeClr>
              </a:solidFill>
            </c:spPr>
            <c:extLst>
              <c:ext xmlns:c16="http://schemas.microsoft.com/office/drawing/2014/chart" uri="{C3380CC4-5D6E-409C-BE32-E72D297353CC}">
                <c16:uniqueId val="{00000025-033C-4530-84A9-991A3866ABD4}"/>
              </c:ext>
            </c:extLst>
          </c:dPt>
          <c:dPt>
            <c:idx val="20"/>
            <c:invertIfNegative val="0"/>
            <c:bubble3D val="0"/>
            <c:spPr>
              <a:solidFill>
                <a:schemeClr val="bg1">
                  <a:lumMod val="65000"/>
                </a:schemeClr>
              </a:solidFill>
            </c:spPr>
            <c:extLst>
              <c:ext xmlns:c16="http://schemas.microsoft.com/office/drawing/2014/chart" uri="{C3380CC4-5D6E-409C-BE32-E72D297353CC}">
                <c16:uniqueId val="{00000027-033C-4530-84A9-991A3866ABD4}"/>
              </c:ext>
            </c:extLst>
          </c:dPt>
          <c:dPt>
            <c:idx val="21"/>
            <c:invertIfNegative val="0"/>
            <c:bubble3D val="0"/>
            <c:spPr>
              <a:solidFill>
                <a:schemeClr val="bg1">
                  <a:lumMod val="65000"/>
                </a:schemeClr>
              </a:solidFill>
            </c:spPr>
            <c:extLst>
              <c:ext xmlns:c16="http://schemas.microsoft.com/office/drawing/2014/chart" uri="{C3380CC4-5D6E-409C-BE32-E72D297353CC}">
                <c16:uniqueId val="{00000029-033C-4530-84A9-991A3866ABD4}"/>
              </c:ext>
            </c:extLst>
          </c:dPt>
          <c:dPt>
            <c:idx val="22"/>
            <c:invertIfNegative val="0"/>
            <c:bubble3D val="0"/>
            <c:spPr>
              <a:solidFill>
                <a:schemeClr val="bg1">
                  <a:lumMod val="65000"/>
                </a:schemeClr>
              </a:solidFill>
            </c:spPr>
            <c:extLst>
              <c:ext xmlns:c16="http://schemas.microsoft.com/office/drawing/2014/chart" uri="{C3380CC4-5D6E-409C-BE32-E72D297353CC}">
                <c16:uniqueId val="{0000002B-033C-4530-84A9-991A3866ABD4}"/>
              </c:ext>
            </c:extLst>
          </c:dPt>
          <c:dLbls>
            <c:dLbl>
              <c:idx val="0"/>
              <c:tx>
                <c:rich>
                  <a:bodyPr/>
                  <a:lstStyle/>
                  <a:p>
                    <a:fld id="{EAD99AAA-4A74-4774-91CC-34647B213A2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C-033C-4530-84A9-991A3866ABD4}"/>
                </c:ext>
              </c:extLst>
            </c:dLbl>
            <c:dLbl>
              <c:idx val="1"/>
              <c:tx>
                <c:rich>
                  <a:bodyPr/>
                  <a:lstStyle/>
                  <a:p>
                    <a:fld id="{5DFE4383-F7D8-4B5B-B411-9E6C22558CF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33C-4530-84A9-991A3866ABD4}"/>
                </c:ext>
              </c:extLst>
            </c:dLbl>
            <c:dLbl>
              <c:idx val="2"/>
              <c:tx>
                <c:rich>
                  <a:bodyPr/>
                  <a:lstStyle/>
                  <a:p>
                    <a:fld id="{B4516A45-FB53-44EB-BD4D-7C2E3B3C338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33C-4530-84A9-991A3866ABD4}"/>
                </c:ext>
              </c:extLst>
            </c:dLbl>
            <c:dLbl>
              <c:idx val="3"/>
              <c:tx>
                <c:rich>
                  <a:bodyPr/>
                  <a:lstStyle/>
                  <a:p>
                    <a:fld id="{EF2F4122-F9BA-4C6B-B5BE-498FCFB5120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33C-4530-84A9-991A3866ABD4}"/>
                </c:ext>
              </c:extLst>
            </c:dLbl>
            <c:dLbl>
              <c:idx val="4"/>
              <c:tx>
                <c:rich>
                  <a:bodyPr/>
                  <a:lstStyle/>
                  <a:p>
                    <a:fld id="{5A14B97D-6EEE-4ED2-B887-2A10E190CAF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33C-4530-84A9-991A3866ABD4}"/>
                </c:ext>
              </c:extLst>
            </c:dLbl>
            <c:dLbl>
              <c:idx val="5"/>
              <c:tx>
                <c:rich>
                  <a:bodyPr/>
                  <a:lstStyle/>
                  <a:p>
                    <a:fld id="{A9882160-5738-4C30-8379-80F44508B03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33C-4530-84A9-991A3866ABD4}"/>
                </c:ext>
              </c:extLst>
            </c:dLbl>
            <c:dLbl>
              <c:idx val="6"/>
              <c:tx>
                <c:rich>
                  <a:bodyPr/>
                  <a:lstStyle/>
                  <a:p>
                    <a:fld id="{4D9C92E0-A970-472D-B43C-63A180DACD7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33C-4530-84A9-991A3866ABD4}"/>
                </c:ext>
              </c:extLst>
            </c:dLbl>
            <c:dLbl>
              <c:idx val="7"/>
              <c:tx>
                <c:rich>
                  <a:bodyPr/>
                  <a:lstStyle/>
                  <a:p>
                    <a:fld id="{E6FF810F-1B8F-4C12-96AC-9755370E102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33C-4530-84A9-991A3866ABD4}"/>
                </c:ext>
              </c:extLst>
            </c:dLbl>
            <c:dLbl>
              <c:idx val="8"/>
              <c:tx>
                <c:rich>
                  <a:bodyPr/>
                  <a:lstStyle/>
                  <a:p>
                    <a:fld id="{D4C26FC9-4F3E-4AF3-A9C1-2A1256D0D6C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033C-4530-84A9-991A3866ABD4}"/>
                </c:ext>
              </c:extLst>
            </c:dLbl>
            <c:dLbl>
              <c:idx val="9"/>
              <c:tx>
                <c:rich>
                  <a:bodyPr/>
                  <a:lstStyle/>
                  <a:p>
                    <a:fld id="{3995A87D-7B17-4047-A96E-70B0C67440C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033C-4530-84A9-991A3866ABD4}"/>
                </c:ext>
              </c:extLst>
            </c:dLbl>
            <c:dLbl>
              <c:idx val="10"/>
              <c:tx>
                <c:rich>
                  <a:bodyPr/>
                  <a:lstStyle/>
                  <a:p>
                    <a:fld id="{0A2C671D-657C-46F4-B2BB-20B5FBE56A4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033C-4530-84A9-991A3866ABD4}"/>
                </c:ext>
              </c:extLst>
            </c:dLbl>
            <c:dLbl>
              <c:idx val="11"/>
              <c:tx>
                <c:rich>
                  <a:bodyPr/>
                  <a:lstStyle/>
                  <a:p>
                    <a:fld id="{7821E1C3-7B3F-4055-B157-E16500020BA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033C-4530-84A9-991A3866ABD4}"/>
                </c:ext>
              </c:extLst>
            </c:dLbl>
            <c:dLbl>
              <c:idx val="12"/>
              <c:tx>
                <c:rich>
                  <a:bodyPr/>
                  <a:lstStyle/>
                  <a:p>
                    <a:endParaRPr lang="en-US"/>
                  </a:p>
                </c:rich>
              </c:tx>
              <c:dLblPos val="outEnd"/>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033C-4530-84A9-991A3866ABD4}"/>
                </c:ext>
              </c:extLst>
            </c:dLbl>
            <c:dLbl>
              <c:idx val="13"/>
              <c:tx>
                <c:rich>
                  <a:bodyPr/>
                  <a:lstStyle/>
                  <a:p>
                    <a:fld id="{55BA29AB-1511-4A90-BE7D-90369891780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033C-4530-84A9-991A3866ABD4}"/>
                </c:ext>
              </c:extLst>
            </c:dLbl>
            <c:dLbl>
              <c:idx val="14"/>
              <c:tx>
                <c:rich>
                  <a:bodyPr/>
                  <a:lstStyle/>
                  <a:p>
                    <a:fld id="{FA23C24F-1BF2-411A-A92C-5B42DEF21AD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033C-4530-84A9-991A3866ABD4}"/>
                </c:ext>
              </c:extLst>
            </c:dLbl>
            <c:dLbl>
              <c:idx val="15"/>
              <c:tx>
                <c:rich>
                  <a:bodyPr/>
                  <a:lstStyle/>
                  <a:p>
                    <a:fld id="{9131EBFD-5C1D-4E57-A7D0-3A76109946B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033C-4530-84A9-991A3866ABD4}"/>
                </c:ext>
              </c:extLst>
            </c:dLbl>
            <c:dLbl>
              <c:idx val="16"/>
              <c:tx>
                <c:rich>
                  <a:bodyPr/>
                  <a:lstStyle/>
                  <a:p>
                    <a:fld id="{463AE5A3-06EE-45ED-945C-5FD7CCCC21C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033C-4530-84A9-991A3866ABD4}"/>
                </c:ext>
              </c:extLst>
            </c:dLbl>
            <c:dLbl>
              <c:idx val="17"/>
              <c:tx>
                <c:rich>
                  <a:bodyPr/>
                  <a:lstStyle/>
                  <a:p>
                    <a:fld id="{9C2F9040-AFE5-405A-89E5-112C030D25F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033C-4530-84A9-991A3866ABD4}"/>
                </c:ext>
              </c:extLst>
            </c:dLbl>
            <c:dLbl>
              <c:idx val="18"/>
              <c:tx>
                <c:rich>
                  <a:bodyPr/>
                  <a:lstStyle/>
                  <a:p>
                    <a:fld id="{84CA341E-4030-4D98-89DC-F5B27E87A18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033C-4530-84A9-991A3866ABD4}"/>
                </c:ext>
              </c:extLst>
            </c:dLbl>
            <c:dLbl>
              <c:idx val="19"/>
              <c:tx>
                <c:rich>
                  <a:bodyPr/>
                  <a:lstStyle/>
                  <a:p>
                    <a:fld id="{035C8821-92A2-4C67-AEF1-0F5022083DD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033C-4530-84A9-991A3866ABD4}"/>
                </c:ext>
              </c:extLst>
            </c:dLbl>
            <c:dLbl>
              <c:idx val="20"/>
              <c:tx>
                <c:rich>
                  <a:bodyPr/>
                  <a:lstStyle/>
                  <a:p>
                    <a:fld id="{0651FF18-1B2C-4677-8753-C400D6D778B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033C-4530-84A9-991A3866ABD4}"/>
                </c:ext>
              </c:extLst>
            </c:dLbl>
            <c:dLbl>
              <c:idx val="21"/>
              <c:tx>
                <c:rich>
                  <a:bodyPr/>
                  <a:lstStyle/>
                  <a:p>
                    <a:fld id="{DE4EBAB4-F431-46F0-8EA7-9703C7F9588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033C-4530-84A9-991A3866ABD4}"/>
                </c:ext>
              </c:extLst>
            </c:dLbl>
            <c:dLbl>
              <c:idx val="22"/>
              <c:tx>
                <c:rich>
                  <a:bodyPr/>
                  <a:lstStyle/>
                  <a:p>
                    <a:fld id="{E1AE0CAC-5430-4B54-8750-0D827CC2EF8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033C-4530-84A9-991A3866ABD4}"/>
                </c:ext>
              </c:extLst>
            </c:dLbl>
            <c:dLbl>
              <c:idx val="23"/>
              <c:tx>
                <c:rich>
                  <a:bodyPr/>
                  <a:lstStyle/>
                  <a:p>
                    <a:fld id="{4764F63B-BC73-40EC-85B5-8D4E9CE8D6C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A435-467A-9CEB-6115478B7183}"/>
                </c:ext>
              </c:extLst>
            </c:dLbl>
            <c:dLbl>
              <c:idx val="24"/>
              <c:tx>
                <c:rich>
                  <a:bodyPr/>
                  <a:lstStyle/>
                  <a:p>
                    <a:fld id="{4E97184A-BBB6-4899-AEDC-41ADA93F300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D-A435-467A-9CEB-6115478B7183}"/>
                </c:ext>
              </c:extLst>
            </c:dLbl>
            <c:dLbl>
              <c:idx val="25"/>
              <c:tx>
                <c:rich>
                  <a:bodyPr/>
                  <a:lstStyle/>
                  <a:p>
                    <a:fld id="{231366D1-90C2-45AE-AEAB-22654CB3479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A435-467A-9CEB-6115478B7183}"/>
                </c:ext>
              </c:extLst>
            </c:dLbl>
            <c:dLbl>
              <c:idx val="26"/>
              <c:tx>
                <c:rich>
                  <a:bodyPr/>
                  <a:lstStyle/>
                  <a:p>
                    <a:fld id="{39BE30A4-D597-46EC-B38F-93FB6AF2D86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A435-467A-9CEB-6115478B7183}"/>
                </c:ext>
              </c:extLst>
            </c:dLbl>
            <c:dLbl>
              <c:idx val="27"/>
              <c:tx>
                <c:rich>
                  <a:bodyPr/>
                  <a:lstStyle/>
                  <a:p>
                    <a:fld id="{738A7278-11F6-4DF9-BC68-2C8558477F7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0-A435-467A-9CEB-6115478B7183}"/>
                </c:ext>
              </c:extLst>
            </c:dLbl>
            <c:dLbl>
              <c:idx val="28"/>
              <c:tx>
                <c:rich>
                  <a:bodyPr/>
                  <a:lstStyle/>
                  <a:p>
                    <a:fld id="{1518E20C-159B-4BF1-807F-3A3379104CA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1-A435-467A-9CEB-6115478B7183}"/>
                </c:ext>
              </c:extLst>
            </c:dLbl>
            <c:dLbl>
              <c:idx val="29"/>
              <c:tx>
                <c:rich>
                  <a:bodyPr/>
                  <a:lstStyle/>
                  <a:p>
                    <a:endParaRPr lang="en-US"/>
                  </a:p>
                </c:rich>
              </c:tx>
              <c:dLblPos val="outEnd"/>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033C-4530-84A9-991A3866ABD4}"/>
                </c:ext>
              </c:extLst>
            </c:dLbl>
            <c:dLbl>
              <c:idx val="30"/>
              <c:tx>
                <c:rich>
                  <a:bodyPr/>
                  <a:lstStyle/>
                  <a:p>
                    <a:fld id="{A5A08E75-C913-4470-9D81-58A9E5B19E4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2-A435-467A-9CEB-6115478B7183}"/>
                </c:ext>
              </c:extLst>
            </c:dLbl>
            <c:dLbl>
              <c:idx val="31"/>
              <c:tx>
                <c:rich>
                  <a:bodyPr/>
                  <a:lstStyle/>
                  <a:p>
                    <a:fld id="{1A900953-414F-469B-9C8B-CD2642F5061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3-A435-467A-9CEB-6115478B7183}"/>
                </c:ext>
              </c:extLst>
            </c:dLbl>
            <c:dLbl>
              <c:idx val="32"/>
              <c:tx>
                <c:rich>
                  <a:bodyPr/>
                  <a:lstStyle/>
                  <a:p>
                    <a:fld id="{55EE24B5-8A78-4387-AF27-94D634B64B8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4-A435-467A-9CEB-6115478B7183}"/>
                </c:ext>
              </c:extLst>
            </c:dLbl>
            <c:dLbl>
              <c:idx val="33"/>
              <c:tx>
                <c:rich>
                  <a:bodyPr/>
                  <a:lstStyle/>
                  <a:p>
                    <a:fld id="{D11F3301-0E7D-4AA0-9BDC-785A12AF504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5-A435-467A-9CEB-6115478B7183}"/>
                </c:ext>
              </c:extLst>
            </c:dLbl>
            <c:dLbl>
              <c:idx val="34"/>
              <c:tx>
                <c:rich>
                  <a:bodyPr/>
                  <a:lstStyle/>
                  <a:p>
                    <a:fld id="{875A8B93-031F-43A0-88D6-1122C7A47EC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6-A435-467A-9CEB-6115478B7183}"/>
                </c:ext>
              </c:extLst>
            </c:dLbl>
            <c:dLbl>
              <c:idx val="35"/>
              <c:tx>
                <c:rich>
                  <a:bodyPr/>
                  <a:lstStyle/>
                  <a:p>
                    <a:fld id="{69760F15-0E69-473E-9246-96142B702DE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7-A435-467A-9CEB-6115478B7183}"/>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errBars>
            <c:errBarType val="both"/>
            <c:errValType val="cust"/>
            <c:noEndCap val="0"/>
            <c:plus>
              <c:numRef>
                <c:f>'pooled normalised values'!$B$76:$AK$76</c:f>
                <c:numCache>
                  <c:formatCode>General</c:formatCode>
                  <c:ptCount val="36"/>
                  <c:pt idx="0">
                    <c:v>3.0531433013272886E-2</c:v>
                  </c:pt>
                  <c:pt idx="1">
                    <c:v>3.5091235742612872E-2</c:v>
                  </c:pt>
                  <c:pt idx="2">
                    <c:v>3.7338504550749524E-2</c:v>
                  </c:pt>
                  <c:pt idx="3">
                    <c:v>0.21548591497448694</c:v>
                  </c:pt>
                  <c:pt idx="4">
                    <c:v>0.29958333091716993</c:v>
                  </c:pt>
                  <c:pt idx="5">
                    <c:v>0.32325339651262858</c:v>
                  </c:pt>
                  <c:pt idx="6">
                    <c:v>0.37534791373759713</c:v>
                  </c:pt>
                  <c:pt idx="7">
                    <c:v>2.1567811795897836E-2</c:v>
                  </c:pt>
                  <c:pt idx="8">
                    <c:v>2.1724082432133082E-2</c:v>
                  </c:pt>
                  <c:pt idx="9">
                    <c:v>0.20772725313315596</c:v>
                  </c:pt>
                  <c:pt idx="10">
                    <c:v>0.20372404604745686</c:v>
                  </c:pt>
                  <c:pt idx="11">
                    <c:v>0.33741887067159243</c:v>
                  </c:pt>
                  <c:pt idx="13">
                    <c:v>0.11132092883161762</c:v>
                  </c:pt>
                  <c:pt idx="14">
                    <c:v>0.31942541168901378</c:v>
                  </c:pt>
                  <c:pt idx="15">
                    <c:v>1.7590552408504653E-2</c:v>
                  </c:pt>
                  <c:pt idx="16">
                    <c:v>0.2409828392874637</c:v>
                  </c:pt>
                  <c:pt idx="17">
                    <c:v>0.21937400442765395</c:v>
                  </c:pt>
                  <c:pt idx="18">
                    <c:v>0.23480180391959549</c:v>
                  </c:pt>
                  <c:pt idx="19">
                    <c:v>0.32704580075882916</c:v>
                  </c:pt>
                  <c:pt idx="20">
                    <c:v>0.38618765085523349</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numCache>
              </c:numRef>
            </c:plus>
            <c:minus>
              <c:numRef>
                <c:f>'pooled normalised values'!$B$76:$AK$76</c:f>
                <c:numCache>
                  <c:formatCode>General</c:formatCode>
                  <c:ptCount val="36"/>
                  <c:pt idx="0">
                    <c:v>3.0531433013272886E-2</c:v>
                  </c:pt>
                  <c:pt idx="1">
                    <c:v>3.5091235742612872E-2</c:v>
                  </c:pt>
                  <c:pt idx="2">
                    <c:v>3.7338504550749524E-2</c:v>
                  </c:pt>
                  <c:pt idx="3">
                    <c:v>0.21548591497448694</c:v>
                  </c:pt>
                  <c:pt idx="4">
                    <c:v>0.29958333091716993</c:v>
                  </c:pt>
                  <c:pt idx="5">
                    <c:v>0.32325339651262858</c:v>
                  </c:pt>
                  <c:pt idx="6">
                    <c:v>0.37534791373759713</c:v>
                  </c:pt>
                  <c:pt idx="7">
                    <c:v>2.1567811795897836E-2</c:v>
                  </c:pt>
                  <c:pt idx="8">
                    <c:v>2.1724082432133082E-2</c:v>
                  </c:pt>
                  <c:pt idx="9">
                    <c:v>0.20772725313315596</c:v>
                  </c:pt>
                  <c:pt idx="10">
                    <c:v>0.20372404604745686</c:v>
                  </c:pt>
                  <c:pt idx="11">
                    <c:v>0.33741887067159243</c:v>
                  </c:pt>
                  <c:pt idx="13">
                    <c:v>0.11132092883161762</c:v>
                  </c:pt>
                  <c:pt idx="14">
                    <c:v>0.31942541168901378</c:v>
                  </c:pt>
                  <c:pt idx="15">
                    <c:v>1.7590552408504653E-2</c:v>
                  </c:pt>
                  <c:pt idx="16">
                    <c:v>0.2409828392874637</c:v>
                  </c:pt>
                  <c:pt idx="17">
                    <c:v>0.21937400442765395</c:v>
                  </c:pt>
                  <c:pt idx="18">
                    <c:v>0.23480180391959549</c:v>
                  </c:pt>
                  <c:pt idx="19">
                    <c:v>0.32704580075882916</c:v>
                  </c:pt>
                  <c:pt idx="20">
                    <c:v>0.38618765085523349</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numCache>
              </c:numRef>
            </c:minus>
          </c:errBars>
          <c:cat>
            <c:strRef>
              <c:f>'pooled normalised values'!$B$74:$AK$74</c:f>
              <c:strCache>
                <c:ptCount val="36"/>
                <c:pt idx="0">
                  <c:v>Témoin solvant</c:v>
                </c:pt>
                <c:pt idx="1">
                  <c:v>EE2-33.8ng/L</c:v>
                </c:pt>
                <c:pt idx="2">
                  <c:v>EE2-50.6ng/L</c:v>
                </c:pt>
                <c:pt idx="3">
                  <c:v>EE2-76ng/L</c:v>
                </c:pt>
                <c:pt idx="4">
                  <c:v>EE2-114ng/L</c:v>
                </c:pt>
                <c:pt idx="5">
                  <c:v>EE2-170.9ng/L</c:v>
                </c:pt>
                <c:pt idx="6">
                  <c:v>EE2-488ng/L</c:v>
                </c:pt>
                <c:pt idx="7">
                  <c:v>estradiol 34ng/L</c:v>
                </c:pt>
                <c:pt idx="8">
                  <c:v>estradiol 68ng/L</c:v>
                </c:pt>
                <c:pt idx="9">
                  <c:v>estradiol 135ng/L</c:v>
                </c:pt>
                <c:pt idx="10">
                  <c:v>estradiol 270ng/L</c:v>
                </c:pt>
                <c:pt idx="11">
                  <c:v>estradiol 540ng/L</c:v>
                </c:pt>
                <c:pt idx="13">
                  <c:v>Testo -30µg/L</c:v>
                </c:pt>
                <c:pt idx="14">
                  <c:v>Testo 30µg/L + EE2 -64ng/L</c:v>
                </c:pt>
                <c:pt idx="15">
                  <c:v>Testo 30µg/L + FAD-10mg/L</c:v>
                </c:pt>
                <c:pt idx="16">
                  <c:v>estradiol-34ng/L + Testostérone</c:v>
                </c:pt>
                <c:pt idx="17">
                  <c:v>estradiol-68ng/L + Testostérone</c:v>
                </c:pt>
                <c:pt idx="18">
                  <c:v>estradiol-135ng/L + Testostérone</c:v>
                </c:pt>
                <c:pt idx="19">
                  <c:v>estradiol-270ng/L + Testostérone</c:v>
                </c:pt>
                <c:pt idx="20">
                  <c:v>estradiol-540ng/L + Testostérone</c:v>
                </c:pt>
                <c:pt idx="21">
                  <c:v>0-00 + Testostérone</c:v>
                </c:pt>
                <c:pt idx="22">
                  <c:v>0-00 + Testostérone</c:v>
                </c:pt>
                <c:pt idx="23">
                  <c:v>0-00 + Testostérone</c:v>
                </c:pt>
                <c:pt idx="24">
                  <c:v>0-00 + Testostérone</c:v>
                </c:pt>
                <c:pt idx="25">
                  <c:v>0-00 + Testostérone</c:v>
                </c:pt>
                <c:pt idx="26">
                  <c:v>0-00 + Testostérone</c:v>
                </c:pt>
                <c:pt idx="27">
                  <c:v>0-00 + Testostérone</c:v>
                </c:pt>
                <c:pt idx="28">
                  <c:v>0-00 + Testostérone</c:v>
                </c:pt>
                <c:pt idx="29">
                  <c:v>0-00 + Testostérone</c:v>
                </c:pt>
                <c:pt idx="30">
                  <c:v>0-00 + Testostérone</c:v>
                </c:pt>
                <c:pt idx="31">
                  <c:v>0-00 + Testostérone</c:v>
                </c:pt>
                <c:pt idx="32">
                  <c:v>0-00 + Testostérone</c:v>
                </c:pt>
                <c:pt idx="33">
                  <c:v>0-00 + Testostérone</c:v>
                </c:pt>
                <c:pt idx="34">
                  <c:v>0-00 + Testostérone</c:v>
                </c:pt>
                <c:pt idx="35">
                  <c:v>0-00 + Testostérone</c:v>
                </c:pt>
              </c:strCache>
            </c:strRef>
          </c:cat>
          <c:val>
            <c:numRef>
              <c:f>'pooled normalised values'!$B$75:$AK$75</c:f>
              <c:numCache>
                <c:formatCode>0.0000</c:formatCode>
                <c:ptCount val="36"/>
                <c:pt idx="0">
                  <c:v>0.15229055770800312</c:v>
                </c:pt>
                <c:pt idx="1">
                  <c:v>0.18330585545241077</c:v>
                </c:pt>
                <c:pt idx="2">
                  <c:v>0.1684450770480834</c:v>
                </c:pt>
                <c:pt idx="3">
                  <c:v>0.74063310480924405</c:v>
                </c:pt>
                <c:pt idx="4">
                  <c:v>1.5744025053212292</c:v>
                </c:pt>
                <c:pt idx="5">
                  <c:v>2.5009767443674882</c:v>
                </c:pt>
                <c:pt idx="6">
                  <c:v>3.7419685866413728</c:v>
                </c:pt>
                <c:pt idx="7">
                  <c:v>0.17931758387625063</c:v>
                </c:pt>
                <c:pt idx="8">
                  <c:v>0.18326514742027913</c:v>
                </c:pt>
                <c:pt idx="9">
                  <c:v>0.97151022965231215</c:v>
                </c:pt>
                <c:pt idx="10">
                  <c:v>1.9626738933325127</c:v>
                </c:pt>
                <c:pt idx="11">
                  <c:v>3.474881929650135</c:v>
                </c:pt>
                <c:pt idx="13">
                  <c:v>1.0000000000000002</c:v>
                </c:pt>
                <c:pt idx="14">
                  <c:v>3.1284648375910251</c:v>
                </c:pt>
                <c:pt idx="15">
                  <c:v>0.11656955822676086</c:v>
                </c:pt>
                <c:pt idx="16">
                  <c:v>1.5395657185150233</c:v>
                </c:pt>
                <c:pt idx="17">
                  <c:v>2.2262229921971128</c:v>
                </c:pt>
                <c:pt idx="18">
                  <c:v>2.3844715033432506</c:v>
                </c:pt>
                <c:pt idx="19">
                  <c:v>3.1441043236039792</c:v>
                </c:pt>
                <c:pt idx="20">
                  <c:v>3.3930749651279641</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numCache>
            </c:numRef>
          </c:val>
          <c:extLst>
            <c:ext xmlns:c15="http://schemas.microsoft.com/office/drawing/2012/chart" uri="{02D57815-91ED-43cb-92C2-25804820EDAC}">
              <c15:datalabelsRange>
                <c15:f>'pooled normalised values'!$B$83:$AK$83</c15:f>
                <c15:dlblRangeCache>
                  <c:ptCount val="36"/>
                  <c:pt idx="1">
                    <c:v>NS</c:v>
                  </c:pt>
                  <c:pt idx="2">
                    <c:v>NS</c:v>
                  </c:pt>
                  <c:pt idx="3">
                    <c:v>NS</c:v>
                  </c:pt>
                  <c:pt idx="4">
                    <c:v>**</c:v>
                  </c:pt>
                  <c:pt idx="5">
                    <c:v>***</c:v>
                  </c:pt>
                  <c:pt idx="6">
                    <c:v>***</c:v>
                  </c:pt>
                  <c:pt idx="7">
                    <c:v>NS</c:v>
                  </c:pt>
                  <c:pt idx="8">
                    <c:v>NS</c:v>
                  </c:pt>
                  <c:pt idx="9">
                    <c:v>**</c:v>
                  </c:pt>
                  <c:pt idx="10">
                    <c:v>***</c:v>
                  </c:pt>
                  <c:pt idx="11">
                    <c:v>***</c:v>
                  </c:pt>
                  <c:pt idx="13">
                    <c:v>***</c:v>
                  </c:pt>
                  <c:pt idx="14">
                    <c:v>***</c:v>
                  </c:pt>
                  <c:pt idx="15">
                    <c:v>***</c:v>
                  </c:pt>
                  <c:pt idx="16">
                    <c:v>NS</c:v>
                  </c:pt>
                  <c:pt idx="17">
                    <c:v>***</c:v>
                  </c:pt>
                  <c:pt idx="18">
                    <c:v>***</c:v>
                  </c:pt>
                  <c:pt idx="19">
                    <c:v>***</c:v>
                  </c:pt>
                  <c:pt idx="20">
                    <c:v>***</c:v>
                  </c:pt>
                  <c:pt idx="21">
                    <c:v>#NAME?</c:v>
                  </c:pt>
                  <c:pt idx="22">
                    <c:v>#NAME?</c:v>
                  </c:pt>
                  <c:pt idx="23">
                    <c:v>#NAME?</c:v>
                  </c:pt>
                  <c:pt idx="24">
                    <c:v>#NAME?</c:v>
                  </c:pt>
                  <c:pt idx="25">
                    <c:v>#NAME?</c:v>
                  </c:pt>
                  <c:pt idx="26">
                    <c:v>#NAME?</c:v>
                  </c:pt>
                  <c:pt idx="27">
                    <c:v>#NAME?</c:v>
                  </c:pt>
                  <c:pt idx="28">
                    <c:v>#NAME?</c:v>
                  </c:pt>
                  <c:pt idx="29">
                    <c:v>#NAME?</c:v>
                  </c:pt>
                  <c:pt idx="30">
                    <c:v>#NAME?</c:v>
                  </c:pt>
                  <c:pt idx="31">
                    <c:v>#NAME?</c:v>
                  </c:pt>
                  <c:pt idx="32">
                    <c:v>#NAME?</c:v>
                  </c:pt>
                  <c:pt idx="33">
                    <c:v>#NAME?</c:v>
                  </c:pt>
                  <c:pt idx="34">
                    <c:v>#NAME?</c:v>
                  </c:pt>
                  <c:pt idx="35">
                    <c:v>#NAME?</c:v>
                  </c:pt>
                </c15:dlblRangeCache>
              </c15:datalabelsRange>
            </c:ext>
            <c:ext xmlns:c16="http://schemas.microsoft.com/office/drawing/2014/chart" uri="{C3380CC4-5D6E-409C-BE32-E72D297353CC}">
              <c16:uniqueId val="{0000004B-033C-4530-84A9-991A3866ABD4}"/>
            </c:ext>
          </c:extLst>
        </c:ser>
        <c:dLbls>
          <c:showLegendKey val="0"/>
          <c:showVal val="0"/>
          <c:showCatName val="0"/>
          <c:showSerName val="0"/>
          <c:showPercent val="0"/>
          <c:showBubbleSize val="0"/>
        </c:dLbls>
        <c:gapWidth val="150"/>
        <c:axId val="434374272"/>
        <c:axId val="434374664"/>
      </c:barChart>
      <c:catAx>
        <c:axId val="434374272"/>
        <c:scaling>
          <c:orientation val="minMax"/>
        </c:scaling>
        <c:delete val="0"/>
        <c:axPos val="b"/>
        <c:numFmt formatCode="General" sourceLinked="0"/>
        <c:majorTickMark val="out"/>
        <c:minorTickMark val="none"/>
        <c:tickLblPos val="nextTo"/>
        <c:txPr>
          <a:bodyPr rot="-2700000"/>
          <a:lstStyle/>
          <a:p>
            <a:pPr>
              <a:defRPr lang="en-GB" sz="1000"/>
            </a:pPr>
            <a:endParaRPr lang="en-US"/>
          </a:p>
        </c:txPr>
        <c:crossAx val="434374664"/>
        <c:crosses val="autoZero"/>
        <c:auto val="1"/>
        <c:lblAlgn val="ctr"/>
        <c:lblOffset val="100"/>
        <c:noMultiLvlLbl val="0"/>
      </c:catAx>
      <c:valAx>
        <c:axId val="434374664"/>
        <c:scaling>
          <c:orientation val="minMax"/>
          <c:min val="0"/>
        </c:scaling>
        <c:delete val="0"/>
        <c:axPos val="l"/>
        <c:majorGridlines/>
        <c:title>
          <c:tx>
            <c:rich>
              <a:bodyPr rot="-5400000" vert="horz"/>
              <a:lstStyle/>
              <a:p>
                <a:pPr>
                  <a:defRPr lang="en-GB" sz="1400"/>
                </a:pPr>
                <a:r>
                  <a:rPr lang="en-US" sz="1400"/>
                  <a:t>fluorescence totale (unités arbitraires)</a:t>
                </a:r>
              </a:p>
            </c:rich>
          </c:tx>
          <c:overlay val="0"/>
        </c:title>
        <c:numFmt formatCode="0.0" sourceLinked="0"/>
        <c:majorTickMark val="out"/>
        <c:minorTickMark val="none"/>
        <c:tickLblPos val="nextTo"/>
        <c:txPr>
          <a:bodyPr/>
          <a:lstStyle/>
          <a:p>
            <a:pPr>
              <a:defRPr lang="en-GB"/>
            </a:pPr>
            <a:endParaRPr lang="en-US"/>
          </a:p>
        </c:txPr>
        <c:crossAx val="434374272"/>
        <c:crosses val="autoZero"/>
        <c:crossBetween val="between"/>
      </c:valAx>
    </c:plotArea>
    <c:plotVisOnly val="1"/>
    <c:dispBlanksAs val="gap"/>
    <c:showDLblsOverMax val="0"/>
  </c:char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B3521E85-822D-41B7-B3B6-2A1D3B99E895}"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A0E-4A73-A150-20269D17EA87}"/>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9CC3-4389-B7A2-7B6B1524FA3D}"/>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CC3-4389-B7A2-7B6B1524FA3D}"/>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CC3-4389-B7A2-7B6B1524FA3D}"/>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CC3-4389-B7A2-7B6B1524FA3D}"/>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CC3-4389-B7A2-7B6B1524FA3D}"/>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CC3-4389-B7A2-7B6B1524FA3D}"/>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CC3-4389-B7A2-7B6B1524FA3D}"/>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CC3-4389-B7A2-7B6B1524FA3D}"/>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CC3-4389-B7A2-7B6B1524FA3D}"/>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CC3-4389-B7A2-7B6B1524FA3D}"/>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CC3-4389-B7A2-7B6B1524FA3D}"/>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CC3-4389-B7A2-7B6B1524FA3D}"/>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CC3-4389-B7A2-7B6B1524FA3D}"/>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CC3-4389-B7A2-7B6B1524FA3D}"/>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CC3-4389-B7A2-7B6B1524FA3D}"/>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CC3-4389-B7A2-7B6B1524FA3D}"/>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CC3-4389-B7A2-7B6B1524FA3D}"/>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CC3-4389-B7A2-7B6B1524FA3D}"/>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CC3-4389-B7A2-7B6B1524FA3D}"/>
                </c:ext>
              </c:extLst>
            </c:dLbl>
            <c:spPr>
              <a:noFill/>
              <a:ln>
                <a:noFill/>
              </a:ln>
              <a:effectLst/>
            </c:spPr>
            <c:txPr>
              <a:bodyPr wrap="square" lIns="38100" tIns="19050" rIns="38100" bIns="19050" anchor="ctr">
                <a:spAutoFit/>
              </a:bodyPr>
              <a:lstStyle/>
              <a:p>
                <a:pPr>
                  <a:defRPr sz="1200"/>
                </a:pPr>
                <a:endParaRPr lang="en-US"/>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results'!$M$7:$M$26</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results'!$L$7:$L$26</c:f>
              <c:numCache>
                <c:formatCode>0</c:formatCode>
                <c:ptCount val="20"/>
                <c:pt idx="0">
                  <c:v>1</c:v>
                </c:pt>
              </c:numCache>
            </c:numRef>
          </c:yVal>
          <c:smooth val="0"/>
          <c:extLst>
            <c:ext xmlns:c15="http://schemas.microsoft.com/office/drawing/2012/chart" uri="{02D57815-91ED-43cb-92C2-25804820EDAC}">
              <c15:datalabelsRange>
                <c15:f>'summary results'!$N$7:$N$26</c15:f>
                <c15:dlblRangeCache>
                  <c:ptCount val="20"/>
                  <c:pt idx="0">
                    <c:v>estradiol-34ng/L : 0%</c:v>
                  </c:pt>
                  <c:pt idx="1">
                    <c:v>estradiol-68ng/L : 0%</c:v>
                  </c:pt>
                  <c:pt idx="2">
                    <c:v>#NUM!</c:v>
                  </c:pt>
                  <c:pt idx="3">
                    <c:v>#NUM!</c:v>
                  </c:pt>
                  <c:pt idx="4">
                    <c:v>#NUM!</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8A0E-4A73-A150-20269D17EA87}"/>
            </c:ext>
          </c:extLst>
        </c:ser>
        <c:dLbls>
          <c:dLblPos val="l"/>
          <c:showLegendKey val="0"/>
          <c:showVal val="1"/>
          <c:showCatName val="0"/>
          <c:showSerName val="0"/>
          <c:showPercent val="0"/>
          <c:showBubbleSize val="0"/>
        </c:dLbls>
        <c:axId val="434375448"/>
        <c:axId val="434375840"/>
      </c:scatterChart>
      <c:valAx>
        <c:axId val="434375448"/>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5840"/>
        <c:crosses val="autoZero"/>
        <c:crossBetween val="midCat"/>
        <c:majorUnit val="25"/>
      </c:valAx>
      <c:valAx>
        <c:axId val="434375840"/>
        <c:scaling>
          <c:orientation val="minMax"/>
          <c:max val="10"/>
          <c:min val="0"/>
        </c:scaling>
        <c:delete val="0"/>
        <c:axPos val="l"/>
        <c:numFmt formatCode="0"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en-US"/>
          </a:p>
        </c:txPr>
        <c:crossAx val="434375448"/>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1C33E634-E42C-40D4-8E3C-BDB22EC08C4C}"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2A6-4854-9641-F3E2EF92D076}"/>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B43-49EA-A078-F2139CD3A877}"/>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B43-49EA-A078-F2139CD3A877}"/>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B43-49EA-A078-F2139CD3A877}"/>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B43-49EA-A078-F2139CD3A877}"/>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B43-49EA-A078-F2139CD3A877}"/>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B43-49EA-A078-F2139CD3A877}"/>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B43-49EA-A078-F2139CD3A877}"/>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B43-49EA-A078-F2139CD3A877}"/>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B43-49EA-A078-F2139CD3A877}"/>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B43-49EA-A078-F2139CD3A877}"/>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B43-49EA-A078-F2139CD3A877}"/>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B43-49EA-A078-F2139CD3A877}"/>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B43-49EA-A078-F2139CD3A877}"/>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B43-49EA-A078-F2139CD3A877}"/>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B43-49EA-A078-F2139CD3A877}"/>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B43-49EA-A078-F2139CD3A877}"/>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B43-49EA-A078-F2139CD3A877}"/>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B43-49EA-A078-F2139CD3A877}"/>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B43-49EA-A078-F2139CD3A877}"/>
                </c:ext>
              </c:extLst>
            </c:dLbl>
            <c:spPr>
              <a:noFill/>
              <a:ln>
                <a:noFill/>
              </a:ln>
              <a:effectLst/>
            </c:spPr>
            <c:txPr>
              <a:bodyPr wrap="square" lIns="38100" tIns="19050" rIns="38100" bIns="19050" anchor="ctr">
                <a:spAutoFit/>
              </a:bodyPr>
              <a:lstStyle/>
              <a:p>
                <a:pPr>
                  <a:defRPr sz="1200"/>
                </a:pPr>
                <a:endParaRPr lang="en-US"/>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results'!$M$32:$M$51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xVal>
          <c:yVal>
            <c:numRef>
              <c:f>'summary results'!$L$32:$L$51</c:f>
              <c:numCache>
                <c:formatCode>General</c:formatCode>
                <c:ptCount val="20"/>
                <c:pt idx="0">
                  <c:v>1</c:v>
                </c:pt>
              </c:numCache>
            </c:numRef>
          </c:yVal>
          <c:smooth val="0"/>
          <c:extLst>
            <c:ext xmlns:c15="http://schemas.microsoft.com/office/drawing/2012/chart" uri="{02D57815-91ED-43cb-92C2-25804820EDAC}">
              <c15:datalabelsRange>
                <c15:f>'summary results'!$N$32:$N$51</c15:f>
                <c15:dlblRangeCache>
                  <c:ptCount val="20"/>
                  <c:pt idx="0">
                    <c:v>estradiol-34ng/L : 0%</c:v>
                  </c:pt>
                  <c:pt idx="1">
                    <c:v>#NUM!</c:v>
                  </c:pt>
                  <c:pt idx="2">
                    <c:v>#NUM!</c:v>
                  </c:pt>
                  <c:pt idx="3">
                    <c:v>#NUM!</c:v>
                  </c:pt>
                  <c:pt idx="4">
                    <c:v>#NUM!</c:v>
                  </c:pt>
                  <c:pt idx="5">
                    <c:v>#NAME?</c:v>
                  </c:pt>
                  <c:pt idx="6">
                    <c:v>#NAME?</c:v>
                  </c:pt>
                  <c:pt idx="7">
                    <c:v>#NAME?</c:v>
                  </c:pt>
                  <c:pt idx="8">
                    <c:v>#NAME?</c:v>
                  </c:pt>
                  <c:pt idx="9">
                    <c:v>#NAME?</c:v>
                  </c:pt>
                  <c:pt idx="10">
                    <c:v>#NAME?</c:v>
                  </c:pt>
                  <c:pt idx="11">
                    <c:v>#NAME?</c:v>
                  </c:pt>
                  <c:pt idx="12">
                    <c:v>#NAME?</c:v>
                  </c:pt>
                  <c:pt idx="13">
                    <c:v>#NAME?</c:v>
                  </c:pt>
                  <c:pt idx="14">
                    <c:v>#NAME?</c:v>
                  </c:pt>
                  <c:pt idx="15">
                    <c:v>#NAME?</c:v>
                  </c:pt>
                  <c:pt idx="16">
                    <c:v>#NAME?</c:v>
                  </c:pt>
                  <c:pt idx="17">
                    <c:v>#NAME?</c:v>
                  </c:pt>
                  <c:pt idx="18">
                    <c:v>#NAME?</c:v>
                  </c:pt>
                  <c:pt idx="19">
                    <c:v>#NAME?</c:v>
                  </c:pt>
                </c15:dlblRangeCache>
              </c15:datalabelsRange>
            </c:ext>
            <c:ext xmlns:c16="http://schemas.microsoft.com/office/drawing/2014/chart" uri="{C3380CC4-5D6E-409C-BE32-E72D297353CC}">
              <c16:uniqueId val="{00000008-F2A6-4854-9641-F3E2EF92D076}"/>
            </c:ext>
          </c:extLst>
        </c:ser>
        <c:dLbls>
          <c:dLblPos val="l"/>
          <c:showLegendKey val="0"/>
          <c:showVal val="1"/>
          <c:showCatName val="0"/>
          <c:showSerName val="0"/>
          <c:showPercent val="0"/>
          <c:showBubbleSize val="0"/>
        </c:dLbls>
        <c:axId val="434376624"/>
        <c:axId val="434377016"/>
      </c:scatterChart>
      <c:valAx>
        <c:axId val="434376624"/>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7016"/>
        <c:crosses val="autoZero"/>
        <c:crossBetween val="midCat"/>
        <c:majorUnit val="25"/>
      </c:valAx>
      <c:valAx>
        <c:axId val="434377016"/>
        <c:scaling>
          <c:orientation val="minMax"/>
          <c:max val="10"/>
          <c:min val="0"/>
        </c:scaling>
        <c:delete val="0"/>
        <c:axPos val="l"/>
        <c:numFmt formatCode="General"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en-US"/>
          </a:p>
        </c:txPr>
        <c:crossAx val="434376624"/>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13EE411D-F6F8-4A2C-88FC-AD6D6AD4C02E}"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A0E-4A73-A150-20269D17EA87}"/>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9CC3-4389-B7A2-7B6B1524FA3D}"/>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CC3-4389-B7A2-7B6B1524FA3D}"/>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CC3-4389-B7A2-7B6B1524FA3D}"/>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CC3-4389-B7A2-7B6B1524FA3D}"/>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CC3-4389-B7A2-7B6B1524FA3D}"/>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CC3-4389-B7A2-7B6B1524FA3D}"/>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CC3-4389-B7A2-7B6B1524FA3D}"/>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CC3-4389-B7A2-7B6B1524FA3D}"/>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CC3-4389-B7A2-7B6B1524FA3D}"/>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CC3-4389-B7A2-7B6B1524FA3D}"/>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CC3-4389-B7A2-7B6B1524FA3D}"/>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CC3-4389-B7A2-7B6B1524FA3D}"/>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CC3-4389-B7A2-7B6B1524FA3D}"/>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CC3-4389-B7A2-7B6B1524FA3D}"/>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CC3-4389-B7A2-7B6B1524FA3D}"/>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CC3-4389-B7A2-7B6B1524FA3D}"/>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CC3-4389-B7A2-7B6B1524FA3D}"/>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CC3-4389-B7A2-7B6B1524FA3D}"/>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CC3-4389-B7A2-7B6B1524FA3D}"/>
                </c:ext>
              </c:extLst>
            </c:dLbl>
            <c:spPr>
              <a:noFill/>
              <a:ln>
                <a:noFill/>
              </a:ln>
              <a:effectLst/>
            </c:spPr>
            <c:txPr>
              <a:bodyPr wrap="square" lIns="38100" tIns="19050" rIns="38100" bIns="19050" anchor="ctr">
                <a:spAutoFit/>
              </a:bodyPr>
              <a:lstStyle/>
              <a:p>
                <a:pPr>
                  <a:defRPr sz="1200"/>
                </a:pPr>
                <a:endParaRPr lang="en-US"/>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results'!$M$7:$M$26</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results'!$L$7:$L$26</c:f>
              <c:numCache>
                <c:formatCode>0</c:formatCode>
                <c:ptCount val="20"/>
                <c:pt idx="0">
                  <c:v>1</c:v>
                </c:pt>
              </c:numCache>
            </c:numRef>
          </c:yVal>
          <c:smooth val="0"/>
          <c:extLst>
            <c:ext xmlns:c15="http://schemas.microsoft.com/office/drawing/2012/chart" uri="{02D57815-91ED-43cb-92C2-25804820EDAC}">
              <c15:datalabelsRange>
                <c15:f>'summary results'!$N$7:$N$26</c15:f>
                <c15:dlblRangeCache>
                  <c:ptCount val="20"/>
                  <c:pt idx="0">
                    <c:v>estradiol-34ng/L : 0%</c:v>
                  </c:pt>
                  <c:pt idx="1">
                    <c:v>estradiol-68ng/L : 0%</c:v>
                  </c:pt>
                  <c:pt idx="2">
                    <c:v>#NUM!</c:v>
                  </c:pt>
                  <c:pt idx="3">
                    <c:v>#NUM!</c:v>
                  </c:pt>
                  <c:pt idx="4">
                    <c:v>#NUM!</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8A0E-4A73-A150-20269D17EA87}"/>
            </c:ext>
          </c:extLst>
        </c:ser>
        <c:dLbls>
          <c:dLblPos val="l"/>
          <c:showLegendKey val="0"/>
          <c:showVal val="1"/>
          <c:showCatName val="0"/>
          <c:showSerName val="0"/>
          <c:showPercent val="0"/>
          <c:showBubbleSize val="0"/>
        </c:dLbls>
        <c:axId val="434377800"/>
        <c:axId val="434378192"/>
      </c:scatterChart>
      <c:valAx>
        <c:axId val="434377800"/>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8192"/>
        <c:crosses val="autoZero"/>
        <c:crossBetween val="midCat"/>
        <c:majorUnit val="25"/>
      </c:valAx>
      <c:valAx>
        <c:axId val="434378192"/>
        <c:scaling>
          <c:orientation val="minMax"/>
          <c:max val="10"/>
          <c:min val="0"/>
        </c:scaling>
        <c:delete val="0"/>
        <c:axPos val="l"/>
        <c:numFmt formatCode="0"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en-US"/>
          </a:p>
        </c:txPr>
        <c:crossAx val="434377800"/>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B0B8C154-6FFE-46D4-B488-671B04CBF7BF}"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2A6-4854-9641-F3E2EF92D076}"/>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B43-49EA-A078-F2139CD3A877}"/>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B43-49EA-A078-F2139CD3A877}"/>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B43-49EA-A078-F2139CD3A877}"/>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B43-49EA-A078-F2139CD3A877}"/>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B43-49EA-A078-F2139CD3A877}"/>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B43-49EA-A078-F2139CD3A877}"/>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B43-49EA-A078-F2139CD3A877}"/>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B43-49EA-A078-F2139CD3A877}"/>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B43-49EA-A078-F2139CD3A877}"/>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B43-49EA-A078-F2139CD3A877}"/>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B43-49EA-A078-F2139CD3A877}"/>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B43-49EA-A078-F2139CD3A877}"/>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B43-49EA-A078-F2139CD3A877}"/>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B43-49EA-A078-F2139CD3A877}"/>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B43-49EA-A078-F2139CD3A877}"/>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B43-49EA-A078-F2139CD3A877}"/>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B43-49EA-A078-F2139CD3A877}"/>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B43-49EA-A078-F2139CD3A877}"/>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B43-49EA-A078-F2139CD3A877}"/>
                </c:ext>
              </c:extLst>
            </c:dLbl>
            <c:spPr>
              <a:noFill/>
              <a:ln>
                <a:noFill/>
              </a:ln>
              <a:effectLst/>
            </c:spPr>
            <c:txPr>
              <a:bodyPr wrap="square" lIns="38100" tIns="19050" rIns="38100" bIns="19050" anchor="ctr">
                <a:spAutoFit/>
              </a:bodyPr>
              <a:lstStyle/>
              <a:p>
                <a:pPr>
                  <a:defRPr sz="1200"/>
                </a:pPr>
                <a:endParaRPr lang="en-US"/>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results'!$M$32:$M$51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xVal>
          <c:yVal>
            <c:numRef>
              <c:f>'summary results'!$L$32:$L$51</c:f>
              <c:numCache>
                <c:formatCode>General</c:formatCode>
                <c:ptCount val="20"/>
                <c:pt idx="0">
                  <c:v>1</c:v>
                </c:pt>
              </c:numCache>
            </c:numRef>
          </c:yVal>
          <c:smooth val="0"/>
          <c:extLst>
            <c:ext xmlns:c15="http://schemas.microsoft.com/office/drawing/2012/chart" uri="{02D57815-91ED-43cb-92C2-25804820EDAC}">
              <c15:datalabelsRange>
                <c15:f>'summary results'!$N$32:$N$51</c15:f>
                <c15:dlblRangeCache>
                  <c:ptCount val="20"/>
                  <c:pt idx="0">
                    <c:v>estradiol-34ng/L : 0%</c:v>
                  </c:pt>
                  <c:pt idx="1">
                    <c:v>#NUM!</c:v>
                  </c:pt>
                  <c:pt idx="2">
                    <c:v>#NUM!</c:v>
                  </c:pt>
                  <c:pt idx="3">
                    <c:v>#NUM!</c:v>
                  </c:pt>
                  <c:pt idx="4">
                    <c:v>#NUM!</c:v>
                  </c:pt>
                  <c:pt idx="5">
                    <c:v>#NAME?</c:v>
                  </c:pt>
                  <c:pt idx="6">
                    <c:v>#NAME?</c:v>
                  </c:pt>
                  <c:pt idx="7">
                    <c:v>#NAME?</c:v>
                  </c:pt>
                  <c:pt idx="8">
                    <c:v>#NAME?</c:v>
                  </c:pt>
                  <c:pt idx="9">
                    <c:v>#NAME?</c:v>
                  </c:pt>
                  <c:pt idx="10">
                    <c:v>#NAME?</c:v>
                  </c:pt>
                  <c:pt idx="11">
                    <c:v>#NAME?</c:v>
                  </c:pt>
                  <c:pt idx="12">
                    <c:v>#NAME?</c:v>
                  </c:pt>
                  <c:pt idx="13">
                    <c:v>#NAME?</c:v>
                  </c:pt>
                  <c:pt idx="14">
                    <c:v>#NAME?</c:v>
                  </c:pt>
                  <c:pt idx="15">
                    <c:v>#NAME?</c:v>
                  </c:pt>
                  <c:pt idx="16">
                    <c:v>#NAME?</c:v>
                  </c:pt>
                  <c:pt idx="17">
                    <c:v>#NAME?</c:v>
                  </c:pt>
                  <c:pt idx="18">
                    <c:v>#NAME?</c:v>
                  </c:pt>
                  <c:pt idx="19">
                    <c:v>#NAME?</c:v>
                  </c:pt>
                </c15:dlblRangeCache>
              </c15:datalabelsRange>
            </c:ext>
            <c:ext xmlns:c16="http://schemas.microsoft.com/office/drawing/2014/chart" uri="{C3380CC4-5D6E-409C-BE32-E72D297353CC}">
              <c16:uniqueId val="{00000008-F2A6-4854-9641-F3E2EF92D076}"/>
            </c:ext>
          </c:extLst>
        </c:ser>
        <c:dLbls>
          <c:dLblPos val="l"/>
          <c:showLegendKey val="0"/>
          <c:showVal val="1"/>
          <c:showCatName val="0"/>
          <c:showSerName val="0"/>
          <c:showPercent val="0"/>
          <c:showBubbleSize val="0"/>
        </c:dLbls>
        <c:axId val="434372704"/>
        <c:axId val="434378976"/>
      </c:scatterChart>
      <c:valAx>
        <c:axId val="434372704"/>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8976"/>
        <c:crosses val="autoZero"/>
        <c:crossBetween val="midCat"/>
        <c:majorUnit val="25"/>
      </c:valAx>
      <c:valAx>
        <c:axId val="434378976"/>
        <c:scaling>
          <c:orientation val="minMax"/>
          <c:max val="10"/>
          <c:min val="0"/>
        </c:scaling>
        <c:delete val="0"/>
        <c:axPos val="l"/>
        <c:numFmt formatCode="General"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en-US"/>
          </a:p>
        </c:txPr>
        <c:crossAx val="434372704"/>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CHG'!$E$2:$T$2</c:f>
              <c:strCache>
                <c:ptCount val="15"/>
                <c:pt idx="1">
                  <c:v>estradiol 68ng/L</c:v>
                </c:pt>
                <c:pt idx="2">
                  <c:v>estradiol 135ng/L</c:v>
                </c:pt>
                <c:pt idx="3">
                  <c:v>estradiol 270ng/L</c:v>
                </c:pt>
                <c:pt idx="4">
                  <c:v>estradiol 540ng/L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CHG'!$E$8:$T$8</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E05A-476A-81E0-9DDAF8947A01}"/>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CHG'!$E$2:$T$2</c:f>
              <c:strCache>
                <c:ptCount val="15"/>
                <c:pt idx="1">
                  <c:v>estradiol 68ng/L</c:v>
                </c:pt>
                <c:pt idx="2">
                  <c:v>estradiol 135ng/L</c:v>
                </c:pt>
                <c:pt idx="3">
                  <c:v>estradiol 270ng/L</c:v>
                </c:pt>
                <c:pt idx="4">
                  <c:v>estradiol 540ng/L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CHG'!$E$9:$T$9</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E05A-476A-81E0-9DDAF8947A01}"/>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CHG'!$E$2:$T$2</c:f>
              <c:strCache>
                <c:ptCount val="15"/>
                <c:pt idx="1">
                  <c:v>estradiol 68ng/L</c:v>
                </c:pt>
                <c:pt idx="2">
                  <c:v>estradiol 135ng/L</c:v>
                </c:pt>
                <c:pt idx="3">
                  <c:v>estradiol 270ng/L</c:v>
                </c:pt>
                <c:pt idx="4">
                  <c:v>estradiol 540ng/L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CHG'!$E$10:$T$10</c:f>
              <c:numCache>
                <c:formatCode>General</c:formatCode>
                <c:ptCount val="16"/>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numCache>
            </c:numRef>
          </c:val>
          <c:extLst>
            <c:ext xmlns:c16="http://schemas.microsoft.com/office/drawing/2014/chart" uri="{C3380CC4-5D6E-409C-BE32-E72D297353CC}">
              <c16:uniqueId val="{00000002-E05A-476A-81E0-9DDAF8947A01}"/>
            </c:ext>
          </c:extLst>
        </c:ser>
        <c:dLbls>
          <c:showLegendKey val="0"/>
          <c:showVal val="0"/>
          <c:showCatName val="0"/>
          <c:showSerName val="0"/>
          <c:showPercent val="0"/>
          <c:showBubbleSize val="0"/>
        </c:dLbls>
        <c:axId val="434379760"/>
        <c:axId val="434380152"/>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69C66653-CCCF-40D5-836B-B1FD76A87E4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05A-476A-81E0-9DDAF8947A01}"/>
                </c:ext>
              </c:extLst>
            </c:dLbl>
            <c:dLbl>
              <c:idx val="1"/>
              <c:tx>
                <c:rich>
                  <a:bodyPr/>
                  <a:lstStyle/>
                  <a:p>
                    <a:fld id="{E5FC16F6-8C17-4607-9592-E81D721660D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08B5-430B-9986-9EC2C1992644}"/>
                </c:ext>
              </c:extLst>
            </c:dLbl>
            <c:dLbl>
              <c:idx val="2"/>
              <c:tx>
                <c:rich>
                  <a:bodyPr/>
                  <a:lstStyle/>
                  <a:p>
                    <a:fld id="{E1FB8EFF-0A26-4B40-B9FD-834E87AAC15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8B5-430B-9986-9EC2C1992644}"/>
                </c:ext>
              </c:extLst>
            </c:dLbl>
            <c:dLbl>
              <c:idx val="3"/>
              <c:tx>
                <c:rich>
                  <a:bodyPr/>
                  <a:lstStyle/>
                  <a:p>
                    <a:fld id="{7356897F-D3EA-4B32-BF6A-91D62119F55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08B5-430B-9986-9EC2C1992644}"/>
                </c:ext>
              </c:extLst>
            </c:dLbl>
            <c:dLbl>
              <c:idx val="4"/>
              <c:tx>
                <c:rich>
                  <a:bodyPr/>
                  <a:lstStyle/>
                  <a:p>
                    <a:fld id="{3B133BB3-91AB-4C18-A2A8-AE45561D329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8B5-430B-9986-9EC2C1992644}"/>
                </c:ext>
              </c:extLst>
            </c:dLbl>
            <c:dLbl>
              <c:idx val="5"/>
              <c:tx>
                <c:rich>
                  <a:bodyPr/>
                  <a:lstStyle/>
                  <a:p>
                    <a:fld id="{EAEDBDC1-EE80-410C-BF90-A6D5CFCED7E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8B5-430B-9986-9EC2C1992644}"/>
                </c:ext>
              </c:extLst>
            </c:dLbl>
            <c:dLbl>
              <c:idx val="6"/>
              <c:tx>
                <c:rich>
                  <a:bodyPr/>
                  <a:lstStyle/>
                  <a:p>
                    <a:fld id="{C33498EE-BFD6-48A0-9169-D0049D64A79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8B5-430B-9986-9EC2C1992644}"/>
                </c:ext>
              </c:extLst>
            </c:dLbl>
            <c:dLbl>
              <c:idx val="7"/>
              <c:tx>
                <c:rich>
                  <a:bodyPr/>
                  <a:lstStyle/>
                  <a:p>
                    <a:fld id="{422B236E-7D96-4E09-8FDF-043962ECFF7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08B5-430B-9986-9EC2C1992644}"/>
                </c:ext>
              </c:extLst>
            </c:dLbl>
            <c:dLbl>
              <c:idx val="8"/>
              <c:tx>
                <c:rich>
                  <a:bodyPr/>
                  <a:lstStyle/>
                  <a:p>
                    <a:fld id="{E37FEA85-F4D1-4617-B376-98D29841209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8B5-430B-9986-9EC2C1992644}"/>
                </c:ext>
              </c:extLst>
            </c:dLbl>
            <c:dLbl>
              <c:idx val="9"/>
              <c:tx>
                <c:rich>
                  <a:bodyPr/>
                  <a:lstStyle/>
                  <a:p>
                    <a:fld id="{EA42B438-C914-4F46-81C7-48220456767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08B5-430B-9986-9EC2C1992644}"/>
                </c:ext>
              </c:extLst>
            </c:dLbl>
            <c:dLbl>
              <c:idx val="10"/>
              <c:tx>
                <c:rich>
                  <a:bodyPr/>
                  <a:lstStyle/>
                  <a:p>
                    <a:fld id="{9F374359-2E85-4D6E-B01D-2EF8EBF1132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8B5-430B-9986-9EC2C1992644}"/>
                </c:ext>
              </c:extLst>
            </c:dLbl>
            <c:dLbl>
              <c:idx val="11"/>
              <c:tx>
                <c:rich>
                  <a:bodyPr/>
                  <a:lstStyle/>
                  <a:p>
                    <a:fld id="{C9634D07-D056-4D82-A1BE-562050CD2FE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08B5-430B-9986-9EC2C1992644}"/>
                </c:ext>
              </c:extLst>
            </c:dLbl>
            <c:dLbl>
              <c:idx val="12"/>
              <c:tx>
                <c:rich>
                  <a:bodyPr/>
                  <a:lstStyle/>
                  <a:p>
                    <a:fld id="{E189EC8D-1EA5-4A92-90D7-DC267CFEE88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8B5-430B-9986-9EC2C1992644}"/>
                </c:ext>
              </c:extLst>
            </c:dLbl>
            <c:dLbl>
              <c:idx val="13"/>
              <c:tx>
                <c:rich>
                  <a:bodyPr/>
                  <a:lstStyle/>
                  <a:p>
                    <a:fld id="{A9EBC1D9-C612-4C4B-8ACB-110535FFF67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08B5-430B-9986-9EC2C1992644}"/>
                </c:ext>
              </c:extLst>
            </c:dLbl>
            <c:dLbl>
              <c:idx val="14"/>
              <c:tx>
                <c:rich>
                  <a:bodyPr/>
                  <a:lstStyle/>
                  <a:p>
                    <a:fld id="{7A6DC165-B2A0-4E25-8381-F89546CA190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8B5-430B-9986-9EC2C1992644}"/>
                </c:ext>
              </c:extLst>
            </c:dLbl>
            <c:dLbl>
              <c:idx val="15"/>
              <c:tx>
                <c:rich>
                  <a:bodyPr/>
                  <a:lstStyle/>
                  <a:p>
                    <a:fld id="{6F1D17A9-4510-4639-9C47-31BEA82DDE7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08B5-430B-9986-9EC2C1992644}"/>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CHG'!$E$4:$T$4</c:f>
                <c:numCache>
                  <c:formatCode>General</c:formatCode>
                  <c:ptCount val="16"/>
                  <c:pt idx="1">
                    <c:v>2.1724082432133082E-2</c:v>
                  </c:pt>
                  <c:pt idx="2">
                    <c:v>0.20772725313315596</c:v>
                  </c:pt>
                  <c:pt idx="3">
                    <c:v>0.20372404604745686</c:v>
                  </c:pt>
                  <c:pt idx="4">
                    <c:v>0.33741887067159243</c:v>
                  </c:pt>
                  <c:pt idx="5">
                    <c:v>0</c:v>
                  </c:pt>
                  <c:pt idx="6">
                    <c:v>0</c:v>
                  </c:pt>
                  <c:pt idx="7">
                    <c:v>0</c:v>
                  </c:pt>
                  <c:pt idx="8">
                    <c:v>0</c:v>
                  </c:pt>
                  <c:pt idx="9">
                    <c:v>0</c:v>
                  </c:pt>
                  <c:pt idx="10">
                    <c:v>0</c:v>
                  </c:pt>
                  <c:pt idx="11">
                    <c:v>0</c:v>
                  </c:pt>
                  <c:pt idx="12">
                    <c:v>0</c:v>
                  </c:pt>
                  <c:pt idx="13">
                    <c:v>0</c:v>
                  </c:pt>
                  <c:pt idx="14">
                    <c:v>0</c:v>
                  </c:pt>
                </c:numCache>
              </c:numRef>
            </c:plus>
            <c:minus>
              <c:numRef>
                <c:f>'Graph format rapport CHG'!$E$4:$T$4</c:f>
                <c:numCache>
                  <c:formatCode>General</c:formatCode>
                  <c:ptCount val="16"/>
                  <c:pt idx="1">
                    <c:v>2.1724082432133082E-2</c:v>
                  </c:pt>
                  <c:pt idx="2">
                    <c:v>0.20772725313315596</c:v>
                  </c:pt>
                  <c:pt idx="3">
                    <c:v>0.20372404604745686</c:v>
                  </c:pt>
                  <c:pt idx="4">
                    <c:v>0.33741887067159243</c:v>
                  </c:pt>
                  <c:pt idx="5">
                    <c:v>0</c:v>
                  </c:pt>
                  <c:pt idx="6">
                    <c:v>0</c:v>
                  </c:pt>
                  <c:pt idx="7">
                    <c:v>0</c:v>
                  </c:pt>
                  <c:pt idx="8">
                    <c:v>0</c:v>
                  </c:pt>
                  <c:pt idx="9">
                    <c:v>0</c:v>
                  </c:pt>
                  <c:pt idx="10">
                    <c:v>0</c:v>
                  </c:pt>
                  <c:pt idx="11">
                    <c:v>0</c:v>
                  </c:pt>
                  <c:pt idx="12">
                    <c:v>0</c:v>
                  </c:pt>
                  <c:pt idx="13">
                    <c:v>0</c:v>
                  </c:pt>
                  <c:pt idx="14">
                    <c:v>0</c:v>
                  </c:pt>
                </c:numCache>
              </c:numRef>
            </c:minus>
          </c:errBars>
          <c:cat>
            <c:strRef>
              <c:f>'Graph format rapport CHG'!$E$2:$T$2</c:f>
              <c:strCache>
                <c:ptCount val="15"/>
                <c:pt idx="1">
                  <c:v>estradiol 68ng/L</c:v>
                </c:pt>
                <c:pt idx="2">
                  <c:v>estradiol 135ng/L</c:v>
                </c:pt>
                <c:pt idx="3">
                  <c:v>estradiol 270ng/L</c:v>
                </c:pt>
                <c:pt idx="4">
                  <c:v>estradiol 540ng/L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CHG'!$E$3:$T$3</c:f>
              <c:numCache>
                <c:formatCode>General</c:formatCode>
                <c:ptCount val="16"/>
                <c:pt idx="1">
                  <c:v>0.18326514742027913</c:v>
                </c:pt>
                <c:pt idx="2">
                  <c:v>0.97151022965231215</c:v>
                </c:pt>
                <c:pt idx="3">
                  <c:v>1.9626738933325127</c:v>
                </c:pt>
                <c:pt idx="4">
                  <c:v>3.474881929650135</c:v>
                </c:pt>
                <c:pt idx="5">
                  <c:v>0</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CHG'!$E$5:$T$5</c15:f>
                <c15:dlblRangeCache>
                  <c:ptCount val="16"/>
                  <c:pt idx="1">
                    <c:v>NS</c:v>
                  </c:pt>
                  <c:pt idx="2">
                    <c:v>**</c:v>
                  </c:pt>
                  <c:pt idx="3">
                    <c:v>***</c:v>
                  </c:pt>
                  <c:pt idx="4">
                    <c:v>***</c:v>
                  </c:pt>
                  <c:pt idx="5">
                    <c:v>#REF!</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E05A-476A-81E0-9DDAF8947A01}"/>
            </c:ext>
          </c:extLst>
        </c:ser>
        <c:dLbls>
          <c:showLegendKey val="0"/>
          <c:showVal val="0"/>
          <c:showCatName val="0"/>
          <c:showSerName val="0"/>
          <c:showPercent val="0"/>
          <c:showBubbleSize val="0"/>
        </c:dLbls>
        <c:gapWidth val="150"/>
        <c:axId val="434379760"/>
        <c:axId val="434380152"/>
      </c:barChart>
      <c:lineChart>
        <c:grouping val="standard"/>
        <c:varyColors val="0"/>
        <c:ser>
          <c:idx val="1"/>
          <c:order val="1"/>
          <c:tx>
            <c:strRef>
              <c:f>'Graph format rapport CHG'!$D$6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CHG'!$E$6:$T$6</c:f>
              <c:numCache>
                <c:formatCode>General</c:formatCode>
                <c:ptCount val="16"/>
                <c:pt idx="0">
                  <c:v>0.15229055770800312</c:v>
                </c:pt>
                <c:pt idx="1">
                  <c:v>0.15229055770800312</c:v>
                </c:pt>
                <c:pt idx="2">
                  <c:v>0.15229055770800312</c:v>
                </c:pt>
                <c:pt idx="3">
                  <c:v>0.15229055770800312</c:v>
                </c:pt>
                <c:pt idx="4">
                  <c:v>0.15229055770800312</c:v>
                </c:pt>
                <c:pt idx="5">
                  <c:v>0.15229055770800312</c:v>
                </c:pt>
                <c:pt idx="6">
                  <c:v>0.15229055770800312</c:v>
                </c:pt>
                <c:pt idx="7">
                  <c:v>0.15229055770800312</c:v>
                </c:pt>
                <c:pt idx="8">
                  <c:v>0.15229055770800312</c:v>
                </c:pt>
                <c:pt idx="9">
                  <c:v>0.15229055770800312</c:v>
                </c:pt>
                <c:pt idx="10">
                  <c:v>0.15229055770800312</c:v>
                </c:pt>
                <c:pt idx="11">
                  <c:v>0.15229055770800312</c:v>
                </c:pt>
                <c:pt idx="12">
                  <c:v>0.15229055770800312</c:v>
                </c:pt>
                <c:pt idx="13">
                  <c:v>0.15229055770800312</c:v>
                </c:pt>
                <c:pt idx="14">
                  <c:v>0.15229055770800312</c:v>
                </c:pt>
                <c:pt idx="15">
                  <c:v>0.15229055770800312</c:v>
                </c:pt>
              </c:numCache>
            </c:numRef>
          </c:val>
          <c:smooth val="0"/>
          <c:extLst>
            <c:ext xmlns:c16="http://schemas.microsoft.com/office/drawing/2014/chart" uri="{C3380CC4-5D6E-409C-BE32-E72D297353CC}">
              <c16:uniqueId val="{00000014-E05A-476A-81E0-9DDAF8947A01}"/>
            </c:ext>
          </c:extLst>
        </c:ser>
        <c:dLbls>
          <c:showLegendKey val="0"/>
          <c:showVal val="0"/>
          <c:showCatName val="0"/>
          <c:showSerName val="0"/>
          <c:showPercent val="0"/>
          <c:showBubbleSize val="0"/>
        </c:dLbls>
        <c:marker val="1"/>
        <c:smooth val="0"/>
        <c:axId val="434379760"/>
        <c:axId val="434380152"/>
      </c:lineChart>
      <c:dateAx>
        <c:axId val="434379760"/>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0152"/>
        <c:crosses val="autoZero"/>
        <c:auto val="0"/>
        <c:lblOffset val="100"/>
        <c:baseTimeUnit val="days"/>
      </c:dateAx>
      <c:valAx>
        <c:axId val="434380152"/>
        <c:scaling>
          <c:orientation val="minMax"/>
          <c:max val="2"/>
          <c:min val="0"/>
        </c:scaling>
        <c:delete val="0"/>
        <c:axPos val="l"/>
        <c:title>
          <c:tx>
            <c:rich>
              <a:bodyPr/>
              <a:lstStyle/>
              <a:p>
                <a:pPr>
                  <a:defRPr/>
                </a:pPr>
                <a:r>
                  <a:rPr lang="fr-FR"/>
                  <a:t>Fluorescence</a:t>
                </a:r>
              </a:p>
            </c:rich>
          </c:tx>
          <c:layout>
            <c:manualLayout>
              <c:xMode val="edge"/>
              <c:yMode val="edge"/>
              <c:x val="1.0387853349889646E-2"/>
              <c:y val="0.2372296165912457"/>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en-US"/>
          </a:p>
        </c:txPr>
        <c:crossAx val="434379760"/>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CHG'!$U$2:$AJ$2</c:f>
              <c:strCache>
                <c:ptCount val="15"/>
                <c:pt idx="1">
                  <c:v>estradiol-34ng/L + Testostérone</c:v>
                </c:pt>
                <c:pt idx="2">
                  <c:v>estradiol-68ng/L + Testostérone</c:v>
                </c:pt>
                <c:pt idx="3">
                  <c:v>estradiol-135ng/L + Testostérone</c:v>
                </c:pt>
                <c:pt idx="4">
                  <c:v>estradiol-270ng/L + Testostérone</c:v>
                </c:pt>
                <c:pt idx="5">
                  <c:v>estradiol-540ng/L + Testostérone</c:v>
                </c:pt>
                <c:pt idx="6">
                  <c:v>0-00 + Testostérone</c:v>
                </c:pt>
                <c:pt idx="7">
                  <c:v>0-00 + Testostérone</c:v>
                </c:pt>
                <c:pt idx="8">
                  <c:v>0-00 + Testostérone</c:v>
                </c:pt>
                <c:pt idx="9">
                  <c:v>0-00 + Testostérone</c:v>
                </c:pt>
                <c:pt idx="10">
                  <c:v>0-00 + Testostérone</c:v>
                </c:pt>
                <c:pt idx="11">
                  <c:v>0-00 + Testostérone</c:v>
                </c:pt>
                <c:pt idx="12">
                  <c:v>0-00 + Testostérone</c:v>
                </c:pt>
                <c:pt idx="13">
                  <c:v>0-00 + Testostérone</c:v>
                </c:pt>
                <c:pt idx="14">
                  <c:v>0-00 + Testostérone</c:v>
                </c:pt>
              </c:strCache>
            </c:strRef>
          </c:cat>
          <c:val>
            <c:numRef>
              <c:f>'Graph format rapport CHG'!$U$8:$AJ$8</c:f>
              <c:numCache>
                <c:formatCode>General</c:formatCode>
                <c:ptCount val="16"/>
                <c:pt idx="0">
                  <c:v>0.11656955822676086</c:v>
                </c:pt>
                <c:pt idx="1">
                  <c:v>0.11656955822676086</c:v>
                </c:pt>
                <c:pt idx="2">
                  <c:v>0.11656955822676086</c:v>
                </c:pt>
                <c:pt idx="3">
                  <c:v>0.11656955822676086</c:v>
                </c:pt>
                <c:pt idx="4">
                  <c:v>0.11656955822676086</c:v>
                </c:pt>
                <c:pt idx="5">
                  <c:v>0.11656955822676086</c:v>
                </c:pt>
                <c:pt idx="6">
                  <c:v>0.11656955822676086</c:v>
                </c:pt>
                <c:pt idx="7">
                  <c:v>0.11656955822676086</c:v>
                </c:pt>
                <c:pt idx="8">
                  <c:v>0.11656955822676086</c:v>
                </c:pt>
                <c:pt idx="9">
                  <c:v>0.11656955822676086</c:v>
                </c:pt>
                <c:pt idx="10">
                  <c:v>0.11656955822676086</c:v>
                </c:pt>
                <c:pt idx="11">
                  <c:v>0.11656955822676086</c:v>
                </c:pt>
                <c:pt idx="12">
                  <c:v>0.11656955822676086</c:v>
                </c:pt>
                <c:pt idx="13">
                  <c:v>0.11656955822676086</c:v>
                </c:pt>
                <c:pt idx="14">
                  <c:v>0.11656955822676086</c:v>
                </c:pt>
                <c:pt idx="15">
                  <c:v>0.11656955822676086</c:v>
                </c:pt>
              </c:numCache>
            </c:numRef>
          </c:val>
          <c:extLst>
            <c:ext xmlns:c16="http://schemas.microsoft.com/office/drawing/2014/chart" uri="{C3380CC4-5D6E-409C-BE32-E72D297353CC}">
              <c16:uniqueId val="{00000000-4CBD-4130-8AB9-F913B66FA2BD}"/>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CHG'!$U$2:$AJ$2</c:f>
              <c:strCache>
                <c:ptCount val="15"/>
                <c:pt idx="1">
                  <c:v>estradiol-34ng/L + Testostérone</c:v>
                </c:pt>
                <c:pt idx="2">
                  <c:v>estradiol-68ng/L + Testostérone</c:v>
                </c:pt>
                <c:pt idx="3">
                  <c:v>estradiol-135ng/L + Testostérone</c:v>
                </c:pt>
                <c:pt idx="4">
                  <c:v>estradiol-270ng/L + Testostérone</c:v>
                </c:pt>
                <c:pt idx="5">
                  <c:v>estradiol-540ng/L + Testostérone</c:v>
                </c:pt>
                <c:pt idx="6">
                  <c:v>0-00 + Testostérone</c:v>
                </c:pt>
                <c:pt idx="7">
                  <c:v>0-00 + Testostérone</c:v>
                </c:pt>
                <c:pt idx="8">
                  <c:v>0-00 + Testostérone</c:v>
                </c:pt>
                <c:pt idx="9">
                  <c:v>0-00 + Testostérone</c:v>
                </c:pt>
                <c:pt idx="10">
                  <c:v>0-00 + Testostérone</c:v>
                </c:pt>
                <c:pt idx="11">
                  <c:v>0-00 + Testostérone</c:v>
                </c:pt>
                <c:pt idx="12">
                  <c:v>0-00 + Testostérone</c:v>
                </c:pt>
                <c:pt idx="13">
                  <c:v>0-00 + Testostérone</c:v>
                </c:pt>
                <c:pt idx="14">
                  <c:v>0-00 + Testostérone</c:v>
                </c:pt>
              </c:strCache>
            </c:strRef>
          </c:cat>
          <c:val>
            <c:numRef>
              <c:f>'Graph format rapport CHG'!$U$9:$AJ$9</c:f>
              <c:numCache>
                <c:formatCode>General</c:formatCode>
                <c:ptCount val="16"/>
                <c:pt idx="0">
                  <c:v>3.0118952793642642</c:v>
                </c:pt>
                <c:pt idx="1">
                  <c:v>3.0118952793642642</c:v>
                </c:pt>
                <c:pt idx="2">
                  <c:v>3.0118952793642642</c:v>
                </c:pt>
                <c:pt idx="3">
                  <c:v>3.0118952793642642</c:v>
                </c:pt>
                <c:pt idx="4">
                  <c:v>3.0118952793642642</c:v>
                </c:pt>
                <c:pt idx="5">
                  <c:v>3.0118952793642642</c:v>
                </c:pt>
                <c:pt idx="6">
                  <c:v>3.0118952793642642</c:v>
                </c:pt>
                <c:pt idx="7">
                  <c:v>3.0118952793642642</c:v>
                </c:pt>
                <c:pt idx="8">
                  <c:v>3.0118952793642642</c:v>
                </c:pt>
                <c:pt idx="9">
                  <c:v>3.0118952793642642</c:v>
                </c:pt>
                <c:pt idx="10">
                  <c:v>3.0118952793642642</c:v>
                </c:pt>
                <c:pt idx="11">
                  <c:v>3.0118952793642642</c:v>
                </c:pt>
                <c:pt idx="12">
                  <c:v>3.0118952793642642</c:v>
                </c:pt>
                <c:pt idx="13">
                  <c:v>3.0118952793642642</c:v>
                </c:pt>
                <c:pt idx="14">
                  <c:v>3.0118952793642642</c:v>
                </c:pt>
                <c:pt idx="15">
                  <c:v>3.0118952793642642</c:v>
                </c:pt>
              </c:numCache>
            </c:numRef>
          </c:val>
          <c:extLst>
            <c:ext xmlns:c16="http://schemas.microsoft.com/office/drawing/2014/chart" uri="{C3380CC4-5D6E-409C-BE32-E72D297353CC}">
              <c16:uniqueId val="{00000001-4CBD-4130-8AB9-F913B66FA2BD}"/>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CHG'!$U$2:$AJ$2</c:f>
              <c:strCache>
                <c:ptCount val="15"/>
                <c:pt idx="1">
                  <c:v>estradiol-34ng/L + Testostérone</c:v>
                </c:pt>
                <c:pt idx="2">
                  <c:v>estradiol-68ng/L + Testostérone</c:v>
                </c:pt>
                <c:pt idx="3">
                  <c:v>estradiol-135ng/L + Testostérone</c:v>
                </c:pt>
                <c:pt idx="4">
                  <c:v>estradiol-270ng/L + Testostérone</c:v>
                </c:pt>
                <c:pt idx="5">
                  <c:v>estradiol-540ng/L + Testostérone</c:v>
                </c:pt>
                <c:pt idx="6">
                  <c:v>0-00 + Testostérone</c:v>
                </c:pt>
                <c:pt idx="7">
                  <c:v>0-00 + Testostérone</c:v>
                </c:pt>
                <c:pt idx="8">
                  <c:v>0-00 + Testostérone</c:v>
                </c:pt>
                <c:pt idx="9">
                  <c:v>0-00 + Testostérone</c:v>
                </c:pt>
                <c:pt idx="10">
                  <c:v>0-00 + Testostérone</c:v>
                </c:pt>
                <c:pt idx="11">
                  <c:v>0-00 + Testostérone</c:v>
                </c:pt>
                <c:pt idx="12">
                  <c:v>0-00 + Testostérone</c:v>
                </c:pt>
                <c:pt idx="13">
                  <c:v>0-00 + Testostérone</c:v>
                </c:pt>
                <c:pt idx="14">
                  <c:v>0-00 + Testostérone</c:v>
                </c:pt>
              </c:strCache>
            </c:strRef>
          </c:cat>
          <c:val>
            <c:numRef>
              <c:f>'Graph format rapport CHG'!$U$10:$AJ$10</c:f>
              <c:numCache>
                <c:formatCode>General</c:formatCode>
                <c:ptCount val="16"/>
                <c:pt idx="0">
                  <c:v>-0.51189527936426416</c:v>
                </c:pt>
                <c:pt idx="1">
                  <c:v>-0.51189527936426416</c:v>
                </c:pt>
                <c:pt idx="2">
                  <c:v>-0.51189527936426416</c:v>
                </c:pt>
                <c:pt idx="3">
                  <c:v>-0.51189527936426416</c:v>
                </c:pt>
                <c:pt idx="4">
                  <c:v>-0.51189527936426416</c:v>
                </c:pt>
                <c:pt idx="5">
                  <c:v>-0.51189527936426416</c:v>
                </c:pt>
                <c:pt idx="6">
                  <c:v>-0.51189527936426416</c:v>
                </c:pt>
                <c:pt idx="7">
                  <c:v>-0.51189527936426416</c:v>
                </c:pt>
                <c:pt idx="8">
                  <c:v>-0.51189527936426416</c:v>
                </c:pt>
                <c:pt idx="9">
                  <c:v>-0.51189527936426416</c:v>
                </c:pt>
                <c:pt idx="10">
                  <c:v>-0.51189527936426416</c:v>
                </c:pt>
                <c:pt idx="11">
                  <c:v>-0.51189527936426416</c:v>
                </c:pt>
                <c:pt idx="12">
                  <c:v>-0.51189527936426416</c:v>
                </c:pt>
                <c:pt idx="13">
                  <c:v>-0.51189527936426416</c:v>
                </c:pt>
                <c:pt idx="14">
                  <c:v>-0.51189527936426416</c:v>
                </c:pt>
                <c:pt idx="15">
                  <c:v>-0.51189527936426416</c:v>
                </c:pt>
              </c:numCache>
            </c:numRef>
          </c:val>
          <c:extLst>
            <c:ext xmlns:c16="http://schemas.microsoft.com/office/drawing/2014/chart" uri="{C3380CC4-5D6E-409C-BE32-E72D297353CC}">
              <c16:uniqueId val="{00000002-4CBD-4130-8AB9-F913B66FA2BD}"/>
            </c:ext>
          </c:extLst>
        </c:ser>
        <c:dLbls>
          <c:showLegendKey val="0"/>
          <c:showVal val="0"/>
          <c:showCatName val="0"/>
          <c:showSerName val="0"/>
          <c:showPercent val="0"/>
          <c:showBubbleSize val="0"/>
        </c:dLbls>
        <c:axId val="434380936"/>
        <c:axId val="434381328"/>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33A30A34-4238-44B0-99DA-3074E6D5412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CBD-4130-8AB9-F913B66FA2BD}"/>
                </c:ext>
              </c:extLst>
            </c:dLbl>
            <c:dLbl>
              <c:idx val="1"/>
              <c:tx>
                <c:rich>
                  <a:bodyPr/>
                  <a:lstStyle/>
                  <a:p>
                    <a:fld id="{783E79B8-3DC1-4148-8AFD-69E416CCA1A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E32-4216-8FED-9A7B81C1A779}"/>
                </c:ext>
              </c:extLst>
            </c:dLbl>
            <c:dLbl>
              <c:idx val="2"/>
              <c:tx>
                <c:rich>
                  <a:bodyPr/>
                  <a:lstStyle/>
                  <a:p>
                    <a:fld id="{EB504B0A-30AB-40FE-9D7F-D4BF0EACBC4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E32-4216-8FED-9A7B81C1A779}"/>
                </c:ext>
              </c:extLst>
            </c:dLbl>
            <c:dLbl>
              <c:idx val="3"/>
              <c:tx>
                <c:rich>
                  <a:bodyPr/>
                  <a:lstStyle/>
                  <a:p>
                    <a:fld id="{3A398481-AC0F-4A58-BCCC-39422D5C079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E32-4216-8FED-9A7B81C1A779}"/>
                </c:ext>
              </c:extLst>
            </c:dLbl>
            <c:dLbl>
              <c:idx val="4"/>
              <c:tx>
                <c:rich>
                  <a:bodyPr/>
                  <a:lstStyle/>
                  <a:p>
                    <a:fld id="{CBD2BFA2-7BC4-4FA5-9DF7-6A451A5AC0A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E32-4216-8FED-9A7B81C1A779}"/>
                </c:ext>
              </c:extLst>
            </c:dLbl>
            <c:dLbl>
              <c:idx val="5"/>
              <c:tx>
                <c:rich>
                  <a:bodyPr/>
                  <a:lstStyle/>
                  <a:p>
                    <a:fld id="{9D8ADB7C-D997-437D-B314-89445F204FA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E32-4216-8FED-9A7B81C1A779}"/>
                </c:ext>
              </c:extLst>
            </c:dLbl>
            <c:dLbl>
              <c:idx val="6"/>
              <c:tx>
                <c:rich>
                  <a:bodyPr/>
                  <a:lstStyle/>
                  <a:p>
                    <a:fld id="{A809C723-A908-4F08-99A6-F344B11DADC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E32-4216-8FED-9A7B81C1A779}"/>
                </c:ext>
              </c:extLst>
            </c:dLbl>
            <c:dLbl>
              <c:idx val="7"/>
              <c:tx>
                <c:rich>
                  <a:bodyPr/>
                  <a:lstStyle/>
                  <a:p>
                    <a:fld id="{514580D2-43CA-4FFE-9060-36D4B3339DE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E32-4216-8FED-9A7B81C1A779}"/>
                </c:ext>
              </c:extLst>
            </c:dLbl>
            <c:dLbl>
              <c:idx val="8"/>
              <c:tx>
                <c:rich>
                  <a:bodyPr/>
                  <a:lstStyle/>
                  <a:p>
                    <a:fld id="{D14495EA-7826-4C2B-8A1C-B903A7205D3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E32-4216-8FED-9A7B81C1A779}"/>
                </c:ext>
              </c:extLst>
            </c:dLbl>
            <c:dLbl>
              <c:idx val="9"/>
              <c:tx>
                <c:rich>
                  <a:bodyPr/>
                  <a:lstStyle/>
                  <a:p>
                    <a:fld id="{0ADDB725-0F57-47EF-9E6F-F08D895D0BB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E32-4216-8FED-9A7B81C1A779}"/>
                </c:ext>
              </c:extLst>
            </c:dLbl>
            <c:dLbl>
              <c:idx val="10"/>
              <c:tx>
                <c:rich>
                  <a:bodyPr/>
                  <a:lstStyle/>
                  <a:p>
                    <a:fld id="{5E9FA04F-9CEF-4682-88C6-CA32200B49E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E32-4216-8FED-9A7B81C1A779}"/>
                </c:ext>
              </c:extLst>
            </c:dLbl>
            <c:dLbl>
              <c:idx val="11"/>
              <c:tx>
                <c:rich>
                  <a:bodyPr/>
                  <a:lstStyle/>
                  <a:p>
                    <a:fld id="{0B11D01A-356C-4F1D-A72D-969DB081EED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E32-4216-8FED-9A7B81C1A779}"/>
                </c:ext>
              </c:extLst>
            </c:dLbl>
            <c:dLbl>
              <c:idx val="12"/>
              <c:tx>
                <c:rich>
                  <a:bodyPr/>
                  <a:lstStyle/>
                  <a:p>
                    <a:fld id="{95A1DC50-FD80-44BC-9664-FCEB3B96F0E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E32-4216-8FED-9A7B81C1A779}"/>
                </c:ext>
              </c:extLst>
            </c:dLbl>
            <c:dLbl>
              <c:idx val="13"/>
              <c:tx>
                <c:rich>
                  <a:bodyPr/>
                  <a:lstStyle/>
                  <a:p>
                    <a:fld id="{9F76D0F5-4245-4C61-BD1E-87E2BC9BA07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E32-4216-8FED-9A7B81C1A779}"/>
                </c:ext>
              </c:extLst>
            </c:dLbl>
            <c:dLbl>
              <c:idx val="14"/>
              <c:tx>
                <c:rich>
                  <a:bodyPr/>
                  <a:lstStyle/>
                  <a:p>
                    <a:fld id="{E0587C8A-78F1-4DE6-89C5-626E6F33852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E32-4216-8FED-9A7B81C1A779}"/>
                </c:ext>
              </c:extLst>
            </c:dLbl>
            <c:dLbl>
              <c:idx val="15"/>
              <c:tx>
                <c:rich>
                  <a:bodyPr/>
                  <a:lstStyle/>
                  <a:p>
                    <a:fld id="{BA61D888-4F8E-40FE-9269-E278E68B22C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BE32-4216-8FED-9A7B81C1A779}"/>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CHG'!$U$4:$AJ$4</c:f>
                <c:numCache>
                  <c:formatCode>General</c:formatCode>
                  <c:ptCount val="16"/>
                  <c:pt idx="1">
                    <c:v>0.2409828392874637</c:v>
                  </c:pt>
                  <c:pt idx="2">
                    <c:v>0.21937400442765395</c:v>
                  </c:pt>
                  <c:pt idx="3">
                    <c:v>0.23480180391959549</c:v>
                  </c:pt>
                  <c:pt idx="4">
                    <c:v>0.32704580075882916</c:v>
                  </c:pt>
                  <c:pt idx="5">
                    <c:v>0.38618765085523349</c:v>
                  </c:pt>
                  <c:pt idx="6">
                    <c:v>0</c:v>
                  </c:pt>
                  <c:pt idx="7">
                    <c:v>0</c:v>
                  </c:pt>
                  <c:pt idx="8">
                    <c:v>0</c:v>
                  </c:pt>
                  <c:pt idx="9">
                    <c:v>0</c:v>
                  </c:pt>
                  <c:pt idx="10">
                    <c:v>0</c:v>
                  </c:pt>
                  <c:pt idx="11">
                    <c:v>0</c:v>
                  </c:pt>
                  <c:pt idx="12">
                    <c:v>0</c:v>
                  </c:pt>
                  <c:pt idx="13">
                    <c:v>0</c:v>
                  </c:pt>
                  <c:pt idx="14">
                    <c:v>0</c:v>
                  </c:pt>
                </c:numCache>
              </c:numRef>
            </c:plus>
            <c:minus>
              <c:numRef>
                <c:f>'Graph format rapport CHG'!$U$4:$AJ$4</c:f>
                <c:numCache>
                  <c:formatCode>General</c:formatCode>
                  <c:ptCount val="16"/>
                  <c:pt idx="1">
                    <c:v>0.2409828392874637</c:v>
                  </c:pt>
                  <c:pt idx="2">
                    <c:v>0.21937400442765395</c:v>
                  </c:pt>
                  <c:pt idx="3">
                    <c:v>0.23480180391959549</c:v>
                  </c:pt>
                  <c:pt idx="4">
                    <c:v>0.32704580075882916</c:v>
                  </c:pt>
                  <c:pt idx="5">
                    <c:v>0.38618765085523349</c:v>
                  </c:pt>
                  <c:pt idx="6">
                    <c:v>0</c:v>
                  </c:pt>
                  <c:pt idx="7">
                    <c:v>0</c:v>
                  </c:pt>
                  <c:pt idx="8">
                    <c:v>0</c:v>
                  </c:pt>
                  <c:pt idx="9">
                    <c:v>0</c:v>
                  </c:pt>
                  <c:pt idx="10">
                    <c:v>0</c:v>
                  </c:pt>
                  <c:pt idx="11">
                    <c:v>0</c:v>
                  </c:pt>
                  <c:pt idx="12">
                    <c:v>0</c:v>
                  </c:pt>
                  <c:pt idx="13">
                    <c:v>0</c:v>
                  </c:pt>
                  <c:pt idx="14">
                    <c:v>0</c:v>
                  </c:pt>
                </c:numCache>
              </c:numRef>
            </c:minus>
          </c:errBars>
          <c:cat>
            <c:strRef>
              <c:f>'Graph format rapport CHG'!$U$2:$AJ$2</c:f>
              <c:strCache>
                <c:ptCount val="15"/>
                <c:pt idx="1">
                  <c:v>estradiol-34ng/L + Testostérone</c:v>
                </c:pt>
                <c:pt idx="2">
                  <c:v>estradiol-68ng/L + Testostérone</c:v>
                </c:pt>
                <c:pt idx="3">
                  <c:v>estradiol-135ng/L + Testostérone</c:v>
                </c:pt>
                <c:pt idx="4">
                  <c:v>estradiol-270ng/L + Testostérone</c:v>
                </c:pt>
                <c:pt idx="5">
                  <c:v>estradiol-540ng/L + Testostérone</c:v>
                </c:pt>
                <c:pt idx="6">
                  <c:v>0-00 + Testostérone</c:v>
                </c:pt>
                <c:pt idx="7">
                  <c:v>0-00 + Testostérone</c:v>
                </c:pt>
                <c:pt idx="8">
                  <c:v>0-00 + Testostérone</c:v>
                </c:pt>
                <c:pt idx="9">
                  <c:v>0-00 + Testostérone</c:v>
                </c:pt>
                <c:pt idx="10">
                  <c:v>0-00 + Testostérone</c:v>
                </c:pt>
                <c:pt idx="11">
                  <c:v>0-00 + Testostérone</c:v>
                </c:pt>
                <c:pt idx="12">
                  <c:v>0-00 + Testostérone</c:v>
                </c:pt>
                <c:pt idx="13">
                  <c:v>0-00 + Testostérone</c:v>
                </c:pt>
                <c:pt idx="14">
                  <c:v>0-00 + Testostérone</c:v>
                </c:pt>
              </c:strCache>
            </c:strRef>
          </c:cat>
          <c:val>
            <c:numRef>
              <c:f>'Graph format rapport CHG'!$U$3:$AJ$3</c:f>
              <c:numCache>
                <c:formatCode>General</c:formatCode>
                <c:ptCount val="16"/>
                <c:pt idx="1">
                  <c:v>1.5395657185150233</c:v>
                </c:pt>
                <c:pt idx="2">
                  <c:v>2.2262229921971128</c:v>
                </c:pt>
                <c:pt idx="3">
                  <c:v>2.3844715033432506</c:v>
                </c:pt>
                <c:pt idx="4">
                  <c:v>3.1441043236039792</c:v>
                </c:pt>
                <c:pt idx="5">
                  <c:v>3.3930749651279641</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CHG'!$U$5:$AJ$5</c15:f>
                <c15:dlblRangeCache>
                  <c:ptCount val="16"/>
                  <c:pt idx="1">
                    <c:v>NS</c:v>
                  </c:pt>
                  <c:pt idx="2">
                    <c:v>***</c:v>
                  </c:pt>
                  <c:pt idx="3">
                    <c:v>***</c:v>
                  </c:pt>
                  <c:pt idx="4">
                    <c:v>***</c:v>
                  </c:pt>
                  <c:pt idx="5">
                    <c:v>***</c:v>
                  </c:pt>
                  <c:pt idx="6">
                    <c:v>#NAME?</c:v>
                  </c:pt>
                  <c:pt idx="7">
                    <c:v>#NAME?</c:v>
                  </c:pt>
                  <c:pt idx="8">
                    <c:v>#NAME?</c:v>
                  </c:pt>
                  <c:pt idx="9">
                    <c:v>#NAME?</c:v>
                  </c:pt>
                  <c:pt idx="10">
                    <c:v>#NAME?</c:v>
                  </c:pt>
                  <c:pt idx="11">
                    <c:v>#NAME?</c:v>
                  </c:pt>
                  <c:pt idx="12">
                    <c:v>#NAME?</c:v>
                  </c:pt>
                  <c:pt idx="13">
                    <c:v>#NAME?</c:v>
                  </c:pt>
                  <c:pt idx="14">
                    <c:v>#NAME?</c:v>
                  </c:pt>
                </c15:dlblRangeCache>
              </c15:datalabelsRange>
            </c:ext>
            <c:ext xmlns:c16="http://schemas.microsoft.com/office/drawing/2014/chart" uri="{C3380CC4-5D6E-409C-BE32-E72D297353CC}">
              <c16:uniqueId val="{00000013-4CBD-4130-8AB9-F913B66FA2BD}"/>
            </c:ext>
          </c:extLst>
        </c:ser>
        <c:dLbls>
          <c:showLegendKey val="0"/>
          <c:showVal val="0"/>
          <c:showCatName val="0"/>
          <c:showSerName val="0"/>
          <c:showPercent val="0"/>
          <c:showBubbleSize val="0"/>
        </c:dLbls>
        <c:gapWidth val="150"/>
        <c:axId val="434380936"/>
        <c:axId val="434381328"/>
      </c:barChart>
      <c:lineChart>
        <c:grouping val="standard"/>
        <c:varyColors val="0"/>
        <c:ser>
          <c:idx val="2"/>
          <c:order val="1"/>
          <c:tx>
            <c:strRef>
              <c:f>'Graph format rapport CHG'!$D$7</c:f>
              <c:strCache>
                <c:ptCount val="1"/>
                <c:pt idx="0">
                  <c:v>Témoin Testo</c:v>
                </c:pt>
              </c:strCache>
            </c:strRef>
          </c:tx>
          <c:spPr>
            <a:ln>
              <a:solidFill>
                <a:srgbClr val="00B050"/>
              </a:solidFill>
            </a:ln>
          </c:spPr>
          <c:marker>
            <c:symbol val="none"/>
          </c:marker>
          <c:cat>
            <c:strRef>
              <c:f>'Graph format rapport CHG'!$U$2:$AJ$2</c:f>
              <c:strCache>
                <c:ptCount val="15"/>
                <c:pt idx="1">
                  <c:v>estradiol-34ng/L + Testostérone</c:v>
                </c:pt>
                <c:pt idx="2">
                  <c:v>estradiol-68ng/L + Testostérone</c:v>
                </c:pt>
                <c:pt idx="3">
                  <c:v>estradiol-135ng/L + Testostérone</c:v>
                </c:pt>
                <c:pt idx="4">
                  <c:v>estradiol-270ng/L + Testostérone</c:v>
                </c:pt>
                <c:pt idx="5">
                  <c:v>estradiol-540ng/L + Testostérone</c:v>
                </c:pt>
                <c:pt idx="6">
                  <c:v>0-00 + Testostérone</c:v>
                </c:pt>
                <c:pt idx="7">
                  <c:v>0-00 + Testostérone</c:v>
                </c:pt>
                <c:pt idx="8">
                  <c:v>0-00 + Testostérone</c:v>
                </c:pt>
                <c:pt idx="9">
                  <c:v>0-00 + Testostérone</c:v>
                </c:pt>
                <c:pt idx="10">
                  <c:v>0-00 + Testostérone</c:v>
                </c:pt>
                <c:pt idx="11">
                  <c:v>0-00 + Testostérone</c:v>
                </c:pt>
                <c:pt idx="12">
                  <c:v>0-00 + Testostérone</c:v>
                </c:pt>
                <c:pt idx="13">
                  <c:v>0-00 + Testostérone</c:v>
                </c:pt>
                <c:pt idx="14">
                  <c:v>0-00 + Testostérone</c:v>
                </c:pt>
              </c:strCache>
            </c:strRef>
          </c:cat>
          <c:val>
            <c:numRef>
              <c:f>'Graph format rapport CHG'!$U$7:$AJ$7</c:f>
              <c:numCache>
                <c:formatCode>General</c:formatCode>
                <c:ptCount val="16"/>
                <c:pt idx="0">
                  <c:v>1.0000000000000002</c:v>
                </c:pt>
                <c:pt idx="1">
                  <c:v>1.0000000000000002</c:v>
                </c:pt>
                <c:pt idx="2">
                  <c:v>1.0000000000000002</c:v>
                </c:pt>
                <c:pt idx="3">
                  <c:v>1.0000000000000002</c:v>
                </c:pt>
                <c:pt idx="4">
                  <c:v>1.0000000000000002</c:v>
                </c:pt>
                <c:pt idx="5">
                  <c:v>1.0000000000000002</c:v>
                </c:pt>
                <c:pt idx="6">
                  <c:v>1.0000000000000002</c:v>
                </c:pt>
                <c:pt idx="7">
                  <c:v>1.0000000000000002</c:v>
                </c:pt>
                <c:pt idx="8">
                  <c:v>1.0000000000000002</c:v>
                </c:pt>
                <c:pt idx="9">
                  <c:v>1.0000000000000002</c:v>
                </c:pt>
                <c:pt idx="10">
                  <c:v>1.0000000000000002</c:v>
                </c:pt>
                <c:pt idx="11">
                  <c:v>1.0000000000000002</c:v>
                </c:pt>
                <c:pt idx="12">
                  <c:v>1.0000000000000002</c:v>
                </c:pt>
                <c:pt idx="13">
                  <c:v>1.0000000000000002</c:v>
                </c:pt>
                <c:pt idx="14">
                  <c:v>1.0000000000000002</c:v>
                </c:pt>
                <c:pt idx="15">
                  <c:v>1.0000000000000002</c:v>
                </c:pt>
              </c:numCache>
            </c:numRef>
          </c:val>
          <c:smooth val="0"/>
          <c:extLst>
            <c:ext xmlns:c16="http://schemas.microsoft.com/office/drawing/2014/chart" uri="{C3380CC4-5D6E-409C-BE32-E72D297353CC}">
              <c16:uniqueId val="{00000014-4CBD-4130-8AB9-F913B66FA2BD}"/>
            </c:ext>
          </c:extLst>
        </c:ser>
        <c:dLbls>
          <c:showLegendKey val="0"/>
          <c:showVal val="0"/>
          <c:showCatName val="0"/>
          <c:showSerName val="0"/>
          <c:showPercent val="0"/>
          <c:showBubbleSize val="0"/>
        </c:dLbls>
        <c:marker val="1"/>
        <c:smooth val="0"/>
        <c:axId val="434380936"/>
        <c:axId val="434381328"/>
      </c:lineChart>
      <c:dateAx>
        <c:axId val="434380936"/>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1328"/>
        <c:crosses val="autoZero"/>
        <c:auto val="0"/>
        <c:lblOffset val="100"/>
        <c:baseTimeUnit val="days"/>
      </c:dateAx>
      <c:valAx>
        <c:axId val="434381328"/>
        <c:scaling>
          <c:orientation val="minMax"/>
          <c:max val="2"/>
          <c:min val="0"/>
        </c:scaling>
        <c:delete val="0"/>
        <c:axPos val="l"/>
        <c:title>
          <c:tx>
            <c:rich>
              <a:bodyPr/>
              <a:lstStyle/>
              <a:p>
                <a:pPr>
                  <a:defRPr/>
                </a:pPr>
                <a:r>
                  <a:rPr lang="fr-FR"/>
                  <a:t>Fluorescence</a:t>
                </a:r>
              </a:p>
            </c:rich>
          </c:tx>
          <c:layout>
            <c:manualLayout>
              <c:xMode val="edge"/>
              <c:yMode val="edge"/>
              <c:x val="1.5604029236949606E-2"/>
              <c:y val="0.226017570592109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en-US"/>
          </a:p>
        </c:txPr>
        <c:crossAx val="434380936"/>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CHG'!$E$2:$T$2</c:f>
              <c:strCache>
                <c:ptCount val="15"/>
                <c:pt idx="1">
                  <c:v>estradiol 68ng/L</c:v>
                </c:pt>
                <c:pt idx="2">
                  <c:v>estradiol 135ng/L</c:v>
                </c:pt>
                <c:pt idx="3">
                  <c:v>estradiol 270ng/L</c:v>
                </c:pt>
                <c:pt idx="4">
                  <c:v>estradiol 540ng/L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CHG'!$E$8:$T$8</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E05A-476A-81E0-9DDAF8947A01}"/>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CHG'!$E$2:$T$2</c:f>
              <c:strCache>
                <c:ptCount val="15"/>
                <c:pt idx="1">
                  <c:v>estradiol 68ng/L</c:v>
                </c:pt>
                <c:pt idx="2">
                  <c:v>estradiol 135ng/L</c:v>
                </c:pt>
                <c:pt idx="3">
                  <c:v>estradiol 270ng/L</c:v>
                </c:pt>
                <c:pt idx="4">
                  <c:v>estradiol 540ng/L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CHG'!$E$9:$T$9</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E05A-476A-81E0-9DDAF8947A01}"/>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CHG'!$E$2:$T$2</c:f>
              <c:strCache>
                <c:ptCount val="15"/>
                <c:pt idx="1">
                  <c:v>estradiol 68ng/L</c:v>
                </c:pt>
                <c:pt idx="2">
                  <c:v>estradiol 135ng/L</c:v>
                </c:pt>
                <c:pt idx="3">
                  <c:v>estradiol 270ng/L</c:v>
                </c:pt>
                <c:pt idx="4">
                  <c:v>estradiol 540ng/L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CHG'!$E$10:$T$10</c:f>
              <c:numCache>
                <c:formatCode>General</c:formatCode>
                <c:ptCount val="16"/>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numCache>
            </c:numRef>
          </c:val>
          <c:extLst>
            <c:ext xmlns:c16="http://schemas.microsoft.com/office/drawing/2014/chart" uri="{C3380CC4-5D6E-409C-BE32-E72D297353CC}">
              <c16:uniqueId val="{00000002-E05A-476A-81E0-9DDAF8947A01}"/>
            </c:ext>
          </c:extLst>
        </c:ser>
        <c:dLbls>
          <c:showLegendKey val="0"/>
          <c:showVal val="0"/>
          <c:showCatName val="0"/>
          <c:showSerName val="0"/>
          <c:showPercent val="0"/>
          <c:showBubbleSize val="0"/>
        </c:dLbls>
        <c:axId val="434382112"/>
        <c:axId val="434382504"/>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9617720C-9248-4D9A-AA77-49EAAACB794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05A-476A-81E0-9DDAF8947A01}"/>
                </c:ext>
              </c:extLst>
            </c:dLbl>
            <c:dLbl>
              <c:idx val="1"/>
              <c:tx>
                <c:rich>
                  <a:bodyPr/>
                  <a:lstStyle/>
                  <a:p>
                    <a:fld id="{FB1F003E-6A7E-4779-A564-40BD9BC748A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1C6E-4AE4-BE8A-896B67024C51}"/>
                </c:ext>
              </c:extLst>
            </c:dLbl>
            <c:dLbl>
              <c:idx val="2"/>
              <c:tx>
                <c:rich>
                  <a:bodyPr/>
                  <a:lstStyle/>
                  <a:p>
                    <a:fld id="{1B250423-EDA0-494E-AB45-269C2CF7062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1C6E-4AE4-BE8A-896B67024C51}"/>
                </c:ext>
              </c:extLst>
            </c:dLbl>
            <c:dLbl>
              <c:idx val="3"/>
              <c:tx>
                <c:rich>
                  <a:bodyPr/>
                  <a:lstStyle/>
                  <a:p>
                    <a:fld id="{883E7161-0C17-4A66-B936-0E21E989B37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1C6E-4AE4-BE8A-896B67024C51}"/>
                </c:ext>
              </c:extLst>
            </c:dLbl>
            <c:dLbl>
              <c:idx val="4"/>
              <c:tx>
                <c:rich>
                  <a:bodyPr/>
                  <a:lstStyle/>
                  <a:p>
                    <a:fld id="{E7ED0C5E-0882-409D-B58E-3AE3D043480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C6E-4AE4-BE8A-896B67024C51}"/>
                </c:ext>
              </c:extLst>
            </c:dLbl>
            <c:dLbl>
              <c:idx val="5"/>
              <c:tx>
                <c:rich>
                  <a:bodyPr/>
                  <a:lstStyle/>
                  <a:p>
                    <a:fld id="{8FE9A5EC-AA68-4911-A8F1-F832471B5E1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1C6E-4AE4-BE8A-896B67024C51}"/>
                </c:ext>
              </c:extLst>
            </c:dLbl>
            <c:dLbl>
              <c:idx val="6"/>
              <c:tx>
                <c:rich>
                  <a:bodyPr/>
                  <a:lstStyle/>
                  <a:p>
                    <a:fld id="{773582FC-2297-407F-9AA4-415168BB7E1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1C6E-4AE4-BE8A-896B67024C51}"/>
                </c:ext>
              </c:extLst>
            </c:dLbl>
            <c:dLbl>
              <c:idx val="7"/>
              <c:tx>
                <c:rich>
                  <a:bodyPr/>
                  <a:lstStyle/>
                  <a:p>
                    <a:fld id="{2FD3079E-6153-4300-8634-9EDF6C060B0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1C6E-4AE4-BE8A-896B67024C51}"/>
                </c:ext>
              </c:extLst>
            </c:dLbl>
            <c:dLbl>
              <c:idx val="8"/>
              <c:tx>
                <c:rich>
                  <a:bodyPr/>
                  <a:lstStyle/>
                  <a:p>
                    <a:fld id="{56472972-D39E-421A-AD2D-08DC3737D76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1C6E-4AE4-BE8A-896B67024C51}"/>
                </c:ext>
              </c:extLst>
            </c:dLbl>
            <c:dLbl>
              <c:idx val="9"/>
              <c:tx>
                <c:rich>
                  <a:bodyPr/>
                  <a:lstStyle/>
                  <a:p>
                    <a:fld id="{949217EF-56ED-414F-AC2B-C1DBB520F17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1C6E-4AE4-BE8A-896B67024C51}"/>
                </c:ext>
              </c:extLst>
            </c:dLbl>
            <c:dLbl>
              <c:idx val="10"/>
              <c:tx>
                <c:rich>
                  <a:bodyPr/>
                  <a:lstStyle/>
                  <a:p>
                    <a:fld id="{A64E4C6D-A525-4FA9-9F95-9880B044DCA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1C6E-4AE4-BE8A-896B67024C51}"/>
                </c:ext>
              </c:extLst>
            </c:dLbl>
            <c:dLbl>
              <c:idx val="11"/>
              <c:tx>
                <c:rich>
                  <a:bodyPr/>
                  <a:lstStyle/>
                  <a:p>
                    <a:fld id="{4E29229F-5C6D-4E4A-9F9A-6F93E3E2D61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1C6E-4AE4-BE8A-896B67024C51}"/>
                </c:ext>
              </c:extLst>
            </c:dLbl>
            <c:dLbl>
              <c:idx val="12"/>
              <c:tx>
                <c:rich>
                  <a:bodyPr/>
                  <a:lstStyle/>
                  <a:p>
                    <a:fld id="{7D121453-4A71-4664-9CE5-E452520C77F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1C6E-4AE4-BE8A-896B67024C51}"/>
                </c:ext>
              </c:extLst>
            </c:dLbl>
            <c:dLbl>
              <c:idx val="13"/>
              <c:tx>
                <c:rich>
                  <a:bodyPr/>
                  <a:lstStyle/>
                  <a:p>
                    <a:fld id="{016553A4-FC83-48AA-AA2E-F74D9F2E42D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1C6E-4AE4-BE8A-896B67024C51}"/>
                </c:ext>
              </c:extLst>
            </c:dLbl>
            <c:dLbl>
              <c:idx val="14"/>
              <c:tx>
                <c:rich>
                  <a:bodyPr/>
                  <a:lstStyle/>
                  <a:p>
                    <a:fld id="{2CD38220-D93A-45CA-AC48-70EF6CD6410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1C6E-4AE4-BE8A-896B67024C51}"/>
                </c:ext>
              </c:extLst>
            </c:dLbl>
            <c:dLbl>
              <c:idx val="15"/>
              <c:tx>
                <c:rich>
                  <a:bodyPr/>
                  <a:lstStyle/>
                  <a:p>
                    <a:fld id="{FB6E0AD5-630C-4182-8491-9DF95C2DD72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1C6E-4AE4-BE8A-896B67024C51}"/>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CHG'!$E$4:$T$4</c:f>
                <c:numCache>
                  <c:formatCode>General</c:formatCode>
                  <c:ptCount val="16"/>
                  <c:pt idx="1">
                    <c:v>2.1724082432133082E-2</c:v>
                  </c:pt>
                  <c:pt idx="2">
                    <c:v>0.20772725313315596</c:v>
                  </c:pt>
                  <c:pt idx="3">
                    <c:v>0.20372404604745686</c:v>
                  </c:pt>
                  <c:pt idx="4">
                    <c:v>0.33741887067159243</c:v>
                  </c:pt>
                  <c:pt idx="5">
                    <c:v>0</c:v>
                  </c:pt>
                  <c:pt idx="6">
                    <c:v>0</c:v>
                  </c:pt>
                  <c:pt idx="7">
                    <c:v>0</c:v>
                  </c:pt>
                  <c:pt idx="8">
                    <c:v>0</c:v>
                  </c:pt>
                  <c:pt idx="9">
                    <c:v>0</c:v>
                  </c:pt>
                  <c:pt idx="10">
                    <c:v>0</c:v>
                  </c:pt>
                  <c:pt idx="11">
                    <c:v>0</c:v>
                  </c:pt>
                  <c:pt idx="12">
                    <c:v>0</c:v>
                  </c:pt>
                  <c:pt idx="13">
                    <c:v>0</c:v>
                  </c:pt>
                  <c:pt idx="14">
                    <c:v>0</c:v>
                  </c:pt>
                </c:numCache>
              </c:numRef>
            </c:plus>
            <c:minus>
              <c:numRef>
                <c:f>'Graph format rapport CHG'!$E$4:$T$4</c:f>
                <c:numCache>
                  <c:formatCode>General</c:formatCode>
                  <c:ptCount val="16"/>
                  <c:pt idx="1">
                    <c:v>2.1724082432133082E-2</c:v>
                  </c:pt>
                  <c:pt idx="2">
                    <c:v>0.20772725313315596</c:v>
                  </c:pt>
                  <c:pt idx="3">
                    <c:v>0.20372404604745686</c:v>
                  </c:pt>
                  <c:pt idx="4">
                    <c:v>0.33741887067159243</c:v>
                  </c:pt>
                  <c:pt idx="5">
                    <c:v>0</c:v>
                  </c:pt>
                  <c:pt idx="6">
                    <c:v>0</c:v>
                  </c:pt>
                  <c:pt idx="7">
                    <c:v>0</c:v>
                  </c:pt>
                  <c:pt idx="8">
                    <c:v>0</c:v>
                  </c:pt>
                  <c:pt idx="9">
                    <c:v>0</c:v>
                  </c:pt>
                  <c:pt idx="10">
                    <c:v>0</c:v>
                  </c:pt>
                  <c:pt idx="11">
                    <c:v>0</c:v>
                  </c:pt>
                  <c:pt idx="12">
                    <c:v>0</c:v>
                  </c:pt>
                  <c:pt idx="13">
                    <c:v>0</c:v>
                  </c:pt>
                  <c:pt idx="14">
                    <c:v>0</c:v>
                  </c:pt>
                </c:numCache>
              </c:numRef>
            </c:minus>
          </c:errBars>
          <c:cat>
            <c:strRef>
              <c:f>'Graph format rapport CHG'!$E$2:$T$2</c:f>
              <c:strCache>
                <c:ptCount val="15"/>
                <c:pt idx="1">
                  <c:v>estradiol 68ng/L</c:v>
                </c:pt>
                <c:pt idx="2">
                  <c:v>estradiol 135ng/L</c:v>
                </c:pt>
                <c:pt idx="3">
                  <c:v>estradiol 270ng/L</c:v>
                </c:pt>
                <c:pt idx="4">
                  <c:v>estradiol 540ng/L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CHG'!$E$3:$T$3</c:f>
              <c:numCache>
                <c:formatCode>General</c:formatCode>
                <c:ptCount val="16"/>
                <c:pt idx="1">
                  <c:v>0.18326514742027913</c:v>
                </c:pt>
                <c:pt idx="2">
                  <c:v>0.97151022965231215</c:v>
                </c:pt>
                <c:pt idx="3">
                  <c:v>1.9626738933325127</c:v>
                </c:pt>
                <c:pt idx="4">
                  <c:v>3.474881929650135</c:v>
                </c:pt>
                <c:pt idx="5">
                  <c:v>0</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CHG'!$E$5:$T$5</c15:f>
                <c15:dlblRangeCache>
                  <c:ptCount val="16"/>
                  <c:pt idx="1">
                    <c:v>NS</c:v>
                  </c:pt>
                  <c:pt idx="2">
                    <c:v>**</c:v>
                  </c:pt>
                  <c:pt idx="3">
                    <c:v>***</c:v>
                  </c:pt>
                  <c:pt idx="4">
                    <c:v>***</c:v>
                  </c:pt>
                  <c:pt idx="5">
                    <c:v>#REF!</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E05A-476A-81E0-9DDAF8947A01}"/>
            </c:ext>
          </c:extLst>
        </c:ser>
        <c:dLbls>
          <c:showLegendKey val="0"/>
          <c:showVal val="0"/>
          <c:showCatName val="0"/>
          <c:showSerName val="0"/>
          <c:showPercent val="0"/>
          <c:showBubbleSize val="0"/>
        </c:dLbls>
        <c:gapWidth val="150"/>
        <c:axId val="434382112"/>
        <c:axId val="434382504"/>
      </c:barChart>
      <c:lineChart>
        <c:grouping val="standard"/>
        <c:varyColors val="0"/>
        <c:ser>
          <c:idx val="1"/>
          <c:order val="1"/>
          <c:tx>
            <c:strRef>
              <c:f>'Graph format rapport CHG'!$D$6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CHG'!$E$6:$T$6</c:f>
              <c:numCache>
                <c:formatCode>General</c:formatCode>
                <c:ptCount val="16"/>
                <c:pt idx="0">
                  <c:v>0.15229055770800312</c:v>
                </c:pt>
                <c:pt idx="1">
                  <c:v>0.15229055770800312</c:v>
                </c:pt>
                <c:pt idx="2">
                  <c:v>0.15229055770800312</c:v>
                </c:pt>
                <c:pt idx="3">
                  <c:v>0.15229055770800312</c:v>
                </c:pt>
                <c:pt idx="4">
                  <c:v>0.15229055770800312</c:v>
                </c:pt>
                <c:pt idx="5">
                  <c:v>0.15229055770800312</c:v>
                </c:pt>
                <c:pt idx="6">
                  <c:v>0.15229055770800312</c:v>
                </c:pt>
                <c:pt idx="7">
                  <c:v>0.15229055770800312</c:v>
                </c:pt>
                <c:pt idx="8">
                  <c:v>0.15229055770800312</c:v>
                </c:pt>
                <c:pt idx="9">
                  <c:v>0.15229055770800312</c:v>
                </c:pt>
                <c:pt idx="10">
                  <c:v>0.15229055770800312</c:v>
                </c:pt>
                <c:pt idx="11">
                  <c:v>0.15229055770800312</c:v>
                </c:pt>
                <c:pt idx="12">
                  <c:v>0.15229055770800312</c:v>
                </c:pt>
                <c:pt idx="13">
                  <c:v>0.15229055770800312</c:v>
                </c:pt>
                <c:pt idx="14">
                  <c:v>0.15229055770800312</c:v>
                </c:pt>
                <c:pt idx="15">
                  <c:v>0.15229055770800312</c:v>
                </c:pt>
              </c:numCache>
            </c:numRef>
          </c:val>
          <c:smooth val="0"/>
          <c:extLst>
            <c:ext xmlns:c16="http://schemas.microsoft.com/office/drawing/2014/chart" uri="{C3380CC4-5D6E-409C-BE32-E72D297353CC}">
              <c16:uniqueId val="{00000014-E05A-476A-81E0-9DDAF8947A01}"/>
            </c:ext>
          </c:extLst>
        </c:ser>
        <c:dLbls>
          <c:showLegendKey val="0"/>
          <c:showVal val="0"/>
          <c:showCatName val="0"/>
          <c:showSerName val="0"/>
          <c:showPercent val="0"/>
          <c:showBubbleSize val="0"/>
        </c:dLbls>
        <c:marker val="1"/>
        <c:smooth val="0"/>
        <c:axId val="434382112"/>
        <c:axId val="434382504"/>
      </c:lineChart>
      <c:dateAx>
        <c:axId val="434382112"/>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2504"/>
        <c:crosses val="autoZero"/>
        <c:auto val="0"/>
        <c:lblOffset val="100"/>
        <c:baseTimeUnit val="days"/>
      </c:dateAx>
      <c:valAx>
        <c:axId val="434382504"/>
        <c:scaling>
          <c:orientation val="minMax"/>
          <c:max val="2"/>
          <c:min val="0"/>
        </c:scaling>
        <c:delete val="0"/>
        <c:axPos val="l"/>
        <c:title>
          <c:tx>
            <c:rich>
              <a:bodyPr/>
              <a:lstStyle/>
              <a:p>
                <a:pPr>
                  <a:defRPr/>
                </a:pPr>
                <a:r>
                  <a:rPr lang="fr-FR"/>
                  <a:t>Fluorescence</a:t>
                </a:r>
              </a:p>
            </c:rich>
          </c:tx>
          <c:layout>
            <c:manualLayout>
              <c:xMode val="edge"/>
              <c:yMode val="edge"/>
              <c:x val="1.0387853349889646E-2"/>
              <c:y val="0.2372296165912457"/>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en-US"/>
          </a:p>
        </c:txPr>
        <c:crossAx val="434382112"/>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CHG'!$U$2:$AJ$2</c:f>
              <c:strCache>
                <c:ptCount val="15"/>
                <c:pt idx="1">
                  <c:v>estradiol-34ng/L + Testostérone</c:v>
                </c:pt>
                <c:pt idx="2">
                  <c:v>estradiol-68ng/L + Testostérone</c:v>
                </c:pt>
                <c:pt idx="3">
                  <c:v>estradiol-135ng/L + Testostérone</c:v>
                </c:pt>
                <c:pt idx="4">
                  <c:v>estradiol-270ng/L + Testostérone</c:v>
                </c:pt>
                <c:pt idx="5">
                  <c:v>estradiol-540ng/L + Testostérone</c:v>
                </c:pt>
                <c:pt idx="6">
                  <c:v>0-00 + Testostérone</c:v>
                </c:pt>
                <c:pt idx="7">
                  <c:v>0-00 + Testostérone</c:v>
                </c:pt>
                <c:pt idx="8">
                  <c:v>0-00 + Testostérone</c:v>
                </c:pt>
                <c:pt idx="9">
                  <c:v>0-00 + Testostérone</c:v>
                </c:pt>
                <c:pt idx="10">
                  <c:v>0-00 + Testostérone</c:v>
                </c:pt>
                <c:pt idx="11">
                  <c:v>0-00 + Testostérone</c:v>
                </c:pt>
                <c:pt idx="12">
                  <c:v>0-00 + Testostérone</c:v>
                </c:pt>
                <c:pt idx="13">
                  <c:v>0-00 + Testostérone</c:v>
                </c:pt>
                <c:pt idx="14">
                  <c:v>0-00 + Testostérone</c:v>
                </c:pt>
              </c:strCache>
            </c:strRef>
          </c:cat>
          <c:val>
            <c:numRef>
              <c:f>'Graph format rapport CHG'!$U$8:$AJ$8</c:f>
              <c:numCache>
                <c:formatCode>General</c:formatCode>
                <c:ptCount val="16"/>
                <c:pt idx="0">
                  <c:v>0.11656955822676086</c:v>
                </c:pt>
                <c:pt idx="1">
                  <c:v>0.11656955822676086</c:v>
                </c:pt>
                <c:pt idx="2">
                  <c:v>0.11656955822676086</c:v>
                </c:pt>
                <c:pt idx="3">
                  <c:v>0.11656955822676086</c:v>
                </c:pt>
                <c:pt idx="4">
                  <c:v>0.11656955822676086</c:v>
                </c:pt>
                <c:pt idx="5">
                  <c:v>0.11656955822676086</c:v>
                </c:pt>
                <c:pt idx="6">
                  <c:v>0.11656955822676086</c:v>
                </c:pt>
                <c:pt idx="7">
                  <c:v>0.11656955822676086</c:v>
                </c:pt>
                <c:pt idx="8">
                  <c:v>0.11656955822676086</c:v>
                </c:pt>
                <c:pt idx="9">
                  <c:v>0.11656955822676086</c:v>
                </c:pt>
                <c:pt idx="10">
                  <c:v>0.11656955822676086</c:v>
                </c:pt>
                <c:pt idx="11">
                  <c:v>0.11656955822676086</c:v>
                </c:pt>
                <c:pt idx="12">
                  <c:v>0.11656955822676086</c:v>
                </c:pt>
                <c:pt idx="13">
                  <c:v>0.11656955822676086</c:v>
                </c:pt>
                <c:pt idx="14">
                  <c:v>0.11656955822676086</c:v>
                </c:pt>
                <c:pt idx="15">
                  <c:v>0.11656955822676086</c:v>
                </c:pt>
              </c:numCache>
            </c:numRef>
          </c:val>
          <c:extLst>
            <c:ext xmlns:c16="http://schemas.microsoft.com/office/drawing/2014/chart" uri="{C3380CC4-5D6E-409C-BE32-E72D297353CC}">
              <c16:uniqueId val="{00000000-4CBD-4130-8AB9-F913B66FA2BD}"/>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CHG'!$U$2:$AJ$2</c:f>
              <c:strCache>
                <c:ptCount val="15"/>
                <c:pt idx="1">
                  <c:v>estradiol-34ng/L + Testostérone</c:v>
                </c:pt>
                <c:pt idx="2">
                  <c:v>estradiol-68ng/L + Testostérone</c:v>
                </c:pt>
                <c:pt idx="3">
                  <c:v>estradiol-135ng/L + Testostérone</c:v>
                </c:pt>
                <c:pt idx="4">
                  <c:v>estradiol-270ng/L + Testostérone</c:v>
                </c:pt>
                <c:pt idx="5">
                  <c:v>estradiol-540ng/L + Testostérone</c:v>
                </c:pt>
                <c:pt idx="6">
                  <c:v>0-00 + Testostérone</c:v>
                </c:pt>
                <c:pt idx="7">
                  <c:v>0-00 + Testostérone</c:v>
                </c:pt>
                <c:pt idx="8">
                  <c:v>0-00 + Testostérone</c:v>
                </c:pt>
                <c:pt idx="9">
                  <c:v>0-00 + Testostérone</c:v>
                </c:pt>
                <c:pt idx="10">
                  <c:v>0-00 + Testostérone</c:v>
                </c:pt>
                <c:pt idx="11">
                  <c:v>0-00 + Testostérone</c:v>
                </c:pt>
                <c:pt idx="12">
                  <c:v>0-00 + Testostérone</c:v>
                </c:pt>
                <c:pt idx="13">
                  <c:v>0-00 + Testostérone</c:v>
                </c:pt>
                <c:pt idx="14">
                  <c:v>0-00 + Testostérone</c:v>
                </c:pt>
              </c:strCache>
            </c:strRef>
          </c:cat>
          <c:val>
            <c:numRef>
              <c:f>'Graph format rapport CHG'!$U$9:$AJ$9</c:f>
              <c:numCache>
                <c:formatCode>General</c:formatCode>
                <c:ptCount val="16"/>
                <c:pt idx="0">
                  <c:v>3.0118952793642642</c:v>
                </c:pt>
                <c:pt idx="1">
                  <c:v>3.0118952793642642</c:v>
                </c:pt>
                <c:pt idx="2">
                  <c:v>3.0118952793642642</c:v>
                </c:pt>
                <c:pt idx="3">
                  <c:v>3.0118952793642642</c:v>
                </c:pt>
                <c:pt idx="4">
                  <c:v>3.0118952793642642</c:v>
                </c:pt>
                <c:pt idx="5">
                  <c:v>3.0118952793642642</c:v>
                </c:pt>
                <c:pt idx="6">
                  <c:v>3.0118952793642642</c:v>
                </c:pt>
                <c:pt idx="7">
                  <c:v>3.0118952793642642</c:v>
                </c:pt>
                <c:pt idx="8">
                  <c:v>3.0118952793642642</c:v>
                </c:pt>
                <c:pt idx="9">
                  <c:v>3.0118952793642642</c:v>
                </c:pt>
                <c:pt idx="10">
                  <c:v>3.0118952793642642</c:v>
                </c:pt>
                <c:pt idx="11">
                  <c:v>3.0118952793642642</c:v>
                </c:pt>
                <c:pt idx="12">
                  <c:v>3.0118952793642642</c:v>
                </c:pt>
                <c:pt idx="13">
                  <c:v>3.0118952793642642</c:v>
                </c:pt>
                <c:pt idx="14">
                  <c:v>3.0118952793642642</c:v>
                </c:pt>
                <c:pt idx="15">
                  <c:v>3.0118952793642642</c:v>
                </c:pt>
              </c:numCache>
            </c:numRef>
          </c:val>
          <c:extLst>
            <c:ext xmlns:c16="http://schemas.microsoft.com/office/drawing/2014/chart" uri="{C3380CC4-5D6E-409C-BE32-E72D297353CC}">
              <c16:uniqueId val="{00000001-4CBD-4130-8AB9-F913B66FA2BD}"/>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CHG'!$U$2:$AJ$2</c:f>
              <c:strCache>
                <c:ptCount val="15"/>
                <c:pt idx="1">
                  <c:v>estradiol-34ng/L + Testostérone</c:v>
                </c:pt>
                <c:pt idx="2">
                  <c:v>estradiol-68ng/L + Testostérone</c:v>
                </c:pt>
                <c:pt idx="3">
                  <c:v>estradiol-135ng/L + Testostérone</c:v>
                </c:pt>
                <c:pt idx="4">
                  <c:v>estradiol-270ng/L + Testostérone</c:v>
                </c:pt>
                <c:pt idx="5">
                  <c:v>estradiol-540ng/L + Testostérone</c:v>
                </c:pt>
                <c:pt idx="6">
                  <c:v>0-00 + Testostérone</c:v>
                </c:pt>
                <c:pt idx="7">
                  <c:v>0-00 + Testostérone</c:v>
                </c:pt>
                <c:pt idx="8">
                  <c:v>0-00 + Testostérone</c:v>
                </c:pt>
                <c:pt idx="9">
                  <c:v>0-00 + Testostérone</c:v>
                </c:pt>
                <c:pt idx="10">
                  <c:v>0-00 + Testostérone</c:v>
                </c:pt>
                <c:pt idx="11">
                  <c:v>0-00 + Testostérone</c:v>
                </c:pt>
                <c:pt idx="12">
                  <c:v>0-00 + Testostérone</c:v>
                </c:pt>
                <c:pt idx="13">
                  <c:v>0-00 + Testostérone</c:v>
                </c:pt>
                <c:pt idx="14">
                  <c:v>0-00 + Testostérone</c:v>
                </c:pt>
              </c:strCache>
            </c:strRef>
          </c:cat>
          <c:val>
            <c:numRef>
              <c:f>'Graph format rapport CHG'!$U$10:$AJ$10</c:f>
              <c:numCache>
                <c:formatCode>General</c:formatCode>
                <c:ptCount val="16"/>
                <c:pt idx="0">
                  <c:v>-0.51189527936426416</c:v>
                </c:pt>
                <c:pt idx="1">
                  <c:v>-0.51189527936426416</c:v>
                </c:pt>
                <c:pt idx="2">
                  <c:v>-0.51189527936426416</c:v>
                </c:pt>
                <c:pt idx="3">
                  <c:v>-0.51189527936426416</c:v>
                </c:pt>
                <c:pt idx="4">
                  <c:v>-0.51189527936426416</c:v>
                </c:pt>
                <c:pt idx="5">
                  <c:v>-0.51189527936426416</c:v>
                </c:pt>
                <c:pt idx="6">
                  <c:v>-0.51189527936426416</c:v>
                </c:pt>
                <c:pt idx="7">
                  <c:v>-0.51189527936426416</c:v>
                </c:pt>
                <c:pt idx="8">
                  <c:v>-0.51189527936426416</c:v>
                </c:pt>
                <c:pt idx="9">
                  <c:v>-0.51189527936426416</c:v>
                </c:pt>
                <c:pt idx="10">
                  <c:v>-0.51189527936426416</c:v>
                </c:pt>
                <c:pt idx="11">
                  <c:v>-0.51189527936426416</c:v>
                </c:pt>
                <c:pt idx="12">
                  <c:v>-0.51189527936426416</c:v>
                </c:pt>
                <c:pt idx="13">
                  <c:v>-0.51189527936426416</c:v>
                </c:pt>
                <c:pt idx="14">
                  <c:v>-0.51189527936426416</c:v>
                </c:pt>
                <c:pt idx="15">
                  <c:v>-0.51189527936426416</c:v>
                </c:pt>
              </c:numCache>
            </c:numRef>
          </c:val>
          <c:extLst>
            <c:ext xmlns:c16="http://schemas.microsoft.com/office/drawing/2014/chart" uri="{C3380CC4-5D6E-409C-BE32-E72D297353CC}">
              <c16:uniqueId val="{00000002-4CBD-4130-8AB9-F913B66FA2BD}"/>
            </c:ext>
          </c:extLst>
        </c:ser>
        <c:dLbls>
          <c:showLegendKey val="0"/>
          <c:showVal val="0"/>
          <c:showCatName val="0"/>
          <c:showSerName val="0"/>
          <c:showPercent val="0"/>
          <c:showBubbleSize val="0"/>
        </c:dLbls>
        <c:axId val="434383288"/>
        <c:axId val="434383680"/>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0219640B-8218-4515-AA47-7BAD3B8CA66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CBD-4130-8AB9-F913B66FA2BD}"/>
                </c:ext>
              </c:extLst>
            </c:dLbl>
            <c:dLbl>
              <c:idx val="1"/>
              <c:tx>
                <c:rich>
                  <a:bodyPr/>
                  <a:lstStyle/>
                  <a:p>
                    <a:fld id="{096C8C9E-4B4E-4427-AFA1-E4F721F3BA8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A8E-4D40-9992-A189D0F7FB1C}"/>
                </c:ext>
              </c:extLst>
            </c:dLbl>
            <c:dLbl>
              <c:idx val="2"/>
              <c:tx>
                <c:rich>
                  <a:bodyPr/>
                  <a:lstStyle/>
                  <a:p>
                    <a:fld id="{D8AA6369-723C-4A6F-B19C-69494B0768F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A8E-4D40-9992-A189D0F7FB1C}"/>
                </c:ext>
              </c:extLst>
            </c:dLbl>
            <c:dLbl>
              <c:idx val="3"/>
              <c:tx>
                <c:rich>
                  <a:bodyPr/>
                  <a:lstStyle/>
                  <a:p>
                    <a:fld id="{30162DB6-9E0A-4B2D-B317-D0ED8213993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A8E-4D40-9992-A189D0F7FB1C}"/>
                </c:ext>
              </c:extLst>
            </c:dLbl>
            <c:dLbl>
              <c:idx val="4"/>
              <c:tx>
                <c:rich>
                  <a:bodyPr/>
                  <a:lstStyle/>
                  <a:p>
                    <a:fld id="{1B020036-7F3F-46CA-9F08-9BA21704414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A8E-4D40-9992-A189D0F7FB1C}"/>
                </c:ext>
              </c:extLst>
            </c:dLbl>
            <c:dLbl>
              <c:idx val="5"/>
              <c:tx>
                <c:rich>
                  <a:bodyPr/>
                  <a:lstStyle/>
                  <a:p>
                    <a:fld id="{84E2A571-8377-4380-B63D-6FA2E4BA347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A8E-4D40-9992-A189D0F7FB1C}"/>
                </c:ext>
              </c:extLst>
            </c:dLbl>
            <c:dLbl>
              <c:idx val="6"/>
              <c:tx>
                <c:rich>
                  <a:bodyPr/>
                  <a:lstStyle/>
                  <a:p>
                    <a:fld id="{55DC21F6-5DC3-4E00-8DD7-96940E812A4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A8E-4D40-9992-A189D0F7FB1C}"/>
                </c:ext>
              </c:extLst>
            </c:dLbl>
            <c:dLbl>
              <c:idx val="7"/>
              <c:tx>
                <c:rich>
                  <a:bodyPr/>
                  <a:lstStyle/>
                  <a:p>
                    <a:fld id="{E7E8EAC8-F4B4-412C-99C6-64CE1483786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A8E-4D40-9992-A189D0F7FB1C}"/>
                </c:ext>
              </c:extLst>
            </c:dLbl>
            <c:dLbl>
              <c:idx val="8"/>
              <c:tx>
                <c:rich>
                  <a:bodyPr/>
                  <a:lstStyle/>
                  <a:p>
                    <a:fld id="{52A6AD06-CBD2-4F26-851D-3AD36350AC0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A8E-4D40-9992-A189D0F7FB1C}"/>
                </c:ext>
              </c:extLst>
            </c:dLbl>
            <c:dLbl>
              <c:idx val="9"/>
              <c:tx>
                <c:rich>
                  <a:bodyPr/>
                  <a:lstStyle/>
                  <a:p>
                    <a:fld id="{8D3B51DA-D769-4BC2-80F7-9C72A2BC4D0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A8E-4D40-9992-A189D0F7FB1C}"/>
                </c:ext>
              </c:extLst>
            </c:dLbl>
            <c:dLbl>
              <c:idx val="10"/>
              <c:tx>
                <c:rich>
                  <a:bodyPr/>
                  <a:lstStyle/>
                  <a:p>
                    <a:fld id="{264CD2D9-2BA3-4363-A105-18B97E256BF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A8E-4D40-9992-A189D0F7FB1C}"/>
                </c:ext>
              </c:extLst>
            </c:dLbl>
            <c:dLbl>
              <c:idx val="11"/>
              <c:tx>
                <c:rich>
                  <a:bodyPr/>
                  <a:lstStyle/>
                  <a:p>
                    <a:fld id="{FCE7638E-A31B-4032-969B-65FB529E3D0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A8E-4D40-9992-A189D0F7FB1C}"/>
                </c:ext>
              </c:extLst>
            </c:dLbl>
            <c:dLbl>
              <c:idx val="12"/>
              <c:tx>
                <c:rich>
                  <a:bodyPr/>
                  <a:lstStyle/>
                  <a:p>
                    <a:fld id="{EC9D6B78-F04C-4F97-8994-DEF77E3B037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A8E-4D40-9992-A189D0F7FB1C}"/>
                </c:ext>
              </c:extLst>
            </c:dLbl>
            <c:dLbl>
              <c:idx val="13"/>
              <c:tx>
                <c:rich>
                  <a:bodyPr/>
                  <a:lstStyle/>
                  <a:p>
                    <a:fld id="{93CAC5F6-EE3F-48F8-90B5-879289E26A0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A8E-4D40-9992-A189D0F7FB1C}"/>
                </c:ext>
              </c:extLst>
            </c:dLbl>
            <c:dLbl>
              <c:idx val="14"/>
              <c:tx>
                <c:rich>
                  <a:bodyPr/>
                  <a:lstStyle/>
                  <a:p>
                    <a:fld id="{431E4FD2-D1FB-4C3A-80BB-B547B99E85A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A8E-4D40-9992-A189D0F7FB1C}"/>
                </c:ext>
              </c:extLst>
            </c:dLbl>
            <c:dLbl>
              <c:idx val="15"/>
              <c:tx>
                <c:rich>
                  <a:bodyPr/>
                  <a:lstStyle/>
                  <a:p>
                    <a:fld id="{8FC4852E-2378-46E3-ABFB-188FF0E998E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BA8E-4D40-9992-A189D0F7FB1C}"/>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CHG'!$U$4:$AJ$4</c:f>
                <c:numCache>
                  <c:formatCode>General</c:formatCode>
                  <c:ptCount val="16"/>
                  <c:pt idx="1">
                    <c:v>0.2409828392874637</c:v>
                  </c:pt>
                  <c:pt idx="2">
                    <c:v>0.21937400442765395</c:v>
                  </c:pt>
                  <c:pt idx="3">
                    <c:v>0.23480180391959549</c:v>
                  </c:pt>
                  <c:pt idx="4">
                    <c:v>0.32704580075882916</c:v>
                  </c:pt>
                  <c:pt idx="5">
                    <c:v>0.38618765085523349</c:v>
                  </c:pt>
                  <c:pt idx="6">
                    <c:v>0</c:v>
                  </c:pt>
                  <c:pt idx="7">
                    <c:v>0</c:v>
                  </c:pt>
                  <c:pt idx="8">
                    <c:v>0</c:v>
                  </c:pt>
                  <c:pt idx="9">
                    <c:v>0</c:v>
                  </c:pt>
                  <c:pt idx="10">
                    <c:v>0</c:v>
                  </c:pt>
                  <c:pt idx="11">
                    <c:v>0</c:v>
                  </c:pt>
                  <c:pt idx="12">
                    <c:v>0</c:v>
                  </c:pt>
                  <c:pt idx="13">
                    <c:v>0</c:v>
                  </c:pt>
                  <c:pt idx="14">
                    <c:v>0</c:v>
                  </c:pt>
                </c:numCache>
              </c:numRef>
            </c:plus>
            <c:minus>
              <c:numRef>
                <c:f>'Graph format rapport CHG'!$U$4:$AJ$4</c:f>
                <c:numCache>
                  <c:formatCode>General</c:formatCode>
                  <c:ptCount val="16"/>
                  <c:pt idx="1">
                    <c:v>0.2409828392874637</c:v>
                  </c:pt>
                  <c:pt idx="2">
                    <c:v>0.21937400442765395</c:v>
                  </c:pt>
                  <c:pt idx="3">
                    <c:v>0.23480180391959549</c:v>
                  </c:pt>
                  <c:pt idx="4">
                    <c:v>0.32704580075882916</c:v>
                  </c:pt>
                  <c:pt idx="5">
                    <c:v>0.38618765085523349</c:v>
                  </c:pt>
                  <c:pt idx="6">
                    <c:v>0</c:v>
                  </c:pt>
                  <c:pt idx="7">
                    <c:v>0</c:v>
                  </c:pt>
                  <c:pt idx="8">
                    <c:v>0</c:v>
                  </c:pt>
                  <c:pt idx="9">
                    <c:v>0</c:v>
                  </c:pt>
                  <c:pt idx="10">
                    <c:v>0</c:v>
                  </c:pt>
                  <c:pt idx="11">
                    <c:v>0</c:v>
                  </c:pt>
                  <c:pt idx="12">
                    <c:v>0</c:v>
                  </c:pt>
                  <c:pt idx="13">
                    <c:v>0</c:v>
                  </c:pt>
                  <c:pt idx="14">
                    <c:v>0</c:v>
                  </c:pt>
                </c:numCache>
              </c:numRef>
            </c:minus>
          </c:errBars>
          <c:cat>
            <c:strRef>
              <c:f>'Graph format rapport CHG'!$U$2:$AJ$2</c:f>
              <c:strCache>
                <c:ptCount val="15"/>
                <c:pt idx="1">
                  <c:v>estradiol-34ng/L + Testostérone</c:v>
                </c:pt>
                <c:pt idx="2">
                  <c:v>estradiol-68ng/L + Testostérone</c:v>
                </c:pt>
                <c:pt idx="3">
                  <c:v>estradiol-135ng/L + Testostérone</c:v>
                </c:pt>
                <c:pt idx="4">
                  <c:v>estradiol-270ng/L + Testostérone</c:v>
                </c:pt>
                <c:pt idx="5">
                  <c:v>estradiol-540ng/L + Testostérone</c:v>
                </c:pt>
                <c:pt idx="6">
                  <c:v>0-00 + Testostérone</c:v>
                </c:pt>
                <c:pt idx="7">
                  <c:v>0-00 + Testostérone</c:v>
                </c:pt>
                <c:pt idx="8">
                  <c:v>0-00 + Testostérone</c:v>
                </c:pt>
                <c:pt idx="9">
                  <c:v>0-00 + Testostérone</c:v>
                </c:pt>
                <c:pt idx="10">
                  <c:v>0-00 + Testostérone</c:v>
                </c:pt>
                <c:pt idx="11">
                  <c:v>0-00 + Testostérone</c:v>
                </c:pt>
                <c:pt idx="12">
                  <c:v>0-00 + Testostérone</c:v>
                </c:pt>
                <c:pt idx="13">
                  <c:v>0-00 + Testostérone</c:v>
                </c:pt>
                <c:pt idx="14">
                  <c:v>0-00 + Testostérone</c:v>
                </c:pt>
              </c:strCache>
            </c:strRef>
          </c:cat>
          <c:val>
            <c:numRef>
              <c:f>'Graph format rapport CHG'!$U$3:$AJ$3</c:f>
              <c:numCache>
                <c:formatCode>General</c:formatCode>
                <c:ptCount val="16"/>
                <c:pt idx="1">
                  <c:v>1.5395657185150233</c:v>
                </c:pt>
                <c:pt idx="2">
                  <c:v>2.2262229921971128</c:v>
                </c:pt>
                <c:pt idx="3">
                  <c:v>2.3844715033432506</c:v>
                </c:pt>
                <c:pt idx="4">
                  <c:v>3.1441043236039792</c:v>
                </c:pt>
                <c:pt idx="5">
                  <c:v>3.3930749651279641</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CHG'!$U$5:$AJ$5</c15:f>
                <c15:dlblRangeCache>
                  <c:ptCount val="16"/>
                  <c:pt idx="1">
                    <c:v>NS</c:v>
                  </c:pt>
                  <c:pt idx="2">
                    <c:v>***</c:v>
                  </c:pt>
                  <c:pt idx="3">
                    <c:v>***</c:v>
                  </c:pt>
                  <c:pt idx="4">
                    <c:v>***</c:v>
                  </c:pt>
                  <c:pt idx="5">
                    <c:v>***</c:v>
                  </c:pt>
                  <c:pt idx="6">
                    <c:v>#NAME?</c:v>
                  </c:pt>
                  <c:pt idx="7">
                    <c:v>#NAME?</c:v>
                  </c:pt>
                  <c:pt idx="8">
                    <c:v>#NAME?</c:v>
                  </c:pt>
                  <c:pt idx="9">
                    <c:v>#NAME?</c:v>
                  </c:pt>
                  <c:pt idx="10">
                    <c:v>#NAME?</c:v>
                  </c:pt>
                  <c:pt idx="11">
                    <c:v>#NAME?</c:v>
                  </c:pt>
                  <c:pt idx="12">
                    <c:v>#NAME?</c:v>
                  </c:pt>
                  <c:pt idx="13">
                    <c:v>#NAME?</c:v>
                  </c:pt>
                  <c:pt idx="14">
                    <c:v>#NAME?</c:v>
                  </c:pt>
                </c15:dlblRangeCache>
              </c15:datalabelsRange>
            </c:ext>
            <c:ext xmlns:c16="http://schemas.microsoft.com/office/drawing/2014/chart" uri="{C3380CC4-5D6E-409C-BE32-E72D297353CC}">
              <c16:uniqueId val="{00000013-4CBD-4130-8AB9-F913B66FA2BD}"/>
            </c:ext>
          </c:extLst>
        </c:ser>
        <c:dLbls>
          <c:showLegendKey val="0"/>
          <c:showVal val="0"/>
          <c:showCatName val="0"/>
          <c:showSerName val="0"/>
          <c:showPercent val="0"/>
          <c:showBubbleSize val="0"/>
        </c:dLbls>
        <c:gapWidth val="150"/>
        <c:axId val="434383288"/>
        <c:axId val="434383680"/>
      </c:barChart>
      <c:lineChart>
        <c:grouping val="standard"/>
        <c:varyColors val="0"/>
        <c:ser>
          <c:idx val="2"/>
          <c:order val="1"/>
          <c:tx>
            <c:strRef>
              <c:f>'Graph format rapport CHG'!$D$7</c:f>
              <c:strCache>
                <c:ptCount val="1"/>
                <c:pt idx="0">
                  <c:v>Témoin Testo</c:v>
                </c:pt>
              </c:strCache>
            </c:strRef>
          </c:tx>
          <c:spPr>
            <a:ln>
              <a:solidFill>
                <a:srgbClr val="00B050"/>
              </a:solidFill>
            </a:ln>
          </c:spPr>
          <c:marker>
            <c:symbol val="none"/>
          </c:marker>
          <c:cat>
            <c:strRef>
              <c:f>'Graph format rapport CHG'!$U$2:$AJ$2</c:f>
              <c:strCache>
                <c:ptCount val="15"/>
                <c:pt idx="1">
                  <c:v>estradiol-34ng/L + Testostérone</c:v>
                </c:pt>
                <c:pt idx="2">
                  <c:v>estradiol-68ng/L + Testostérone</c:v>
                </c:pt>
                <c:pt idx="3">
                  <c:v>estradiol-135ng/L + Testostérone</c:v>
                </c:pt>
                <c:pt idx="4">
                  <c:v>estradiol-270ng/L + Testostérone</c:v>
                </c:pt>
                <c:pt idx="5">
                  <c:v>estradiol-540ng/L + Testostérone</c:v>
                </c:pt>
                <c:pt idx="6">
                  <c:v>0-00 + Testostérone</c:v>
                </c:pt>
                <c:pt idx="7">
                  <c:v>0-00 + Testostérone</c:v>
                </c:pt>
                <c:pt idx="8">
                  <c:v>0-00 + Testostérone</c:v>
                </c:pt>
                <c:pt idx="9">
                  <c:v>0-00 + Testostérone</c:v>
                </c:pt>
                <c:pt idx="10">
                  <c:v>0-00 + Testostérone</c:v>
                </c:pt>
                <c:pt idx="11">
                  <c:v>0-00 + Testostérone</c:v>
                </c:pt>
                <c:pt idx="12">
                  <c:v>0-00 + Testostérone</c:v>
                </c:pt>
                <c:pt idx="13">
                  <c:v>0-00 + Testostérone</c:v>
                </c:pt>
                <c:pt idx="14">
                  <c:v>0-00 + Testostérone</c:v>
                </c:pt>
              </c:strCache>
            </c:strRef>
          </c:cat>
          <c:val>
            <c:numRef>
              <c:f>'Graph format rapport CHG'!$U$7:$AJ$7</c:f>
              <c:numCache>
                <c:formatCode>General</c:formatCode>
                <c:ptCount val="16"/>
                <c:pt idx="0">
                  <c:v>1.0000000000000002</c:v>
                </c:pt>
                <c:pt idx="1">
                  <c:v>1.0000000000000002</c:v>
                </c:pt>
                <c:pt idx="2">
                  <c:v>1.0000000000000002</c:v>
                </c:pt>
                <c:pt idx="3">
                  <c:v>1.0000000000000002</c:v>
                </c:pt>
                <c:pt idx="4">
                  <c:v>1.0000000000000002</c:v>
                </c:pt>
                <c:pt idx="5">
                  <c:v>1.0000000000000002</c:v>
                </c:pt>
                <c:pt idx="6">
                  <c:v>1.0000000000000002</c:v>
                </c:pt>
                <c:pt idx="7">
                  <c:v>1.0000000000000002</c:v>
                </c:pt>
                <c:pt idx="8">
                  <c:v>1.0000000000000002</c:v>
                </c:pt>
                <c:pt idx="9">
                  <c:v>1.0000000000000002</c:v>
                </c:pt>
                <c:pt idx="10">
                  <c:v>1.0000000000000002</c:v>
                </c:pt>
                <c:pt idx="11">
                  <c:v>1.0000000000000002</c:v>
                </c:pt>
                <c:pt idx="12">
                  <c:v>1.0000000000000002</c:v>
                </c:pt>
                <c:pt idx="13">
                  <c:v>1.0000000000000002</c:v>
                </c:pt>
                <c:pt idx="14">
                  <c:v>1.0000000000000002</c:v>
                </c:pt>
                <c:pt idx="15">
                  <c:v>1.0000000000000002</c:v>
                </c:pt>
              </c:numCache>
            </c:numRef>
          </c:val>
          <c:smooth val="0"/>
          <c:extLst>
            <c:ext xmlns:c16="http://schemas.microsoft.com/office/drawing/2014/chart" uri="{C3380CC4-5D6E-409C-BE32-E72D297353CC}">
              <c16:uniqueId val="{00000014-4CBD-4130-8AB9-F913B66FA2BD}"/>
            </c:ext>
          </c:extLst>
        </c:ser>
        <c:dLbls>
          <c:showLegendKey val="0"/>
          <c:showVal val="0"/>
          <c:showCatName val="0"/>
          <c:showSerName val="0"/>
          <c:showPercent val="0"/>
          <c:showBubbleSize val="0"/>
        </c:dLbls>
        <c:marker val="1"/>
        <c:smooth val="0"/>
        <c:axId val="434383288"/>
        <c:axId val="434383680"/>
      </c:lineChart>
      <c:dateAx>
        <c:axId val="434383288"/>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3680"/>
        <c:crosses val="autoZero"/>
        <c:auto val="0"/>
        <c:lblOffset val="100"/>
        <c:baseTimeUnit val="days"/>
      </c:dateAx>
      <c:valAx>
        <c:axId val="434383680"/>
        <c:scaling>
          <c:orientation val="minMax"/>
          <c:max val="2"/>
          <c:min val="0"/>
        </c:scaling>
        <c:delete val="0"/>
        <c:axPos val="l"/>
        <c:title>
          <c:tx>
            <c:rich>
              <a:bodyPr/>
              <a:lstStyle/>
              <a:p>
                <a:pPr>
                  <a:defRPr/>
                </a:pPr>
                <a:r>
                  <a:rPr lang="fr-FR"/>
                  <a:t>Fluorescence</a:t>
                </a:r>
              </a:p>
            </c:rich>
          </c:tx>
          <c:layout>
            <c:manualLayout>
              <c:xMode val="edge"/>
              <c:yMode val="edge"/>
              <c:x val="1.5604029236949606E-2"/>
              <c:y val="0.226017570592109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en-US"/>
          </a:p>
        </c:txPr>
        <c:crossAx val="434383288"/>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1éch'!$E$2:$G$2</c:f>
              <c:strCache>
                <c:ptCount val="2"/>
                <c:pt idx="1">
                  <c:v>estradiol 68ng/L</c:v>
                </c:pt>
              </c:strCache>
            </c:strRef>
          </c:cat>
          <c:val>
            <c:numRef>
              <c:f>'Graph format rapport CHG 1éch'!$E$8:$G$8</c:f>
              <c:numCache>
                <c:formatCode>General</c:formatCode>
                <c:ptCount val="3"/>
                <c:pt idx="0">
                  <c:v>0</c:v>
                </c:pt>
                <c:pt idx="1">
                  <c:v>0</c:v>
                </c:pt>
                <c:pt idx="2">
                  <c:v>0</c:v>
                </c:pt>
              </c:numCache>
            </c:numRef>
          </c:val>
          <c:extLst>
            <c:ext xmlns:c16="http://schemas.microsoft.com/office/drawing/2014/chart" uri="{C3380CC4-5D6E-409C-BE32-E72D297353CC}">
              <c16:uniqueId val="{00000000-05A9-486D-95E6-8CEA76DDEBDF}"/>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1éch'!$E$2:$G$2</c:f>
              <c:strCache>
                <c:ptCount val="2"/>
                <c:pt idx="1">
                  <c:v>estradiol 68ng/L</c:v>
                </c:pt>
              </c:strCache>
            </c:strRef>
          </c:cat>
          <c:val>
            <c:numRef>
              <c:f>'Graph format rapport CHG 1éch'!$E$9:$G$9</c:f>
              <c:numCache>
                <c:formatCode>General</c:formatCode>
                <c:ptCount val="3"/>
                <c:pt idx="0">
                  <c:v>0</c:v>
                </c:pt>
                <c:pt idx="1">
                  <c:v>0</c:v>
                </c:pt>
                <c:pt idx="2">
                  <c:v>0</c:v>
                </c:pt>
              </c:numCache>
            </c:numRef>
          </c:val>
          <c:extLst>
            <c:ext xmlns:c16="http://schemas.microsoft.com/office/drawing/2014/chart" uri="{C3380CC4-5D6E-409C-BE32-E72D297353CC}">
              <c16:uniqueId val="{00000001-05A9-486D-95E6-8CEA76DDEBDF}"/>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1éch'!$E$2:$G$2</c:f>
              <c:strCache>
                <c:ptCount val="2"/>
                <c:pt idx="1">
                  <c:v>estradiol 68ng/L</c:v>
                </c:pt>
              </c:strCache>
            </c:strRef>
          </c:cat>
          <c:val>
            <c:numRef>
              <c:f>'Graph format rapport CHG 1éch'!$E$10:$G$10</c:f>
              <c:numCache>
                <c:formatCode>General</c:formatCode>
                <c:ptCount val="3"/>
                <c:pt idx="0">
                  <c:v>2.5</c:v>
                </c:pt>
                <c:pt idx="1">
                  <c:v>2.5</c:v>
                </c:pt>
                <c:pt idx="2">
                  <c:v>2.5</c:v>
                </c:pt>
              </c:numCache>
            </c:numRef>
          </c:val>
          <c:extLst>
            <c:ext xmlns:c16="http://schemas.microsoft.com/office/drawing/2014/chart" uri="{C3380CC4-5D6E-409C-BE32-E72D297353CC}">
              <c16:uniqueId val="{00000002-05A9-486D-95E6-8CEA76DDEBDF}"/>
            </c:ext>
          </c:extLst>
        </c:ser>
        <c:dLbls>
          <c:showLegendKey val="0"/>
          <c:showVal val="0"/>
          <c:showCatName val="0"/>
          <c:showSerName val="0"/>
          <c:showPercent val="0"/>
          <c:showBubbleSize val="0"/>
        </c:dLbls>
        <c:axId val="434384464"/>
        <c:axId val="434384856"/>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E27B9C98-3F2E-449F-BFF0-82790E6390E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5A9-486D-95E6-8CEA76DDEBDF}"/>
                </c:ext>
              </c:extLst>
            </c:dLbl>
            <c:dLbl>
              <c:idx val="1"/>
              <c:tx>
                <c:rich>
                  <a:bodyPr/>
                  <a:lstStyle/>
                  <a:p>
                    <a:fld id="{771E3394-475D-46B2-9C59-2BC5B608685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4076-4183-9788-B9390BF1596B}"/>
                </c:ext>
              </c:extLst>
            </c:dLbl>
            <c:dLbl>
              <c:idx val="2"/>
              <c:tx>
                <c:rich>
                  <a:bodyPr/>
                  <a:lstStyle/>
                  <a:p>
                    <a:fld id="{70158FA2-91EC-492A-BE55-FD4398CF09C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4076-4183-9788-B9390BF1596B}"/>
                </c:ext>
              </c:extLst>
            </c:dLbl>
            <c:dLbl>
              <c:idx val="15"/>
              <c:tx>
                <c:rich>
                  <a:bodyPr/>
                  <a:lstStyle/>
                  <a:p>
                    <a:fld id="{D6BEB6DA-8213-4180-910B-2E965FB4A6C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5A9-486D-95E6-8CEA76DDEBDF}"/>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1éch'!$E$4:$G$4</c:f>
                <c:numCache>
                  <c:formatCode>General</c:formatCode>
                  <c:ptCount val="3"/>
                  <c:pt idx="1">
                    <c:v>2.1724082432133082E-2</c:v>
                  </c:pt>
                </c:numCache>
              </c:numRef>
            </c:plus>
            <c:minus>
              <c:numRef>
                <c:f>'Graph format rapport CHG 1éch'!$E$4:$G$4</c:f>
                <c:numCache>
                  <c:formatCode>General</c:formatCode>
                  <c:ptCount val="3"/>
                  <c:pt idx="1">
                    <c:v>2.1724082432133082E-2</c:v>
                  </c:pt>
                </c:numCache>
              </c:numRef>
            </c:minus>
          </c:errBars>
          <c:cat>
            <c:strRef>
              <c:f>'Graph format rapport CHG 1éch'!$E$2:$G$2</c:f>
              <c:strCache>
                <c:ptCount val="2"/>
                <c:pt idx="1">
                  <c:v>estradiol 68ng/L</c:v>
                </c:pt>
              </c:strCache>
            </c:strRef>
          </c:cat>
          <c:val>
            <c:numRef>
              <c:f>'Graph format rapport CHG 1éch'!$E$3:$G$3</c:f>
              <c:numCache>
                <c:formatCode>General</c:formatCode>
                <c:ptCount val="3"/>
                <c:pt idx="1">
                  <c:v>0.18326514742027913</c:v>
                </c:pt>
              </c:numCache>
            </c:numRef>
          </c:val>
          <c:extLst>
            <c:ext xmlns:c15="http://schemas.microsoft.com/office/drawing/2012/chart" uri="{02D57815-91ED-43cb-92C2-25804820EDAC}">
              <c15:datalabelsRange>
                <c15:f>'Graph format rapport CHG 1éch'!$E$5:$G$5</c15:f>
                <c15:dlblRangeCache>
                  <c:ptCount val="3"/>
                  <c:pt idx="1">
                    <c:v>NS</c:v>
                  </c:pt>
                </c15:dlblRangeCache>
              </c15:datalabelsRange>
            </c:ext>
            <c:ext xmlns:c16="http://schemas.microsoft.com/office/drawing/2014/chart" uri="{C3380CC4-5D6E-409C-BE32-E72D297353CC}">
              <c16:uniqueId val="{00000007-05A9-486D-95E6-8CEA76DDEBDF}"/>
            </c:ext>
          </c:extLst>
        </c:ser>
        <c:dLbls>
          <c:showLegendKey val="0"/>
          <c:showVal val="0"/>
          <c:showCatName val="0"/>
          <c:showSerName val="0"/>
          <c:showPercent val="0"/>
          <c:showBubbleSize val="0"/>
        </c:dLbls>
        <c:gapWidth val="150"/>
        <c:axId val="434384464"/>
        <c:axId val="434384856"/>
      </c:barChart>
      <c:lineChart>
        <c:grouping val="standard"/>
        <c:varyColors val="0"/>
        <c:ser>
          <c:idx val="1"/>
          <c:order val="1"/>
          <c:tx>
            <c:strRef>
              <c:f>'Graph format rapport CHG 1éch'!$D$6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 1éch'!$E$6:$G$6</c:f>
              <c:numCache>
                <c:formatCode>General</c:formatCode>
                <c:ptCount val="3"/>
                <c:pt idx="0">
                  <c:v>0.15229055770800312</c:v>
                </c:pt>
                <c:pt idx="1">
                  <c:v>0.15229055770800312</c:v>
                </c:pt>
                <c:pt idx="2">
                  <c:v>0.15229055770800312</c:v>
                </c:pt>
              </c:numCache>
            </c:numRef>
          </c:val>
          <c:smooth val="0"/>
          <c:extLst>
            <c:ext xmlns:c16="http://schemas.microsoft.com/office/drawing/2014/chart" uri="{C3380CC4-5D6E-409C-BE32-E72D297353CC}">
              <c16:uniqueId val="{00000008-05A9-486D-95E6-8CEA76DDEBDF}"/>
            </c:ext>
          </c:extLst>
        </c:ser>
        <c:dLbls>
          <c:showLegendKey val="0"/>
          <c:showVal val="0"/>
          <c:showCatName val="0"/>
          <c:showSerName val="0"/>
          <c:showPercent val="0"/>
          <c:showBubbleSize val="0"/>
        </c:dLbls>
        <c:marker val="1"/>
        <c:smooth val="0"/>
        <c:axId val="434384464"/>
        <c:axId val="434384856"/>
      </c:lineChart>
      <c:dateAx>
        <c:axId val="434384464"/>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4856"/>
        <c:crosses val="autoZero"/>
        <c:auto val="0"/>
        <c:lblOffset val="100"/>
        <c:baseTimeUnit val="days"/>
      </c:dateAx>
      <c:valAx>
        <c:axId val="434384856"/>
        <c:scaling>
          <c:orientation val="minMax"/>
          <c:max val="2"/>
          <c:min val="0"/>
        </c:scaling>
        <c:delete val="0"/>
        <c:axPos val="l"/>
        <c:title>
          <c:tx>
            <c:rich>
              <a:bodyPr/>
              <a:lstStyle/>
              <a:p>
                <a:pPr>
                  <a:defRPr/>
                </a:pPr>
                <a:r>
                  <a:rPr lang="fr-FR"/>
                  <a:t>Fluorescence</a:t>
                </a:r>
              </a:p>
            </c:rich>
          </c:tx>
          <c:layout>
            <c:manualLayout>
              <c:xMode val="edge"/>
              <c:yMode val="edge"/>
              <c:x val="5.1272132203026073E-2"/>
              <c:y val="0.2449311263860379"/>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en-US"/>
          </a:p>
        </c:txPr>
        <c:crossAx val="434384464"/>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57480830233223"/>
          <c:y val="4.909851894799426E-2"/>
          <c:w val="0.80127861233935682"/>
          <c:h val="0.5840841664454864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1éch'!$H$2:$J$2</c:f>
              <c:strCache>
                <c:ptCount val="2"/>
                <c:pt idx="1">
                  <c:v>estradiol-34ng/L + Testostérone</c:v>
                </c:pt>
              </c:strCache>
            </c:strRef>
          </c:cat>
          <c:val>
            <c:numRef>
              <c:f>'Graph format rapport CHG 1éch'!$H$8:$J$8</c:f>
              <c:numCache>
                <c:formatCode>General</c:formatCode>
                <c:ptCount val="3"/>
                <c:pt idx="0">
                  <c:v>0.11656955822676086</c:v>
                </c:pt>
                <c:pt idx="1">
                  <c:v>0.11656955822676086</c:v>
                </c:pt>
                <c:pt idx="2">
                  <c:v>0.11656955822676086</c:v>
                </c:pt>
              </c:numCache>
            </c:numRef>
          </c:val>
          <c:extLst>
            <c:ext xmlns:c16="http://schemas.microsoft.com/office/drawing/2014/chart" uri="{C3380CC4-5D6E-409C-BE32-E72D297353CC}">
              <c16:uniqueId val="{00000000-A40E-4BBB-9D49-DCACE2722908}"/>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1éch'!$H$2:$J$2</c:f>
              <c:strCache>
                <c:ptCount val="2"/>
                <c:pt idx="1">
                  <c:v>estradiol-34ng/L + Testostérone</c:v>
                </c:pt>
              </c:strCache>
            </c:strRef>
          </c:cat>
          <c:val>
            <c:numRef>
              <c:f>'Graph format rapport CHG 1éch'!$H$9:$J$9</c:f>
              <c:numCache>
                <c:formatCode>General</c:formatCode>
                <c:ptCount val="3"/>
                <c:pt idx="0">
                  <c:v>3.0118952793642642</c:v>
                </c:pt>
                <c:pt idx="1">
                  <c:v>3.0118952793642642</c:v>
                </c:pt>
                <c:pt idx="2">
                  <c:v>3.0118952793642642</c:v>
                </c:pt>
              </c:numCache>
            </c:numRef>
          </c:val>
          <c:extLst>
            <c:ext xmlns:c16="http://schemas.microsoft.com/office/drawing/2014/chart" uri="{C3380CC4-5D6E-409C-BE32-E72D297353CC}">
              <c16:uniqueId val="{00000001-A40E-4BBB-9D49-DCACE2722908}"/>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1éch'!$H$2:$J$2</c:f>
              <c:strCache>
                <c:ptCount val="2"/>
                <c:pt idx="1">
                  <c:v>estradiol-34ng/L + Testostérone</c:v>
                </c:pt>
              </c:strCache>
            </c:strRef>
          </c:cat>
          <c:val>
            <c:numRef>
              <c:f>'Graph format rapport CHG 1éch'!$H$10:$J$10</c:f>
              <c:numCache>
                <c:formatCode>General</c:formatCode>
                <c:ptCount val="3"/>
                <c:pt idx="0">
                  <c:v>-0.51189527936426416</c:v>
                </c:pt>
                <c:pt idx="1">
                  <c:v>-0.51189527936426416</c:v>
                </c:pt>
                <c:pt idx="2">
                  <c:v>-0.51189527936426416</c:v>
                </c:pt>
              </c:numCache>
            </c:numRef>
          </c:val>
          <c:extLst>
            <c:ext xmlns:c16="http://schemas.microsoft.com/office/drawing/2014/chart" uri="{C3380CC4-5D6E-409C-BE32-E72D297353CC}">
              <c16:uniqueId val="{00000002-A40E-4BBB-9D49-DCACE2722908}"/>
            </c:ext>
          </c:extLst>
        </c:ser>
        <c:dLbls>
          <c:showLegendKey val="0"/>
          <c:showVal val="0"/>
          <c:showCatName val="0"/>
          <c:showSerName val="0"/>
          <c:showPercent val="0"/>
          <c:showBubbleSize val="0"/>
        </c:dLbls>
        <c:axId val="434385640"/>
        <c:axId val="434386032"/>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F6CBACE7-ECD8-4E7A-ABFD-7A1AEBBDF14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40E-4BBB-9D49-DCACE2722908}"/>
                </c:ext>
              </c:extLst>
            </c:dLbl>
            <c:dLbl>
              <c:idx val="1"/>
              <c:tx>
                <c:rich>
                  <a:bodyPr/>
                  <a:lstStyle/>
                  <a:p>
                    <a:fld id="{7ED723A4-FA3C-4D1B-B07B-955868F1AE0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AEE9-4347-837C-FBA7D320B8CC}"/>
                </c:ext>
              </c:extLst>
            </c:dLbl>
            <c:dLbl>
              <c:idx val="2"/>
              <c:tx>
                <c:rich>
                  <a:bodyPr/>
                  <a:lstStyle/>
                  <a:p>
                    <a:fld id="{2FD6EE99-A370-4363-A919-7D9FCA1B9FA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AEE9-4347-837C-FBA7D320B8CC}"/>
                </c:ext>
              </c:extLst>
            </c:dLbl>
            <c:dLbl>
              <c:idx val="15"/>
              <c:tx>
                <c:rich>
                  <a:bodyPr/>
                  <a:lstStyle/>
                  <a:p>
                    <a:fld id="{9F88FD52-D771-43D0-B1AB-DADC933A6E6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40E-4BBB-9D49-DCACE2722908}"/>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1éch'!$H$4:$J$4</c:f>
                <c:numCache>
                  <c:formatCode>General</c:formatCode>
                  <c:ptCount val="3"/>
                  <c:pt idx="1">
                    <c:v>0.2409828392874637</c:v>
                  </c:pt>
                </c:numCache>
              </c:numRef>
            </c:plus>
            <c:minus>
              <c:numRef>
                <c:f>'Graph format rapport CHG 1éch'!$H$4:$J$4</c:f>
                <c:numCache>
                  <c:formatCode>General</c:formatCode>
                  <c:ptCount val="3"/>
                  <c:pt idx="1">
                    <c:v>0.2409828392874637</c:v>
                  </c:pt>
                </c:numCache>
              </c:numRef>
            </c:minus>
          </c:errBars>
          <c:cat>
            <c:strRef>
              <c:f>'Graph format rapport CHG 1éch'!$H$2:$J$2</c:f>
              <c:strCache>
                <c:ptCount val="2"/>
                <c:pt idx="1">
                  <c:v>estradiol-34ng/L + Testostérone</c:v>
                </c:pt>
              </c:strCache>
            </c:strRef>
          </c:cat>
          <c:val>
            <c:numRef>
              <c:f>'Graph format rapport CHG 1éch'!$H$3:$J$3</c:f>
              <c:numCache>
                <c:formatCode>General</c:formatCode>
                <c:ptCount val="3"/>
                <c:pt idx="1">
                  <c:v>1.5395657185150233</c:v>
                </c:pt>
              </c:numCache>
            </c:numRef>
          </c:val>
          <c:extLst>
            <c:ext xmlns:c15="http://schemas.microsoft.com/office/drawing/2012/chart" uri="{02D57815-91ED-43cb-92C2-25804820EDAC}">
              <c15:datalabelsRange>
                <c15:f>'Graph format rapport CHG 1éch'!$H$5:$J$5</c15:f>
                <c15:dlblRangeCache>
                  <c:ptCount val="3"/>
                  <c:pt idx="1">
                    <c:v>NS</c:v>
                  </c:pt>
                </c15:dlblRangeCache>
              </c15:datalabelsRange>
            </c:ext>
            <c:ext xmlns:c16="http://schemas.microsoft.com/office/drawing/2014/chart" uri="{C3380CC4-5D6E-409C-BE32-E72D297353CC}">
              <c16:uniqueId val="{00000007-A40E-4BBB-9D49-DCACE2722908}"/>
            </c:ext>
          </c:extLst>
        </c:ser>
        <c:dLbls>
          <c:showLegendKey val="0"/>
          <c:showVal val="0"/>
          <c:showCatName val="0"/>
          <c:showSerName val="0"/>
          <c:showPercent val="0"/>
          <c:showBubbleSize val="0"/>
        </c:dLbls>
        <c:gapWidth val="150"/>
        <c:axId val="434385640"/>
        <c:axId val="434386032"/>
      </c:barChart>
      <c:lineChart>
        <c:grouping val="standard"/>
        <c:varyColors val="0"/>
        <c:ser>
          <c:idx val="2"/>
          <c:order val="1"/>
          <c:tx>
            <c:strRef>
              <c:f>'Graph format rapport CHG 1éch'!$D$7</c:f>
              <c:strCache>
                <c:ptCount val="1"/>
                <c:pt idx="0">
                  <c:v>Témoin Testo</c:v>
                </c:pt>
              </c:strCache>
            </c:strRef>
          </c:tx>
          <c:spPr>
            <a:ln>
              <a:solidFill>
                <a:srgbClr val="00B050"/>
              </a:solidFill>
            </a:ln>
          </c:spPr>
          <c:marker>
            <c:symbol val="none"/>
          </c:marker>
          <c:cat>
            <c:strRef>
              <c:f>'Graph format rapport CHG 1éch'!$H$2:$J$2</c:f>
              <c:strCache>
                <c:ptCount val="2"/>
                <c:pt idx="1">
                  <c:v>estradiol-34ng/L + Testostérone</c:v>
                </c:pt>
              </c:strCache>
            </c:strRef>
          </c:cat>
          <c:val>
            <c:numRef>
              <c:f>'Graph format rapport CHG 1éch'!$H$7:$J$7</c:f>
              <c:numCache>
                <c:formatCode>General</c:formatCode>
                <c:ptCount val="3"/>
                <c:pt idx="0">
                  <c:v>1.0000000000000002</c:v>
                </c:pt>
                <c:pt idx="1">
                  <c:v>1.0000000000000002</c:v>
                </c:pt>
                <c:pt idx="2">
                  <c:v>1.0000000000000002</c:v>
                </c:pt>
              </c:numCache>
            </c:numRef>
          </c:val>
          <c:smooth val="0"/>
          <c:extLst>
            <c:ext xmlns:c16="http://schemas.microsoft.com/office/drawing/2014/chart" uri="{C3380CC4-5D6E-409C-BE32-E72D297353CC}">
              <c16:uniqueId val="{00000008-A40E-4BBB-9D49-DCACE2722908}"/>
            </c:ext>
          </c:extLst>
        </c:ser>
        <c:dLbls>
          <c:showLegendKey val="0"/>
          <c:showVal val="0"/>
          <c:showCatName val="0"/>
          <c:showSerName val="0"/>
          <c:showPercent val="0"/>
          <c:showBubbleSize val="0"/>
        </c:dLbls>
        <c:marker val="1"/>
        <c:smooth val="0"/>
        <c:axId val="434385640"/>
        <c:axId val="434386032"/>
      </c:lineChart>
      <c:dateAx>
        <c:axId val="434385640"/>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6032"/>
        <c:crosses val="autoZero"/>
        <c:auto val="0"/>
        <c:lblOffset val="100"/>
        <c:baseTimeUnit val="days"/>
      </c:dateAx>
      <c:valAx>
        <c:axId val="434386032"/>
        <c:scaling>
          <c:orientation val="minMax"/>
          <c:max val="2"/>
          <c:min val="0"/>
        </c:scaling>
        <c:delete val="0"/>
        <c:axPos val="l"/>
        <c:title>
          <c:tx>
            <c:rich>
              <a:bodyPr/>
              <a:lstStyle/>
              <a:p>
                <a:pPr>
                  <a:defRPr/>
                </a:pPr>
                <a:r>
                  <a:rPr lang="fr-FR"/>
                  <a:t>Fluorescence</a:t>
                </a:r>
              </a:p>
            </c:rich>
          </c:tx>
          <c:layout>
            <c:manualLayout>
              <c:xMode val="edge"/>
              <c:yMode val="edge"/>
              <c:x val="4.2815104248701457E-3"/>
              <c:y val="0.21102844522733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en-US"/>
          </a:p>
        </c:txPr>
        <c:crossAx val="434385640"/>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1éch'!$E$2:$G$2</c:f>
              <c:strCache>
                <c:ptCount val="2"/>
                <c:pt idx="1">
                  <c:v>estradiol 68ng/L</c:v>
                </c:pt>
              </c:strCache>
            </c:strRef>
          </c:cat>
          <c:val>
            <c:numRef>
              <c:f>'Graph format rapport CHG 1éch'!$E$8:$G$8</c:f>
              <c:numCache>
                <c:formatCode>General</c:formatCode>
                <c:ptCount val="3"/>
                <c:pt idx="0">
                  <c:v>0</c:v>
                </c:pt>
                <c:pt idx="1">
                  <c:v>0</c:v>
                </c:pt>
                <c:pt idx="2">
                  <c:v>0</c:v>
                </c:pt>
              </c:numCache>
            </c:numRef>
          </c:val>
          <c:extLst>
            <c:ext xmlns:c16="http://schemas.microsoft.com/office/drawing/2014/chart" uri="{C3380CC4-5D6E-409C-BE32-E72D297353CC}">
              <c16:uniqueId val="{00000000-05A9-486D-95E6-8CEA76DDEBDF}"/>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1éch'!$E$2:$G$2</c:f>
              <c:strCache>
                <c:ptCount val="2"/>
                <c:pt idx="1">
                  <c:v>estradiol 68ng/L</c:v>
                </c:pt>
              </c:strCache>
            </c:strRef>
          </c:cat>
          <c:val>
            <c:numRef>
              <c:f>'Graph format rapport CHG 1éch'!$E$9:$G$9</c:f>
              <c:numCache>
                <c:formatCode>General</c:formatCode>
                <c:ptCount val="3"/>
                <c:pt idx="0">
                  <c:v>0</c:v>
                </c:pt>
                <c:pt idx="1">
                  <c:v>0</c:v>
                </c:pt>
                <c:pt idx="2">
                  <c:v>0</c:v>
                </c:pt>
              </c:numCache>
            </c:numRef>
          </c:val>
          <c:extLst>
            <c:ext xmlns:c16="http://schemas.microsoft.com/office/drawing/2014/chart" uri="{C3380CC4-5D6E-409C-BE32-E72D297353CC}">
              <c16:uniqueId val="{00000001-05A9-486D-95E6-8CEA76DDEBDF}"/>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1éch'!$E$2:$G$2</c:f>
              <c:strCache>
                <c:ptCount val="2"/>
                <c:pt idx="1">
                  <c:v>estradiol 68ng/L</c:v>
                </c:pt>
              </c:strCache>
            </c:strRef>
          </c:cat>
          <c:val>
            <c:numRef>
              <c:f>'Graph format rapport CHG 1éch'!$E$10:$G$10</c:f>
              <c:numCache>
                <c:formatCode>General</c:formatCode>
                <c:ptCount val="3"/>
                <c:pt idx="0">
                  <c:v>2.5</c:v>
                </c:pt>
                <c:pt idx="1">
                  <c:v>2.5</c:v>
                </c:pt>
                <c:pt idx="2">
                  <c:v>2.5</c:v>
                </c:pt>
              </c:numCache>
            </c:numRef>
          </c:val>
          <c:extLst>
            <c:ext xmlns:c16="http://schemas.microsoft.com/office/drawing/2014/chart" uri="{C3380CC4-5D6E-409C-BE32-E72D297353CC}">
              <c16:uniqueId val="{00000002-05A9-486D-95E6-8CEA76DDEBDF}"/>
            </c:ext>
          </c:extLst>
        </c:ser>
        <c:dLbls>
          <c:showLegendKey val="0"/>
          <c:showVal val="0"/>
          <c:showCatName val="0"/>
          <c:showSerName val="0"/>
          <c:showPercent val="0"/>
          <c:showBubbleSize val="0"/>
        </c:dLbls>
        <c:axId val="434386816"/>
        <c:axId val="434387208"/>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1848CF8D-FC66-4CD7-A839-5EAA437200E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5A9-486D-95E6-8CEA76DDEBDF}"/>
                </c:ext>
              </c:extLst>
            </c:dLbl>
            <c:dLbl>
              <c:idx val="1"/>
              <c:tx>
                <c:rich>
                  <a:bodyPr/>
                  <a:lstStyle/>
                  <a:p>
                    <a:fld id="{E837ED59-B792-4232-9E7E-FFC8B0864A7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3931-4034-B613-D94F9BFA86BA}"/>
                </c:ext>
              </c:extLst>
            </c:dLbl>
            <c:dLbl>
              <c:idx val="2"/>
              <c:tx>
                <c:rich>
                  <a:bodyPr/>
                  <a:lstStyle/>
                  <a:p>
                    <a:fld id="{F58274D0-70F9-47F1-A142-C12C34FBD62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3931-4034-B613-D94F9BFA86BA}"/>
                </c:ext>
              </c:extLst>
            </c:dLbl>
            <c:dLbl>
              <c:idx val="15"/>
              <c:tx>
                <c:rich>
                  <a:bodyPr/>
                  <a:lstStyle/>
                  <a:p>
                    <a:fld id="{D6BEB6DA-8213-4180-910B-2E965FB4A6C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5A9-486D-95E6-8CEA76DDEBDF}"/>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1éch'!$E$4:$G$4</c:f>
                <c:numCache>
                  <c:formatCode>General</c:formatCode>
                  <c:ptCount val="3"/>
                  <c:pt idx="1">
                    <c:v>2.1724082432133082E-2</c:v>
                  </c:pt>
                </c:numCache>
              </c:numRef>
            </c:plus>
            <c:minus>
              <c:numRef>
                <c:f>'Graph format rapport CHG 1éch'!$E$4:$G$4</c:f>
                <c:numCache>
                  <c:formatCode>General</c:formatCode>
                  <c:ptCount val="3"/>
                  <c:pt idx="1">
                    <c:v>2.1724082432133082E-2</c:v>
                  </c:pt>
                </c:numCache>
              </c:numRef>
            </c:minus>
          </c:errBars>
          <c:cat>
            <c:strRef>
              <c:f>'Graph format rapport CHG 1éch'!$E$2:$G$2</c:f>
              <c:strCache>
                <c:ptCount val="2"/>
                <c:pt idx="1">
                  <c:v>estradiol 68ng/L</c:v>
                </c:pt>
              </c:strCache>
            </c:strRef>
          </c:cat>
          <c:val>
            <c:numRef>
              <c:f>'Graph format rapport CHG 1éch'!$E$3:$G$3</c:f>
              <c:numCache>
                <c:formatCode>General</c:formatCode>
                <c:ptCount val="3"/>
                <c:pt idx="1">
                  <c:v>0.18326514742027913</c:v>
                </c:pt>
              </c:numCache>
            </c:numRef>
          </c:val>
          <c:extLst>
            <c:ext xmlns:c15="http://schemas.microsoft.com/office/drawing/2012/chart" uri="{02D57815-91ED-43cb-92C2-25804820EDAC}">
              <c15:datalabelsRange>
                <c15:f>'Graph format rapport CHG 1éch'!$E$5:$G$5</c15:f>
                <c15:dlblRangeCache>
                  <c:ptCount val="3"/>
                  <c:pt idx="1">
                    <c:v>NS</c:v>
                  </c:pt>
                </c15:dlblRangeCache>
              </c15:datalabelsRange>
            </c:ext>
            <c:ext xmlns:c16="http://schemas.microsoft.com/office/drawing/2014/chart" uri="{C3380CC4-5D6E-409C-BE32-E72D297353CC}">
              <c16:uniqueId val="{00000007-05A9-486D-95E6-8CEA76DDEBDF}"/>
            </c:ext>
          </c:extLst>
        </c:ser>
        <c:dLbls>
          <c:showLegendKey val="0"/>
          <c:showVal val="0"/>
          <c:showCatName val="0"/>
          <c:showSerName val="0"/>
          <c:showPercent val="0"/>
          <c:showBubbleSize val="0"/>
        </c:dLbls>
        <c:gapWidth val="150"/>
        <c:axId val="434386816"/>
        <c:axId val="434387208"/>
      </c:barChart>
      <c:lineChart>
        <c:grouping val="standard"/>
        <c:varyColors val="0"/>
        <c:ser>
          <c:idx val="1"/>
          <c:order val="1"/>
          <c:tx>
            <c:strRef>
              <c:f>'Graph format rapport CHG 1éch'!$D$6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 1éch'!$E$6:$G$6</c:f>
              <c:numCache>
                <c:formatCode>General</c:formatCode>
                <c:ptCount val="3"/>
                <c:pt idx="0">
                  <c:v>0.15229055770800312</c:v>
                </c:pt>
                <c:pt idx="1">
                  <c:v>0.15229055770800312</c:v>
                </c:pt>
                <c:pt idx="2">
                  <c:v>0.15229055770800312</c:v>
                </c:pt>
              </c:numCache>
            </c:numRef>
          </c:val>
          <c:smooth val="0"/>
          <c:extLst>
            <c:ext xmlns:c16="http://schemas.microsoft.com/office/drawing/2014/chart" uri="{C3380CC4-5D6E-409C-BE32-E72D297353CC}">
              <c16:uniqueId val="{00000008-05A9-486D-95E6-8CEA76DDEBDF}"/>
            </c:ext>
          </c:extLst>
        </c:ser>
        <c:dLbls>
          <c:showLegendKey val="0"/>
          <c:showVal val="0"/>
          <c:showCatName val="0"/>
          <c:showSerName val="0"/>
          <c:showPercent val="0"/>
          <c:showBubbleSize val="0"/>
        </c:dLbls>
        <c:marker val="1"/>
        <c:smooth val="0"/>
        <c:axId val="434386816"/>
        <c:axId val="434387208"/>
      </c:lineChart>
      <c:dateAx>
        <c:axId val="434386816"/>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7208"/>
        <c:crosses val="autoZero"/>
        <c:auto val="0"/>
        <c:lblOffset val="100"/>
        <c:baseTimeUnit val="days"/>
      </c:dateAx>
      <c:valAx>
        <c:axId val="434387208"/>
        <c:scaling>
          <c:orientation val="minMax"/>
          <c:max val="2"/>
          <c:min val="0"/>
        </c:scaling>
        <c:delete val="0"/>
        <c:axPos val="l"/>
        <c:title>
          <c:tx>
            <c:rich>
              <a:bodyPr/>
              <a:lstStyle/>
              <a:p>
                <a:pPr>
                  <a:defRPr/>
                </a:pPr>
                <a:r>
                  <a:rPr lang="fr-FR"/>
                  <a:t>Fluorescence</a:t>
                </a:r>
              </a:p>
            </c:rich>
          </c:tx>
          <c:layout>
            <c:manualLayout>
              <c:xMode val="edge"/>
              <c:yMode val="edge"/>
              <c:x val="5.1272132203026073E-2"/>
              <c:y val="0.2449311263860379"/>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en-US"/>
          </a:p>
        </c:txPr>
        <c:crossAx val="434386816"/>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1éch'!$H$2:$J$2</c:f>
              <c:strCache>
                <c:ptCount val="2"/>
                <c:pt idx="1">
                  <c:v>estradiol-34ng/L + Testostérone</c:v>
                </c:pt>
              </c:strCache>
            </c:strRef>
          </c:cat>
          <c:val>
            <c:numRef>
              <c:f>'Graph format rapport CHG 1éch'!$H$8:$J$8</c:f>
              <c:numCache>
                <c:formatCode>General</c:formatCode>
                <c:ptCount val="3"/>
                <c:pt idx="0">
                  <c:v>0.11656955822676086</c:v>
                </c:pt>
                <c:pt idx="1">
                  <c:v>0.11656955822676086</c:v>
                </c:pt>
                <c:pt idx="2">
                  <c:v>0.11656955822676086</c:v>
                </c:pt>
              </c:numCache>
            </c:numRef>
          </c:val>
          <c:extLst>
            <c:ext xmlns:c16="http://schemas.microsoft.com/office/drawing/2014/chart" uri="{C3380CC4-5D6E-409C-BE32-E72D297353CC}">
              <c16:uniqueId val="{00000000-A40E-4BBB-9D49-DCACE2722908}"/>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1éch'!$H$2:$J$2</c:f>
              <c:strCache>
                <c:ptCount val="2"/>
                <c:pt idx="1">
                  <c:v>estradiol-34ng/L + Testostérone</c:v>
                </c:pt>
              </c:strCache>
            </c:strRef>
          </c:cat>
          <c:val>
            <c:numRef>
              <c:f>'Graph format rapport CHG 1éch'!$H$9:$J$9</c:f>
              <c:numCache>
                <c:formatCode>General</c:formatCode>
                <c:ptCount val="3"/>
                <c:pt idx="0">
                  <c:v>3.0118952793642642</c:v>
                </c:pt>
                <c:pt idx="1">
                  <c:v>3.0118952793642642</c:v>
                </c:pt>
                <c:pt idx="2">
                  <c:v>3.0118952793642642</c:v>
                </c:pt>
              </c:numCache>
            </c:numRef>
          </c:val>
          <c:extLst>
            <c:ext xmlns:c16="http://schemas.microsoft.com/office/drawing/2014/chart" uri="{C3380CC4-5D6E-409C-BE32-E72D297353CC}">
              <c16:uniqueId val="{00000001-A40E-4BBB-9D49-DCACE2722908}"/>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1éch'!$H$2:$J$2</c:f>
              <c:strCache>
                <c:ptCount val="2"/>
                <c:pt idx="1">
                  <c:v>estradiol-34ng/L + Testostérone</c:v>
                </c:pt>
              </c:strCache>
            </c:strRef>
          </c:cat>
          <c:val>
            <c:numRef>
              <c:f>'Graph format rapport CHG 1éch'!$H$10:$J$10</c:f>
              <c:numCache>
                <c:formatCode>General</c:formatCode>
                <c:ptCount val="3"/>
                <c:pt idx="0">
                  <c:v>-0.51189527936426416</c:v>
                </c:pt>
                <c:pt idx="1">
                  <c:v>-0.51189527936426416</c:v>
                </c:pt>
                <c:pt idx="2">
                  <c:v>-0.51189527936426416</c:v>
                </c:pt>
              </c:numCache>
            </c:numRef>
          </c:val>
          <c:extLst>
            <c:ext xmlns:c16="http://schemas.microsoft.com/office/drawing/2014/chart" uri="{C3380CC4-5D6E-409C-BE32-E72D297353CC}">
              <c16:uniqueId val="{00000002-A40E-4BBB-9D49-DCACE2722908}"/>
            </c:ext>
          </c:extLst>
        </c:ser>
        <c:dLbls>
          <c:showLegendKey val="0"/>
          <c:showVal val="0"/>
          <c:showCatName val="0"/>
          <c:showSerName val="0"/>
          <c:showPercent val="0"/>
          <c:showBubbleSize val="0"/>
        </c:dLbls>
        <c:axId val="434387992"/>
        <c:axId val="434388384"/>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321AF759-D131-4E5F-A0CC-644717D15C7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40E-4BBB-9D49-DCACE2722908}"/>
                </c:ext>
              </c:extLst>
            </c:dLbl>
            <c:dLbl>
              <c:idx val="1"/>
              <c:tx>
                <c:rich>
                  <a:bodyPr/>
                  <a:lstStyle/>
                  <a:p>
                    <a:fld id="{AE2F4739-E52D-4C37-BDED-B01C122D085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5EBF-4732-9D62-4A2CE2E5DD11}"/>
                </c:ext>
              </c:extLst>
            </c:dLbl>
            <c:dLbl>
              <c:idx val="2"/>
              <c:tx>
                <c:rich>
                  <a:bodyPr/>
                  <a:lstStyle/>
                  <a:p>
                    <a:fld id="{1334547F-F8E0-4F0A-839D-B169FE9F191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5EBF-4732-9D62-4A2CE2E5DD11}"/>
                </c:ext>
              </c:extLst>
            </c:dLbl>
            <c:dLbl>
              <c:idx val="15"/>
              <c:tx>
                <c:rich>
                  <a:bodyPr/>
                  <a:lstStyle/>
                  <a:p>
                    <a:fld id="{9F88FD52-D771-43D0-B1AB-DADC933A6E6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40E-4BBB-9D49-DCACE2722908}"/>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1éch'!$H$4:$J$4</c:f>
                <c:numCache>
                  <c:formatCode>General</c:formatCode>
                  <c:ptCount val="3"/>
                  <c:pt idx="1">
                    <c:v>0.2409828392874637</c:v>
                  </c:pt>
                </c:numCache>
              </c:numRef>
            </c:plus>
            <c:minus>
              <c:numRef>
                <c:f>'Graph format rapport CHG 1éch'!$H$4:$J$4</c:f>
                <c:numCache>
                  <c:formatCode>General</c:formatCode>
                  <c:ptCount val="3"/>
                  <c:pt idx="1">
                    <c:v>0.2409828392874637</c:v>
                  </c:pt>
                </c:numCache>
              </c:numRef>
            </c:minus>
          </c:errBars>
          <c:cat>
            <c:strRef>
              <c:f>'Graph format rapport CHG 1éch'!$H$2:$J$2</c:f>
              <c:strCache>
                <c:ptCount val="2"/>
                <c:pt idx="1">
                  <c:v>estradiol-34ng/L + Testostérone</c:v>
                </c:pt>
              </c:strCache>
            </c:strRef>
          </c:cat>
          <c:val>
            <c:numRef>
              <c:f>'Graph format rapport CHG 1éch'!$H$3:$J$3</c:f>
              <c:numCache>
                <c:formatCode>General</c:formatCode>
                <c:ptCount val="3"/>
                <c:pt idx="1">
                  <c:v>1.5395657185150233</c:v>
                </c:pt>
              </c:numCache>
            </c:numRef>
          </c:val>
          <c:extLst>
            <c:ext xmlns:c15="http://schemas.microsoft.com/office/drawing/2012/chart" uri="{02D57815-91ED-43cb-92C2-25804820EDAC}">
              <c15:datalabelsRange>
                <c15:f>'Graph format rapport CHG 1éch'!$H$5:$J$5</c15:f>
                <c15:dlblRangeCache>
                  <c:ptCount val="3"/>
                  <c:pt idx="1">
                    <c:v>NS</c:v>
                  </c:pt>
                </c15:dlblRangeCache>
              </c15:datalabelsRange>
            </c:ext>
            <c:ext xmlns:c16="http://schemas.microsoft.com/office/drawing/2014/chart" uri="{C3380CC4-5D6E-409C-BE32-E72D297353CC}">
              <c16:uniqueId val="{00000007-A40E-4BBB-9D49-DCACE2722908}"/>
            </c:ext>
          </c:extLst>
        </c:ser>
        <c:dLbls>
          <c:showLegendKey val="0"/>
          <c:showVal val="0"/>
          <c:showCatName val="0"/>
          <c:showSerName val="0"/>
          <c:showPercent val="0"/>
          <c:showBubbleSize val="0"/>
        </c:dLbls>
        <c:gapWidth val="150"/>
        <c:axId val="434387992"/>
        <c:axId val="434388384"/>
      </c:barChart>
      <c:lineChart>
        <c:grouping val="standard"/>
        <c:varyColors val="0"/>
        <c:ser>
          <c:idx val="2"/>
          <c:order val="1"/>
          <c:tx>
            <c:strRef>
              <c:f>'Graph format rapport CHG 1éch'!$D$7</c:f>
              <c:strCache>
                <c:ptCount val="1"/>
                <c:pt idx="0">
                  <c:v>Témoin Testo</c:v>
                </c:pt>
              </c:strCache>
            </c:strRef>
          </c:tx>
          <c:spPr>
            <a:ln>
              <a:solidFill>
                <a:srgbClr val="00B050"/>
              </a:solidFill>
            </a:ln>
          </c:spPr>
          <c:marker>
            <c:symbol val="none"/>
          </c:marker>
          <c:cat>
            <c:strRef>
              <c:f>'Graph format rapport CHG 1éch'!$H$2:$J$2</c:f>
              <c:strCache>
                <c:ptCount val="2"/>
                <c:pt idx="1">
                  <c:v>estradiol-34ng/L + Testostérone</c:v>
                </c:pt>
              </c:strCache>
            </c:strRef>
          </c:cat>
          <c:val>
            <c:numRef>
              <c:f>'Graph format rapport CHG 1éch'!$H$7:$J$7</c:f>
              <c:numCache>
                <c:formatCode>General</c:formatCode>
                <c:ptCount val="3"/>
                <c:pt idx="0">
                  <c:v>1.0000000000000002</c:v>
                </c:pt>
                <c:pt idx="1">
                  <c:v>1.0000000000000002</c:v>
                </c:pt>
                <c:pt idx="2">
                  <c:v>1.0000000000000002</c:v>
                </c:pt>
              </c:numCache>
            </c:numRef>
          </c:val>
          <c:smooth val="0"/>
          <c:extLst>
            <c:ext xmlns:c16="http://schemas.microsoft.com/office/drawing/2014/chart" uri="{C3380CC4-5D6E-409C-BE32-E72D297353CC}">
              <c16:uniqueId val="{00000008-A40E-4BBB-9D49-DCACE2722908}"/>
            </c:ext>
          </c:extLst>
        </c:ser>
        <c:dLbls>
          <c:showLegendKey val="0"/>
          <c:showVal val="0"/>
          <c:showCatName val="0"/>
          <c:showSerName val="0"/>
          <c:showPercent val="0"/>
          <c:showBubbleSize val="0"/>
        </c:dLbls>
        <c:marker val="1"/>
        <c:smooth val="0"/>
        <c:axId val="434387992"/>
        <c:axId val="434388384"/>
      </c:lineChart>
      <c:dateAx>
        <c:axId val="434387992"/>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8384"/>
        <c:crosses val="autoZero"/>
        <c:auto val="0"/>
        <c:lblOffset val="100"/>
        <c:baseTimeUnit val="days"/>
      </c:dateAx>
      <c:valAx>
        <c:axId val="434388384"/>
        <c:scaling>
          <c:orientation val="minMax"/>
          <c:max val="2"/>
          <c:min val="0"/>
        </c:scaling>
        <c:delete val="0"/>
        <c:axPos val="l"/>
        <c:title>
          <c:tx>
            <c:rich>
              <a:bodyPr/>
              <a:lstStyle/>
              <a:p>
                <a:pPr>
                  <a:defRPr/>
                </a:pPr>
                <a:r>
                  <a:rPr lang="fr-FR"/>
                  <a:t>Fluorescence</a:t>
                </a:r>
              </a:p>
            </c:rich>
          </c:tx>
          <c:layout>
            <c:manualLayout>
              <c:xMode val="edge"/>
              <c:yMode val="edge"/>
              <c:x val="4.2815104248701457E-3"/>
              <c:y val="0.21102844522733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en-US"/>
          </a:p>
        </c:txPr>
        <c:crossAx val="434387992"/>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1.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400-000000000000}">
  <sheetPr/>
  <sheetViews>
    <sheetView zoomScale="111" workbookViewId="0" zoomToFit="1"/>
  </sheetViews>
  <pageMargins left="0.7" right="0.7" top="0.75" bottom="0.75" header="0.3" footer="0.3"/>
  <pageSetup paperSize="9" orientation="landscape" r:id="rId1"/>
  <headerFooter>
    <oddFooter>&amp;C&amp;1#&amp;"Arial"&amp;10&amp;K000000Internal</oddFooter>
  </headerFooter>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700-000000000000}">
  <sheetPr/>
  <sheetViews>
    <sheetView zoomScale="111" workbookViewId="0" zoomToFit="1"/>
  </sheetViews>
  <pageMargins left="0.7" right="0.7" top="0.75" bottom="0.75" header="0.3" footer="0.3"/>
  <pageSetup paperSize="9" orientation="landscape" r:id="rId1"/>
  <headerFooter>
    <oddFooter>&amp;C&amp;1#&amp;"Arial"&amp;10&amp;K000000Internal</oddFooter>
  </headerFooter>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A00-000000000000}">
  <sheetPr/>
  <sheetViews>
    <sheetView zoomScale="111" workbookViewId="0" zoomToFit="1"/>
  </sheetViews>
  <pageMargins left="0.7" right="0.7" top="0.75" bottom="0.75" header="0.3" footer="0.3"/>
  <pageSetup paperSize="9" orientation="landscape" r:id="rId1"/>
  <headerFooter>
    <oddFooter>&amp;C&amp;1#&amp;"Arial"&amp;10&amp;K000000Internal</oddFooter>
  </headerFooter>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C00-000000000000}">
  <sheetPr/>
  <sheetViews>
    <sheetView zoomScale="62" workbookViewId="0" zoomToFit="1"/>
  </sheetViews>
  <pageMargins left="0.7" right="0.7" top="0.75" bottom="0.75" header="0.3" footer="0.3"/>
  <pageSetup paperSize="9" orientation="landscape" r:id="rId1"/>
  <headerFooter>
    <oddFooter>&amp;C&amp;1#&amp;"Arial"&amp;10&amp;K000000Internal</oddFooter>
  </headerFooter>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3" Type="http://schemas.openxmlformats.org/officeDocument/2006/relationships/image" Target="../media/image1.png"/><Relationship Id="rId7" Type="http://schemas.openxmlformats.org/officeDocument/2006/relationships/chart" Target="../charts/chart8.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7.xml"/><Relationship Id="rId5" Type="http://schemas.openxmlformats.org/officeDocument/2006/relationships/image" Target="../media/image3.png"/><Relationship Id="rId4" Type="http://schemas.openxmlformats.org/officeDocument/2006/relationships/image" Target="../media/image2.png"/></Relationships>
</file>

<file path=xl/drawings/_rels/drawing9.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absoluteAnchor>
    <xdr:pos x="0" y="0"/>
    <xdr:ext cx="9284730" cy="6041081"/>
    <xdr:graphicFrame macro="">
      <xdr:nvGraphicFramePr>
        <xdr:cNvPr id="2" name="Graphique 1">
          <a:extLst>
            <a:ext uri="{FF2B5EF4-FFF2-40B4-BE49-F238E27FC236}">
              <a16:creationId xmlns:a16="http://schemas.microsoft.com/office/drawing/2014/main" id="{00000000-0008-0000-0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0.42494</cdr:x>
      <cdr:y>0.01696</cdr:y>
    </cdr:from>
    <cdr:to>
      <cdr:x>0.59244</cdr:x>
      <cdr:y>0.06852</cdr:y>
    </cdr:to>
    <cdr:sp macro="" textlink="">
      <cdr:nvSpPr>
        <cdr:cNvPr id="2" name="ZoneTexte 1"/>
        <cdr:cNvSpPr txBox="1"/>
      </cdr:nvSpPr>
      <cdr:spPr>
        <a:xfrm xmlns:a="http://schemas.openxmlformats.org/drawingml/2006/main">
          <a:off x="3946365" y="102453"/>
          <a:ext cx="1555576"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3.xml><?xml version="1.0" encoding="utf-8"?>
<xdr:wsDr xmlns:xdr="http://schemas.openxmlformats.org/drawingml/2006/spreadsheetDrawing" xmlns:a="http://schemas.openxmlformats.org/drawingml/2006/main">
  <xdr:absoluteAnchor>
    <xdr:pos x="0" y="0"/>
    <xdr:ext cx="9284730" cy="6041081"/>
    <xdr:graphicFrame macro="">
      <xdr:nvGraphicFramePr>
        <xdr:cNvPr id="2" name="Graphique 1">
          <a:extLst>
            <a:ext uri="{FF2B5EF4-FFF2-40B4-BE49-F238E27FC236}">
              <a16:creationId xmlns:a16="http://schemas.microsoft.com/office/drawing/2014/main" id="{00000000-0008-0000-0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0.37494</cdr:x>
      <cdr:y>0.01504</cdr:y>
    </cdr:from>
    <cdr:to>
      <cdr:x>0.5575</cdr:x>
      <cdr:y>0.06657</cdr:y>
    </cdr:to>
    <cdr:sp macro="" textlink="">
      <cdr:nvSpPr>
        <cdr:cNvPr id="2" name="ZoneTexte 1"/>
        <cdr:cNvSpPr txBox="1"/>
      </cdr:nvSpPr>
      <cdr:spPr>
        <a:xfrm xmlns:a="http://schemas.openxmlformats.org/drawingml/2006/main">
          <a:off x="3480830" y="90920"/>
          <a:ext cx="1694833"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5.xml><?xml version="1.0" encoding="utf-8"?>
<xdr:wsDr xmlns:xdr="http://schemas.openxmlformats.org/drawingml/2006/spreadsheetDrawing" xmlns:a="http://schemas.openxmlformats.org/drawingml/2006/main">
  <xdr:absoluteAnchor>
    <xdr:pos x="0" y="0"/>
    <xdr:ext cx="9284730" cy="6041081"/>
    <xdr:graphicFrame macro="">
      <xdr:nvGraphicFramePr>
        <xdr:cNvPr id="2" name="Graphique 1">
          <a:extLst>
            <a:ext uri="{FF2B5EF4-FFF2-40B4-BE49-F238E27FC236}">
              <a16:creationId xmlns:a16="http://schemas.microsoft.com/office/drawing/2014/main" id="{00000000-0008-0000-0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0.37494</cdr:x>
      <cdr:y>0.01504</cdr:y>
    </cdr:from>
    <cdr:to>
      <cdr:x>0.5575</cdr:x>
      <cdr:y>0.0666</cdr:y>
    </cdr:to>
    <cdr:sp macro="" textlink="">
      <cdr:nvSpPr>
        <cdr:cNvPr id="2" name="ZoneTexte 1"/>
        <cdr:cNvSpPr txBox="1"/>
      </cdr:nvSpPr>
      <cdr:spPr>
        <a:xfrm xmlns:a="http://schemas.openxmlformats.org/drawingml/2006/main">
          <a:off x="3482021" y="90854"/>
          <a:ext cx="1695412"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7.xml><?xml version="1.0" encoding="utf-8"?>
<xdr:wsDr xmlns:xdr="http://schemas.openxmlformats.org/drawingml/2006/spreadsheetDrawing" xmlns:a="http://schemas.openxmlformats.org/drawingml/2006/main">
  <xdr:absoluteAnchor>
    <xdr:pos x="0" y="0"/>
    <xdr:ext cx="9299677" cy="6073468"/>
    <xdr:graphicFrame macro="">
      <xdr:nvGraphicFramePr>
        <xdr:cNvPr id="2" name="Graphique 1">
          <a:extLst>
            <a:ext uri="{FF2B5EF4-FFF2-40B4-BE49-F238E27FC236}">
              <a16:creationId xmlns:a16="http://schemas.microsoft.com/office/drawing/2014/main" id="{00000000-0008-0000-0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xdr:wsDr xmlns:xdr="http://schemas.openxmlformats.org/drawingml/2006/spreadsheetDrawing" xmlns:a="http://schemas.openxmlformats.org/drawingml/2006/main">
  <xdr:twoCellAnchor editAs="absolute">
    <xdr:from>
      <xdr:col>15</xdr:col>
      <xdr:colOff>384711</xdr:colOff>
      <xdr:row>4</xdr:row>
      <xdr:rowOff>197921</xdr:rowOff>
    </xdr:from>
    <xdr:to>
      <xdr:col>28</xdr:col>
      <xdr:colOff>573972</xdr:colOff>
      <xdr:row>17</xdr:row>
      <xdr:rowOff>43528</xdr:rowOff>
    </xdr:to>
    <xdr:graphicFrame macro="">
      <xdr:nvGraphicFramePr>
        <xdr:cNvPr id="2" name="Graphique 1">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15</xdr:col>
      <xdr:colOff>207819</xdr:colOff>
      <xdr:row>33</xdr:row>
      <xdr:rowOff>40820</xdr:rowOff>
    </xdr:from>
    <xdr:to>
      <xdr:col>28</xdr:col>
      <xdr:colOff>397080</xdr:colOff>
      <xdr:row>47</xdr:row>
      <xdr:rowOff>63320</xdr:rowOff>
    </xdr:to>
    <xdr:graphicFrame macro="">
      <xdr:nvGraphicFramePr>
        <xdr:cNvPr id="56" name="Graphique 55">
          <a:extLst>
            <a:ext uri="{FF2B5EF4-FFF2-40B4-BE49-F238E27FC236}">
              <a16:creationId xmlns:a16="http://schemas.microsoft.com/office/drawing/2014/main" id="{00000000-0008-0000-0D00-00003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15</xdr:col>
      <xdr:colOff>289462</xdr:colOff>
      <xdr:row>46</xdr:row>
      <xdr:rowOff>29696</xdr:rowOff>
    </xdr:from>
    <xdr:to>
      <xdr:col>28</xdr:col>
      <xdr:colOff>342269</xdr:colOff>
      <xdr:row>51</xdr:row>
      <xdr:rowOff>106544</xdr:rowOff>
    </xdr:to>
    <xdr:grpSp>
      <xdr:nvGrpSpPr>
        <xdr:cNvPr id="57" name="Groupe 56">
          <a:extLst>
            <a:ext uri="{FF2B5EF4-FFF2-40B4-BE49-F238E27FC236}">
              <a16:creationId xmlns:a16="http://schemas.microsoft.com/office/drawing/2014/main" id="{00000000-0008-0000-0D00-000039000000}"/>
            </a:ext>
          </a:extLst>
        </xdr:cNvPr>
        <xdr:cNvGrpSpPr/>
      </xdr:nvGrpSpPr>
      <xdr:grpSpPr>
        <a:xfrm>
          <a:off x="19448319" y="10275875"/>
          <a:ext cx="8012986" cy="1097383"/>
          <a:chOff x="367064" y="1542965"/>
          <a:chExt cx="7932581" cy="1097383"/>
        </a:xfrm>
      </xdr:grpSpPr>
      <xdr:sp macro="" textlink="">
        <xdr:nvSpPr>
          <xdr:cNvPr id="58" name="Shape 6">
            <a:extLst>
              <a:ext uri="{FF2B5EF4-FFF2-40B4-BE49-F238E27FC236}">
                <a16:creationId xmlns:a16="http://schemas.microsoft.com/office/drawing/2014/main" id="{00000000-0008-0000-0D00-00003A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59" name="Shape 322">
            <a:extLst>
              <a:ext uri="{FF2B5EF4-FFF2-40B4-BE49-F238E27FC236}">
                <a16:creationId xmlns:a16="http://schemas.microsoft.com/office/drawing/2014/main" id="{00000000-0008-0000-0D00-00003B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0" name="Shape 323">
            <a:extLst>
              <a:ext uri="{FF2B5EF4-FFF2-40B4-BE49-F238E27FC236}">
                <a16:creationId xmlns:a16="http://schemas.microsoft.com/office/drawing/2014/main" id="{00000000-0008-0000-0D00-00003C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1" name="Shape 324">
            <a:extLst>
              <a:ext uri="{FF2B5EF4-FFF2-40B4-BE49-F238E27FC236}">
                <a16:creationId xmlns:a16="http://schemas.microsoft.com/office/drawing/2014/main" id="{00000000-0008-0000-0D00-00003D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2" name="Shape 325">
            <a:extLst>
              <a:ext uri="{FF2B5EF4-FFF2-40B4-BE49-F238E27FC236}">
                <a16:creationId xmlns:a16="http://schemas.microsoft.com/office/drawing/2014/main" id="{00000000-0008-0000-0D00-00003E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3" name="Shape 326">
            <a:extLst>
              <a:ext uri="{FF2B5EF4-FFF2-40B4-BE49-F238E27FC236}">
                <a16:creationId xmlns:a16="http://schemas.microsoft.com/office/drawing/2014/main" id="{00000000-0008-0000-0D00-00003F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4" name="Shape 12">
            <a:extLst>
              <a:ext uri="{FF2B5EF4-FFF2-40B4-BE49-F238E27FC236}">
                <a16:creationId xmlns:a16="http://schemas.microsoft.com/office/drawing/2014/main" id="{00000000-0008-0000-0D00-000040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5" name="Shape 327">
            <a:extLst>
              <a:ext uri="{FF2B5EF4-FFF2-40B4-BE49-F238E27FC236}">
                <a16:creationId xmlns:a16="http://schemas.microsoft.com/office/drawing/2014/main" id="{00000000-0008-0000-0D00-000041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6" name="Shape 328">
            <a:extLst>
              <a:ext uri="{FF2B5EF4-FFF2-40B4-BE49-F238E27FC236}">
                <a16:creationId xmlns:a16="http://schemas.microsoft.com/office/drawing/2014/main" id="{00000000-0008-0000-0D00-000042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7" name="Shape 329">
            <a:extLst>
              <a:ext uri="{FF2B5EF4-FFF2-40B4-BE49-F238E27FC236}">
                <a16:creationId xmlns:a16="http://schemas.microsoft.com/office/drawing/2014/main" id="{00000000-0008-0000-0D00-000043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8" name="Shape 330">
            <a:extLst>
              <a:ext uri="{FF2B5EF4-FFF2-40B4-BE49-F238E27FC236}">
                <a16:creationId xmlns:a16="http://schemas.microsoft.com/office/drawing/2014/main" id="{00000000-0008-0000-0D00-000044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9" name="Shape 331">
            <a:extLst>
              <a:ext uri="{FF2B5EF4-FFF2-40B4-BE49-F238E27FC236}">
                <a16:creationId xmlns:a16="http://schemas.microsoft.com/office/drawing/2014/main" id="{00000000-0008-0000-0D00-000045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0" name="Shape 332">
            <a:extLst>
              <a:ext uri="{FF2B5EF4-FFF2-40B4-BE49-F238E27FC236}">
                <a16:creationId xmlns:a16="http://schemas.microsoft.com/office/drawing/2014/main" id="{00000000-0008-0000-0D00-000046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71" name="Picture 308">
            <a:extLst>
              <a:ext uri="{FF2B5EF4-FFF2-40B4-BE49-F238E27FC236}">
                <a16:creationId xmlns:a16="http://schemas.microsoft.com/office/drawing/2014/main" id="{00000000-0008-0000-0D00-000047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72" name="Shape 20">
            <a:extLst>
              <a:ext uri="{FF2B5EF4-FFF2-40B4-BE49-F238E27FC236}">
                <a16:creationId xmlns:a16="http://schemas.microsoft.com/office/drawing/2014/main" id="{00000000-0008-0000-0D00-000048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3" name="Shape 333">
            <a:extLst>
              <a:ext uri="{FF2B5EF4-FFF2-40B4-BE49-F238E27FC236}">
                <a16:creationId xmlns:a16="http://schemas.microsoft.com/office/drawing/2014/main" id="{00000000-0008-0000-0D00-000049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4" name="Rectangle 73">
            <a:extLst>
              <a:ext uri="{FF2B5EF4-FFF2-40B4-BE49-F238E27FC236}">
                <a16:creationId xmlns:a16="http://schemas.microsoft.com/office/drawing/2014/main" id="{00000000-0008-0000-0D00-00004A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75" name="Rectangle 74">
            <a:extLst>
              <a:ext uri="{FF2B5EF4-FFF2-40B4-BE49-F238E27FC236}">
                <a16:creationId xmlns:a16="http://schemas.microsoft.com/office/drawing/2014/main" id="{00000000-0008-0000-0D00-00004B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76" name="Picture 309">
            <a:extLst>
              <a:ext uri="{FF2B5EF4-FFF2-40B4-BE49-F238E27FC236}">
                <a16:creationId xmlns:a16="http://schemas.microsoft.com/office/drawing/2014/main" id="{00000000-0008-0000-0D00-00004C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77" name="Shape 334">
            <a:extLst>
              <a:ext uri="{FF2B5EF4-FFF2-40B4-BE49-F238E27FC236}">
                <a16:creationId xmlns:a16="http://schemas.microsoft.com/office/drawing/2014/main" id="{00000000-0008-0000-0D00-00004D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8" name="Rectangle 77">
            <a:extLst>
              <a:ext uri="{FF2B5EF4-FFF2-40B4-BE49-F238E27FC236}">
                <a16:creationId xmlns:a16="http://schemas.microsoft.com/office/drawing/2014/main" id="{00000000-0008-0000-0D00-00004E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79" name="Picture 311">
            <a:extLst>
              <a:ext uri="{FF2B5EF4-FFF2-40B4-BE49-F238E27FC236}">
                <a16:creationId xmlns:a16="http://schemas.microsoft.com/office/drawing/2014/main" id="{00000000-0008-0000-0D00-00004F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80" name="Shape 30">
            <a:extLst>
              <a:ext uri="{FF2B5EF4-FFF2-40B4-BE49-F238E27FC236}">
                <a16:creationId xmlns:a16="http://schemas.microsoft.com/office/drawing/2014/main" id="{00000000-0008-0000-0D00-000050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1" name="Shape 335">
            <a:extLst>
              <a:ext uri="{FF2B5EF4-FFF2-40B4-BE49-F238E27FC236}">
                <a16:creationId xmlns:a16="http://schemas.microsoft.com/office/drawing/2014/main" id="{00000000-0008-0000-0D00-000051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2" name="Rectangle 81">
            <a:extLst>
              <a:ext uri="{FF2B5EF4-FFF2-40B4-BE49-F238E27FC236}">
                <a16:creationId xmlns:a16="http://schemas.microsoft.com/office/drawing/2014/main" id="{00000000-0008-0000-0D00-000052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83" name="Picture 310">
            <a:extLst>
              <a:ext uri="{FF2B5EF4-FFF2-40B4-BE49-F238E27FC236}">
                <a16:creationId xmlns:a16="http://schemas.microsoft.com/office/drawing/2014/main" id="{00000000-0008-0000-0D00-000053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84" name="Shape 336">
            <a:extLst>
              <a:ext uri="{FF2B5EF4-FFF2-40B4-BE49-F238E27FC236}">
                <a16:creationId xmlns:a16="http://schemas.microsoft.com/office/drawing/2014/main" id="{00000000-0008-0000-0D00-000054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5" name="Rectangle 84">
            <a:extLst>
              <a:ext uri="{FF2B5EF4-FFF2-40B4-BE49-F238E27FC236}">
                <a16:creationId xmlns:a16="http://schemas.microsoft.com/office/drawing/2014/main" id="{00000000-0008-0000-0D00-000055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86" name="Picture 312">
            <a:extLst>
              <a:ext uri="{FF2B5EF4-FFF2-40B4-BE49-F238E27FC236}">
                <a16:creationId xmlns:a16="http://schemas.microsoft.com/office/drawing/2014/main" id="{00000000-0008-0000-0D00-000056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87" name="Shape 337">
            <a:extLst>
              <a:ext uri="{FF2B5EF4-FFF2-40B4-BE49-F238E27FC236}">
                <a16:creationId xmlns:a16="http://schemas.microsoft.com/office/drawing/2014/main" id="{00000000-0008-0000-0D00-000057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8" name="Rectangle 87">
            <a:extLst>
              <a:ext uri="{FF2B5EF4-FFF2-40B4-BE49-F238E27FC236}">
                <a16:creationId xmlns:a16="http://schemas.microsoft.com/office/drawing/2014/main" id="{00000000-0008-0000-0D00-000058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89" name="Rectangle 88">
            <a:extLst>
              <a:ext uri="{FF2B5EF4-FFF2-40B4-BE49-F238E27FC236}">
                <a16:creationId xmlns:a16="http://schemas.microsoft.com/office/drawing/2014/main" id="{00000000-0008-0000-0D00-000059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anti oestrogénique</a:t>
            </a:r>
          </a:p>
        </xdr:txBody>
      </xdr:sp>
      <xdr:sp macro="" textlink="">
        <xdr:nvSpPr>
          <xdr:cNvPr id="90" name="Shape 59">
            <a:extLst>
              <a:ext uri="{FF2B5EF4-FFF2-40B4-BE49-F238E27FC236}">
                <a16:creationId xmlns:a16="http://schemas.microsoft.com/office/drawing/2014/main" id="{00000000-0008-0000-0D00-00005A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91" name="Shape 62">
            <a:extLst>
              <a:ext uri="{FF2B5EF4-FFF2-40B4-BE49-F238E27FC236}">
                <a16:creationId xmlns:a16="http://schemas.microsoft.com/office/drawing/2014/main" id="{00000000-0008-0000-0D00-00005B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2" name="Shape 63">
            <a:extLst>
              <a:ext uri="{FF2B5EF4-FFF2-40B4-BE49-F238E27FC236}">
                <a16:creationId xmlns:a16="http://schemas.microsoft.com/office/drawing/2014/main" id="{00000000-0008-0000-0D00-00005C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3" name="Shape 64">
            <a:extLst>
              <a:ext uri="{FF2B5EF4-FFF2-40B4-BE49-F238E27FC236}">
                <a16:creationId xmlns:a16="http://schemas.microsoft.com/office/drawing/2014/main" id="{00000000-0008-0000-0D00-00005D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4" name="Shape 65">
            <a:extLst>
              <a:ext uri="{FF2B5EF4-FFF2-40B4-BE49-F238E27FC236}">
                <a16:creationId xmlns:a16="http://schemas.microsoft.com/office/drawing/2014/main" id="{00000000-0008-0000-0D00-00005E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5" name="Shape 66">
            <a:extLst>
              <a:ext uri="{FF2B5EF4-FFF2-40B4-BE49-F238E27FC236}">
                <a16:creationId xmlns:a16="http://schemas.microsoft.com/office/drawing/2014/main" id="{00000000-0008-0000-0D00-00005F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6" name="Shape 67">
            <a:extLst>
              <a:ext uri="{FF2B5EF4-FFF2-40B4-BE49-F238E27FC236}">
                <a16:creationId xmlns:a16="http://schemas.microsoft.com/office/drawing/2014/main" id="{00000000-0008-0000-0D00-000060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7" name="Shape 68">
            <a:extLst>
              <a:ext uri="{FF2B5EF4-FFF2-40B4-BE49-F238E27FC236}">
                <a16:creationId xmlns:a16="http://schemas.microsoft.com/office/drawing/2014/main" id="{00000000-0008-0000-0D00-000061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8" name="Shape 69">
            <a:extLst>
              <a:ext uri="{FF2B5EF4-FFF2-40B4-BE49-F238E27FC236}">
                <a16:creationId xmlns:a16="http://schemas.microsoft.com/office/drawing/2014/main" id="{00000000-0008-0000-0D00-000062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9" name="Shape 70">
            <a:extLst>
              <a:ext uri="{FF2B5EF4-FFF2-40B4-BE49-F238E27FC236}">
                <a16:creationId xmlns:a16="http://schemas.microsoft.com/office/drawing/2014/main" id="{00000000-0008-0000-0D00-000063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0" name="Shape 71">
            <a:extLst>
              <a:ext uri="{FF2B5EF4-FFF2-40B4-BE49-F238E27FC236}">
                <a16:creationId xmlns:a16="http://schemas.microsoft.com/office/drawing/2014/main" id="{00000000-0008-0000-0D00-000064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1" name="Shape 72">
            <a:extLst>
              <a:ext uri="{FF2B5EF4-FFF2-40B4-BE49-F238E27FC236}">
                <a16:creationId xmlns:a16="http://schemas.microsoft.com/office/drawing/2014/main" id="{00000000-0008-0000-0D00-000065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2" name="Shape 73">
            <a:extLst>
              <a:ext uri="{FF2B5EF4-FFF2-40B4-BE49-F238E27FC236}">
                <a16:creationId xmlns:a16="http://schemas.microsoft.com/office/drawing/2014/main" id="{00000000-0008-0000-0D00-000066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3" name="Shape 74">
            <a:extLst>
              <a:ext uri="{FF2B5EF4-FFF2-40B4-BE49-F238E27FC236}">
                <a16:creationId xmlns:a16="http://schemas.microsoft.com/office/drawing/2014/main" id="{00000000-0008-0000-0D00-000067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4" name="Shape 75">
            <a:extLst>
              <a:ext uri="{FF2B5EF4-FFF2-40B4-BE49-F238E27FC236}">
                <a16:creationId xmlns:a16="http://schemas.microsoft.com/office/drawing/2014/main" id="{00000000-0008-0000-0D00-000068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5" name="Shape 76">
            <a:extLst>
              <a:ext uri="{FF2B5EF4-FFF2-40B4-BE49-F238E27FC236}">
                <a16:creationId xmlns:a16="http://schemas.microsoft.com/office/drawing/2014/main" id="{00000000-0008-0000-0D00-000069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6" name="Shape 77">
            <a:extLst>
              <a:ext uri="{FF2B5EF4-FFF2-40B4-BE49-F238E27FC236}">
                <a16:creationId xmlns:a16="http://schemas.microsoft.com/office/drawing/2014/main" id="{00000000-0008-0000-0D00-00006A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7" name="Rectangle 106">
            <a:extLst>
              <a:ext uri="{FF2B5EF4-FFF2-40B4-BE49-F238E27FC236}">
                <a16:creationId xmlns:a16="http://schemas.microsoft.com/office/drawing/2014/main" id="{00000000-0008-0000-0D00-00006B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pro oestrogénique</a:t>
            </a:r>
          </a:p>
        </xdr:txBody>
      </xdr:sp>
      <xdr:sp macro="" textlink="">
        <xdr:nvSpPr>
          <xdr:cNvPr id="108" name="ZoneTexte 55">
            <a:extLst>
              <a:ext uri="{FF2B5EF4-FFF2-40B4-BE49-F238E27FC236}">
                <a16:creationId xmlns:a16="http://schemas.microsoft.com/office/drawing/2014/main" id="{00000000-0008-0000-0D00-00006C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sp macro="" textlink="">
        <xdr:nvSpPr>
          <xdr:cNvPr id="109" name="ZoneTexte 56">
            <a:extLst>
              <a:ext uri="{FF2B5EF4-FFF2-40B4-BE49-F238E27FC236}">
                <a16:creationId xmlns:a16="http://schemas.microsoft.com/office/drawing/2014/main" id="{00000000-0008-0000-0D00-00006D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grpSp>
    <xdr:clientData/>
  </xdr:twoCellAnchor>
  <xdr:twoCellAnchor editAs="absolute">
    <xdr:from>
      <xdr:col>15</xdr:col>
      <xdr:colOff>452938</xdr:colOff>
      <xdr:row>15</xdr:row>
      <xdr:rowOff>189512</xdr:rowOff>
    </xdr:from>
    <xdr:to>
      <xdr:col>28</xdr:col>
      <xdr:colOff>505745</xdr:colOff>
      <xdr:row>21</xdr:row>
      <xdr:rowOff>62252</xdr:rowOff>
    </xdr:to>
    <xdr:grpSp>
      <xdr:nvGrpSpPr>
        <xdr:cNvPr id="110" name="Groupe 109">
          <a:extLst>
            <a:ext uri="{FF2B5EF4-FFF2-40B4-BE49-F238E27FC236}">
              <a16:creationId xmlns:a16="http://schemas.microsoft.com/office/drawing/2014/main" id="{00000000-0008-0000-0D00-00006E000000}"/>
            </a:ext>
          </a:extLst>
        </xdr:cNvPr>
        <xdr:cNvGrpSpPr/>
      </xdr:nvGrpSpPr>
      <xdr:grpSpPr>
        <a:xfrm>
          <a:off x="19611795" y="3904262"/>
          <a:ext cx="8012986" cy="1097383"/>
          <a:chOff x="367064" y="1542965"/>
          <a:chExt cx="7932581" cy="1097383"/>
        </a:xfrm>
      </xdr:grpSpPr>
      <xdr:sp macro="" textlink="">
        <xdr:nvSpPr>
          <xdr:cNvPr id="111" name="Shape 6">
            <a:extLst>
              <a:ext uri="{FF2B5EF4-FFF2-40B4-BE49-F238E27FC236}">
                <a16:creationId xmlns:a16="http://schemas.microsoft.com/office/drawing/2014/main" id="{00000000-0008-0000-0D00-00006F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2" name="Shape 322">
            <a:extLst>
              <a:ext uri="{FF2B5EF4-FFF2-40B4-BE49-F238E27FC236}">
                <a16:creationId xmlns:a16="http://schemas.microsoft.com/office/drawing/2014/main" id="{00000000-0008-0000-0D00-000070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3" name="Shape 323">
            <a:extLst>
              <a:ext uri="{FF2B5EF4-FFF2-40B4-BE49-F238E27FC236}">
                <a16:creationId xmlns:a16="http://schemas.microsoft.com/office/drawing/2014/main" id="{00000000-0008-0000-0D00-000071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4" name="Shape 324">
            <a:extLst>
              <a:ext uri="{FF2B5EF4-FFF2-40B4-BE49-F238E27FC236}">
                <a16:creationId xmlns:a16="http://schemas.microsoft.com/office/drawing/2014/main" id="{00000000-0008-0000-0D00-000072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5" name="Shape 325">
            <a:extLst>
              <a:ext uri="{FF2B5EF4-FFF2-40B4-BE49-F238E27FC236}">
                <a16:creationId xmlns:a16="http://schemas.microsoft.com/office/drawing/2014/main" id="{00000000-0008-0000-0D00-000073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6" name="Shape 326">
            <a:extLst>
              <a:ext uri="{FF2B5EF4-FFF2-40B4-BE49-F238E27FC236}">
                <a16:creationId xmlns:a16="http://schemas.microsoft.com/office/drawing/2014/main" id="{00000000-0008-0000-0D00-000074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7" name="Shape 12">
            <a:extLst>
              <a:ext uri="{FF2B5EF4-FFF2-40B4-BE49-F238E27FC236}">
                <a16:creationId xmlns:a16="http://schemas.microsoft.com/office/drawing/2014/main" id="{00000000-0008-0000-0D00-000075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8" name="Shape 327">
            <a:extLst>
              <a:ext uri="{FF2B5EF4-FFF2-40B4-BE49-F238E27FC236}">
                <a16:creationId xmlns:a16="http://schemas.microsoft.com/office/drawing/2014/main" id="{00000000-0008-0000-0D00-000076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9" name="Shape 328">
            <a:extLst>
              <a:ext uri="{FF2B5EF4-FFF2-40B4-BE49-F238E27FC236}">
                <a16:creationId xmlns:a16="http://schemas.microsoft.com/office/drawing/2014/main" id="{00000000-0008-0000-0D00-000077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0" name="Shape 329">
            <a:extLst>
              <a:ext uri="{FF2B5EF4-FFF2-40B4-BE49-F238E27FC236}">
                <a16:creationId xmlns:a16="http://schemas.microsoft.com/office/drawing/2014/main" id="{00000000-0008-0000-0D00-000078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1" name="Shape 330">
            <a:extLst>
              <a:ext uri="{FF2B5EF4-FFF2-40B4-BE49-F238E27FC236}">
                <a16:creationId xmlns:a16="http://schemas.microsoft.com/office/drawing/2014/main" id="{00000000-0008-0000-0D00-000079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2" name="Shape 331">
            <a:extLst>
              <a:ext uri="{FF2B5EF4-FFF2-40B4-BE49-F238E27FC236}">
                <a16:creationId xmlns:a16="http://schemas.microsoft.com/office/drawing/2014/main" id="{00000000-0008-0000-0D00-00007A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3" name="Shape 332">
            <a:extLst>
              <a:ext uri="{FF2B5EF4-FFF2-40B4-BE49-F238E27FC236}">
                <a16:creationId xmlns:a16="http://schemas.microsoft.com/office/drawing/2014/main" id="{00000000-0008-0000-0D00-00007B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124" name="Picture 308">
            <a:extLst>
              <a:ext uri="{FF2B5EF4-FFF2-40B4-BE49-F238E27FC236}">
                <a16:creationId xmlns:a16="http://schemas.microsoft.com/office/drawing/2014/main" id="{00000000-0008-0000-0D00-00007C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125" name="Shape 20">
            <a:extLst>
              <a:ext uri="{FF2B5EF4-FFF2-40B4-BE49-F238E27FC236}">
                <a16:creationId xmlns:a16="http://schemas.microsoft.com/office/drawing/2014/main" id="{00000000-0008-0000-0D00-00007D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6" name="Shape 333">
            <a:extLst>
              <a:ext uri="{FF2B5EF4-FFF2-40B4-BE49-F238E27FC236}">
                <a16:creationId xmlns:a16="http://schemas.microsoft.com/office/drawing/2014/main" id="{00000000-0008-0000-0D00-00007E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7" name="Rectangle 126">
            <a:extLst>
              <a:ext uri="{FF2B5EF4-FFF2-40B4-BE49-F238E27FC236}">
                <a16:creationId xmlns:a16="http://schemas.microsoft.com/office/drawing/2014/main" id="{00000000-0008-0000-0D00-00007F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128" name="Rectangle 127">
            <a:extLst>
              <a:ext uri="{FF2B5EF4-FFF2-40B4-BE49-F238E27FC236}">
                <a16:creationId xmlns:a16="http://schemas.microsoft.com/office/drawing/2014/main" id="{00000000-0008-0000-0D00-000080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29" name="Picture 309">
            <a:extLst>
              <a:ext uri="{FF2B5EF4-FFF2-40B4-BE49-F238E27FC236}">
                <a16:creationId xmlns:a16="http://schemas.microsoft.com/office/drawing/2014/main" id="{00000000-0008-0000-0D00-000081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130" name="Shape 334">
            <a:extLst>
              <a:ext uri="{FF2B5EF4-FFF2-40B4-BE49-F238E27FC236}">
                <a16:creationId xmlns:a16="http://schemas.microsoft.com/office/drawing/2014/main" id="{00000000-0008-0000-0D00-000082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1" name="Rectangle 130">
            <a:extLst>
              <a:ext uri="{FF2B5EF4-FFF2-40B4-BE49-F238E27FC236}">
                <a16:creationId xmlns:a16="http://schemas.microsoft.com/office/drawing/2014/main" id="{00000000-0008-0000-0D00-000083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32" name="Picture 311">
            <a:extLst>
              <a:ext uri="{FF2B5EF4-FFF2-40B4-BE49-F238E27FC236}">
                <a16:creationId xmlns:a16="http://schemas.microsoft.com/office/drawing/2014/main" id="{00000000-0008-0000-0D00-000084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133" name="Shape 30">
            <a:extLst>
              <a:ext uri="{FF2B5EF4-FFF2-40B4-BE49-F238E27FC236}">
                <a16:creationId xmlns:a16="http://schemas.microsoft.com/office/drawing/2014/main" id="{00000000-0008-0000-0D00-000085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4" name="Shape 335">
            <a:extLst>
              <a:ext uri="{FF2B5EF4-FFF2-40B4-BE49-F238E27FC236}">
                <a16:creationId xmlns:a16="http://schemas.microsoft.com/office/drawing/2014/main" id="{00000000-0008-0000-0D00-000086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5" name="Rectangle 134">
            <a:extLst>
              <a:ext uri="{FF2B5EF4-FFF2-40B4-BE49-F238E27FC236}">
                <a16:creationId xmlns:a16="http://schemas.microsoft.com/office/drawing/2014/main" id="{00000000-0008-0000-0D00-000087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36" name="Picture 310">
            <a:extLst>
              <a:ext uri="{FF2B5EF4-FFF2-40B4-BE49-F238E27FC236}">
                <a16:creationId xmlns:a16="http://schemas.microsoft.com/office/drawing/2014/main" id="{00000000-0008-0000-0D00-000088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137" name="Shape 336">
            <a:extLst>
              <a:ext uri="{FF2B5EF4-FFF2-40B4-BE49-F238E27FC236}">
                <a16:creationId xmlns:a16="http://schemas.microsoft.com/office/drawing/2014/main" id="{00000000-0008-0000-0D00-000089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8" name="Rectangle 137">
            <a:extLst>
              <a:ext uri="{FF2B5EF4-FFF2-40B4-BE49-F238E27FC236}">
                <a16:creationId xmlns:a16="http://schemas.microsoft.com/office/drawing/2014/main" id="{00000000-0008-0000-0D00-00008A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139" name="Picture 312">
            <a:extLst>
              <a:ext uri="{FF2B5EF4-FFF2-40B4-BE49-F238E27FC236}">
                <a16:creationId xmlns:a16="http://schemas.microsoft.com/office/drawing/2014/main" id="{00000000-0008-0000-0D00-00008B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140" name="Shape 337">
            <a:extLst>
              <a:ext uri="{FF2B5EF4-FFF2-40B4-BE49-F238E27FC236}">
                <a16:creationId xmlns:a16="http://schemas.microsoft.com/office/drawing/2014/main" id="{00000000-0008-0000-0D00-00008C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1" name="Rectangle 140">
            <a:extLst>
              <a:ext uri="{FF2B5EF4-FFF2-40B4-BE49-F238E27FC236}">
                <a16:creationId xmlns:a16="http://schemas.microsoft.com/office/drawing/2014/main" id="{00000000-0008-0000-0D00-00008D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142" name="Rectangle 141">
            <a:extLst>
              <a:ext uri="{FF2B5EF4-FFF2-40B4-BE49-F238E27FC236}">
                <a16:creationId xmlns:a16="http://schemas.microsoft.com/office/drawing/2014/main" id="{00000000-0008-0000-0D00-00008E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anti oestrogénique</a:t>
            </a:r>
          </a:p>
        </xdr:txBody>
      </xdr:sp>
      <xdr:sp macro="" textlink="">
        <xdr:nvSpPr>
          <xdr:cNvPr id="143" name="Shape 59">
            <a:extLst>
              <a:ext uri="{FF2B5EF4-FFF2-40B4-BE49-F238E27FC236}">
                <a16:creationId xmlns:a16="http://schemas.microsoft.com/office/drawing/2014/main" id="{00000000-0008-0000-0D00-00008F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144" name="Shape 62">
            <a:extLst>
              <a:ext uri="{FF2B5EF4-FFF2-40B4-BE49-F238E27FC236}">
                <a16:creationId xmlns:a16="http://schemas.microsoft.com/office/drawing/2014/main" id="{00000000-0008-0000-0D00-000090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5" name="Shape 63">
            <a:extLst>
              <a:ext uri="{FF2B5EF4-FFF2-40B4-BE49-F238E27FC236}">
                <a16:creationId xmlns:a16="http://schemas.microsoft.com/office/drawing/2014/main" id="{00000000-0008-0000-0D00-000091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6" name="Shape 64">
            <a:extLst>
              <a:ext uri="{FF2B5EF4-FFF2-40B4-BE49-F238E27FC236}">
                <a16:creationId xmlns:a16="http://schemas.microsoft.com/office/drawing/2014/main" id="{00000000-0008-0000-0D00-000092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7" name="Shape 65">
            <a:extLst>
              <a:ext uri="{FF2B5EF4-FFF2-40B4-BE49-F238E27FC236}">
                <a16:creationId xmlns:a16="http://schemas.microsoft.com/office/drawing/2014/main" id="{00000000-0008-0000-0D00-000093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8" name="Shape 66">
            <a:extLst>
              <a:ext uri="{FF2B5EF4-FFF2-40B4-BE49-F238E27FC236}">
                <a16:creationId xmlns:a16="http://schemas.microsoft.com/office/drawing/2014/main" id="{00000000-0008-0000-0D00-000094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9" name="Shape 67">
            <a:extLst>
              <a:ext uri="{FF2B5EF4-FFF2-40B4-BE49-F238E27FC236}">
                <a16:creationId xmlns:a16="http://schemas.microsoft.com/office/drawing/2014/main" id="{00000000-0008-0000-0D00-000095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0" name="Shape 68">
            <a:extLst>
              <a:ext uri="{FF2B5EF4-FFF2-40B4-BE49-F238E27FC236}">
                <a16:creationId xmlns:a16="http://schemas.microsoft.com/office/drawing/2014/main" id="{00000000-0008-0000-0D00-000096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1" name="Shape 69">
            <a:extLst>
              <a:ext uri="{FF2B5EF4-FFF2-40B4-BE49-F238E27FC236}">
                <a16:creationId xmlns:a16="http://schemas.microsoft.com/office/drawing/2014/main" id="{00000000-0008-0000-0D00-000097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2" name="Shape 70">
            <a:extLst>
              <a:ext uri="{FF2B5EF4-FFF2-40B4-BE49-F238E27FC236}">
                <a16:creationId xmlns:a16="http://schemas.microsoft.com/office/drawing/2014/main" id="{00000000-0008-0000-0D00-000098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3" name="Shape 71">
            <a:extLst>
              <a:ext uri="{FF2B5EF4-FFF2-40B4-BE49-F238E27FC236}">
                <a16:creationId xmlns:a16="http://schemas.microsoft.com/office/drawing/2014/main" id="{00000000-0008-0000-0D00-000099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4" name="Shape 72">
            <a:extLst>
              <a:ext uri="{FF2B5EF4-FFF2-40B4-BE49-F238E27FC236}">
                <a16:creationId xmlns:a16="http://schemas.microsoft.com/office/drawing/2014/main" id="{00000000-0008-0000-0D00-00009A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5" name="Shape 73">
            <a:extLst>
              <a:ext uri="{FF2B5EF4-FFF2-40B4-BE49-F238E27FC236}">
                <a16:creationId xmlns:a16="http://schemas.microsoft.com/office/drawing/2014/main" id="{00000000-0008-0000-0D00-00009B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6" name="Shape 74">
            <a:extLst>
              <a:ext uri="{FF2B5EF4-FFF2-40B4-BE49-F238E27FC236}">
                <a16:creationId xmlns:a16="http://schemas.microsoft.com/office/drawing/2014/main" id="{00000000-0008-0000-0D00-00009C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7" name="Shape 75">
            <a:extLst>
              <a:ext uri="{FF2B5EF4-FFF2-40B4-BE49-F238E27FC236}">
                <a16:creationId xmlns:a16="http://schemas.microsoft.com/office/drawing/2014/main" id="{00000000-0008-0000-0D00-00009D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8" name="Shape 76">
            <a:extLst>
              <a:ext uri="{FF2B5EF4-FFF2-40B4-BE49-F238E27FC236}">
                <a16:creationId xmlns:a16="http://schemas.microsoft.com/office/drawing/2014/main" id="{00000000-0008-0000-0D00-00009E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9" name="Shape 77">
            <a:extLst>
              <a:ext uri="{FF2B5EF4-FFF2-40B4-BE49-F238E27FC236}">
                <a16:creationId xmlns:a16="http://schemas.microsoft.com/office/drawing/2014/main" id="{00000000-0008-0000-0D00-00009F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0" name="Rectangle 159">
            <a:extLst>
              <a:ext uri="{FF2B5EF4-FFF2-40B4-BE49-F238E27FC236}">
                <a16:creationId xmlns:a16="http://schemas.microsoft.com/office/drawing/2014/main" id="{00000000-0008-0000-0D00-0000A0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pro oestrogénique</a:t>
            </a:r>
          </a:p>
        </xdr:txBody>
      </xdr:sp>
      <xdr:sp macro="" textlink="">
        <xdr:nvSpPr>
          <xdr:cNvPr id="161" name="ZoneTexte 55">
            <a:extLst>
              <a:ext uri="{FF2B5EF4-FFF2-40B4-BE49-F238E27FC236}">
                <a16:creationId xmlns:a16="http://schemas.microsoft.com/office/drawing/2014/main" id="{00000000-0008-0000-0D00-0000A1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sp macro="" textlink="">
        <xdr:nvSpPr>
          <xdr:cNvPr id="162" name="ZoneTexte 56">
            <a:extLst>
              <a:ext uri="{FF2B5EF4-FFF2-40B4-BE49-F238E27FC236}">
                <a16:creationId xmlns:a16="http://schemas.microsoft.com/office/drawing/2014/main" id="{00000000-0008-0000-0D00-0000A2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grpSp>
    <xdr:clientData/>
  </xdr:twoCellAnchor>
  <xdr:twoCellAnchor editAs="absolute">
    <xdr:from>
      <xdr:col>30</xdr:col>
      <xdr:colOff>95250</xdr:colOff>
      <xdr:row>4</xdr:row>
      <xdr:rowOff>197921</xdr:rowOff>
    </xdr:from>
    <xdr:to>
      <xdr:col>43</xdr:col>
      <xdr:colOff>284512</xdr:colOff>
      <xdr:row>17</xdr:row>
      <xdr:rowOff>43528</xdr:rowOff>
    </xdr:to>
    <xdr:graphicFrame macro="">
      <xdr:nvGraphicFramePr>
        <xdr:cNvPr id="163" name="Graphique 162">
          <a:extLst>
            <a:ext uri="{FF2B5EF4-FFF2-40B4-BE49-F238E27FC236}">
              <a16:creationId xmlns:a16="http://schemas.microsoft.com/office/drawing/2014/main" id="{00000000-0008-0000-0D00-0000A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29</xdr:col>
      <xdr:colOff>530680</xdr:colOff>
      <xdr:row>33</xdr:row>
      <xdr:rowOff>40820</xdr:rowOff>
    </xdr:from>
    <xdr:to>
      <xdr:col>43</xdr:col>
      <xdr:colOff>107620</xdr:colOff>
      <xdr:row>47</xdr:row>
      <xdr:rowOff>63320</xdr:rowOff>
    </xdr:to>
    <xdr:graphicFrame macro="">
      <xdr:nvGraphicFramePr>
        <xdr:cNvPr id="164" name="Graphique 163">
          <a:extLst>
            <a:ext uri="{FF2B5EF4-FFF2-40B4-BE49-F238E27FC236}">
              <a16:creationId xmlns:a16="http://schemas.microsoft.com/office/drawing/2014/main" id="{00000000-0008-0000-0D00-0000A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30</xdr:col>
      <xdr:colOff>1</xdr:colOff>
      <xdr:row>46</xdr:row>
      <xdr:rowOff>29696</xdr:rowOff>
    </xdr:from>
    <xdr:to>
      <xdr:col>43</xdr:col>
      <xdr:colOff>52809</xdr:colOff>
      <xdr:row>51</xdr:row>
      <xdr:rowOff>106544</xdr:rowOff>
    </xdr:to>
    <xdr:grpSp>
      <xdr:nvGrpSpPr>
        <xdr:cNvPr id="165" name="Groupe 164">
          <a:extLst>
            <a:ext uri="{FF2B5EF4-FFF2-40B4-BE49-F238E27FC236}">
              <a16:creationId xmlns:a16="http://schemas.microsoft.com/office/drawing/2014/main" id="{00000000-0008-0000-0D00-0000A5000000}"/>
            </a:ext>
          </a:extLst>
        </xdr:cNvPr>
        <xdr:cNvGrpSpPr/>
      </xdr:nvGrpSpPr>
      <xdr:grpSpPr>
        <a:xfrm>
          <a:off x="28343680" y="10275875"/>
          <a:ext cx="8012986" cy="1097383"/>
          <a:chOff x="367064" y="1542965"/>
          <a:chExt cx="7932581" cy="1097383"/>
        </a:xfrm>
      </xdr:grpSpPr>
      <xdr:sp macro="" textlink="">
        <xdr:nvSpPr>
          <xdr:cNvPr id="166" name="Shape 6">
            <a:extLst>
              <a:ext uri="{FF2B5EF4-FFF2-40B4-BE49-F238E27FC236}">
                <a16:creationId xmlns:a16="http://schemas.microsoft.com/office/drawing/2014/main" id="{00000000-0008-0000-0D00-0000A6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7" name="Shape 322">
            <a:extLst>
              <a:ext uri="{FF2B5EF4-FFF2-40B4-BE49-F238E27FC236}">
                <a16:creationId xmlns:a16="http://schemas.microsoft.com/office/drawing/2014/main" id="{00000000-0008-0000-0D00-0000A7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8" name="Shape 323">
            <a:extLst>
              <a:ext uri="{FF2B5EF4-FFF2-40B4-BE49-F238E27FC236}">
                <a16:creationId xmlns:a16="http://schemas.microsoft.com/office/drawing/2014/main" id="{00000000-0008-0000-0D00-0000A8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9" name="Shape 324">
            <a:extLst>
              <a:ext uri="{FF2B5EF4-FFF2-40B4-BE49-F238E27FC236}">
                <a16:creationId xmlns:a16="http://schemas.microsoft.com/office/drawing/2014/main" id="{00000000-0008-0000-0D00-0000A9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0" name="Shape 325">
            <a:extLst>
              <a:ext uri="{FF2B5EF4-FFF2-40B4-BE49-F238E27FC236}">
                <a16:creationId xmlns:a16="http://schemas.microsoft.com/office/drawing/2014/main" id="{00000000-0008-0000-0D00-0000AA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1" name="Shape 326">
            <a:extLst>
              <a:ext uri="{FF2B5EF4-FFF2-40B4-BE49-F238E27FC236}">
                <a16:creationId xmlns:a16="http://schemas.microsoft.com/office/drawing/2014/main" id="{00000000-0008-0000-0D00-0000AB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2" name="Shape 12">
            <a:extLst>
              <a:ext uri="{FF2B5EF4-FFF2-40B4-BE49-F238E27FC236}">
                <a16:creationId xmlns:a16="http://schemas.microsoft.com/office/drawing/2014/main" id="{00000000-0008-0000-0D00-0000AC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3" name="Shape 327">
            <a:extLst>
              <a:ext uri="{FF2B5EF4-FFF2-40B4-BE49-F238E27FC236}">
                <a16:creationId xmlns:a16="http://schemas.microsoft.com/office/drawing/2014/main" id="{00000000-0008-0000-0D00-0000AD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4" name="Shape 328">
            <a:extLst>
              <a:ext uri="{FF2B5EF4-FFF2-40B4-BE49-F238E27FC236}">
                <a16:creationId xmlns:a16="http://schemas.microsoft.com/office/drawing/2014/main" id="{00000000-0008-0000-0D00-0000AE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5" name="Shape 329">
            <a:extLst>
              <a:ext uri="{FF2B5EF4-FFF2-40B4-BE49-F238E27FC236}">
                <a16:creationId xmlns:a16="http://schemas.microsoft.com/office/drawing/2014/main" id="{00000000-0008-0000-0D00-0000AF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6" name="Shape 330">
            <a:extLst>
              <a:ext uri="{FF2B5EF4-FFF2-40B4-BE49-F238E27FC236}">
                <a16:creationId xmlns:a16="http://schemas.microsoft.com/office/drawing/2014/main" id="{00000000-0008-0000-0D00-0000B0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7" name="Shape 331">
            <a:extLst>
              <a:ext uri="{FF2B5EF4-FFF2-40B4-BE49-F238E27FC236}">
                <a16:creationId xmlns:a16="http://schemas.microsoft.com/office/drawing/2014/main" id="{00000000-0008-0000-0D00-0000B1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8" name="Shape 332">
            <a:extLst>
              <a:ext uri="{FF2B5EF4-FFF2-40B4-BE49-F238E27FC236}">
                <a16:creationId xmlns:a16="http://schemas.microsoft.com/office/drawing/2014/main" id="{00000000-0008-0000-0D00-0000B2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179" name="Picture 308">
            <a:extLst>
              <a:ext uri="{FF2B5EF4-FFF2-40B4-BE49-F238E27FC236}">
                <a16:creationId xmlns:a16="http://schemas.microsoft.com/office/drawing/2014/main" id="{00000000-0008-0000-0D00-0000B3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180" name="Shape 20">
            <a:extLst>
              <a:ext uri="{FF2B5EF4-FFF2-40B4-BE49-F238E27FC236}">
                <a16:creationId xmlns:a16="http://schemas.microsoft.com/office/drawing/2014/main" id="{00000000-0008-0000-0D00-0000B4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1" name="Shape 333">
            <a:extLst>
              <a:ext uri="{FF2B5EF4-FFF2-40B4-BE49-F238E27FC236}">
                <a16:creationId xmlns:a16="http://schemas.microsoft.com/office/drawing/2014/main" id="{00000000-0008-0000-0D00-0000B5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2" name="Rectangle 181">
            <a:extLst>
              <a:ext uri="{FF2B5EF4-FFF2-40B4-BE49-F238E27FC236}">
                <a16:creationId xmlns:a16="http://schemas.microsoft.com/office/drawing/2014/main" id="{00000000-0008-0000-0D00-0000B6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183" name="Rectangle 182">
            <a:extLst>
              <a:ext uri="{FF2B5EF4-FFF2-40B4-BE49-F238E27FC236}">
                <a16:creationId xmlns:a16="http://schemas.microsoft.com/office/drawing/2014/main" id="{00000000-0008-0000-0D00-0000B7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84" name="Picture 309">
            <a:extLst>
              <a:ext uri="{FF2B5EF4-FFF2-40B4-BE49-F238E27FC236}">
                <a16:creationId xmlns:a16="http://schemas.microsoft.com/office/drawing/2014/main" id="{00000000-0008-0000-0D00-0000B8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185" name="Shape 334">
            <a:extLst>
              <a:ext uri="{FF2B5EF4-FFF2-40B4-BE49-F238E27FC236}">
                <a16:creationId xmlns:a16="http://schemas.microsoft.com/office/drawing/2014/main" id="{00000000-0008-0000-0D00-0000B9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6" name="Rectangle 185">
            <a:extLst>
              <a:ext uri="{FF2B5EF4-FFF2-40B4-BE49-F238E27FC236}">
                <a16:creationId xmlns:a16="http://schemas.microsoft.com/office/drawing/2014/main" id="{00000000-0008-0000-0D00-0000BA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87" name="Picture 311">
            <a:extLst>
              <a:ext uri="{FF2B5EF4-FFF2-40B4-BE49-F238E27FC236}">
                <a16:creationId xmlns:a16="http://schemas.microsoft.com/office/drawing/2014/main" id="{00000000-0008-0000-0D00-0000BB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188" name="Shape 30">
            <a:extLst>
              <a:ext uri="{FF2B5EF4-FFF2-40B4-BE49-F238E27FC236}">
                <a16:creationId xmlns:a16="http://schemas.microsoft.com/office/drawing/2014/main" id="{00000000-0008-0000-0D00-0000BC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9" name="Shape 335">
            <a:extLst>
              <a:ext uri="{FF2B5EF4-FFF2-40B4-BE49-F238E27FC236}">
                <a16:creationId xmlns:a16="http://schemas.microsoft.com/office/drawing/2014/main" id="{00000000-0008-0000-0D00-0000BD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0" name="Rectangle 189">
            <a:extLst>
              <a:ext uri="{FF2B5EF4-FFF2-40B4-BE49-F238E27FC236}">
                <a16:creationId xmlns:a16="http://schemas.microsoft.com/office/drawing/2014/main" id="{00000000-0008-0000-0D00-0000BE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91" name="Picture 310">
            <a:extLst>
              <a:ext uri="{FF2B5EF4-FFF2-40B4-BE49-F238E27FC236}">
                <a16:creationId xmlns:a16="http://schemas.microsoft.com/office/drawing/2014/main" id="{00000000-0008-0000-0D00-0000BF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192" name="Shape 336">
            <a:extLst>
              <a:ext uri="{FF2B5EF4-FFF2-40B4-BE49-F238E27FC236}">
                <a16:creationId xmlns:a16="http://schemas.microsoft.com/office/drawing/2014/main" id="{00000000-0008-0000-0D00-0000C0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3" name="Rectangle 192">
            <a:extLst>
              <a:ext uri="{FF2B5EF4-FFF2-40B4-BE49-F238E27FC236}">
                <a16:creationId xmlns:a16="http://schemas.microsoft.com/office/drawing/2014/main" id="{00000000-0008-0000-0D00-0000C1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194" name="Picture 312">
            <a:extLst>
              <a:ext uri="{FF2B5EF4-FFF2-40B4-BE49-F238E27FC236}">
                <a16:creationId xmlns:a16="http://schemas.microsoft.com/office/drawing/2014/main" id="{00000000-0008-0000-0D00-0000C2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195" name="Shape 337">
            <a:extLst>
              <a:ext uri="{FF2B5EF4-FFF2-40B4-BE49-F238E27FC236}">
                <a16:creationId xmlns:a16="http://schemas.microsoft.com/office/drawing/2014/main" id="{00000000-0008-0000-0D00-0000C3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6" name="Rectangle 195">
            <a:extLst>
              <a:ext uri="{FF2B5EF4-FFF2-40B4-BE49-F238E27FC236}">
                <a16:creationId xmlns:a16="http://schemas.microsoft.com/office/drawing/2014/main" id="{00000000-0008-0000-0D00-0000C4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197" name="Rectangle 196">
            <a:extLst>
              <a:ext uri="{FF2B5EF4-FFF2-40B4-BE49-F238E27FC236}">
                <a16:creationId xmlns:a16="http://schemas.microsoft.com/office/drawing/2014/main" id="{00000000-0008-0000-0D00-0000C5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Anti estrogen effect</a:t>
            </a:r>
          </a:p>
        </xdr:txBody>
      </xdr:sp>
      <xdr:sp macro="" textlink="">
        <xdr:nvSpPr>
          <xdr:cNvPr id="198" name="Shape 59">
            <a:extLst>
              <a:ext uri="{FF2B5EF4-FFF2-40B4-BE49-F238E27FC236}">
                <a16:creationId xmlns:a16="http://schemas.microsoft.com/office/drawing/2014/main" id="{00000000-0008-0000-0D00-0000C6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199" name="Shape 62">
            <a:extLst>
              <a:ext uri="{FF2B5EF4-FFF2-40B4-BE49-F238E27FC236}">
                <a16:creationId xmlns:a16="http://schemas.microsoft.com/office/drawing/2014/main" id="{00000000-0008-0000-0D00-0000C7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0" name="Shape 63">
            <a:extLst>
              <a:ext uri="{FF2B5EF4-FFF2-40B4-BE49-F238E27FC236}">
                <a16:creationId xmlns:a16="http://schemas.microsoft.com/office/drawing/2014/main" id="{00000000-0008-0000-0D00-0000C8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1" name="Shape 64">
            <a:extLst>
              <a:ext uri="{FF2B5EF4-FFF2-40B4-BE49-F238E27FC236}">
                <a16:creationId xmlns:a16="http://schemas.microsoft.com/office/drawing/2014/main" id="{00000000-0008-0000-0D00-0000C9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2" name="Shape 65">
            <a:extLst>
              <a:ext uri="{FF2B5EF4-FFF2-40B4-BE49-F238E27FC236}">
                <a16:creationId xmlns:a16="http://schemas.microsoft.com/office/drawing/2014/main" id="{00000000-0008-0000-0D00-0000CA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3" name="Shape 66">
            <a:extLst>
              <a:ext uri="{FF2B5EF4-FFF2-40B4-BE49-F238E27FC236}">
                <a16:creationId xmlns:a16="http://schemas.microsoft.com/office/drawing/2014/main" id="{00000000-0008-0000-0D00-0000CB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4" name="Shape 67">
            <a:extLst>
              <a:ext uri="{FF2B5EF4-FFF2-40B4-BE49-F238E27FC236}">
                <a16:creationId xmlns:a16="http://schemas.microsoft.com/office/drawing/2014/main" id="{00000000-0008-0000-0D00-0000CC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5" name="Shape 68">
            <a:extLst>
              <a:ext uri="{FF2B5EF4-FFF2-40B4-BE49-F238E27FC236}">
                <a16:creationId xmlns:a16="http://schemas.microsoft.com/office/drawing/2014/main" id="{00000000-0008-0000-0D00-0000CD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6" name="Shape 69">
            <a:extLst>
              <a:ext uri="{FF2B5EF4-FFF2-40B4-BE49-F238E27FC236}">
                <a16:creationId xmlns:a16="http://schemas.microsoft.com/office/drawing/2014/main" id="{00000000-0008-0000-0D00-0000CE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7" name="Shape 70">
            <a:extLst>
              <a:ext uri="{FF2B5EF4-FFF2-40B4-BE49-F238E27FC236}">
                <a16:creationId xmlns:a16="http://schemas.microsoft.com/office/drawing/2014/main" id="{00000000-0008-0000-0D00-0000CF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8" name="Shape 71">
            <a:extLst>
              <a:ext uri="{FF2B5EF4-FFF2-40B4-BE49-F238E27FC236}">
                <a16:creationId xmlns:a16="http://schemas.microsoft.com/office/drawing/2014/main" id="{00000000-0008-0000-0D00-0000D0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9" name="Shape 72">
            <a:extLst>
              <a:ext uri="{FF2B5EF4-FFF2-40B4-BE49-F238E27FC236}">
                <a16:creationId xmlns:a16="http://schemas.microsoft.com/office/drawing/2014/main" id="{00000000-0008-0000-0D00-0000D1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0" name="Shape 73">
            <a:extLst>
              <a:ext uri="{FF2B5EF4-FFF2-40B4-BE49-F238E27FC236}">
                <a16:creationId xmlns:a16="http://schemas.microsoft.com/office/drawing/2014/main" id="{00000000-0008-0000-0D00-0000D2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1" name="Shape 74">
            <a:extLst>
              <a:ext uri="{FF2B5EF4-FFF2-40B4-BE49-F238E27FC236}">
                <a16:creationId xmlns:a16="http://schemas.microsoft.com/office/drawing/2014/main" id="{00000000-0008-0000-0D00-0000D3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2" name="Shape 75">
            <a:extLst>
              <a:ext uri="{FF2B5EF4-FFF2-40B4-BE49-F238E27FC236}">
                <a16:creationId xmlns:a16="http://schemas.microsoft.com/office/drawing/2014/main" id="{00000000-0008-0000-0D00-0000D4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3" name="Shape 76">
            <a:extLst>
              <a:ext uri="{FF2B5EF4-FFF2-40B4-BE49-F238E27FC236}">
                <a16:creationId xmlns:a16="http://schemas.microsoft.com/office/drawing/2014/main" id="{00000000-0008-0000-0D00-0000D5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4" name="Shape 77">
            <a:extLst>
              <a:ext uri="{FF2B5EF4-FFF2-40B4-BE49-F238E27FC236}">
                <a16:creationId xmlns:a16="http://schemas.microsoft.com/office/drawing/2014/main" id="{00000000-0008-0000-0D00-0000D6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5" name="Rectangle 214">
            <a:extLst>
              <a:ext uri="{FF2B5EF4-FFF2-40B4-BE49-F238E27FC236}">
                <a16:creationId xmlns:a16="http://schemas.microsoft.com/office/drawing/2014/main" id="{00000000-0008-0000-0D00-0000D7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Pro estrogen effect</a:t>
            </a:r>
          </a:p>
        </xdr:txBody>
      </xdr:sp>
      <xdr:sp macro="" textlink="">
        <xdr:nvSpPr>
          <xdr:cNvPr id="216" name="ZoneTexte 55">
            <a:extLst>
              <a:ext uri="{FF2B5EF4-FFF2-40B4-BE49-F238E27FC236}">
                <a16:creationId xmlns:a16="http://schemas.microsoft.com/office/drawing/2014/main" id="{00000000-0008-0000-0D00-0000D8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sp macro="" textlink="">
        <xdr:nvSpPr>
          <xdr:cNvPr id="217" name="ZoneTexte 56">
            <a:extLst>
              <a:ext uri="{FF2B5EF4-FFF2-40B4-BE49-F238E27FC236}">
                <a16:creationId xmlns:a16="http://schemas.microsoft.com/office/drawing/2014/main" id="{00000000-0008-0000-0D00-0000D9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grpSp>
    <xdr:clientData/>
  </xdr:twoCellAnchor>
  <xdr:twoCellAnchor editAs="absolute">
    <xdr:from>
      <xdr:col>30</xdr:col>
      <xdr:colOff>163477</xdr:colOff>
      <xdr:row>15</xdr:row>
      <xdr:rowOff>189512</xdr:rowOff>
    </xdr:from>
    <xdr:to>
      <xdr:col>43</xdr:col>
      <xdr:colOff>216285</xdr:colOff>
      <xdr:row>21</xdr:row>
      <xdr:rowOff>62252</xdr:rowOff>
    </xdr:to>
    <xdr:grpSp>
      <xdr:nvGrpSpPr>
        <xdr:cNvPr id="218" name="Groupe 217">
          <a:extLst>
            <a:ext uri="{FF2B5EF4-FFF2-40B4-BE49-F238E27FC236}">
              <a16:creationId xmlns:a16="http://schemas.microsoft.com/office/drawing/2014/main" id="{00000000-0008-0000-0D00-0000DA000000}"/>
            </a:ext>
          </a:extLst>
        </xdr:cNvPr>
        <xdr:cNvGrpSpPr/>
      </xdr:nvGrpSpPr>
      <xdr:grpSpPr>
        <a:xfrm>
          <a:off x="28507156" y="3904262"/>
          <a:ext cx="8012986" cy="1097383"/>
          <a:chOff x="367064" y="1542965"/>
          <a:chExt cx="7932581" cy="1097383"/>
        </a:xfrm>
      </xdr:grpSpPr>
      <xdr:sp macro="" textlink="">
        <xdr:nvSpPr>
          <xdr:cNvPr id="219" name="Shape 6">
            <a:extLst>
              <a:ext uri="{FF2B5EF4-FFF2-40B4-BE49-F238E27FC236}">
                <a16:creationId xmlns:a16="http://schemas.microsoft.com/office/drawing/2014/main" id="{00000000-0008-0000-0D00-0000DB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0" name="Shape 322">
            <a:extLst>
              <a:ext uri="{FF2B5EF4-FFF2-40B4-BE49-F238E27FC236}">
                <a16:creationId xmlns:a16="http://schemas.microsoft.com/office/drawing/2014/main" id="{00000000-0008-0000-0D00-0000DC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1" name="Shape 323">
            <a:extLst>
              <a:ext uri="{FF2B5EF4-FFF2-40B4-BE49-F238E27FC236}">
                <a16:creationId xmlns:a16="http://schemas.microsoft.com/office/drawing/2014/main" id="{00000000-0008-0000-0D00-0000DD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2" name="Shape 324">
            <a:extLst>
              <a:ext uri="{FF2B5EF4-FFF2-40B4-BE49-F238E27FC236}">
                <a16:creationId xmlns:a16="http://schemas.microsoft.com/office/drawing/2014/main" id="{00000000-0008-0000-0D00-0000DE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3" name="Shape 325">
            <a:extLst>
              <a:ext uri="{FF2B5EF4-FFF2-40B4-BE49-F238E27FC236}">
                <a16:creationId xmlns:a16="http://schemas.microsoft.com/office/drawing/2014/main" id="{00000000-0008-0000-0D00-0000DF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4" name="Shape 326">
            <a:extLst>
              <a:ext uri="{FF2B5EF4-FFF2-40B4-BE49-F238E27FC236}">
                <a16:creationId xmlns:a16="http://schemas.microsoft.com/office/drawing/2014/main" id="{00000000-0008-0000-0D00-0000E0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5" name="Shape 12">
            <a:extLst>
              <a:ext uri="{FF2B5EF4-FFF2-40B4-BE49-F238E27FC236}">
                <a16:creationId xmlns:a16="http://schemas.microsoft.com/office/drawing/2014/main" id="{00000000-0008-0000-0D00-0000E1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6" name="Shape 327">
            <a:extLst>
              <a:ext uri="{FF2B5EF4-FFF2-40B4-BE49-F238E27FC236}">
                <a16:creationId xmlns:a16="http://schemas.microsoft.com/office/drawing/2014/main" id="{00000000-0008-0000-0D00-0000E2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7" name="Shape 328">
            <a:extLst>
              <a:ext uri="{FF2B5EF4-FFF2-40B4-BE49-F238E27FC236}">
                <a16:creationId xmlns:a16="http://schemas.microsoft.com/office/drawing/2014/main" id="{00000000-0008-0000-0D00-0000E3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8" name="Shape 329">
            <a:extLst>
              <a:ext uri="{FF2B5EF4-FFF2-40B4-BE49-F238E27FC236}">
                <a16:creationId xmlns:a16="http://schemas.microsoft.com/office/drawing/2014/main" id="{00000000-0008-0000-0D00-0000E4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9" name="Shape 330">
            <a:extLst>
              <a:ext uri="{FF2B5EF4-FFF2-40B4-BE49-F238E27FC236}">
                <a16:creationId xmlns:a16="http://schemas.microsoft.com/office/drawing/2014/main" id="{00000000-0008-0000-0D00-0000E5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0" name="Shape 331">
            <a:extLst>
              <a:ext uri="{FF2B5EF4-FFF2-40B4-BE49-F238E27FC236}">
                <a16:creationId xmlns:a16="http://schemas.microsoft.com/office/drawing/2014/main" id="{00000000-0008-0000-0D00-0000E6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1" name="Shape 332">
            <a:extLst>
              <a:ext uri="{FF2B5EF4-FFF2-40B4-BE49-F238E27FC236}">
                <a16:creationId xmlns:a16="http://schemas.microsoft.com/office/drawing/2014/main" id="{00000000-0008-0000-0D00-0000E7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232" name="Picture 308">
            <a:extLst>
              <a:ext uri="{FF2B5EF4-FFF2-40B4-BE49-F238E27FC236}">
                <a16:creationId xmlns:a16="http://schemas.microsoft.com/office/drawing/2014/main" id="{00000000-0008-0000-0D00-0000E8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233" name="Shape 20">
            <a:extLst>
              <a:ext uri="{FF2B5EF4-FFF2-40B4-BE49-F238E27FC236}">
                <a16:creationId xmlns:a16="http://schemas.microsoft.com/office/drawing/2014/main" id="{00000000-0008-0000-0D00-0000E9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4" name="Shape 333">
            <a:extLst>
              <a:ext uri="{FF2B5EF4-FFF2-40B4-BE49-F238E27FC236}">
                <a16:creationId xmlns:a16="http://schemas.microsoft.com/office/drawing/2014/main" id="{00000000-0008-0000-0D00-0000EA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5" name="Rectangle 234">
            <a:extLst>
              <a:ext uri="{FF2B5EF4-FFF2-40B4-BE49-F238E27FC236}">
                <a16:creationId xmlns:a16="http://schemas.microsoft.com/office/drawing/2014/main" id="{00000000-0008-0000-0D00-0000EB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236" name="Rectangle 235">
            <a:extLst>
              <a:ext uri="{FF2B5EF4-FFF2-40B4-BE49-F238E27FC236}">
                <a16:creationId xmlns:a16="http://schemas.microsoft.com/office/drawing/2014/main" id="{00000000-0008-0000-0D00-0000EC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37" name="Picture 309">
            <a:extLst>
              <a:ext uri="{FF2B5EF4-FFF2-40B4-BE49-F238E27FC236}">
                <a16:creationId xmlns:a16="http://schemas.microsoft.com/office/drawing/2014/main" id="{00000000-0008-0000-0D00-0000ED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238" name="Shape 334">
            <a:extLst>
              <a:ext uri="{FF2B5EF4-FFF2-40B4-BE49-F238E27FC236}">
                <a16:creationId xmlns:a16="http://schemas.microsoft.com/office/drawing/2014/main" id="{00000000-0008-0000-0D00-0000EE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9" name="Rectangle 238">
            <a:extLst>
              <a:ext uri="{FF2B5EF4-FFF2-40B4-BE49-F238E27FC236}">
                <a16:creationId xmlns:a16="http://schemas.microsoft.com/office/drawing/2014/main" id="{00000000-0008-0000-0D00-0000EF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40" name="Picture 311">
            <a:extLst>
              <a:ext uri="{FF2B5EF4-FFF2-40B4-BE49-F238E27FC236}">
                <a16:creationId xmlns:a16="http://schemas.microsoft.com/office/drawing/2014/main" id="{00000000-0008-0000-0D00-0000F0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241" name="Shape 30">
            <a:extLst>
              <a:ext uri="{FF2B5EF4-FFF2-40B4-BE49-F238E27FC236}">
                <a16:creationId xmlns:a16="http://schemas.microsoft.com/office/drawing/2014/main" id="{00000000-0008-0000-0D00-0000F1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2" name="Shape 335">
            <a:extLst>
              <a:ext uri="{FF2B5EF4-FFF2-40B4-BE49-F238E27FC236}">
                <a16:creationId xmlns:a16="http://schemas.microsoft.com/office/drawing/2014/main" id="{00000000-0008-0000-0D00-0000F2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3" name="Rectangle 242">
            <a:extLst>
              <a:ext uri="{FF2B5EF4-FFF2-40B4-BE49-F238E27FC236}">
                <a16:creationId xmlns:a16="http://schemas.microsoft.com/office/drawing/2014/main" id="{00000000-0008-0000-0D00-0000F3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44" name="Picture 310">
            <a:extLst>
              <a:ext uri="{FF2B5EF4-FFF2-40B4-BE49-F238E27FC236}">
                <a16:creationId xmlns:a16="http://schemas.microsoft.com/office/drawing/2014/main" id="{00000000-0008-0000-0D00-0000F4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245" name="Shape 336">
            <a:extLst>
              <a:ext uri="{FF2B5EF4-FFF2-40B4-BE49-F238E27FC236}">
                <a16:creationId xmlns:a16="http://schemas.microsoft.com/office/drawing/2014/main" id="{00000000-0008-0000-0D00-0000F5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6" name="Rectangle 245">
            <a:extLst>
              <a:ext uri="{FF2B5EF4-FFF2-40B4-BE49-F238E27FC236}">
                <a16:creationId xmlns:a16="http://schemas.microsoft.com/office/drawing/2014/main" id="{00000000-0008-0000-0D00-0000F6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247" name="Picture 312">
            <a:extLst>
              <a:ext uri="{FF2B5EF4-FFF2-40B4-BE49-F238E27FC236}">
                <a16:creationId xmlns:a16="http://schemas.microsoft.com/office/drawing/2014/main" id="{00000000-0008-0000-0D00-0000F7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248" name="Shape 337">
            <a:extLst>
              <a:ext uri="{FF2B5EF4-FFF2-40B4-BE49-F238E27FC236}">
                <a16:creationId xmlns:a16="http://schemas.microsoft.com/office/drawing/2014/main" id="{00000000-0008-0000-0D00-0000F8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9" name="Rectangle 248">
            <a:extLst>
              <a:ext uri="{FF2B5EF4-FFF2-40B4-BE49-F238E27FC236}">
                <a16:creationId xmlns:a16="http://schemas.microsoft.com/office/drawing/2014/main" id="{00000000-0008-0000-0D00-0000F9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250" name="Rectangle 249">
            <a:extLst>
              <a:ext uri="{FF2B5EF4-FFF2-40B4-BE49-F238E27FC236}">
                <a16:creationId xmlns:a16="http://schemas.microsoft.com/office/drawing/2014/main" id="{00000000-0008-0000-0D00-0000FA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Anti estrogen effect</a:t>
            </a:r>
          </a:p>
        </xdr:txBody>
      </xdr:sp>
      <xdr:sp macro="" textlink="">
        <xdr:nvSpPr>
          <xdr:cNvPr id="251" name="Shape 59">
            <a:extLst>
              <a:ext uri="{FF2B5EF4-FFF2-40B4-BE49-F238E27FC236}">
                <a16:creationId xmlns:a16="http://schemas.microsoft.com/office/drawing/2014/main" id="{00000000-0008-0000-0D00-0000FB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252" name="Shape 62">
            <a:extLst>
              <a:ext uri="{FF2B5EF4-FFF2-40B4-BE49-F238E27FC236}">
                <a16:creationId xmlns:a16="http://schemas.microsoft.com/office/drawing/2014/main" id="{00000000-0008-0000-0D00-0000FC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3" name="Shape 63">
            <a:extLst>
              <a:ext uri="{FF2B5EF4-FFF2-40B4-BE49-F238E27FC236}">
                <a16:creationId xmlns:a16="http://schemas.microsoft.com/office/drawing/2014/main" id="{00000000-0008-0000-0D00-0000FD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4" name="Shape 64">
            <a:extLst>
              <a:ext uri="{FF2B5EF4-FFF2-40B4-BE49-F238E27FC236}">
                <a16:creationId xmlns:a16="http://schemas.microsoft.com/office/drawing/2014/main" id="{00000000-0008-0000-0D00-0000FE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5" name="Shape 65">
            <a:extLst>
              <a:ext uri="{FF2B5EF4-FFF2-40B4-BE49-F238E27FC236}">
                <a16:creationId xmlns:a16="http://schemas.microsoft.com/office/drawing/2014/main" id="{00000000-0008-0000-0D00-0000FF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6" name="Shape 66">
            <a:extLst>
              <a:ext uri="{FF2B5EF4-FFF2-40B4-BE49-F238E27FC236}">
                <a16:creationId xmlns:a16="http://schemas.microsoft.com/office/drawing/2014/main" id="{00000000-0008-0000-0D00-00000001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7" name="Shape 67">
            <a:extLst>
              <a:ext uri="{FF2B5EF4-FFF2-40B4-BE49-F238E27FC236}">
                <a16:creationId xmlns:a16="http://schemas.microsoft.com/office/drawing/2014/main" id="{00000000-0008-0000-0D00-00000101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8" name="Shape 68">
            <a:extLst>
              <a:ext uri="{FF2B5EF4-FFF2-40B4-BE49-F238E27FC236}">
                <a16:creationId xmlns:a16="http://schemas.microsoft.com/office/drawing/2014/main" id="{00000000-0008-0000-0D00-00000201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9" name="Shape 69">
            <a:extLst>
              <a:ext uri="{FF2B5EF4-FFF2-40B4-BE49-F238E27FC236}">
                <a16:creationId xmlns:a16="http://schemas.microsoft.com/office/drawing/2014/main" id="{00000000-0008-0000-0D00-00000301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0" name="Shape 70">
            <a:extLst>
              <a:ext uri="{FF2B5EF4-FFF2-40B4-BE49-F238E27FC236}">
                <a16:creationId xmlns:a16="http://schemas.microsoft.com/office/drawing/2014/main" id="{00000000-0008-0000-0D00-00000401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1" name="Shape 71">
            <a:extLst>
              <a:ext uri="{FF2B5EF4-FFF2-40B4-BE49-F238E27FC236}">
                <a16:creationId xmlns:a16="http://schemas.microsoft.com/office/drawing/2014/main" id="{00000000-0008-0000-0D00-00000501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2" name="Shape 72">
            <a:extLst>
              <a:ext uri="{FF2B5EF4-FFF2-40B4-BE49-F238E27FC236}">
                <a16:creationId xmlns:a16="http://schemas.microsoft.com/office/drawing/2014/main" id="{00000000-0008-0000-0D00-00000601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3" name="Shape 73">
            <a:extLst>
              <a:ext uri="{FF2B5EF4-FFF2-40B4-BE49-F238E27FC236}">
                <a16:creationId xmlns:a16="http://schemas.microsoft.com/office/drawing/2014/main" id="{00000000-0008-0000-0D00-00000701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4" name="Shape 74">
            <a:extLst>
              <a:ext uri="{FF2B5EF4-FFF2-40B4-BE49-F238E27FC236}">
                <a16:creationId xmlns:a16="http://schemas.microsoft.com/office/drawing/2014/main" id="{00000000-0008-0000-0D00-00000801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5" name="Shape 75">
            <a:extLst>
              <a:ext uri="{FF2B5EF4-FFF2-40B4-BE49-F238E27FC236}">
                <a16:creationId xmlns:a16="http://schemas.microsoft.com/office/drawing/2014/main" id="{00000000-0008-0000-0D00-00000901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6" name="Shape 76">
            <a:extLst>
              <a:ext uri="{FF2B5EF4-FFF2-40B4-BE49-F238E27FC236}">
                <a16:creationId xmlns:a16="http://schemas.microsoft.com/office/drawing/2014/main" id="{00000000-0008-0000-0D00-00000A01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7" name="Shape 77">
            <a:extLst>
              <a:ext uri="{FF2B5EF4-FFF2-40B4-BE49-F238E27FC236}">
                <a16:creationId xmlns:a16="http://schemas.microsoft.com/office/drawing/2014/main" id="{00000000-0008-0000-0D00-00000B01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8" name="Rectangle 267">
            <a:extLst>
              <a:ext uri="{FF2B5EF4-FFF2-40B4-BE49-F238E27FC236}">
                <a16:creationId xmlns:a16="http://schemas.microsoft.com/office/drawing/2014/main" id="{00000000-0008-0000-0D00-00000C01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Pro estrogen effect</a:t>
            </a:r>
          </a:p>
        </xdr:txBody>
      </xdr:sp>
      <xdr:sp macro="" textlink="">
        <xdr:nvSpPr>
          <xdr:cNvPr id="269" name="ZoneTexte 55">
            <a:extLst>
              <a:ext uri="{FF2B5EF4-FFF2-40B4-BE49-F238E27FC236}">
                <a16:creationId xmlns:a16="http://schemas.microsoft.com/office/drawing/2014/main" id="{00000000-0008-0000-0D00-00000D01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sp macro="" textlink="">
        <xdr:nvSpPr>
          <xdr:cNvPr id="270" name="ZoneTexte 56">
            <a:extLst>
              <a:ext uri="{FF2B5EF4-FFF2-40B4-BE49-F238E27FC236}">
                <a16:creationId xmlns:a16="http://schemas.microsoft.com/office/drawing/2014/main" id="{00000000-0008-0000-0D00-00000E01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grp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164043</xdr:colOff>
      <xdr:row>11</xdr:row>
      <xdr:rowOff>8466</xdr:rowOff>
    </xdr:from>
    <xdr:to>
      <xdr:col>8</xdr:col>
      <xdr:colOff>154781</xdr:colOff>
      <xdr:row>32</xdr:row>
      <xdr:rowOff>95250</xdr:rowOff>
    </xdr:to>
    <xdr:graphicFrame macro="">
      <xdr:nvGraphicFramePr>
        <xdr:cNvPr id="2" name="Graphique 1">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377031</xdr:colOff>
      <xdr:row>11</xdr:row>
      <xdr:rowOff>91810</xdr:rowOff>
    </xdr:from>
    <xdr:to>
      <xdr:col>15</xdr:col>
      <xdr:colOff>398319</xdr:colOff>
      <xdr:row>32</xdr:row>
      <xdr:rowOff>51955</xdr:rowOff>
    </xdr:to>
    <xdr:graphicFrame macro="">
      <xdr:nvGraphicFramePr>
        <xdr:cNvPr id="3" name="Graphique 1">
          <a:extLst>
            <a:ext uri="{FF2B5EF4-FFF2-40B4-BE49-F238E27FC236}">
              <a16:creationId xmlns:a16="http://schemas.microsoft.com/office/drawing/2014/main" id="{00000000-0008-0000-0E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35</xdr:row>
      <xdr:rowOff>0</xdr:rowOff>
    </xdr:from>
    <xdr:to>
      <xdr:col>7</xdr:col>
      <xdr:colOff>984059</xdr:colOff>
      <xdr:row>56</xdr:row>
      <xdr:rowOff>86784</xdr:rowOff>
    </xdr:to>
    <xdr:graphicFrame macro="">
      <xdr:nvGraphicFramePr>
        <xdr:cNvPr id="4" name="Graphique 3">
          <a:extLst>
            <a:ext uri="{FF2B5EF4-FFF2-40B4-BE49-F238E27FC236}">
              <a16:creationId xmlns:a16="http://schemas.microsoft.com/office/drawing/2014/main" id="{00000000-0008-0000-0E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8</xdr:col>
      <xdr:colOff>212988</xdr:colOff>
      <xdr:row>35</xdr:row>
      <xdr:rowOff>83344</xdr:rowOff>
    </xdr:from>
    <xdr:to>
      <xdr:col>15</xdr:col>
      <xdr:colOff>234276</xdr:colOff>
      <xdr:row>56</xdr:row>
      <xdr:rowOff>43489</xdr:rowOff>
    </xdr:to>
    <xdr:graphicFrame macro="">
      <xdr:nvGraphicFramePr>
        <xdr:cNvPr id="5" name="Graphique 1">
          <a:extLst>
            <a:ext uri="{FF2B5EF4-FFF2-40B4-BE49-F238E27FC236}">
              <a16:creationId xmlns:a16="http://schemas.microsoft.com/office/drawing/2014/main" id="{00000000-0008-0000-0E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0.xml><?xml version="1.0" encoding="utf-8"?>
<c:userShapes xmlns:c="http://schemas.openxmlformats.org/drawingml/2006/chart">
  <cdr:absSizeAnchor xmlns:cdr="http://schemas.openxmlformats.org/drawingml/2006/chartDrawing">
    <cdr:from>
      <cdr:x>0.82371</cdr:x>
      <cdr:y>0.55101</cdr:y>
    </cdr:from>
    <cdr:ext cx="796018" cy="436786"/>
    <cdr:sp macro="" textlink="">
      <cdr:nvSpPr>
        <cdr:cNvPr id="4" name="ZoneTexte 1"/>
        <cdr:cNvSpPr txBox="1"/>
      </cdr:nvSpPr>
      <cdr:spPr>
        <a:xfrm xmlns:a="http://schemas.openxmlformats.org/drawingml/2006/main">
          <a:off x="5876731" y="1937227"/>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1100" b="1">
              <a:solidFill>
                <a:srgbClr val="00B050"/>
              </a:solidFill>
            </a:rPr>
            <a:t>Niveau de référence</a:t>
          </a:r>
        </a:p>
      </cdr:txBody>
    </cdr:sp>
  </cdr:absSizeAnchor>
</c:userShapes>
</file>

<file path=xl/drawings/drawing11.xml><?xml version="1.0" encoding="utf-8"?>
<c:userShapes xmlns:c="http://schemas.openxmlformats.org/drawingml/2006/chart">
  <cdr:absSizeAnchor xmlns:cdr="http://schemas.openxmlformats.org/drawingml/2006/chartDrawing">
    <cdr:from>
      <cdr:x>0.8358</cdr:x>
      <cdr:y>0.20578</cdr:y>
    </cdr:from>
    <cdr:ext cx="850804" cy="436786"/>
    <cdr:sp macro="" textlink="">
      <cdr:nvSpPr>
        <cdr:cNvPr id="4" name="ZoneTexte 1"/>
        <cdr:cNvSpPr txBox="1"/>
      </cdr:nvSpPr>
      <cdr:spPr>
        <a:xfrm xmlns:a="http://schemas.openxmlformats.org/drawingml/2006/main">
          <a:off x="5829311" y="697435"/>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2.xml><?xml version="1.0" encoding="utf-8"?>
<c:userShapes xmlns:c="http://schemas.openxmlformats.org/drawingml/2006/chart">
  <cdr:absSizeAnchor xmlns:cdr="http://schemas.openxmlformats.org/drawingml/2006/chartDrawing">
    <cdr:from>
      <cdr:x>0.81608</cdr:x>
      <cdr:y>0.54327</cdr:y>
    </cdr:from>
    <cdr:ext cx="796018" cy="436785"/>
    <cdr:sp macro="" textlink="">
      <cdr:nvSpPr>
        <cdr:cNvPr id="4" name="ZoneTexte 1"/>
        <cdr:cNvSpPr txBox="1"/>
      </cdr:nvSpPr>
      <cdr:spPr>
        <a:xfrm xmlns:a="http://schemas.openxmlformats.org/drawingml/2006/main">
          <a:off x="5822303" y="1910013"/>
          <a:ext cx="796018" cy="436785"/>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a:t>
          </a:r>
          <a:r>
            <a:rPr lang="fr-FR" sz="1100" b="1" baseline="0">
              <a:solidFill>
                <a:srgbClr val="00B050"/>
              </a:solidFill>
            </a:rPr>
            <a:t> level</a:t>
          </a:r>
          <a:endParaRPr lang="fr-FR" sz="1100" b="1">
            <a:solidFill>
              <a:srgbClr val="00B050"/>
            </a:solidFill>
          </a:endParaRPr>
        </a:p>
      </cdr:txBody>
    </cdr:sp>
  </cdr:absSizeAnchor>
</c:userShapes>
</file>

<file path=xl/drawings/drawing13.xml><?xml version="1.0" encoding="utf-8"?>
<c:userShapes xmlns:c="http://schemas.openxmlformats.org/drawingml/2006/chart">
  <cdr:absSizeAnchor xmlns:cdr="http://schemas.openxmlformats.org/drawingml/2006/chartDrawing">
    <cdr:from>
      <cdr:x>0.82019</cdr:x>
      <cdr:y>0.2098</cdr:y>
    </cdr:from>
    <cdr:ext cx="850804" cy="436786"/>
    <cdr:sp macro="" textlink="">
      <cdr:nvSpPr>
        <cdr:cNvPr id="4" name="ZoneTexte 1"/>
        <cdr:cNvSpPr txBox="1"/>
      </cdr:nvSpPr>
      <cdr:spPr>
        <a:xfrm xmlns:a="http://schemas.openxmlformats.org/drawingml/2006/main">
          <a:off x="5720455" y="711042"/>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drawings/drawing14.xml><?xml version="1.0" encoding="utf-8"?>
<xdr:wsDr xmlns:xdr="http://schemas.openxmlformats.org/drawingml/2006/spreadsheetDrawing" xmlns:a="http://schemas.openxmlformats.org/drawingml/2006/main">
  <xdr:twoCellAnchor>
    <xdr:from>
      <xdr:col>0</xdr:col>
      <xdr:colOff>164043</xdr:colOff>
      <xdr:row>11</xdr:row>
      <xdr:rowOff>8466</xdr:rowOff>
    </xdr:from>
    <xdr:to>
      <xdr:col>4</xdr:col>
      <xdr:colOff>122465</xdr:colOff>
      <xdr:row>30</xdr:row>
      <xdr:rowOff>95250</xdr:rowOff>
    </xdr:to>
    <xdr:graphicFrame macro="">
      <xdr:nvGraphicFramePr>
        <xdr:cNvPr id="2" name="Graphique 1">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295389</xdr:colOff>
      <xdr:row>11</xdr:row>
      <xdr:rowOff>132631</xdr:rowOff>
    </xdr:from>
    <xdr:to>
      <xdr:col>8</xdr:col>
      <xdr:colOff>340180</xdr:colOff>
      <xdr:row>32</xdr:row>
      <xdr:rowOff>92776</xdr:rowOff>
    </xdr:to>
    <xdr:graphicFrame macro="">
      <xdr:nvGraphicFramePr>
        <xdr:cNvPr id="3" name="Graphique 1">
          <a:extLst>
            <a:ext uri="{FF2B5EF4-FFF2-40B4-BE49-F238E27FC236}">
              <a16:creationId xmlns:a16="http://schemas.microsoft.com/office/drawing/2014/main" id="{00000000-0008-0000-0F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33</xdr:row>
      <xdr:rowOff>0</xdr:rowOff>
    </xdr:from>
    <xdr:to>
      <xdr:col>3</xdr:col>
      <xdr:colOff>870100</xdr:colOff>
      <xdr:row>52</xdr:row>
      <xdr:rowOff>86784</xdr:rowOff>
    </xdr:to>
    <xdr:graphicFrame macro="">
      <xdr:nvGraphicFramePr>
        <xdr:cNvPr id="4" name="Graphique 3">
          <a:extLst>
            <a:ext uri="{FF2B5EF4-FFF2-40B4-BE49-F238E27FC236}">
              <a16:creationId xmlns:a16="http://schemas.microsoft.com/office/drawing/2014/main" id="{00000000-0008-0000-0F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131346</xdr:colOff>
      <xdr:row>33</xdr:row>
      <xdr:rowOff>124165</xdr:rowOff>
    </xdr:from>
    <xdr:to>
      <xdr:col>8</xdr:col>
      <xdr:colOff>176137</xdr:colOff>
      <xdr:row>54</xdr:row>
      <xdr:rowOff>84310</xdr:rowOff>
    </xdr:to>
    <xdr:graphicFrame macro="">
      <xdr:nvGraphicFramePr>
        <xdr:cNvPr id="5" name="Graphique 1">
          <a:extLst>
            <a:ext uri="{FF2B5EF4-FFF2-40B4-BE49-F238E27FC236}">
              <a16:creationId xmlns:a16="http://schemas.microsoft.com/office/drawing/2014/main" id="{00000000-0008-0000-0F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5.xml><?xml version="1.0" encoding="utf-8"?>
<c:userShapes xmlns:c="http://schemas.openxmlformats.org/drawingml/2006/chart">
  <cdr:absSizeAnchor xmlns:cdr="http://schemas.openxmlformats.org/drawingml/2006/chartDrawing">
    <cdr:from>
      <cdr:x>0.65754</cdr:x>
      <cdr:y>0.55369</cdr:y>
    </cdr:from>
    <cdr:ext cx="796018" cy="436786"/>
    <cdr:sp macro="" textlink="">
      <cdr:nvSpPr>
        <cdr:cNvPr id="4" name="ZoneTexte 1"/>
        <cdr:cNvSpPr txBox="1"/>
      </cdr:nvSpPr>
      <cdr:spPr>
        <a:xfrm xmlns:a="http://schemas.openxmlformats.org/drawingml/2006/main">
          <a:off x="2182630" y="1765836"/>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6.xml><?xml version="1.0" encoding="utf-8"?>
<c:userShapes xmlns:c="http://schemas.openxmlformats.org/drawingml/2006/chart">
  <cdr:absSizeAnchor xmlns:cdr="http://schemas.openxmlformats.org/drawingml/2006/chartDrawing">
    <cdr:from>
      <cdr:x>0.65829</cdr:x>
      <cdr:y>0.30214</cdr:y>
    </cdr:from>
    <cdr:ext cx="850804" cy="436786"/>
    <cdr:sp macro="" textlink="">
      <cdr:nvSpPr>
        <cdr:cNvPr id="4" name="ZoneTexte 1"/>
        <cdr:cNvSpPr txBox="1"/>
      </cdr:nvSpPr>
      <cdr:spPr>
        <a:xfrm xmlns:a="http://schemas.openxmlformats.org/drawingml/2006/main">
          <a:off x="2215110" y="1024007"/>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7.xml><?xml version="1.0" encoding="utf-8"?>
<c:userShapes xmlns:c="http://schemas.openxmlformats.org/drawingml/2006/chart">
  <cdr:absSizeAnchor xmlns:cdr="http://schemas.openxmlformats.org/drawingml/2006/chartDrawing">
    <cdr:from>
      <cdr:x>0.67394</cdr:x>
      <cdr:y>0.54089</cdr:y>
    </cdr:from>
    <cdr:ext cx="796018" cy="436786"/>
    <cdr:sp macro="" textlink="">
      <cdr:nvSpPr>
        <cdr:cNvPr id="4" name="ZoneTexte 1"/>
        <cdr:cNvSpPr txBox="1"/>
      </cdr:nvSpPr>
      <cdr:spPr>
        <a:xfrm xmlns:a="http://schemas.openxmlformats.org/drawingml/2006/main">
          <a:off x="2237059" y="1725014"/>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drawings/drawing18.xml><?xml version="1.0" encoding="utf-8"?>
<c:userShapes xmlns:c="http://schemas.openxmlformats.org/drawingml/2006/chart">
  <cdr:absSizeAnchor xmlns:cdr="http://schemas.openxmlformats.org/drawingml/2006/chartDrawing">
    <cdr:from>
      <cdr:x>0.65829</cdr:x>
      <cdr:y>0.30214</cdr:y>
    </cdr:from>
    <cdr:ext cx="850804" cy="436786"/>
    <cdr:sp macro="" textlink="">
      <cdr:nvSpPr>
        <cdr:cNvPr id="4" name="ZoneTexte 1"/>
        <cdr:cNvSpPr txBox="1"/>
      </cdr:nvSpPr>
      <cdr:spPr>
        <a:xfrm xmlns:a="http://schemas.openxmlformats.org/drawingml/2006/main">
          <a:off x="2215102" y="1023996"/>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file:///O:\RealStats\RealStats%202013%202016.xla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RealStats/RealStats%202013%202016.xla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fig"/>
      <sheetName val="Wilcoxon Table"/>
      <sheetName val="Mann Table"/>
      <sheetName val="Runs Table"/>
      <sheetName val="KS Table"/>
      <sheetName val="KS2 Table"/>
      <sheetName val="Lil Table"/>
      <sheetName val="AD Table"/>
      <sheetName val="SW Table"/>
      <sheetName val="Stud. Q Table"/>
      <sheetName val="Stud. Q Table 2"/>
      <sheetName val="Sp Rho Table"/>
      <sheetName val="Ken Tau Table"/>
      <sheetName val="Durbin Table"/>
      <sheetName val="Dunnett Table"/>
      <sheetName val="Prime"/>
      <sheetName val="RealStats 2013 2016"/>
    </sheetNames>
    <definedNames>
      <definedName name="MTEST"/>
      <definedName name="SWTEST"/>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fig"/>
      <sheetName val="Wilcoxon Table"/>
      <sheetName val="Mann Table"/>
      <sheetName val="Runs Table"/>
      <sheetName val="KS Table"/>
      <sheetName val="KS2 Table"/>
      <sheetName val="Lil Table"/>
      <sheetName val="AD Table"/>
      <sheetName val="SW Table"/>
      <sheetName val="Stud. Q Table"/>
      <sheetName val="Stud. Q Table 2"/>
      <sheetName val="Sp Rho Table"/>
      <sheetName val="Ken Tau Table"/>
      <sheetName val="Durbin Table"/>
      <sheetName val="Dunnett Table"/>
      <sheetName val="Prime"/>
      <sheetName val="RealStats 2013 2016"/>
    </sheetNames>
    <definedNames>
      <definedName name="DPTEST"/>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487.632059143521" createdVersion="5" refreshedVersion="7" minRefreshableVersion="3" recordCount="1556" xr:uid="{00000000-000A-0000-FFFF-FFFF0C000000}">
  <cacheSource type="worksheet">
    <worksheetSource name="Tableau4"/>
  </cacheSource>
  <cacheFields count="10">
    <cacheField name="Nom groupe" numFmtId="0">
      <sharedItems containsBlank="1" count="23">
        <s v="1"/>
        <s v=""/>
        <s v="13"/>
        <s v="14"/>
        <s v="15"/>
        <s v="16"/>
        <s v="2"/>
        <s v="3"/>
        <s v="4"/>
        <s v="5"/>
        <s v="6"/>
        <s v="7"/>
        <s v="10"/>
        <s v="11"/>
        <s v="12"/>
        <s v="17"/>
        <s v="18"/>
        <s v="19"/>
        <s v="20"/>
        <s v="21"/>
        <s v="8"/>
        <s v="9"/>
        <m u="1"/>
      </sharedItems>
    </cacheField>
    <cacheField name="N° de valeur" numFmtId="0">
      <sharedItems count="10">
        <s v="A"/>
        <s v="B"/>
        <s v="C"/>
        <s v="D"/>
        <s v="E"/>
        <s v="F"/>
        <s v="G"/>
        <s v="H"/>
        <e v="#VALUE!"/>
        <s v=" "/>
      </sharedItems>
    </cacheField>
    <cacheField name="file name" numFmtId="0">
      <sharedItems containsBlank="1"/>
    </cacheField>
    <cacheField name=" total area " numFmtId="0">
      <sharedItems containsBlank="1" containsMixedTypes="1" containsNumber="1" containsInteger="1" minValue="0" maxValue="0"/>
    </cacheField>
    <cacheField name=" mean intensity " numFmtId="0">
      <sharedItems containsBlank="1" containsMixedTypes="1" containsNumber="1" containsInteger="1" minValue="0" maxValue="35"/>
    </cacheField>
    <cacheField name=" " numFmtId="0">
      <sharedItems containsBlank="1" count="24">
        <s v=" "/>
        <m/>
        <s v=" SD mean fluo "/>
        <s v=" 3.4538 "/>
        <s v=" 3.3678 "/>
        <s v=" 2.9528 "/>
        <s v=" 3.8636 "/>
        <s v=" 7.6125 "/>
        <s v=" 10.7565 "/>
        <s v=" 7.1955 "/>
        <s v=" 3.3163 "/>
        <s v=" 3.1456 "/>
        <s v=" 7.1074 "/>
        <s v=" 3.8432 "/>
        <s v=" 3.4206 "/>
        <s v=" 4.6325 "/>
        <s v=" 4.493 "/>
        <s v=" 12.0165 "/>
        <s v=" 5.0229 "/>
        <s v=" 4.8254 "/>
        <s v=" 3.8657 "/>
        <s v=" 6.5749 "/>
        <s v=" 8.0032 "/>
        <s v=" 13.1873 "/>
      </sharedItems>
    </cacheField>
    <cacheField name=" total fluorescence" numFmtId="0">
      <sharedItems containsBlank="1" containsMixedTypes="1" containsNumber="1" containsInteger="1" minValue="0" maxValue="6667675"/>
    </cacheField>
    <cacheField name="         " numFmtId="0">
      <sharedItems containsBlank="1"/>
    </cacheField>
    <cacheField name="nbre de larves" numFmtId="0">
      <sharedItems containsBlank="1" containsMixedTypes="1" containsNumber="1" containsInteger="1" minValue="21" maxValue="24"/>
    </cacheField>
    <cacheField name="Colonne1" numFmtId="0">
      <sharedItems containsBlank="1" containsMixedTypes="1" containsNumber="1" containsInteger="1" minValue="24" maxValue="24"/>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487.632059490737" createdVersion="5" refreshedVersion="7" minRefreshableVersion="3" recordCount="1530" xr:uid="{00000000-000A-0000-FFFF-FFFF10000000}">
  <cacheSource type="worksheet">
    <worksheetSource name="Tableau46"/>
  </cacheSource>
  <cacheFields count="10">
    <cacheField name="Nom groupe" numFmtId="0">
      <sharedItems count="22">
        <s v="1"/>
        <s v=""/>
        <s v="13"/>
        <s v="14"/>
        <s v="15"/>
        <s v="16"/>
        <s v="2"/>
        <s v="3"/>
        <s v="4"/>
        <s v="5"/>
        <s v="6"/>
        <s v="7"/>
        <s v="10"/>
        <s v="11"/>
        <s v="12"/>
        <s v="17"/>
        <s v="18"/>
        <s v="19"/>
        <s v="20"/>
        <s v="21"/>
        <s v="8"/>
        <s v="9"/>
      </sharedItems>
    </cacheField>
    <cacheField name="N° de valeur" numFmtId="0">
      <sharedItems count="10">
        <s v="A"/>
        <s v="B"/>
        <s v="C"/>
        <s v="D"/>
        <s v="E"/>
        <s v="F"/>
        <s v="G"/>
        <s v="H"/>
        <e v="#VALUE!"/>
        <s v=" "/>
      </sharedItems>
    </cacheField>
    <cacheField name="file name" numFmtId="0">
      <sharedItems containsBlank="1"/>
    </cacheField>
    <cacheField name=" total area " numFmtId="0">
      <sharedItems containsBlank="1" containsMixedTypes="1" containsNumber="1" containsInteger="1" minValue="0" maxValue="0"/>
    </cacheField>
    <cacheField name=" mean intensity " numFmtId="0">
      <sharedItems containsBlank="1" containsMixedTypes="1" containsNumber="1" containsInteger="1" minValue="0" maxValue="38"/>
    </cacheField>
    <cacheField name=" " numFmtId="0">
      <sharedItems containsBlank="1" count="24">
        <s v=" "/>
        <m/>
        <s v=" SD mean fluo "/>
        <s v=" 16.0025 "/>
        <s v=" 3.9433 "/>
        <s v=" 5.0494 "/>
        <s v=" 5.3066 "/>
        <s v=" 8.3269 "/>
        <s v=" 14.3091 "/>
        <s v=" 12.3743 "/>
        <s v=" 12.3707 "/>
        <s v=" 15.9608 "/>
        <s v=" 2.6848 "/>
        <s v=" 3.0301 "/>
        <s v=" 10.7757 "/>
        <s v=" 5.7005 "/>
        <s v=" 7.7691 "/>
        <s v=" 4.2736 "/>
        <s v=" 4.4025 "/>
        <s v=" 5.3808 "/>
        <s v=" 6.8267 "/>
        <s v=" 5.8342 "/>
        <s v=" 3.9906 "/>
        <s v=" 3.1658 "/>
      </sharedItems>
    </cacheField>
    <cacheField name=" total fluorescence" numFmtId="0">
      <sharedItems containsBlank="1" containsMixedTypes="1" containsNumber="1" containsInteger="1" minValue="0" maxValue="6160043"/>
    </cacheField>
    <cacheField name="         " numFmtId="0">
      <sharedItems containsBlank="1"/>
    </cacheField>
    <cacheField name="nbre de larves" numFmtId="0">
      <sharedItems containsBlank="1" containsMixedTypes="1" containsNumber="1" containsInteger="1" minValue="17" maxValue="24"/>
    </cacheField>
    <cacheField name="Colonne1" numFmtId="0">
      <sharedItems containsBlank="1" containsMixedTypes="1" containsNumber="1" containsInteger="1" minValue="24" maxValue="24"/>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487.632059606483" createdVersion="5" refreshedVersion="7" minRefreshableVersion="3" recordCount="1710" xr:uid="{00000000-000A-0000-FFFF-FFFF14000000}">
  <cacheSource type="worksheet">
    <worksheetSource name="Tableau467"/>
  </cacheSource>
  <cacheFields count="10">
    <cacheField name="Nom groupe" numFmtId="0">
      <sharedItems count="22">
        <s v="1"/>
        <s v=""/>
        <s v="13"/>
        <s v="14"/>
        <s v="15"/>
        <s v="16"/>
        <s v="2"/>
        <s v="3"/>
        <s v="4"/>
        <s v="5"/>
        <s v="6"/>
        <s v="7"/>
        <s v="10"/>
        <s v="11"/>
        <s v="12"/>
        <s v="17"/>
        <s v="18"/>
        <s v="19"/>
        <s v="20"/>
        <s v="21"/>
        <s v="8"/>
        <s v="9"/>
      </sharedItems>
    </cacheField>
    <cacheField name="N° de valeur" numFmtId="0">
      <sharedItems count="10">
        <s v="A"/>
        <s v="B"/>
        <s v="C"/>
        <s v="D"/>
        <s v="E"/>
        <s v="F"/>
        <s v="G"/>
        <s v="H"/>
        <e v="#VALUE!"/>
        <s v=" "/>
      </sharedItems>
    </cacheField>
    <cacheField name="file name" numFmtId="0">
      <sharedItems containsBlank="1"/>
    </cacheField>
    <cacheField name=" total area " numFmtId="0">
      <sharedItems containsBlank="1" containsMixedTypes="1" containsNumber="1" containsInteger="1" minValue="0" maxValue="0"/>
    </cacheField>
    <cacheField name=" mean intensity " numFmtId="0">
      <sharedItems containsBlank="1" containsMixedTypes="1" containsNumber="1" containsInteger="1" minValue="0" maxValue="39"/>
    </cacheField>
    <cacheField name=" " numFmtId="0">
      <sharedItems containsBlank="1" count="24">
        <s v=" "/>
        <m/>
        <s v=" SD mean fluo "/>
        <s v=" 15.0189 "/>
        <s v=" 3.907 "/>
        <s v=" 4.621 "/>
        <s v=" 5.3336 "/>
        <s v=" 15.455 "/>
        <s v=" 4.2809 "/>
        <s v=" 11.3424 "/>
        <s v=" 1.733 "/>
        <s v=" 3.563 "/>
        <s v=" 7.9484 "/>
        <s v=" 4.0827 "/>
        <s v=" 3.128 "/>
        <s v=" 3.8104 "/>
        <s v=" 2.9733 "/>
        <s v=" 3.2721 "/>
        <s v=" 3.927 "/>
        <s v=" 6.0396 "/>
        <s v=" 5.9986 "/>
        <s v=" 5.9977 "/>
        <s v=" 8.833 "/>
        <s v=" 10.5304 "/>
      </sharedItems>
    </cacheField>
    <cacheField name=" total fluorescence" numFmtId="0">
      <sharedItems containsBlank="1" containsMixedTypes="1" containsNumber="1" containsInteger="1" minValue="0" maxValue="6172372"/>
    </cacheField>
    <cacheField name="         " numFmtId="0">
      <sharedItems containsBlank="1"/>
    </cacheField>
    <cacheField name="nbre de larves" numFmtId="0">
      <sharedItems containsBlank="1" containsMixedTypes="1" containsNumber="1" containsInteger="1" minValue="20" maxValue="24"/>
    </cacheField>
    <cacheField name="Colonne1" numFmtId="0">
      <sharedItems containsBlank="1" containsMixedTypes="1" containsNumber="1" containsInteger="1" minValue="24" maxValue="24"/>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487.632059953707" createdVersion="6" refreshedVersion="7" minRefreshableVersion="3" recordCount="52" xr:uid="{8DEF666A-6C7D-4C16-AD6D-82242760D5D9}">
  <cacheSource type="worksheet">
    <worksheetSource name="liste_groupe"/>
  </cacheSource>
  <cacheFields count="6">
    <cacheField name="Nom sur le graphique" numFmtId="0">
      <sharedItems count="23">
        <s v="Témoin solvant"/>
        <s v="EE2-22,5ng/L"/>
        <s v="EE2-33,8ng/L"/>
        <s v="EE2-50,6ng/L"/>
        <s v="EE2-76ng/L"/>
        <s v="EE2-114ng/L"/>
        <s v="EE2-170,9ng/L"/>
        <s v="EE2-488ng/L"/>
        <s v="17ß-estradiol 34ng/L"/>
        <s v="17ß-estradiol 68ng/L"/>
        <s v="17ß-estradiol 135ng/L"/>
        <s v="17ß-estradiol 270ng/L"/>
        <s v="17ß-estradiol 540ng/L"/>
        <s v=" "/>
        <s v="Testo -30µg/L"/>
        <s v="Testo 30µg/L + EE2 -64ng/L"/>
        <s v="Testo 30µg/L + FAD-10mg/L"/>
        <s v="17ß estradiol-34ng/L + Testostérone"/>
        <s v="17ß estradiol-68ng/L + Testostérone"/>
        <s v="17ß estradiol-135ng/L + Testostérone"/>
        <s v="17ß estradiol-270ng/L + Testostérone"/>
        <s v="17ß estradiol-540ng/L + Testostérone"/>
        <s v="0-00 + Testostérone"/>
      </sharedItems>
    </cacheField>
    <cacheField name="Code WF" numFmtId="0">
      <sharedItems containsBlank="1" containsMixedTypes="1" containsNumber="1" containsInteger="1" minValue="0" maxValue="0" count="3">
        <s v="Témoin"/>
        <m/>
        <n v="0"/>
      </sharedItems>
    </cacheField>
    <cacheField name="Concentration" numFmtId="0">
      <sharedItems containsString="0" containsBlank="1" containsNumber="1" minValue="0" maxValue="540"/>
    </cacheField>
    <cacheField name="Unité" numFmtId="0">
      <sharedItems containsBlank="1" containsMixedTypes="1" containsNumber="1" containsInteger="1" minValue="0" maxValue="0"/>
    </cacheField>
    <cacheField name="Nom de l'échantillon donné par le client" numFmtId="0">
      <sharedItems containsBlank="1" containsMixedTypes="1" containsNumber="1" containsInteger="1" minValue="0" maxValue="0"/>
    </cacheField>
    <cacheField name="Dopage (+Testostérone / + EE2, ….)" numFmtId="0">
      <sharedItems containsBlank="1" count="2">
        <m/>
        <s v=" + Testostérone"/>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6">
  <r>
    <x v="0"/>
    <x v="0"/>
    <s v="C:\Users\andre\Desktop\REACTIV CEFAS\E2\E2/20201116_Cefas_Test6-Run1/Plate 1/@1/A10_01.tif "/>
    <s v=" 9473.8938 "/>
    <s v=" 38.9132 "/>
    <x v="0"/>
    <n v="368660"/>
    <m/>
    <m/>
    <m/>
  </r>
  <r>
    <x v="0"/>
    <x v="0"/>
    <s v="C:\Users\andre\Desktop\REACTIV CEFAS\E2\E2/20201116_Cefas_Test6-Run1/Plate 1/@1/A10_02.tif "/>
    <s v=" 2746.9966 "/>
    <s v=" 38.8819 "/>
    <x v="0"/>
    <n v="106808"/>
    <m/>
    <m/>
    <m/>
  </r>
  <r>
    <x v="0"/>
    <x v="0"/>
    <s v="C:\Users\andre\Desktop\REACTIV CEFAS\E2\E2/20201116_Cefas_Test6-Run1/Plate 1/@1/A10_03.tif "/>
    <s v=" 4563.9078 "/>
    <s v=" 33.7488 "/>
    <x v="0"/>
    <n v="154026"/>
    <m/>
    <m/>
    <m/>
  </r>
  <r>
    <x v="0"/>
    <x v="1"/>
    <s v="C:\Users\andre\Desktop\REACTIV CEFAS\E2\E2/20201116_Cefas_Test6-Run1/Plate 1/@1/B10_01.tif "/>
    <s v=" 3741.9718 "/>
    <s v=" 39.4566 "/>
    <x v="0"/>
    <n v="147646"/>
    <m/>
    <m/>
    <m/>
  </r>
  <r>
    <x v="0"/>
    <x v="1"/>
    <s v="C:\Users\andre\Desktop\REACTIV CEFAS\E2\E2/20201116_Cefas_Test6-Run1/Plate 1/@1/B10_02.tif "/>
    <s v=" 5818.4417 "/>
    <s v=" 39.7286 "/>
    <x v="0"/>
    <n v="231159"/>
    <m/>
    <m/>
    <m/>
  </r>
  <r>
    <x v="0"/>
    <x v="1"/>
    <s v="C:\Users\andre\Desktop\REACTIV CEFAS\E2\E2/20201116_Cefas_Test6-Run1/Plate 1/@1/B10_03.tif "/>
    <s v=" 7246.0147 "/>
    <s v=" 37.4627 "/>
    <x v="0"/>
    <n v="271455"/>
    <m/>
    <m/>
    <m/>
  </r>
  <r>
    <x v="0"/>
    <x v="2"/>
    <s v="C:\Users\andre\Desktop\REACTIV CEFAS\E2\E2/20201116_Cefas_Test6-Run1/Plate 1/@1/C10_01.tif "/>
    <s v=" 14297.3603 "/>
    <s v=" 43.6263 "/>
    <x v="0"/>
    <n v="623741"/>
    <m/>
    <m/>
    <m/>
  </r>
  <r>
    <x v="0"/>
    <x v="2"/>
    <s v="C:\Users\andre\Desktop\REACTIV CEFAS\E2\E2/20201116_Cefas_Test6-Run1/Plate 1/@1/C10_02.tif "/>
    <s v=" 11398.9545 "/>
    <s v=" 42.8577 "/>
    <x v="0"/>
    <n v="488533"/>
    <m/>
    <m/>
    <m/>
  </r>
  <r>
    <x v="0"/>
    <x v="2"/>
    <s v="C:\Users\andre\Desktop\REACTIV CEFAS\E2\E2/20201116_Cefas_Test6-Run1/Plate 1/@1/C10_03.tif "/>
    <s v=" 3893.381 "/>
    <s v=" 37.2444 "/>
    <x v="0"/>
    <n v="145007"/>
    <m/>
    <m/>
    <m/>
  </r>
  <r>
    <x v="0"/>
    <x v="3"/>
    <s v="C:\Users\andre\Desktop\REACTIV CEFAS\E2\E2/20201116_Cefas_Test6-Run1/Plate 1/@1/D10_01.tif "/>
    <s v=" 10166.0505 "/>
    <s v=" 41.4787 "/>
    <x v="0"/>
    <n v="421675"/>
    <m/>
    <m/>
    <m/>
  </r>
  <r>
    <x v="0"/>
    <x v="3"/>
    <s v="C:\Users\andre\Desktop\REACTIV CEFAS\E2\E2/20201116_Cefas_Test6-Run1/Plate 1/@1/D10_02.tif "/>
    <s v=" 5083.0252 "/>
    <s v=" 40.0809 "/>
    <x v="0"/>
    <n v="203732"/>
    <m/>
    <m/>
    <m/>
  </r>
  <r>
    <x v="0"/>
    <x v="3"/>
    <s v="C:\Users\andre\Desktop\REACTIV CEFAS\E2\E2/20201116_Cefas_Test6-Run1/Plate 1/@1/D10_03.tif "/>
    <s v=" 497.4876 "/>
    <s v=" 31.3043 "/>
    <x v="0"/>
    <n v="15574"/>
    <m/>
    <m/>
    <m/>
  </r>
  <r>
    <x v="0"/>
    <x v="4"/>
    <s v="C:\Users\andre\Desktop\REACTIV CEFAS\E2\E2/20201116_Cefas_Test6-Run1/Plate 1/@1/E10_01.tif "/>
    <s v=" 7332.5343 "/>
    <s v=" 37.8643 "/>
    <x v="0"/>
    <n v="277641"/>
    <m/>
    <m/>
    <m/>
  </r>
  <r>
    <x v="0"/>
    <x v="4"/>
    <s v="C:\Users\andre\Desktop\REACTIV CEFAS\E2\E2/20201116_Cefas_Test6-Run1/Plate 1/@1/E10_02.tif "/>
    <s v=" 7072.9755 "/>
    <s v=" 34.7034 "/>
    <x v="0"/>
    <n v="245456"/>
    <m/>
    <m/>
    <m/>
  </r>
  <r>
    <x v="0"/>
    <x v="4"/>
    <s v="C:\Users\andre\Desktop\REACTIV CEFAS\E2\E2/20201116_Cefas_Test6-Run1/Plate 1/@1/E10_03.tif "/>
    <s v=" 10295.8298 "/>
    <s v=" 35.7563 "/>
    <x v="0"/>
    <n v="368141"/>
    <m/>
    <m/>
    <m/>
  </r>
  <r>
    <x v="0"/>
    <x v="5"/>
    <s v="C:\Users\andre\Desktop\REACTIV CEFAS\E2\E2/20201116_Cefas_Test6-Run1/Plate 1/@1/F10_01.tif "/>
    <s v=" 4996.5057 "/>
    <s v=" 36.4719 "/>
    <x v="0"/>
    <n v="182232"/>
    <m/>
    <m/>
    <m/>
  </r>
  <r>
    <x v="0"/>
    <x v="5"/>
    <s v="C:\Users\andre\Desktop\REACTIV CEFAS\E2\E2/20201116_Cefas_Test6-Run1/Plate 1/@1/F10_02.tif "/>
    <s v=" 2898.4059 "/>
    <s v=" 35.7388 "/>
    <x v="0"/>
    <n v="103586"/>
    <m/>
    <m/>
    <m/>
  </r>
  <r>
    <x v="0"/>
    <x v="5"/>
    <s v="C:\Users\andre\Desktop\REACTIV CEFAS\E2\E2/20201116_Cefas_Test6-Run1/Plate 1/@1/F10_03.tif "/>
    <s v=" 2660.477 "/>
    <s v=" 33.5854 "/>
    <x v="0"/>
    <n v="89353"/>
    <m/>
    <m/>
    <m/>
  </r>
  <r>
    <x v="0"/>
    <x v="6"/>
    <s v="C:\Users\andre\Desktop\REACTIV CEFAS\E2\E2/20201116_Cefas_Test6-Run1/Plate 1/@1/G10_01.tif "/>
    <s v=" 4412.4985 "/>
    <s v=" 37.0343 "/>
    <x v="0"/>
    <n v="163414"/>
    <m/>
    <m/>
    <m/>
  </r>
  <r>
    <x v="0"/>
    <x v="6"/>
    <s v="C:\Users\andre\Desktop\REACTIV CEFAS\E2\E2/20201116_Cefas_Test6-Run1/Plate 1/@1/G10_02.tif "/>
    <s v=" 3655.4522 "/>
    <s v=" 40.3609 "/>
    <x v="0"/>
    <n v="147538"/>
    <m/>
    <m/>
    <m/>
  </r>
  <r>
    <x v="0"/>
    <x v="6"/>
    <s v="C:\Users\andre\Desktop\REACTIV CEFAS\E2\E2/20201116_Cefas_Test6-Run1/Plate 1/@1/G10_03.tif "/>
    <s v=" 43.2598 "/>
    <n v="30"/>
    <x v="0"/>
    <n v="1298"/>
    <m/>
    <m/>
    <m/>
  </r>
  <r>
    <x v="0"/>
    <x v="7"/>
    <s v="C:\Users\andre\Desktop\REACTIV CEFAS\E2\E2/20201116_Cefas_Test6-Run1/Plate 1/@1/H10_01.tif "/>
    <s v=" 1124.7545 "/>
    <s v=" 32.8269 "/>
    <x v="0"/>
    <n v="36922"/>
    <m/>
    <m/>
    <m/>
  </r>
  <r>
    <x v="0"/>
    <x v="7"/>
    <s v="C:\Users\andre\Desktop\REACTIV CEFAS\E2\E2/20201116_Cefas_Test6-Run1/Plate 1/@1/H10_02.tif "/>
    <s v=" 3071.445 "/>
    <s v=" 36.2113 "/>
    <x v="0"/>
    <n v="111221"/>
    <m/>
    <m/>
    <m/>
  </r>
  <r>
    <x v="0"/>
    <x v="7"/>
    <s v="C:\Users\andre\Desktop\REACTIV CEFAS\E2\E2/20201116_Cefas_Test6-Run1/Plate 1/@1/H10_03.tif "/>
    <s v=" 2876.776 "/>
    <s v=" 35.1429 "/>
    <x v="0"/>
    <n v="101098"/>
    <m/>
    <m/>
    <m/>
  </r>
  <r>
    <x v="1"/>
    <x v="8"/>
    <s v=" "/>
    <m/>
    <m/>
    <x v="1"/>
    <m/>
    <m/>
    <m/>
    <m/>
  </r>
  <r>
    <x v="1"/>
    <x v="8"/>
    <s v="group "/>
    <s v=" "/>
    <s v=" mean of mean fluo "/>
    <x v="2"/>
    <s v=" mean of total fluo "/>
    <s v=" SD total fluo "/>
    <s v=" n fluorescent "/>
    <s v=" n total"/>
  </r>
  <r>
    <x v="0"/>
    <x v="9"/>
    <s v="C:\Users\andre\Desktop\REACTIV CEFAS\E2\E2/20201116_Cefas_Test6-Run1/Plate 1/@1/ "/>
    <s v=" "/>
    <s v=" 37.1034 "/>
    <x v="3"/>
    <s v=" 208579.833 "/>
    <s v=" 153416.885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
    <x v="0"/>
    <s v="C:\Users\andre\Desktop\REACTIV CEFAS\E2\E2/20201116_Cefas_Test6-Run1/Plate 1/@13/A8_01.tif "/>
    <s v=" 54658.7437 "/>
    <s v=" 36.9577 "/>
    <x v="0"/>
    <n v="2020059"/>
    <m/>
    <m/>
    <m/>
  </r>
  <r>
    <x v="2"/>
    <x v="0"/>
    <s v="C:\Users\andre\Desktop\REACTIV CEFAS\E2\E2/20201116_Cefas_Test6-Run1/Plate 1/@13/A8_02.tif "/>
    <s v=" 38782.4011 "/>
    <s v=" 34.9927 "/>
    <x v="0"/>
    <n v="1357103"/>
    <m/>
    <m/>
    <m/>
  </r>
  <r>
    <x v="2"/>
    <x v="0"/>
    <s v="C:\Users\andre\Desktop\REACTIV CEFAS\E2\E2/20201116_Cefas_Test6-Run1/Plate 1/@13/A8_03.tif "/>
    <s v=" 47758.8073 "/>
    <s v=" 35.5077 "/>
    <x v="0"/>
    <n v="1695805"/>
    <m/>
    <m/>
    <m/>
  </r>
  <r>
    <x v="2"/>
    <x v="1"/>
    <s v="C:\Users\andre\Desktop\REACTIV CEFAS\E2\E2/20201116_Cefas_Test6-Run1/Plate 1/@13/B8_01.tif "/>
    <s v=" 994.9752 "/>
    <s v=" 31.6957 "/>
    <x v="0"/>
    <n v="31536"/>
    <m/>
    <m/>
    <m/>
  </r>
  <r>
    <x v="2"/>
    <x v="1"/>
    <s v="C:\Users\andre\Desktop\REACTIV CEFAS\E2\E2/20201116_Cefas_Test6-Run1/Plate 1/@13/B8_02.tif "/>
    <s v=" 1427.573 "/>
    <s v=" 31.1061 "/>
    <x v="0"/>
    <n v="44406"/>
    <m/>
    <m/>
    <m/>
  </r>
  <r>
    <x v="2"/>
    <x v="1"/>
    <s v="C:\Users\andre\Desktop\REACTIV CEFAS\E2\E2/20201116_Cefas_Test6-Run1/Plate 1/@13/B8_03.tif "/>
    <s v=" 4455.7583 "/>
    <s v=" 31.7184 "/>
    <x v="0"/>
    <n v="141330"/>
    <m/>
    <m/>
    <m/>
  </r>
  <r>
    <x v="2"/>
    <x v="2"/>
    <s v="C:\Users\andre\Desktop\REACTIV CEFAS\E2\E2/20201116_Cefas_Test6-Run1/Plate 1/@13/C8_01.tif "/>
    <s v=" 47196.4301 "/>
    <s v=" 36.9418 "/>
    <x v="0"/>
    <n v="1743521"/>
    <m/>
    <m/>
    <m/>
  </r>
  <r>
    <x v="2"/>
    <x v="2"/>
    <s v="C:\Users\andre\Desktop\REACTIV CEFAS\E2\E2/20201116_Cefas_Test6-Run1/Plate 1/@13/C8_02.tif "/>
    <s v=" 34045.4541 "/>
    <s v=" 34.6499 "/>
    <x v="0"/>
    <n v="1179673"/>
    <m/>
    <m/>
    <m/>
  </r>
  <r>
    <x v="2"/>
    <x v="2"/>
    <s v="C:\Users\andre\Desktop\REACTIV CEFAS\E2\E2/20201116_Cefas_Test6-Run1/Plate 1/@13/C8_03.tif "/>
    <s v=" 41983.6255 "/>
    <s v=" 36.1783 "/>
    <x v="0"/>
    <n v="1518894"/>
    <m/>
    <m/>
    <m/>
  </r>
  <r>
    <x v="2"/>
    <x v="3"/>
    <s v="C:\Users\andre\Desktop\REACTIV CEFAS\E2\E2/20201116_Cefas_Test6-Run1/Plate 1/@13/D8_01.tif "/>
    <s v=" 24528.3005 "/>
    <s v=" 33.0467 "/>
    <x v="0"/>
    <n v="810580"/>
    <m/>
    <m/>
    <m/>
  </r>
  <r>
    <x v="2"/>
    <x v="3"/>
    <s v="C:\Users\andre\Desktop\REACTIV CEFAS\E2\E2/20201116_Cefas_Test6-Run1/Plate 1/@13/D8_02- exclu.tif"/>
    <m/>
    <m/>
    <x v="1"/>
    <m/>
    <m/>
    <m/>
    <m/>
  </r>
  <r>
    <x v="2"/>
    <x v="3"/>
    <s v="C:\Users\andre\Desktop\REACTIV CEFAS\E2\E2/20201116_Cefas_Test6-Run1/Plate 1/@13/D8_03.tif "/>
    <s v=" 37679.2764 "/>
    <s v=" 34.7365 "/>
    <x v="0"/>
    <n v="1308847"/>
    <m/>
    <m/>
    <m/>
  </r>
  <r>
    <x v="2"/>
    <x v="4"/>
    <s v="C:\Users\andre\Desktop\REACTIV CEFAS\E2\E2/20201116_Cefas_Test6-Run1/Plate 1/@13/E8_01.tif "/>
    <s v=" 14340.6201 "/>
    <s v=" 34.0332 "/>
    <x v="0"/>
    <n v="488057"/>
    <m/>
    <m/>
    <m/>
  </r>
  <r>
    <x v="2"/>
    <x v="4"/>
    <s v="C:\Users\andre\Desktop\REACTIV CEFAS\E2\E2/20201116_Cefas_Test6-Run1/Plate 1/@13/E8_02.tif "/>
    <s v=" 9300.8547 "/>
    <s v=" 32.8163 "/>
    <x v="0"/>
    <n v="305219"/>
    <m/>
    <m/>
    <m/>
  </r>
  <r>
    <x v="2"/>
    <x v="4"/>
    <s v="C:\Users\andre\Desktop\REACTIV CEFAS\E2\E2/20201116_Cefas_Test6-Run1/Plate 1/@13/E8_03.tif "/>
    <s v=" 6683.6374 "/>
    <s v=" 32.7217 "/>
    <x v="0"/>
    <n v="218700"/>
    <m/>
    <m/>
    <m/>
  </r>
  <r>
    <x v="2"/>
    <x v="5"/>
    <s v="C:\Users\andre\Desktop\REACTIV CEFAS\E2\E2/20201116_Cefas_Test6-Run1/Plate 1/@13/F8_01.tif "/>
    <s v=" 57405.7403 "/>
    <s v=" 39.8425 "/>
    <x v="0"/>
    <n v="2287188"/>
    <m/>
    <m/>
    <m/>
  </r>
  <r>
    <x v="2"/>
    <x v="5"/>
    <s v="C:\Users\andre\Desktop\REACTIV CEFAS\E2\E2/20201116_Cefas_Test6-Run1/Plate 1/@13/F8_02.tif "/>
    <s v=" 42978.6006 "/>
    <s v=" 37.4459 "/>
    <x v="0"/>
    <n v="1609372"/>
    <m/>
    <m/>
    <m/>
  </r>
  <r>
    <x v="2"/>
    <x v="5"/>
    <s v="C:\Users\andre\Desktop\REACTIV CEFAS\E2\E2/20201116_Cefas_Test6-Run1/Plate 1/@13/F8_03.tif "/>
    <s v=" 56194.4662 "/>
    <s v=" 40.0481 "/>
    <x v="0"/>
    <n v="2250482"/>
    <m/>
    <m/>
    <m/>
  </r>
  <r>
    <x v="2"/>
    <x v="6"/>
    <s v="C:\Users\andre\Desktop\REACTIV CEFAS\E2\E2/20201116_Cefas_Test6-Run1/Plate 1/@13/G8_01.tif "/>
    <s v=" 129.7794 "/>
    <s v=" 31.3333 "/>
    <x v="0"/>
    <n v="4066"/>
    <m/>
    <m/>
    <m/>
  </r>
  <r>
    <x v="2"/>
    <x v="6"/>
    <s v="C:\Users\andre\Desktop\REACTIV CEFAS\E2\E2/20201116_Cefas_Test6-Run1/Plate 1/@13/G8_02.tif "/>
    <s v=" 1838.541 "/>
    <s v=" 34.6 "/>
    <x v="0"/>
    <n v="63614"/>
    <m/>
    <m/>
    <m/>
  </r>
  <r>
    <x v="2"/>
    <x v="6"/>
    <s v="C:\Users\andre\Desktop\REACTIV CEFAS\E2\E2/20201116_Cefas_Test6-Run1/Plate 1/@13/G8_03.tif "/>
    <s v=" 216.2989 "/>
    <s v=" 31.4 "/>
    <x v="0"/>
    <n v="6792"/>
    <m/>
    <m/>
    <m/>
  </r>
  <r>
    <x v="2"/>
    <x v="7"/>
    <s v="C:\Users\andre\Desktop\REACTIV CEFAS\E2\E2/20201116_Cefas_Test6-Run1/Plate 1/@13/H8_01.tif "/>
    <s v=" 13670.0934 "/>
    <s v=" 35.4589 "/>
    <x v="0"/>
    <n v="484726"/>
    <m/>
    <m/>
    <m/>
  </r>
  <r>
    <x v="2"/>
    <x v="7"/>
    <s v="C:\Users\andre\Desktop\REACTIV CEFAS\E2\E2/20201116_Cefas_Test6-Run1/Plate 1/@13/H8_02- exclu.tif"/>
    <m/>
    <m/>
    <x v="1"/>
    <m/>
    <m/>
    <m/>
    <m/>
  </r>
  <r>
    <x v="2"/>
    <x v="7"/>
    <s v="C:\Users\andre\Desktop\REACTIV CEFAS\E2\E2/20201116_Cefas_Test6-Run1/Plate 1/@13/H8_03- exclu.tif"/>
    <m/>
    <m/>
    <x v="1"/>
    <m/>
    <m/>
    <m/>
    <m/>
  </r>
  <r>
    <x v="1"/>
    <x v="8"/>
    <s v=" "/>
    <m/>
    <m/>
    <x v="1"/>
    <m/>
    <m/>
    <m/>
    <m/>
  </r>
  <r>
    <x v="1"/>
    <x v="8"/>
    <s v="group "/>
    <s v=" "/>
    <s v=" mean of mean fluo "/>
    <x v="2"/>
    <s v=" mean of total fluo "/>
    <s v=" SD total fluo "/>
    <s v=" n fluorescent "/>
    <s v=" n total"/>
  </r>
  <r>
    <x v="2"/>
    <x v="9"/>
    <s v="C:\Users\andre\Desktop\REACTIV CEFAS\E2\E2/20201116_Cefas_Test6-Run1/Plate 1/@13/ "/>
    <s v=" "/>
    <s v=" 35.253 "/>
    <x v="4"/>
    <s v=" 899741.375 "/>
    <s v=" 764905.496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3"/>
    <x v="0"/>
    <s v="C:\Users\andre\Desktop\REACTIV CEFAS\E2\E2/20201116_Cefas_Test6-Run1/Plate 1/@14/A9_01.tif "/>
    <s v=" 2422.5482 "/>
    <s v=" 34.5179 "/>
    <x v="0"/>
    <n v="83621"/>
    <m/>
    <m/>
    <m/>
  </r>
  <r>
    <x v="3"/>
    <x v="0"/>
    <s v="C:\Users\andre\Desktop\REACTIV CEFAS\E2\E2/20201116_Cefas_Test6-Run1/Plate 1/@14/A9_02.tif "/>
    <s v=" 3049.8151 "/>
    <s v=" 39.5887 "/>
    <x v="0"/>
    <n v="120738"/>
    <m/>
    <m/>
    <m/>
  </r>
  <r>
    <x v="3"/>
    <x v="0"/>
    <s v="C:\Users\andre\Desktop\REACTIV CEFAS\E2\E2/20201116_Cefas_Test6-Run1/Plate 1/@14/A9_03.tif "/>
    <s v=" 151.4093 "/>
    <s v=" 30.8571 "/>
    <x v="0"/>
    <n v="4672"/>
    <m/>
    <m/>
    <m/>
  </r>
  <r>
    <x v="3"/>
    <x v="1"/>
    <s v="C:\Users\andre\Desktop\REACTIV CEFAS\E2\E2/20201116_Cefas_Test6-Run1/Plate 1/@14/B9_01.tif "/>
    <s v=" 3049.8151 "/>
    <s v=" 33.7589 "/>
    <x v="0"/>
    <n v="102958"/>
    <m/>
    <m/>
    <m/>
  </r>
  <r>
    <x v="3"/>
    <x v="1"/>
    <s v="C:\Users\andre\Desktop\REACTIV CEFAS\E2\E2/20201116_Cefas_Test6-Run1/Plate 1/@14/B9_02.tif "/>
    <s v=" 1384.3133 "/>
    <s v=" 31.4531 "/>
    <x v="0"/>
    <n v="43541"/>
    <m/>
    <m/>
    <m/>
  </r>
  <r>
    <x v="3"/>
    <x v="1"/>
    <s v="C:\Users\andre\Desktop\REACTIV CEFAS\E2\E2/20201116_Cefas_Test6-Run1/Plate 1/@14/B9_03.tif "/>
    <s v=" 1730.3916 "/>
    <s v=" 32.25 "/>
    <x v="0"/>
    <n v="55805"/>
    <m/>
    <m/>
    <m/>
  </r>
  <r>
    <x v="3"/>
    <x v="2"/>
    <s v="C:\Users\andre\Desktop\REACTIV CEFAS\E2\E2/20201116_Cefas_Test6-Run1/Plate 1/@14/C9_01.tif "/>
    <s v=" 44060.0954 "/>
    <s v=" 38.1816 "/>
    <x v="0"/>
    <n v="1682287"/>
    <m/>
    <m/>
    <m/>
  </r>
  <r>
    <x v="3"/>
    <x v="2"/>
    <s v="C:\Users\andre\Desktop\REACTIV CEFAS\E2\E2/20201116_Cefas_Test6-Run1/Plate 1/@14/C9_02.tif "/>
    <s v=" 45509.2983 "/>
    <s v=" 38.9187 "/>
    <x v="0"/>
    <n v="1771164"/>
    <m/>
    <m/>
    <m/>
  </r>
  <r>
    <x v="3"/>
    <x v="2"/>
    <s v="C:\Users\andre\Desktop\REACTIV CEFAS\E2\E2/20201116_Cefas_Test6-Run1/Plate 1/@14/C9_03.tif "/>
    <s v=" 46547.5332 "/>
    <s v=" 40.0316 "/>
    <x v="0"/>
    <n v="1863372"/>
    <m/>
    <m/>
    <m/>
  </r>
  <r>
    <x v="3"/>
    <x v="3"/>
    <s v="C:\Users\andre\Desktop\REACTIV CEFAS\E2\E2/20201116_Cefas_Test6-Run1/Plate 1/@14/D9_01- exclu.tif"/>
    <m/>
    <m/>
    <x v="1"/>
    <m/>
    <m/>
    <m/>
    <m/>
  </r>
  <r>
    <x v="3"/>
    <x v="3"/>
    <s v="C:\Users\andre\Desktop\REACTIV CEFAS\E2\E2/20201116_Cefas_Test6-Run1/Plate 1/@14/D9_02- exclu.tif"/>
    <m/>
    <m/>
    <x v="1"/>
    <m/>
    <m/>
    <m/>
    <m/>
  </r>
  <r>
    <x v="3"/>
    <x v="3"/>
    <s v="C:\Users\andre\Desktop\REACTIV CEFAS\E2\E2/20201116_Cefas_Test6-Run1/Plate 1/@14/D9_03- exclu.tif"/>
    <m/>
    <m/>
    <x v="1"/>
    <m/>
    <m/>
    <m/>
    <m/>
  </r>
  <r>
    <x v="3"/>
    <x v="4"/>
    <s v="C:\Users\andre\Desktop\REACTIV CEFAS\E2\E2/20201116_Cefas_Test6-Run1/Plate 1/@14/E9_01.tif "/>
    <s v=" 16114.2715 "/>
    <s v=" 32.5732 "/>
    <x v="0"/>
    <n v="524893"/>
    <m/>
    <m/>
    <m/>
  </r>
  <r>
    <x v="3"/>
    <x v="4"/>
    <s v="C:\Users\andre\Desktop\REACTIV CEFAS\E2\E2/20201116_Cefas_Test6-Run1/Plate 1/@14/E9_02.tif "/>
    <s v=" 8760.1073 "/>
    <s v=" 31.6691 "/>
    <x v="0"/>
    <n v="277425"/>
    <m/>
    <m/>
    <m/>
  </r>
  <r>
    <x v="3"/>
    <x v="4"/>
    <s v="C:\Users\andre\Desktop\REACTIV CEFAS\E2\E2/20201116_Cefas_Test6-Run1/Plate 1/@14/E9_03.tif "/>
    <s v=" 10447.2391 "/>
    <s v=" 31.9379 "/>
    <x v="0"/>
    <n v="333663"/>
    <m/>
    <m/>
    <m/>
  </r>
  <r>
    <x v="3"/>
    <x v="5"/>
    <s v="C:\Users\andre\Desktop\REACTIV CEFAS\E2\E2/20201116_Cefas_Test6-Run1/Plate 1/@14/F9_01.tif "/>
    <s v=" 13324.0151 "/>
    <s v=" 33.2451 "/>
    <x v="0"/>
    <n v="442959"/>
    <m/>
    <m/>
    <m/>
  </r>
  <r>
    <x v="3"/>
    <x v="5"/>
    <s v="C:\Users\andre\Desktop\REACTIV CEFAS\E2\E2/20201116_Cefas_Test6-Run1/Plate 1/@14/F9_02.tif "/>
    <s v=" 15184.186 "/>
    <s v=" 33.584 "/>
    <x v="0"/>
    <n v="509946"/>
    <m/>
    <m/>
    <m/>
  </r>
  <r>
    <x v="3"/>
    <x v="5"/>
    <s v="C:\Users\andre\Desktop\REACTIV CEFAS\E2\E2/20201116_Cefas_Test6-Run1/Plate 1/@14/F9_03.tif "/>
    <s v=" 18861.2681 "/>
    <s v=" 33.836 "/>
    <x v="0"/>
    <n v="638190"/>
    <m/>
    <m/>
    <m/>
  </r>
  <r>
    <x v="3"/>
    <x v="6"/>
    <s v="C:\Users\andre\Desktop\REACTIV CEFAS\E2\E2/20201116_Cefas_Test6-Run1/Plate 1/@14/G9_01.tif "/>
    <s v=" 6575.488 "/>
    <s v=" 36.1447 "/>
    <x v="0"/>
    <n v="237669"/>
    <m/>
    <m/>
    <m/>
  </r>
  <r>
    <x v="3"/>
    <x v="6"/>
    <s v="C:\Users\andre\Desktop\REACTIV CEFAS\E2\E2/20201116_Cefas_Test6-Run1/Plate 1/@14/G9_02.tif "/>
    <s v=" 4109.68 "/>
    <s v=" 34.9895 "/>
    <x v="0"/>
    <n v="143796"/>
    <m/>
    <m/>
    <m/>
  </r>
  <r>
    <x v="3"/>
    <x v="6"/>
    <s v="C:\Users\andre\Desktop\REACTIV CEFAS\E2\E2/20201116_Cefas_Test6-Run1/Plate 1/@14/G9_03.tif "/>
    <s v=" 4758.5768 "/>
    <s v=" 36.7727 "/>
    <x v="0"/>
    <n v="174986"/>
    <m/>
    <m/>
    <m/>
  </r>
  <r>
    <x v="3"/>
    <x v="7"/>
    <s v="C:\Users\andre\Desktop\REACTIV CEFAS\E2\E2/20201116_Cefas_Test6-Run1/Plate 1/@14/H9_01.tif "/>
    <s v=" 18969.4176 "/>
    <s v=" 32.7241 "/>
    <x v="0"/>
    <n v="620756"/>
    <m/>
    <m/>
    <m/>
  </r>
  <r>
    <x v="3"/>
    <x v="7"/>
    <s v="C:\Users\andre\Desktop\REACTIV CEFAS\E2\E2/20201116_Cefas_Test6-Run1/Plate 1/@14/H9_02.tif "/>
    <s v=" 26280.322 "/>
    <s v=" 33.8543 "/>
    <x v="0"/>
    <n v="889702"/>
    <m/>
    <m/>
    <m/>
  </r>
  <r>
    <x v="3"/>
    <x v="7"/>
    <s v="C:\Users\andre\Desktop\REACTIV CEFAS\E2\E2/20201116_Cefas_Test6-Run1/Plate 1/@14/H9_03.tif "/>
    <s v=" 17065.9869 "/>
    <s v=" 33.4081 "/>
    <x v="0"/>
    <n v="570142"/>
    <m/>
    <m/>
    <m/>
  </r>
  <r>
    <x v="1"/>
    <x v="8"/>
    <s v=" "/>
    <m/>
    <m/>
    <x v="1"/>
    <m/>
    <m/>
    <m/>
    <m/>
  </r>
  <r>
    <x v="1"/>
    <x v="8"/>
    <s v="group "/>
    <s v=" "/>
    <s v=" mean of mean fluo "/>
    <x v="2"/>
    <s v=" mean of total fluo "/>
    <s v=" SD total fluo "/>
    <s v=" n fluorescent "/>
    <s v=" n total"/>
  </r>
  <r>
    <x v="3"/>
    <x v="9"/>
    <s v="C:\Users\andre\Desktop\REACTIV CEFAS\E2\E2/20201116_Cefas_Test6-Run1/Plate 1/@14/ "/>
    <s v=" "/>
    <s v=" 34.8573 "/>
    <x v="5"/>
    <s v=" 513082.708 "/>
    <s v=" 544247.102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4"/>
    <x v="0"/>
    <s v="C:\Users\andre\Desktop\REACTIV CEFAS\E2\E2/20201116_Cefas_Test6-Run1/Plate 1/@15/A11_01.tif "/>
    <s v=" 99648.9246 "/>
    <s v=" 51.2633 "/>
    <x v="0"/>
    <n v="5108332"/>
    <m/>
    <m/>
    <m/>
  </r>
  <r>
    <x v="4"/>
    <x v="0"/>
    <s v="C:\Users\andre\Desktop\REACTIV CEFAS\E2\E2/20201116_Cefas_Test6-Run1/Plate 1/@15/A11_02.tif "/>
    <s v=" 100254.562 "/>
    <s v=" 50.2412 "/>
    <x v="0"/>
    <n v="5036910"/>
    <m/>
    <m/>
    <m/>
  </r>
  <r>
    <x v="4"/>
    <x v="0"/>
    <s v="C:\Users\andre\Desktop\REACTIV CEFAS\E2\E2/20201116_Cefas_Test6-Run1/Plate 1/@15/A11_03.tif "/>
    <s v=" 95517.6147 "/>
    <s v=" 54.0562 "/>
    <x v="0"/>
    <n v="5163315"/>
    <m/>
    <m/>
    <m/>
  </r>
  <r>
    <x v="4"/>
    <x v="1"/>
    <s v="C:\Users\andre\Desktop\REACTIV CEFAS\E2\E2/20201116_Cefas_Test6-Run1/Plate 1/@15/B11_01.tif "/>
    <s v=" 82907.3861 "/>
    <s v=" 52.2507 "/>
    <x v="0"/>
    <n v="4331970"/>
    <m/>
    <m/>
    <m/>
  </r>
  <r>
    <x v="4"/>
    <x v="1"/>
    <s v="C:\Users\andre\Desktop\REACTIV CEFAS\E2\E2/20201116_Cefas_Test6-Run1/Plate 1/@15/B11_02.tif "/>
    <s v=" 79273.5638 "/>
    <s v=" 49.949 "/>
    <x v="0"/>
    <n v="3959633"/>
    <m/>
    <m/>
    <m/>
  </r>
  <r>
    <x v="4"/>
    <x v="1"/>
    <s v="C:\Users\andre\Desktop\REACTIV CEFAS\E2\E2/20201116_Cefas_Test6-Run1/Plate 1/@15/B11_03.tif "/>
    <s v=" 83058.7954 "/>
    <s v=" 49.032 "/>
    <x v="0"/>
    <n v="4072541"/>
    <m/>
    <m/>
    <m/>
  </r>
  <r>
    <x v="4"/>
    <x v="2"/>
    <s v="C:\Users\andre\Desktop\REACTIV CEFAS\E2\E2/20201116_Cefas_Test6-Run1/Plate 1/@15/C11_01.tif "/>
    <s v=" 76829.3857 "/>
    <s v=" 49.2123 "/>
    <x v="0"/>
    <n v="3780949"/>
    <m/>
    <m/>
    <m/>
  </r>
  <r>
    <x v="4"/>
    <x v="2"/>
    <s v="C:\Users\andre\Desktop\REACTIV CEFAS\E2\E2/20201116_Cefas_Test6-Run1/Plate 1/@15/C11_02.tif "/>
    <s v=" 78213.699 "/>
    <s v=" 50.9051 "/>
    <x v="0"/>
    <n v="3981480"/>
    <m/>
    <m/>
    <m/>
  </r>
  <r>
    <x v="4"/>
    <x v="2"/>
    <s v="C:\Users\andre\Desktop\REACTIV CEFAS\E2\E2/20201116_Cefas_Test6-Run1/Plate 1/@15/C11_03.tif "/>
    <s v=" 79944.0905 "/>
    <s v=" 51.7018 "/>
    <x v="0"/>
    <n v="4133257"/>
    <m/>
    <m/>
    <m/>
  </r>
  <r>
    <x v="4"/>
    <x v="3"/>
    <s v="C:\Users\andre\Desktop\REACTIV CEFAS\E2\E2/20201116_Cefas_Test6-Run1/Plate 1/@15/D11_01.tif "/>
    <s v=" 74168.9087 "/>
    <s v=" 45.5894 "/>
    <x v="0"/>
    <n v="3381315"/>
    <m/>
    <m/>
    <m/>
  </r>
  <r>
    <x v="4"/>
    <x v="3"/>
    <s v="C:\Users\andre\Desktop\REACTIV CEFAS\E2\E2/20201116_Cefas_Test6-Run1/Plate 1/@15/D11_02.tif "/>
    <s v=" 73736.3108 "/>
    <s v=" 44.2077 "/>
    <x v="0"/>
    <n v="3259712"/>
    <m/>
    <m/>
    <m/>
  </r>
  <r>
    <x v="4"/>
    <x v="3"/>
    <s v="C:\Users\andre\Desktop\REACTIV CEFAS\E2\E2/20201116_Cefas_Test6-Run1/Plate 1/@15/D11_03.tif "/>
    <s v=" 81003.9554 "/>
    <s v=" 47.2475 "/>
    <x v="0"/>
    <n v="3827237"/>
    <m/>
    <m/>
    <m/>
  </r>
  <r>
    <x v="4"/>
    <x v="4"/>
    <s v="C:\Users\andre\Desktop\REACTIV CEFAS\E2\E2/20201116_Cefas_Test6-Run1/Plate 1/@15/E11_01.tif "/>
    <s v=" 47412.729 "/>
    <s v=" 42.927 "/>
    <x v="0"/>
    <n v="2035287"/>
    <m/>
    <m/>
    <m/>
  </r>
  <r>
    <x v="4"/>
    <x v="4"/>
    <s v="C:\Users\andre\Desktop\REACTIV CEFAS\E2\E2/20201116_Cefas_Test6-Run1/Plate 1/@15/E11_02.tif "/>
    <s v=" 41010.2802 "/>
    <s v=" 41.6108 "/>
    <x v="0"/>
    <n v="1706469"/>
    <m/>
    <m/>
    <m/>
  </r>
  <r>
    <x v="4"/>
    <x v="4"/>
    <s v="C:\Users\andre\Desktop\REACTIV CEFAS\E2\E2/20201116_Cefas_Test6-Run1/Plate 1/@15/E11_03.tif "/>
    <s v=" 43043.4903 "/>
    <s v=" 43.8065 "/>
    <x v="0"/>
    <n v="1885586"/>
    <m/>
    <m/>
    <m/>
  </r>
  <r>
    <x v="4"/>
    <x v="5"/>
    <s v="C:\Users\andre\Desktop\REACTIV CEFAS\E2\E2/20201116_Cefas_Test6-Run1/Plate 1/@15/F11_01.tif "/>
    <s v=" 64846.4241 "/>
    <s v=" 45.6044 "/>
    <x v="0"/>
    <n v="2957282"/>
    <m/>
    <m/>
    <m/>
  </r>
  <r>
    <x v="4"/>
    <x v="5"/>
    <s v="C:\Users\andre\Desktop\REACTIV CEFAS\E2\E2/20201116_Cefas_Test6-Run1/Plate 1/@15/F11_02.tif "/>
    <s v=" 60606.9648 "/>
    <s v=" 51.2434 "/>
    <x v="0"/>
    <n v="3105707"/>
    <m/>
    <m/>
    <m/>
  </r>
  <r>
    <x v="4"/>
    <x v="5"/>
    <s v="C:\Users\andre\Desktop\REACTIV CEFAS\E2\E2/20201116_Cefas_Test6-Run1/Plate 1/@15/F11_03.tif "/>
    <s v=" 60542.0751 "/>
    <s v=" 48.1168 "/>
    <x v="0"/>
    <n v="2913093"/>
    <m/>
    <m/>
    <m/>
  </r>
  <r>
    <x v="4"/>
    <x v="6"/>
    <s v="C:\Users\andre\Desktop\REACTIV CEFAS\E2\E2/20201116_Cefas_Test6-Run1/Plate 1/@15/G11_01.tif "/>
    <s v=" 74731.2859 "/>
    <s v=" 45.2104 "/>
    <x v="0"/>
    <n v="3378633"/>
    <m/>
    <m/>
    <m/>
  </r>
  <r>
    <x v="4"/>
    <x v="6"/>
    <s v="C:\Users\andre\Desktop\REACTIV CEFAS\E2\E2/20201116_Cefas_Test6-Run1/Plate 1/@15/G11_02.tif "/>
    <s v=" 76937.5352 "/>
    <s v=" 48.8336 "/>
    <x v="0"/>
    <n v="3757134"/>
    <m/>
    <m/>
    <m/>
  </r>
  <r>
    <x v="4"/>
    <x v="6"/>
    <s v="C:\Users\andre\Desktop\REACTIV CEFAS\E2\E2/20201116_Cefas_Test6-Run1/Plate 1/@15/G11_03.tif "/>
    <s v=" 77975.7701 "/>
    <s v=" 49.6419 "/>
    <x v="0"/>
    <n v="3870864"/>
    <m/>
    <m/>
    <m/>
  </r>
  <r>
    <x v="4"/>
    <x v="7"/>
    <s v="C:\Users\andre\Desktop\REACTIV CEFAS\E2\E2/20201116_Cefas_Test6-Run1/Plate 1/@15/H11_01.tif "/>
    <s v=" 81328.4038 "/>
    <s v=" 41.8516 "/>
    <x v="0"/>
    <n v="3403723"/>
    <m/>
    <m/>
    <m/>
  </r>
  <r>
    <x v="4"/>
    <x v="7"/>
    <s v="C:\Users\andre\Desktop\REACTIV CEFAS\E2\E2/20201116_Cefas_Test6-Run1/Plate 1/@15/H11_02.tif "/>
    <s v=" 90737.408 "/>
    <s v=" 41.2737 "/>
    <x v="0"/>
    <n v="3745065"/>
    <m/>
    <m/>
    <m/>
  </r>
  <r>
    <x v="4"/>
    <x v="7"/>
    <s v="C:\Users\andre\Desktop\REACTIV CEFAS\E2\E2/20201116_Cefas_Test6-Run1/Plate 1/@15/H11_03.tif "/>
    <s v=" 71119.0935 "/>
    <s v=" 41.8656 "/>
    <x v="0"/>
    <n v="2977442"/>
    <m/>
    <m/>
    <m/>
  </r>
  <r>
    <x v="1"/>
    <x v="8"/>
    <s v=" "/>
    <m/>
    <m/>
    <x v="1"/>
    <m/>
    <m/>
    <m/>
    <m/>
  </r>
  <r>
    <x v="1"/>
    <x v="8"/>
    <s v="group "/>
    <s v=" "/>
    <s v=" mean of mean fluo "/>
    <x v="2"/>
    <s v=" mean of total fluo "/>
    <s v=" SD total fluo "/>
    <s v=" n fluorescent "/>
    <s v=" n total"/>
  </r>
  <r>
    <x v="4"/>
    <x v="9"/>
    <s v="C:\Users\andre\Desktop\REACTIV CEFAS\E2\E2/20201116_Cefas_Test6-Run1/Plate 1/@15/ "/>
    <s v=" "/>
    <s v=" 47.4017 "/>
    <x v="6"/>
    <s v=" 3573872.33 "/>
    <s v=" 909613.124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5"/>
    <x v="0"/>
    <s v="C:\Users\andre\Desktop\REACTIV CEFAS\E2\E2/20201116_Cefas_Test6-Run1/Plate 1/@16/A12_01.tif "/>
    <s v=" 1146.3844 "/>
    <s v=" 33.8868 "/>
    <x v="0"/>
    <n v="38847"/>
    <m/>
    <m/>
    <m/>
  </r>
  <r>
    <x v="5"/>
    <x v="0"/>
    <s v="C:\Users\andre\Desktop\REACTIV CEFAS\E2\E2/20201116_Cefas_Test6-Run1/Plate 1/@16/A12_02.tif "/>
    <s v=" 2098.0998 "/>
    <s v=" 34.6804 "/>
    <x v="0"/>
    <n v="72763"/>
    <m/>
    <m/>
    <m/>
  </r>
  <r>
    <x v="5"/>
    <x v="0"/>
    <s v="C:\Users\andre\Desktop\REACTIV CEFAS\E2\E2/20201116_Cefas_Test6-Run1/Plate 1/@16/A12_03.tif "/>
    <s v=" 1211.2741 "/>
    <s v=" 32.1429 "/>
    <x v="0"/>
    <n v="38934"/>
    <m/>
    <m/>
    <m/>
  </r>
  <r>
    <x v="5"/>
    <x v="1"/>
    <s v="C:\Users\andre\Desktop\REACTIV CEFAS\E2\E2/20201116_Cefas_Test6-Run1/Plate 1/@16/B12_01.tif "/>
    <s v=" 2898.4059 "/>
    <s v=" 36.7388 "/>
    <x v="0"/>
    <n v="106484"/>
    <m/>
    <m/>
    <m/>
  </r>
  <r>
    <x v="5"/>
    <x v="1"/>
    <s v="C:\Users\andre\Desktop\REACTIV CEFAS\E2\E2/20201116_Cefas_Test6-Run1/Plate 1/@16/B12_02.tif "/>
    <s v=" 2054.84 "/>
    <s v=" 34.7158 "/>
    <x v="0"/>
    <n v="71335"/>
    <m/>
    <m/>
    <m/>
  </r>
  <r>
    <x v="5"/>
    <x v="1"/>
    <s v="C:\Users\andre\Desktop\REACTIV CEFAS\E2\E2/20201116_Cefas_Test6-Run1/Plate 1/@16/B12_03.tif "/>
    <s v=" 6078.0004 "/>
    <s v=" 36.4199 "/>
    <x v="0"/>
    <n v="221360"/>
    <m/>
    <m/>
    <m/>
  </r>
  <r>
    <x v="5"/>
    <x v="2"/>
    <s v="C:\Users\andre\Desktop\REACTIV CEFAS\E2\E2/20201116_Cefas_Test6-Run1/Plate 1/@16/C12_01.tif "/>
    <s v=" 1276.1638 "/>
    <s v=" 34.6271 "/>
    <x v="0"/>
    <n v="44190"/>
    <m/>
    <m/>
    <m/>
  </r>
  <r>
    <x v="5"/>
    <x v="2"/>
    <s v="C:\Users\andre\Desktop\REACTIV CEFAS\E2\E2/20201116_Cefas_Test6-Run1/Plate 1/@16/C12_02- exclu.tif"/>
    <m/>
    <m/>
    <x v="1"/>
    <m/>
    <m/>
    <m/>
    <m/>
  </r>
  <r>
    <x v="5"/>
    <x v="2"/>
    <s v="C:\Users\andre\Desktop\REACTIV CEFAS\E2\E2/20201116_Cefas_Test6-Run1/Plate 1/@16/C12_03.tif "/>
    <s v=" 3633.8223 "/>
    <s v=" 36.131 "/>
    <x v="0"/>
    <n v="131293"/>
    <m/>
    <m/>
    <m/>
  </r>
  <r>
    <x v="5"/>
    <x v="3"/>
    <s v="C:\Users\andre\Desktop\REACTIV CEFAS\E2\E2/20201116_Cefas_Test6-Run1/Plate 1/@16/D12_01.tif "/>
    <s v=" 2855.1461 "/>
    <s v=" 36.8636 "/>
    <x v="0"/>
    <n v="105251"/>
    <m/>
    <m/>
    <m/>
  </r>
  <r>
    <x v="5"/>
    <x v="3"/>
    <s v="C:\Users\andre\Desktop\REACTIV CEFAS\E2\E2/20201116_Cefas_Test6-Run1/Plate 1/@16/D12_02.tif "/>
    <s v=" 1557.3524 "/>
    <s v=" 33.625 "/>
    <x v="0"/>
    <n v="52366"/>
    <m/>
    <m/>
    <m/>
  </r>
  <r>
    <x v="5"/>
    <x v="3"/>
    <s v="C:\Users\andre\Desktop\REACTIV CEFAS\E2\E2/20201116_Cefas_Test6-Run1/Plate 1/@16/D12_03.tif "/>
    <s v=" 237.9288 "/>
    <s v=" 31.2727 "/>
    <x v="0"/>
    <n v="7441"/>
    <m/>
    <m/>
    <m/>
  </r>
  <r>
    <x v="5"/>
    <x v="4"/>
    <s v="C:\Users\andre\Desktop\REACTIV CEFAS\E2\E2/20201116_Cefas_Test6-Run1/Plate 1/@16/E12_01.tif "/>
    <s v=" 2444.1781 "/>
    <s v=" 31.0265 "/>
    <x v="0"/>
    <n v="75834"/>
    <m/>
    <m/>
    <m/>
  </r>
  <r>
    <x v="5"/>
    <x v="4"/>
    <s v="C:\Users\andre\Desktop\REACTIV CEFAS\E2\E2/20201116_Cefas_Test6-Run1/Plate 1/@16/E12_02.tif "/>
    <s v=" 9646.933 "/>
    <s v=" 36.704 "/>
    <x v="0"/>
    <n v="354081"/>
    <m/>
    <m/>
    <m/>
  </r>
  <r>
    <x v="5"/>
    <x v="4"/>
    <s v="C:\Users\andre\Desktop\REACTIV CEFAS\E2\E2/20201116_Cefas_Test6-Run1/Plate 1/@16/E12_03.tif "/>
    <s v=" 9949.7515 "/>
    <s v=" 40.5152 "/>
    <x v="0"/>
    <n v="403116"/>
    <m/>
    <m/>
    <m/>
  </r>
  <r>
    <x v="5"/>
    <x v="5"/>
    <s v="C:\Users\andre\Desktop\REACTIV CEFAS\E2\E2/20201116_Cefas_Test6-Run1/Plate 1/@16/F12_01.tif "/>
    <s v=" 1405.9432 "/>
    <s v=" 32.9385 "/>
    <x v="0"/>
    <n v="46310"/>
    <m/>
    <m/>
    <m/>
  </r>
  <r>
    <x v="5"/>
    <x v="5"/>
    <s v="C:\Users\andre\Desktop\REACTIV CEFAS\E2\E2/20201116_Cefas_Test6-Run1/Plate 1/@16/F12_02.tif "/>
    <s v=" 1535.7225 "/>
    <s v=" 32.6056 "/>
    <x v="0"/>
    <n v="50073"/>
    <m/>
    <m/>
    <m/>
  </r>
  <r>
    <x v="5"/>
    <x v="5"/>
    <s v="C:\Users\andre\Desktop\REACTIV CEFAS\E2\E2/20201116_Cefas_Test6-Run1/Plate 1/@16/F12_03.tif "/>
    <n v="0"/>
    <n v="0"/>
    <x v="0"/>
    <n v="0"/>
    <m/>
    <m/>
    <m/>
  </r>
  <r>
    <x v="5"/>
    <x v="6"/>
    <s v="C:\Users\andre\Desktop\REACTIV CEFAS\E2\E2/20201116_Cefas_Test6-Run1/Plate 1/@16/G12_01.tif "/>
    <s v=" 4412.4985 "/>
    <s v=" 41.4657 "/>
    <x v="0"/>
    <n v="182967"/>
    <m/>
    <m/>
    <m/>
  </r>
  <r>
    <x v="5"/>
    <x v="6"/>
    <s v="C:\Users\andre\Desktop\REACTIV CEFAS\E2\E2/20201116_Cefas_Test6-Run1/Plate 1/@16/G12_02.tif "/>
    <s v=" 584.0072 "/>
    <s v=" 31.8519 "/>
    <x v="0"/>
    <n v="18602"/>
    <m/>
    <m/>
    <m/>
  </r>
  <r>
    <x v="5"/>
    <x v="6"/>
    <s v="C:\Users\andre\Desktop\REACTIV CEFAS\E2\E2/20201116_Cefas_Test6-Run1/Plate 1/@16/G12_03.tif "/>
    <s v=" 1643.872 "/>
    <s v=" 32.8684 "/>
    <x v="0"/>
    <n v="54031"/>
    <m/>
    <m/>
    <m/>
  </r>
  <r>
    <x v="5"/>
    <x v="7"/>
    <s v="C:\Users\andre\Desktop\REACTIV CEFAS\E2\E2/20201116_Cefas_Test6-Run1/Plate 1/@16/H12_01.tif "/>
    <s v=" 7483.9435 "/>
    <s v=" 37.3728 "/>
    <x v="0"/>
    <n v="279696"/>
    <m/>
    <m/>
    <m/>
  </r>
  <r>
    <x v="5"/>
    <x v="7"/>
    <s v="C:\Users\andre\Desktop\REACTIV CEFAS\E2\E2/20201116_Cefas_Test6-Run1/Plate 1/@16/H12_02.tif "/>
    <s v=" 5775.1819 "/>
    <s v=" 37.1873 "/>
    <x v="0"/>
    <n v="214763"/>
    <m/>
    <m/>
    <m/>
  </r>
  <r>
    <x v="5"/>
    <x v="7"/>
    <s v="C:\Users\andre\Desktop\REACTIV CEFAS\E2\E2/20201116_Cefas_Test6-Run1/Plate 1/@16/H12_03.tif "/>
    <s v=" 2941.6657 "/>
    <s v=" 33.5588 "/>
    <x v="0"/>
    <n v="98719"/>
    <m/>
    <m/>
    <m/>
  </r>
  <r>
    <x v="1"/>
    <x v="8"/>
    <s v=" "/>
    <m/>
    <m/>
    <x v="1"/>
    <m/>
    <m/>
    <m/>
    <m/>
  </r>
  <r>
    <x v="1"/>
    <x v="8"/>
    <s v="group "/>
    <s v=" "/>
    <s v=" mean of mean fluo "/>
    <x v="2"/>
    <s v=" mean of total fluo "/>
    <s v=" SD total fluo "/>
    <s v=" n fluorescent "/>
    <s v=" n total"/>
  </r>
  <r>
    <x v="5"/>
    <x v="9"/>
    <s v="C:\Users\andre\Desktop\REACTIV CEFAS\E2\E2/20201116_Cefas_Test6-Run1/Plate 1/@16/ "/>
    <s v=" "/>
    <s v=" 33.415 "/>
    <x v="7"/>
    <s v=" 114020.083 "/>
    <s v=" 108055.155 "/>
    <n v="23"/>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6"/>
    <x v="0"/>
    <s v="C:\Users\andre\Desktop\REACTIV CEFAS\E2\E2/20201116_Cefas_Test6-Run1/Plate 1/@2/A2_01.tif "/>
    <s v=" 7419.0539 "/>
    <s v=" 36.3907 "/>
    <x v="0"/>
    <n v="269984"/>
    <m/>
    <m/>
    <m/>
  </r>
  <r>
    <x v="6"/>
    <x v="0"/>
    <s v="C:\Users\andre\Desktop\REACTIV CEFAS\E2\E2/20201116_Cefas_Test6-Run1/Plate 1/@2/A2_02.tif "/>
    <s v=" 10079.5309 "/>
    <s v=" 36.7146 "/>
    <x v="0"/>
    <n v="370066"/>
    <m/>
    <m/>
    <m/>
  </r>
  <r>
    <x v="6"/>
    <x v="0"/>
    <s v="C:\Users\andre\Desktop\REACTIV CEFAS\E2\E2/20201116_Cefas_Test6-Run1/Plate 1/@2/A2_03.tif "/>
    <s v=" 3179.5945 "/>
    <s v=" 33.898 "/>
    <x v="0"/>
    <n v="107782"/>
    <m/>
    <m/>
    <m/>
  </r>
  <r>
    <x v="6"/>
    <x v="1"/>
    <s v="C:\Users\andre\Desktop\REACTIV CEFAS\E2\E2/20201116_Cefas_Test6-Run1/Plate 1/@2/B2_01.tif "/>
    <s v=" 21.6299 "/>
    <n v="30"/>
    <x v="0"/>
    <n v="649"/>
    <m/>
    <m/>
    <m/>
  </r>
  <r>
    <x v="6"/>
    <x v="1"/>
    <s v="C:\Users\andre\Desktop\REACTIV CEFAS\E2\E2/20201116_Cefas_Test6-Run1/Plate 1/@2/B2_02.tif "/>
    <s v=" 86.5196 "/>
    <s v=" 31.25 "/>
    <x v="0"/>
    <n v="2704"/>
    <m/>
    <m/>
    <m/>
  </r>
  <r>
    <x v="6"/>
    <x v="1"/>
    <s v="C:\Users\andre\Desktop\REACTIV CEFAS\E2\E2/20201116_Cefas_Test6-Run1/Plate 1/@2/B2_03.tif "/>
    <s v=" 3395.8935 "/>
    <s v=" 33.4968 "/>
    <x v="0"/>
    <n v="113752"/>
    <m/>
    <m/>
    <m/>
  </r>
  <r>
    <x v="6"/>
    <x v="2"/>
    <s v="C:\Users\andre\Desktop\REACTIV CEFAS\E2\E2/20201116_Cefas_Test6-Run1/Plate 1/@2/C2_01.tif "/>
    <s v=" 5320.9541 "/>
    <s v=" 36.378 "/>
    <x v="0"/>
    <n v="193566"/>
    <m/>
    <m/>
    <m/>
  </r>
  <r>
    <x v="6"/>
    <x v="2"/>
    <s v="C:\Users\andre\Desktop\REACTIV CEFAS\E2\E2/20201116_Cefas_Test6-Run1/Plate 1/@2/C2_02.tif "/>
    <s v=" 2898.4059 "/>
    <s v=" 34.8582 "/>
    <x v="0"/>
    <n v="101033"/>
    <m/>
    <m/>
    <m/>
  </r>
  <r>
    <x v="6"/>
    <x v="2"/>
    <s v="C:\Users\andre\Desktop\REACTIV CEFAS\E2\E2/20201116_Cefas_Test6-Run1/Plate 1/@2/C2_03.tif "/>
    <s v=" 4888.3562 "/>
    <s v=" 36.9956 "/>
    <x v="0"/>
    <n v="180848"/>
    <m/>
    <m/>
    <m/>
  </r>
  <r>
    <x v="6"/>
    <x v="3"/>
    <s v="C:\Users\andre\Desktop\REACTIV CEFAS\E2\E2/20201116_Cefas_Test6-Run1/Plate 1/@2/D2_01.tif "/>
    <s v=" 5904.9612 "/>
    <s v=" 40.8132 "/>
    <x v="0"/>
    <n v="241000"/>
    <m/>
    <m/>
    <m/>
  </r>
  <r>
    <x v="6"/>
    <x v="3"/>
    <s v="C:\Users\andre\Desktop\REACTIV CEFAS\E2\E2/20201116_Cefas_Test6-Run1/Plate 1/@2/D2_02.tif "/>
    <s v=" 4044.7903 "/>
    <s v=" 37.1497 "/>
    <x v="0"/>
    <n v="150263"/>
    <m/>
    <m/>
    <m/>
  </r>
  <r>
    <x v="6"/>
    <x v="3"/>
    <s v="C:\Users\andre\Desktop\REACTIV CEFAS\E2\E2/20201116_Cefas_Test6-Run1/Plate 1/@2/D2_03.tif "/>
    <s v=" 3266.1141 "/>
    <s v=" 37.1589 "/>
    <x v="0"/>
    <n v="121365"/>
    <m/>
    <m/>
    <m/>
  </r>
  <r>
    <x v="6"/>
    <x v="4"/>
    <s v="C:\Users\andre\Desktop\REACTIV CEFAS\E2\E2/20201116_Cefas_Test6-Run1/Plate 1/@2/E2_01- exclu.tif"/>
    <m/>
    <m/>
    <x v="1"/>
    <m/>
    <m/>
    <m/>
    <m/>
  </r>
  <r>
    <x v="6"/>
    <x v="4"/>
    <s v="C:\Users\andre\Desktop\REACTIV CEFAS\E2\E2/20201116_Cefas_Test6-Run1/Plate 1/@2/E2_02- exclu.tif"/>
    <m/>
    <m/>
    <x v="1"/>
    <m/>
    <m/>
    <m/>
    <m/>
  </r>
  <r>
    <x v="6"/>
    <x v="4"/>
    <s v="C:\Users\andre\Desktop\REACTIV CEFAS\E2\E2/20201116_Cefas_Test6-Run1/Plate 1/@2/E2_03- exclu.tif"/>
    <m/>
    <m/>
    <x v="1"/>
    <m/>
    <m/>
    <m/>
    <m/>
  </r>
  <r>
    <x v="6"/>
    <x v="5"/>
    <s v="C:\Users\andre\Desktop\REACTIV CEFAS\E2\E2/20201116_Cefas_Test6-Run1/Plate 1/@2/F2_01.tif "/>
    <s v=" 15335.5953 "/>
    <s v=" 38.0409 "/>
    <x v="0"/>
    <n v="583380"/>
    <m/>
    <m/>
    <m/>
  </r>
  <r>
    <x v="6"/>
    <x v="5"/>
    <s v="C:\Users\andre\Desktop\REACTIV CEFAS\E2\E2/20201116_Cefas_Test6-Run1/Plate 1/@2/F2_02.tif "/>
    <s v=" 11182.6555 "/>
    <s v=" 38.8414 "/>
    <x v="0"/>
    <n v="434350"/>
    <m/>
    <m/>
    <m/>
  </r>
  <r>
    <x v="6"/>
    <x v="5"/>
    <s v="C:\Users\andre\Desktop\REACTIV CEFAS\E2\E2/20201116_Cefas_Test6-Run1/Plate 1/@2/F2_03.tif "/>
    <s v=" 16633.389 "/>
    <s v=" 37.6931 "/>
    <x v="0"/>
    <n v="626964"/>
    <m/>
    <m/>
    <m/>
  </r>
  <r>
    <x v="6"/>
    <x v="6"/>
    <s v="C:\Users\andre\Desktop\REACTIV CEFAS\E2\E2/20201116_Cefas_Test6-Run1/Plate 1/@2/G2_01.tif "/>
    <s v=" 7029.7158 "/>
    <s v=" 36.3231 "/>
    <x v="0"/>
    <n v="255341"/>
    <m/>
    <m/>
    <m/>
  </r>
  <r>
    <x v="6"/>
    <x v="6"/>
    <s v="C:\Users\andre\Desktop\REACTIV CEFAS\E2\E2/20201116_Cefas_Test6-Run1/Plate 1/@2/G2_02.tif "/>
    <s v=" 4736.9469 "/>
    <s v=" 38.6712 "/>
    <x v="0"/>
    <n v="183184"/>
    <m/>
    <m/>
    <m/>
  </r>
  <r>
    <x v="6"/>
    <x v="6"/>
    <s v="C:\Users\andre\Desktop\REACTIV CEFAS\E2\E2/20201116_Cefas_Test6-Run1/Plate 1/@2/G2_03.tif "/>
    <s v=" 3093.0749 "/>
    <s v=" 37.5105 "/>
    <x v="0"/>
    <n v="116023"/>
    <m/>
    <m/>
    <m/>
  </r>
  <r>
    <x v="6"/>
    <x v="7"/>
    <s v="C:\Users\andre\Desktop\REACTIV CEFAS\E2\E2/20201116_Cefas_Test6-Run1/Plate 1/@2/H2_01.tif "/>
    <s v=" 3287.744 "/>
    <s v=" 34.4474 "/>
    <x v="0"/>
    <n v="113254"/>
    <m/>
    <m/>
    <m/>
  </r>
  <r>
    <x v="6"/>
    <x v="7"/>
    <s v="C:\Users\andre\Desktop\REACTIV CEFAS\E2\E2/20201116_Cefas_Test6-Run1/Plate 1/@2/H2_02.tif "/>
    <n v="0"/>
    <n v="0"/>
    <x v="0"/>
    <n v="0"/>
    <m/>
    <m/>
    <m/>
  </r>
  <r>
    <x v="6"/>
    <x v="7"/>
    <s v="C:\Users\andre\Desktop\REACTIV CEFAS\E2\E2/20201116_Cefas_Test6-Run1/Plate 1/@2/H2_03.tif "/>
    <s v=" 2768.6265 "/>
    <s v=" 32.0391 "/>
    <x v="0"/>
    <n v="88704"/>
    <m/>
    <m/>
    <m/>
  </r>
  <r>
    <x v="1"/>
    <x v="8"/>
    <s v=" "/>
    <m/>
    <m/>
    <x v="1"/>
    <m/>
    <m/>
    <m/>
    <m/>
  </r>
  <r>
    <x v="1"/>
    <x v="8"/>
    <s v="group "/>
    <s v=" "/>
    <s v=" mean of mean fluo "/>
    <x v="2"/>
    <s v=" mean of total fluo "/>
    <s v=" SD total fluo "/>
    <s v=" n fluorescent "/>
    <s v=" n total"/>
  </r>
  <r>
    <x v="6"/>
    <x v="9"/>
    <s v="C:\Users\andre\Desktop\REACTIV CEFAS\E2\E2/20201116_Cefas_Test6-Run1/Plate 1/@2/ "/>
    <s v=" "/>
    <s v=" 33.4716 "/>
    <x v="8"/>
    <s v=" 208391.458 "/>
    <s v=" 174745.777 "/>
    <n v="22"/>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7"/>
    <x v="0"/>
    <s v="C:\Users\andre\Desktop\REACTIV CEFAS\E2\E2/20201116_Cefas_Test6-Run1/Plate 1/@3/A3_01.tif "/>
    <s v=" 8651.9579 "/>
    <s v=" 34.8525 "/>
    <x v="0"/>
    <n v="301542"/>
    <m/>
    <m/>
    <m/>
  </r>
  <r>
    <x v="7"/>
    <x v="0"/>
    <s v="C:\Users\andre\Desktop\REACTIV CEFAS\E2\E2/20201116_Cefas_Test6-Run1/Plate 1/@3/A3_02.tif "/>
    <s v=" 3677.0821 "/>
    <s v=" 32.8706 "/>
    <x v="0"/>
    <n v="120868"/>
    <m/>
    <m/>
    <m/>
  </r>
  <r>
    <x v="7"/>
    <x v="0"/>
    <s v="C:\Users\andre\Desktop\REACTIV CEFAS\E2\E2/20201116_Cefas_Test6-Run1/Plate 1/@3/A3_03.tif "/>
    <s v=" 1038.2349 "/>
    <s v=" 31.1875 "/>
    <x v="0"/>
    <n v="32380"/>
    <m/>
    <m/>
    <m/>
  </r>
  <r>
    <x v="7"/>
    <x v="1"/>
    <s v="C:\Users\andre\Desktop\REACTIV CEFAS\E2\E2/20201116_Cefas_Test6-Run1/Plate 1/@3/B3_01.tif "/>
    <s v=" 3266.1141 "/>
    <s v=" 33.5033 "/>
    <x v="0"/>
    <n v="109426"/>
    <m/>
    <m/>
    <m/>
  </r>
  <r>
    <x v="7"/>
    <x v="1"/>
    <s v="C:\Users\andre\Desktop\REACTIV CEFAS\E2\E2/20201116_Cefas_Test6-Run1/Plate 1/@3/B3_02- exclu.tif"/>
    <m/>
    <m/>
    <x v="1"/>
    <m/>
    <m/>
    <m/>
    <m/>
  </r>
  <r>
    <x v="7"/>
    <x v="1"/>
    <s v="C:\Users\andre\Desktop\REACTIV CEFAS\E2\E2/20201116_Cefas_Test6-Run1/Plate 1/@3/B3_03.tif "/>
    <s v=" 2595.5874 "/>
    <s v=" 33.4083 "/>
    <x v="0"/>
    <n v="86714"/>
    <m/>
    <m/>
    <m/>
  </r>
  <r>
    <x v="7"/>
    <x v="2"/>
    <s v="C:\Users\andre\Desktop\REACTIV CEFAS\E2\E2/20201116_Cefas_Test6-Run1/Plate 1/@3/C3_01.tif "/>
    <s v=" 8630.328 "/>
    <s v=" 37.3333 "/>
    <x v="0"/>
    <n v="322199"/>
    <m/>
    <m/>
    <m/>
  </r>
  <r>
    <x v="7"/>
    <x v="2"/>
    <s v="C:\Users\andre\Desktop\REACTIV CEFAS\E2\E2/20201116_Cefas_Test6-Run1/Plate 1/@3/C3_02.tif "/>
    <s v=" 4607.1676 "/>
    <s v=" 37.4742 "/>
    <x v="0"/>
    <n v="172650"/>
    <m/>
    <m/>
    <m/>
  </r>
  <r>
    <x v="7"/>
    <x v="2"/>
    <s v="C:\Users\andre\Desktop\REACTIV CEFAS\E2\E2/20201116_Cefas_Test6-Run1/Plate 1/@3/C3_03.tif "/>
    <s v=" 3093.0749 "/>
    <s v=" 34.9371 "/>
    <x v="0"/>
    <n v="108063"/>
    <m/>
    <m/>
    <m/>
  </r>
  <r>
    <x v="7"/>
    <x v="3"/>
    <s v="C:\Users\andre\Desktop\REACTIV CEFAS\E2\E2/20201116_Cefas_Test6-Run1/Plate 1/@3/D3_01.tif "/>
    <s v=" 6229.4097 "/>
    <s v=" 35.1181 "/>
    <x v="0"/>
    <n v="218765"/>
    <m/>
    <m/>
    <m/>
  </r>
  <r>
    <x v="7"/>
    <x v="3"/>
    <s v="C:\Users\andre\Desktop\REACTIV CEFAS\E2\E2/20201116_Cefas_Test6-Run1/Plate 1/@3/D3_02.tif "/>
    <s v=" 1557.3524 "/>
    <s v=" 31.5833 "/>
    <x v="0"/>
    <n v="49186"/>
    <m/>
    <m/>
    <m/>
  </r>
  <r>
    <x v="7"/>
    <x v="3"/>
    <s v="C:\Users\andre\Desktop\REACTIV CEFAS\E2\E2/20201116_Cefas_Test6-Run1/Plate 1/@3/D3_03.tif "/>
    <s v=" 9452.264 "/>
    <s v=" 34.0114 "/>
    <x v="0"/>
    <n v="321485"/>
    <m/>
    <m/>
    <m/>
  </r>
  <r>
    <x v="7"/>
    <x v="4"/>
    <s v="C:\Users\andre\Desktop\REACTIV CEFAS\E2\E2/20201116_Cefas_Test6-Run1/Plate 1/@3/E3_01.tif "/>
    <s v=" 4109.68 "/>
    <s v=" 32.7632 "/>
    <x v="0"/>
    <n v="134646"/>
    <m/>
    <m/>
    <m/>
  </r>
  <r>
    <x v="7"/>
    <x v="4"/>
    <s v="C:\Users\andre\Desktop\REACTIV CEFAS\E2\E2/20201116_Cefas_Test6-Run1/Plate 1/@3/E3_02.tif "/>
    <s v=" 3309.3739 "/>
    <s v=" 33.3072 "/>
    <x v="0"/>
    <n v="110226"/>
    <m/>
    <m/>
    <m/>
  </r>
  <r>
    <x v="7"/>
    <x v="4"/>
    <s v="C:\Users\andre\Desktop\REACTIV CEFAS\E2\E2/20201116_Cefas_Test6-Run1/Plate 1/@3/E3_03.tif "/>
    <s v=" 3525.6728 "/>
    <n v="35"/>
    <x v="0"/>
    <n v="123399"/>
    <m/>
    <m/>
    <m/>
  </r>
  <r>
    <x v="7"/>
    <x v="5"/>
    <s v="C:\Users\andre\Desktop\REACTIV CEFAS\E2\E2/20201116_Cefas_Test6-Run1/Plate 1/@3/F3_01.tif "/>
    <s v=" 4520.648 "/>
    <s v=" 37.0335 "/>
    <x v="0"/>
    <n v="167415"/>
    <m/>
    <m/>
    <m/>
  </r>
  <r>
    <x v="7"/>
    <x v="5"/>
    <s v="C:\Users\andre\Desktop\REACTIV CEFAS\E2\E2/20201116_Cefas_Test6-Run1/Plate 1/@3/F3_02.tif "/>
    <s v=" 2984.9255 "/>
    <s v=" 31.587 "/>
    <x v="0"/>
    <n v="94285"/>
    <m/>
    <m/>
    <m/>
  </r>
  <r>
    <x v="7"/>
    <x v="5"/>
    <s v="C:\Users\andre\Desktop\REACTIV CEFAS\E2\E2/20201116_Cefas_Test6-Run1/Plate 1/@3/F3_03.tif "/>
    <s v=" 3287.744 "/>
    <s v=" 37.4079 "/>
    <x v="0"/>
    <n v="122988"/>
    <m/>
    <m/>
    <m/>
  </r>
  <r>
    <x v="7"/>
    <x v="6"/>
    <s v="C:\Users\andre\Desktop\REACTIV CEFAS\E2\E2/20201116_Cefas_Test6-Run1/Plate 1/@3/G3_01.tif "/>
    <s v=" 22559.9801 "/>
    <s v=" 33.0786 "/>
    <x v="0"/>
    <n v="746253"/>
    <m/>
    <m/>
    <m/>
  </r>
  <r>
    <x v="7"/>
    <x v="6"/>
    <s v="C:\Users\andre\Desktop\REACTIV CEFAS\E2\E2/20201116_Cefas_Test6-Run1/Plate 1/@3/G3_02.tif "/>
    <s v=" 34889.02 "/>
    <s v=" 34.7328 "/>
    <x v="0"/>
    <n v="1211793"/>
    <m/>
    <m/>
    <m/>
  </r>
  <r>
    <x v="7"/>
    <x v="6"/>
    <s v="C:\Users\andre\Desktop\REACTIV CEFAS\E2\E2/20201116_Cefas_Test6-Run1/Plate 1/@3/G3_03.tif "/>
    <s v=" 1341.0535 "/>
    <s v=" 30.9355 "/>
    <x v="0"/>
    <n v="41486"/>
    <m/>
    <m/>
    <m/>
  </r>
  <r>
    <x v="7"/>
    <x v="7"/>
    <s v="C:\Users\andre\Desktop\REACTIV CEFAS\E2\E2/20201116_Cefas_Test6-Run1/Plate 1/@3/H3_01.tif "/>
    <s v=" 3460.7831 "/>
    <s v=" 31.6438 "/>
    <x v="0"/>
    <n v="109512"/>
    <m/>
    <m/>
    <m/>
  </r>
  <r>
    <x v="7"/>
    <x v="7"/>
    <s v="C:\Users\andre\Desktop\REACTIV CEFAS\E2\E2/20201116_Cefas_Test6-Run1/Plate 1/@3/H3_02.tif "/>
    <s v=" 3720.3419 "/>
    <s v=" 31.7791 "/>
    <x v="0"/>
    <n v="118229"/>
    <m/>
    <m/>
    <m/>
  </r>
  <r>
    <x v="7"/>
    <x v="7"/>
    <s v="C:\Users\andre\Desktop\REACTIV CEFAS\E2\E2/20201116_Cefas_Test6-Run1/Plate 1/@3/H3_03.tif "/>
    <s v=" 7224.3848 "/>
    <s v=" 32.6347 "/>
    <x v="0"/>
    <n v="235766"/>
    <m/>
    <m/>
    <m/>
  </r>
  <r>
    <x v="1"/>
    <x v="8"/>
    <s v=" "/>
    <m/>
    <m/>
    <x v="1"/>
    <m/>
    <m/>
    <m/>
    <m/>
  </r>
  <r>
    <x v="1"/>
    <x v="8"/>
    <s v="group "/>
    <s v=" "/>
    <s v=" mean of mean fluo "/>
    <x v="2"/>
    <s v=" mean of total fluo "/>
    <s v=" SD total fluo "/>
    <s v=" n fluorescent "/>
    <s v=" n total"/>
  </r>
  <r>
    <x v="7"/>
    <x v="9"/>
    <s v="C:\Users\andre\Desktop\REACTIV CEFAS\E2\E2/20201116_Cefas_Test6-Run1/Plate 1/@3/ "/>
    <s v=" "/>
    <s v=" 32.4243 "/>
    <x v="9"/>
    <s v=" 210803.167 "/>
    <s v=" 260822.988 "/>
    <n v="23"/>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8"/>
    <x v="0"/>
    <s v="C:\Users\andre\Desktop\REACTIV CEFAS\E2\E2/20201116_Cefas_Test6-Run1/Plate 1/@4/A4_01.tif "/>
    <s v=" 20245.5814 "/>
    <s v=" 34.969 "/>
    <x v="0"/>
    <n v="707968"/>
    <m/>
    <m/>
    <m/>
  </r>
  <r>
    <x v="8"/>
    <x v="0"/>
    <s v="C:\Users\andre\Desktop\REACTIV CEFAS\E2\E2/20201116_Cefas_Test6-Run1/Plate 1/@4/A4_02.tif "/>
    <s v=" 9452.264 "/>
    <s v=" 40.5149 "/>
    <x v="0"/>
    <n v="382957"/>
    <m/>
    <m/>
    <m/>
  </r>
  <r>
    <x v="8"/>
    <x v="0"/>
    <s v="C:\Users\andre\Desktop\REACTIV CEFAS\E2\E2/20201116_Cefas_Test6-Run1/Plate 1/@4/A4_03.tif "/>
    <s v=" 18125.8517 "/>
    <s v=" 35.0823 "/>
    <x v="0"/>
    <n v="635897"/>
    <m/>
    <m/>
    <m/>
  </r>
  <r>
    <x v="8"/>
    <x v="1"/>
    <s v="C:\Users\andre\Desktop\REACTIV CEFAS\E2\E2/20201116_Cefas_Test6-Run1/Plate 1/@4/B4_01.tif "/>
    <s v=" 54442.4448 "/>
    <s v=" 39.4358 "/>
    <x v="0"/>
    <n v="2146983"/>
    <m/>
    <m/>
    <m/>
  </r>
  <r>
    <x v="8"/>
    <x v="1"/>
    <s v="C:\Users\andre\Desktop\REACTIV CEFAS\E2\E2/20201116_Cefas_Test6-Run1/Plate 1/@4/B4_02.tif "/>
    <s v=" 37527.8672 "/>
    <s v=" 40.717 "/>
    <x v="0"/>
    <n v="1528022"/>
    <m/>
    <m/>
    <m/>
  </r>
  <r>
    <x v="8"/>
    <x v="1"/>
    <s v="C:\Users\andre\Desktop\REACTIV CEFAS\E2\E2/20201116_Cefas_Test6-Run1/Plate 1/@4/B4_03- exclu.tif"/>
    <m/>
    <m/>
    <x v="1"/>
    <m/>
    <m/>
    <m/>
    <m/>
  </r>
  <r>
    <x v="8"/>
    <x v="2"/>
    <s v="C:\Users\andre\Desktop\REACTIV CEFAS\E2\E2/20201116_Cefas_Test6-Run1/Plate 1/@4/C4_01.tif "/>
    <s v=" 10490.4989 "/>
    <s v=" 33.1773 "/>
    <x v="0"/>
    <n v="348047"/>
    <m/>
    <m/>
    <m/>
  </r>
  <r>
    <x v="8"/>
    <x v="2"/>
    <s v="C:\Users\andre\Desktop\REACTIV CEFAS\E2\E2/20201116_Cefas_Test6-Run1/Plate 1/@4/C4_02.tif "/>
    <s v=" 2595.5874 "/>
    <s v=" 31.6833 "/>
    <x v="0"/>
    <n v="82237"/>
    <m/>
    <m/>
    <m/>
  </r>
  <r>
    <x v="8"/>
    <x v="2"/>
    <s v="C:\Users\andre\Desktop\REACTIV CEFAS\E2\E2/20201116_Cefas_Test6-Run1/Plate 1/@4/C4_03.tif "/>
    <s v=" 12653.4884 "/>
    <s v=" 33.1658 "/>
    <x v="0"/>
    <n v="419663"/>
    <m/>
    <m/>
    <m/>
  </r>
  <r>
    <x v="8"/>
    <x v="3"/>
    <s v="C:\Users\andre\Desktop\REACTIV CEFAS\E2\E2/20201116_Cefas_Test6-Run1/Plate 1/@4/D4_01.tif "/>
    <s v=" 65235.7622 "/>
    <s v=" 40.4015 "/>
    <x v="0"/>
    <n v="2635624"/>
    <m/>
    <m/>
    <m/>
  </r>
  <r>
    <x v="8"/>
    <x v="3"/>
    <s v="C:\Users\andre\Desktop\REACTIV CEFAS\E2\E2/20201116_Cefas_Test6-Run1/Plate 1/@4/D4_02.tif "/>
    <s v=" 66922.894 "/>
    <s v=" 39.914 "/>
    <x v="0"/>
    <n v="2671162"/>
    <m/>
    <m/>
    <m/>
  </r>
  <r>
    <x v="8"/>
    <x v="3"/>
    <s v="C:\Users\andre\Desktop\REACTIV CEFAS\E2\E2/20201116_Cefas_Test6-Run1/Plate 1/@4/D4_03.tif "/>
    <s v=" 66641.7054 "/>
    <s v=" 41.5748 "/>
    <x v="0"/>
    <n v="2770616"/>
    <m/>
    <m/>
    <m/>
  </r>
  <r>
    <x v="8"/>
    <x v="4"/>
    <s v="C:\Users\andre\Desktop\REACTIV CEFAS\E2\E2/20201116_Cefas_Test6-Run1/Plate 1/@4/E4_01.tif "/>
    <s v=" 8543.8084 "/>
    <s v=" 31.9215 "/>
    <x v="0"/>
    <n v="272731"/>
    <m/>
    <m/>
    <m/>
  </r>
  <r>
    <x v="8"/>
    <x v="4"/>
    <s v="C:\Users\andre\Desktop\REACTIV CEFAS\E2\E2/20201116_Cefas_Test6-Run1/Plate 1/@4/E4_02.tif "/>
    <s v=" 4131.3099 "/>
    <s v=" 31.911 "/>
    <x v="0"/>
    <n v="131834"/>
    <m/>
    <m/>
    <m/>
  </r>
  <r>
    <x v="8"/>
    <x v="4"/>
    <s v="C:\Users\andre\Desktop\REACTIV CEFAS\E2\E2/20201116_Cefas_Test6-Run1/Plate 1/@4/E4_03.tif "/>
    <s v=" 6359.189 "/>
    <s v=" 38.8027 "/>
    <x v="0"/>
    <n v="246754"/>
    <m/>
    <m/>
    <m/>
  </r>
  <r>
    <x v="8"/>
    <x v="5"/>
    <s v="C:\Users\andre\Desktop\REACTIV CEFAS\E2\E2/20201116_Cefas_Test6-Run1/Plate 1/@4/F4_01.tif "/>
    <s v=" 64.8897 "/>
    <n v="33"/>
    <x v="0"/>
    <n v="2141"/>
    <m/>
    <m/>
    <m/>
  </r>
  <r>
    <x v="8"/>
    <x v="5"/>
    <s v="C:\Users\andre\Desktop\REACTIV CEFAS\E2\E2/20201116_Cefas_Test6-Run1/Plate 1/@4/F4_02.tif "/>
    <s v=" 3374.2636 "/>
    <s v=" 35.4487 "/>
    <x v="0"/>
    <n v="119613"/>
    <m/>
    <m/>
    <m/>
  </r>
  <r>
    <x v="8"/>
    <x v="5"/>
    <s v="C:\Users\andre\Desktop\REACTIV CEFAS\E2\E2/20201116_Cefas_Test6-Run1/Plate 1/@4/F4_03.tif "/>
    <s v=" 6770.157 "/>
    <s v=" 39.2875 "/>
    <x v="0"/>
    <n v="265983"/>
    <m/>
    <m/>
    <m/>
  </r>
  <r>
    <x v="8"/>
    <x v="6"/>
    <s v="C:\Users\andre\Desktop\REACTIV CEFAS\E2\E2/20201116_Cefas_Test6-Run1/Plate 1/@4/G4_01.tif "/>
    <s v=" 38479.5825 "/>
    <s v=" 34.5346 "/>
    <x v="0"/>
    <n v="1328876"/>
    <m/>
    <m/>
    <m/>
  </r>
  <r>
    <x v="8"/>
    <x v="6"/>
    <s v="C:\Users\andre\Desktop\REACTIV CEFAS\E2\E2/20201116_Cefas_Test6-Run1/Plate 1/@4/G4_02.tif "/>
    <s v=" 32769.2904 "/>
    <s v=" 34.3465 "/>
    <x v="0"/>
    <n v="1125512"/>
    <m/>
    <m/>
    <m/>
  </r>
  <r>
    <x v="8"/>
    <x v="6"/>
    <s v="C:\Users\andre\Desktop\REACTIV CEFAS\E2\E2/20201116_Cefas_Test6-Run1/Plate 1/@4/G4_03.tif "/>
    <s v=" 37052.0095 "/>
    <s v=" 33.7782 "/>
    <x v="0"/>
    <n v="1251549"/>
    <m/>
    <m/>
    <m/>
  </r>
  <r>
    <x v="8"/>
    <x v="7"/>
    <s v="C:\Users\andre\Desktop\REACTIV CEFAS\E2\E2/20201116_Cefas_Test6-Run1/Plate 1/@4/H4_01.tif "/>
    <s v=" 65127.6127 "/>
    <s v=" 38.4756 "/>
    <x v="0"/>
    <n v="2505823"/>
    <m/>
    <m/>
    <m/>
  </r>
  <r>
    <x v="8"/>
    <x v="7"/>
    <s v="C:\Users\andre\Desktop\REACTIV CEFAS\E2\E2/20201116_Cefas_Test6-Run1/Plate 1/@4/H4_02.tif "/>
    <s v=" 62185.9471 "/>
    <s v=" 38.408 "/>
    <x v="0"/>
    <n v="2388438"/>
    <m/>
    <m/>
    <m/>
  </r>
  <r>
    <x v="8"/>
    <x v="7"/>
    <s v="C:\Users\andre\Desktop\REACTIV CEFAS\E2\E2/20201116_Cefas_Test6-Run1/Plate 1/@4/H4_03.tif "/>
    <s v=" 53360.95 "/>
    <s v=" 35.7921 "/>
    <x v="0"/>
    <n v="1909898"/>
    <m/>
    <m/>
    <m/>
  </r>
  <r>
    <x v="1"/>
    <x v="8"/>
    <s v=" "/>
    <m/>
    <m/>
    <x v="1"/>
    <m/>
    <m/>
    <m/>
    <m/>
  </r>
  <r>
    <x v="1"/>
    <x v="8"/>
    <s v="group "/>
    <s v=" "/>
    <s v=" mean of mean fluo "/>
    <x v="2"/>
    <s v=" mean of total fluo "/>
    <s v=" SD total fluo "/>
    <s v=" n fluorescent "/>
    <s v=" n total"/>
  </r>
  <r>
    <x v="8"/>
    <x v="9"/>
    <s v="C:\Users\andre\Desktop\REACTIV CEFAS\E2\E2/20201116_Cefas_Test6-Run1/Plate 1/@4/ "/>
    <s v=" "/>
    <s v=" 36.5336 "/>
    <x v="10"/>
    <s v=" 1156559.38 "/>
    <s v=" 977012.752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9"/>
    <x v="0"/>
    <s v="C:\Users\andre\Desktop\REACTIV CEFAS\E2\E2/20201116_Cefas_Test6-Run1/Plate 1/@5/A5_01.tif "/>
    <s v=" 76937.5352 "/>
    <s v=" 41.0869 "/>
    <x v="0"/>
    <n v="3161123"/>
    <m/>
    <m/>
    <m/>
  </r>
  <r>
    <x v="9"/>
    <x v="0"/>
    <s v="C:\Users\andre\Desktop\REACTIV CEFAS\E2\E2/20201116_Cefas_Test6-Run1/Plate 1/@5/A5_02.tif "/>
    <s v=" 68436.9866 "/>
    <s v=" 34.3056 "/>
    <x v="0"/>
    <n v="2347774"/>
    <m/>
    <m/>
    <m/>
  </r>
  <r>
    <x v="9"/>
    <x v="0"/>
    <s v="C:\Users\andre\Desktop\REACTIV CEFAS\E2\E2/20201116_Cefas_Test6-Run1/Plate 1/@5/A5_03.tif "/>
    <s v=" 73952.6097 "/>
    <s v=" 40.7672 "/>
    <x v="0"/>
    <n v="3014840"/>
    <m/>
    <m/>
    <m/>
  </r>
  <r>
    <x v="9"/>
    <x v="1"/>
    <s v="C:\Users\andre\Desktop\REACTIV CEFAS\E2\E2/20201116_Cefas_Test6-Run1/Plate 1/@5/B5_01.tif "/>
    <s v=" 37376.4579 "/>
    <s v=" 38.4977 "/>
    <x v="0"/>
    <n v="1438907"/>
    <m/>
    <m/>
    <m/>
  </r>
  <r>
    <x v="9"/>
    <x v="1"/>
    <s v="C:\Users\andre\Desktop\REACTIV CEFAS\E2\E2/20201116_Cefas_Test6-Run1/Plate 1/@5/B5_02.tif "/>
    <s v=" 39214.999 "/>
    <s v=" 38.6674 "/>
    <x v="0"/>
    <n v="1516342"/>
    <m/>
    <m/>
    <m/>
  </r>
  <r>
    <x v="9"/>
    <x v="1"/>
    <s v="C:\Users\andre\Desktop\REACTIV CEFAS\E2\E2/20201116_Cefas_Test6-Run1/Plate 1/@5/B5_03.tif "/>
    <s v=" 44081.7253 "/>
    <s v=" 43.5751 "/>
    <x v="0"/>
    <n v="1920864"/>
    <m/>
    <m/>
    <m/>
  </r>
  <r>
    <x v="9"/>
    <x v="2"/>
    <s v="C:\Users\andre\Desktop\REACTIV CEFAS\E2\E2/20201116_Cefas_Test6-Run1/Plate 1/@5/C5_01.tif "/>
    <s v=" 70491.8266 "/>
    <s v=" 40.7389 "/>
    <x v="0"/>
    <n v="2871758"/>
    <m/>
    <m/>
    <m/>
  </r>
  <r>
    <x v="9"/>
    <x v="2"/>
    <s v="C:\Users\andre\Desktop\REACTIV CEFAS\E2\E2/20201116_Cefas_Test6-Run1/Plate 1/@5/C5_02.tif "/>
    <s v=" 70729.7554 "/>
    <s v=" 41.4128 "/>
    <x v="0"/>
    <n v="2929120"/>
    <m/>
    <m/>
    <m/>
  </r>
  <r>
    <x v="9"/>
    <x v="2"/>
    <s v="C:\Users\andre\Desktop\REACTIV CEFAS\E2\E2/20201116_Cefas_Test6-Run1/Plate 1/@5/C5_03.tif "/>
    <s v=" 69453.5917 "/>
    <s v=" 41.0972 "/>
    <x v="0"/>
    <n v="2854346"/>
    <m/>
    <m/>
    <m/>
  </r>
  <r>
    <x v="9"/>
    <x v="3"/>
    <s v="C:\Users\andre\Desktop\REACTIV CEFAS\E2\E2/20201116_Cefas_Test6-Run1/Plate 1/@5/D5_01.tif "/>
    <s v=" 56713.5837 "/>
    <s v=" 39.7616 "/>
    <x v="0"/>
    <n v="2255025"/>
    <m/>
    <m/>
    <m/>
  </r>
  <r>
    <x v="9"/>
    <x v="3"/>
    <s v="C:\Users\andre\Desktop\REACTIV CEFAS\E2\E2/20201116_Cefas_Test6-Run1/Plate 1/@5/D5_02.tif "/>
    <s v=" 54572.2241 "/>
    <s v=" 38.4308 "/>
    <x v="0"/>
    <n v="2097256"/>
    <m/>
    <m/>
    <m/>
  </r>
  <r>
    <x v="9"/>
    <x v="3"/>
    <s v="C:\Users\andre\Desktop\REACTIV CEFAS\E2\E2/20201116_Cefas_Test6-Run1/Plate 1/@5/D5_03.tif "/>
    <s v=" 58790.0536 "/>
    <s v=" 39.94 "/>
    <x v="0"/>
    <n v="2348076"/>
    <m/>
    <m/>
    <m/>
  </r>
  <r>
    <x v="9"/>
    <x v="4"/>
    <s v="C:\Users\andre\Desktop\REACTIV CEFAS\E2\E2/20201116_Cefas_Test6-Run1/Plate 1/@5/E5_01.tif "/>
    <s v=" 58400.7155 "/>
    <s v=" 47.9378 "/>
    <x v="0"/>
    <n v="2799601"/>
    <m/>
    <m/>
    <m/>
  </r>
  <r>
    <x v="9"/>
    <x v="4"/>
    <s v="C:\Users\andre\Desktop\REACTIV CEFAS\E2\E2/20201116_Cefas_Test6-Run1/Plate 1/@5/E5_02.tif "/>
    <s v=" 68047.6485 "/>
    <s v=" 47.5842 "/>
    <x v="0"/>
    <n v="3237995"/>
    <m/>
    <m/>
    <m/>
  </r>
  <r>
    <x v="9"/>
    <x v="4"/>
    <s v="C:\Users\andre\Desktop\REACTIV CEFAS\E2\E2/20201116_Cefas_Test6-Run1/Plate 1/@5/E5_03.tif "/>
    <s v=" 64543.6056 "/>
    <s v=" 46.7983 "/>
    <x v="0"/>
    <n v="3020528"/>
    <m/>
    <m/>
    <m/>
  </r>
  <r>
    <x v="9"/>
    <x v="5"/>
    <s v="C:\Users\andre\Desktop\REACTIV CEFAS\E2\E2/20201116_Cefas_Test6-Run1/Plate 1/@5/F5_01.tif "/>
    <s v=" 38933.8103 "/>
    <s v=" 37.5089 "/>
    <x v="0"/>
    <n v="1460364"/>
    <m/>
    <m/>
    <m/>
  </r>
  <r>
    <x v="9"/>
    <x v="5"/>
    <s v="C:\Users\andre\Desktop\REACTIV CEFAS\E2\E2/20201116_Cefas_Test6-Run1/Plate 1/@5/F5_02.tif "/>
    <s v=" 39452.9278 "/>
    <s v=" 41.0099 "/>
    <x v="0"/>
    <n v="1617959"/>
    <m/>
    <m/>
    <m/>
  </r>
  <r>
    <x v="9"/>
    <x v="5"/>
    <s v="C:\Users\andre\Desktop\REACTIV CEFAS\E2\E2/20201116_Cefas_Test6-Run1/Plate 1/@5/F5_03.tif "/>
    <s v=" 34002.1944 "/>
    <s v=" 39.1972 "/>
    <x v="0"/>
    <n v="1332791"/>
    <m/>
    <m/>
    <m/>
  </r>
  <r>
    <x v="9"/>
    <x v="6"/>
    <s v="C:\Users\andre\Desktop\REACTIV CEFAS\E2\E2/20201116_Cefas_Test6-Run1/Plate 1/@5/G5_01.tif "/>
    <s v=" 67701.5702 "/>
    <s v=" 41.3486 "/>
    <x v="0"/>
    <n v="2799363"/>
    <m/>
    <m/>
    <m/>
  </r>
  <r>
    <x v="9"/>
    <x v="6"/>
    <s v="C:\Users\andre\Desktop\REACTIV CEFAS\E2\E2/20201116_Cefas_Test6-Run1/Plate 1/@5/G5_02.tif "/>
    <s v=" 68242.3176 "/>
    <s v=" 41.6406 "/>
    <x v="0"/>
    <n v="2841649"/>
    <m/>
    <m/>
    <m/>
  </r>
  <r>
    <x v="9"/>
    <x v="6"/>
    <s v="C:\Users\andre\Desktop\REACTIV CEFAS\E2\E2/20201116_Cefas_Test6-Run1/Plate 1/@5/G5_03.tif "/>
    <s v=" 61234.2317 "/>
    <s v=" 41.3539 "/>
    <x v="0"/>
    <n v="2532277"/>
    <m/>
    <m/>
    <m/>
  </r>
  <r>
    <x v="9"/>
    <x v="7"/>
    <s v="C:\Users\andre\Desktop\REACTIV CEFAS\E2\E2/20201116_Cefas_Test6-Run1/Plate 1/@5/H5_01.tif "/>
    <s v=" 71075.8338 "/>
    <s v=" 41.8561 "/>
    <x v="0"/>
    <n v="2974954"/>
    <m/>
    <m/>
    <m/>
  </r>
  <r>
    <x v="9"/>
    <x v="7"/>
    <s v="C:\Users\andre\Desktop\REACTIV CEFAS\E2\E2/20201116_Cefas_Test6-Run1/Plate 1/@5/H5_02.tif "/>
    <s v=" 65019.4633 "/>
    <s v=" 42.345 "/>
    <x v="0"/>
    <n v="2753248"/>
    <m/>
    <m/>
    <m/>
  </r>
  <r>
    <x v="9"/>
    <x v="7"/>
    <s v="C:\Users\andre\Desktop\REACTIV CEFAS\E2\E2/20201116_Cefas_Test6-Run1/Plate 1/@5/H5_03.tif "/>
    <s v=" 59482.2102 "/>
    <s v=" 37.6633 "/>
    <x v="0"/>
    <n v="2240295"/>
    <m/>
    <m/>
    <m/>
  </r>
  <r>
    <x v="1"/>
    <x v="8"/>
    <s v=" "/>
    <m/>
    <m/>
    <x v="1"/>
    <m/>
    <m/>
    <m/>
    <m/>
  </r>
  <r>
    <x v="1"/>
    <x v="8"/>
    <s v="group "/>
    <s v=" "/>
    <s v=" mean of mean fluo "/>
    <x v="2"/>
    <s v=" mean of total fluo "/>
    <s v=" SD total fluo "/>
    <s v=" n fluorescent "/>
    <s v=" n total"/>
  </r>
  <r>
    <x v="9"/>
    <x v="9"/>
    <s v="C:\Users\andre\Desktop\REACTIV CEFAS\E2\E2/20201116_Cefas_Test6-Run1/Plate 1/@5/ "/>
    <s v=" "/>
    <s v=" 41.0219 "/>
    <x v="11"/>
    <s v=" 2431935.62 "/>
    <s v=" 605315.057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0"/>
    <x v="0"/>
    <s v="C:\Users\andre\Desktop\REACTIV CEFAS\E2\E2/20201116_Cefas_Test6-Run1/Plate 1/@6/A6_01.tif "/>
    <s v=" 65279.022 "/>
    <s v=" 47.0971 "/>
    <x v="0"/>
    <n v="3074452"/>
    <m/>
    <m/>
    <m/>
  </r>
  <r>
    <x v="10"/>
    <x v="0"/>
    <s v="C:\Users\andre\Desktop\REACTIV CEFAS\E2\E2/20201116_Cefas_Test6-Run1/Plate 1/@6/A6_02.tif "/>
    <s v=" 67593.4207 "/>
    <s v=" 48.3126 "/>
    <x v="0"/>
    <n v="3265617"/>
    <m/>
    <m/>
    <m/>
  </r>
  <r>
    <x v="10"/>
    <x v="0"/>
    <s v="C:\Users\andre\Desktop\REACTIV CEFAS\E2\E2/20201116_Cefas_Test6-Run1/Plate 1/@6/A6_03.tif "/>
    <s v=" 59633.6195 "/>
    <s v=" 47.4868 "/>
    <x v="0"/>
    <n v="2831807"/>
    <m/>
    <m/>
    <m/>
  </r>
  <r>
    <x v="10"/>
    <x v="1"/>
    <s v="C:\Users\andre\Desktop\REACTIV CEFAS\E2\E2/20201116_Cefas_Test6-Run1/Plate 1/@6/B6_01.tif "/>
    <s v=" 8651.9579 "/>
    <s v=" 33.135 "/>
    <x v="0"/>
    <n v="286683"/>
    <m/>
    <m/>
    <m/>
  </r>
  <r>
    <x v="10"/>
    <x v="1"/>
    <s v="C:\Users\andre\Desktop\REACTIV CEFAS\E2\E2/20201116_Cefas_Test6-Run1/Plate 1/@6/B6_02.tif "/>
    <s v=" 14189.2109 "/>
    <s v=" 38.8613 "/>
    <x v="0"/>
    <n v="551411"/>
    <m/>
    <m/>
    <m/>
  </r>
  <r>
    <x v="10"/>
    <x v="1"/>
    <s v="C:\Users\andre\Desktop\REACTIV CEFAS\E2\E2/20201116_Cefas_Test6-Run1/Plate 1/@6/B6_03.tif "/>
    <s v=" 13972.9119 "/>
    <s v=" 38.356 "/>
    <x v="0"/>
    <n v="535946"/>
    <m/>
    <m/>
    <m/>
  </r>
  <r>
    <x v="10"/>
    <x v="2"/>
    <s v="C:\Users\andre\Desktop\REACTIV CEFAS\E2\E2/20201116_Cefas_Test6-Run1/Plate 1/@6/C6_01.tif "/>
    <s v=" 60628.5946 "/>
    <s v=" 52.7039 "/>
    <x v="0"/>
    <n v="3195363"/>
    <m/>
    <m/>
    <m/>
  </r>
  <r>
    <x v="10"/>
    <x v="2"/>
    <s v="C:\Users\andre\Desktop\REACTIV CEFAS\E2\E2/20201116_Cefas_Test6-Run1/Plate 1/@6/C6_02- exclu.tif"/>
    <m/>
    <m/>
    <x v="1"/>
    <m/>
    <m/>
    <m/>
    <m/>
  </r>
  <r>
    <x v="10"/>
    <x v="2"/>
    <s v="C:\Users\andre\Desktop\REACTIV CEFAS\E2\E2/20201116_Cefas_Test6-Run1/Plate 1/@6/C6_03.tif "/>
    <s v=" 63202.5521 "/>
    <s v=" 49.9493 "/>
    <x v="0"/>
    <n v="3156926"/>
    <m/>
    <m/>
    <m/>
  </r>
  <r>
    <x v="10"/>
    <x v="3"/>
    <s v="C:\Users\andre\Desktop\REACTIV CEFAS\E2\E2/20201116_Cefas_Test6-Run1/Plate 1/@6/D6_01.tif "/>
    <s v=" 81176.9945 "/>
    <s v=" 48.016 "/>
    <x v="0"/>
    <n v="3897794"/>
    <m/>
    <m/>
    <m/>
  </r>
  <r>
    <x v="10"/>
    <x v="3"/>
    <s v="C:\Users\andre\Desktop\REACTIV CEFAS\E2\E2/20201116_Cefas_Test6-Run1/Plate 1/@6/D6_02.tif "/>
    <s v=" 82885.7562 "/>
    <s v=" 51.3578 "/>
    <x v="0"/>
    <n v="4256828"/>
    <m/>
    <m/>
    <m/>
  </r>
  <r>
    <x v="10"/>
    <x v="3"/>
    <s v="C:\Users\andre\Desktop\REACTIV CEFAS\E2\E2/20201116_Cefas_Test6-Run1/Plate 1/@6/D6_03.tif "/>
    <s v=" 75380.1828 "/>
    <s v=" 47.6494 "/>
    <x v="0"/>
    <n v="3591817"/>
    <m/>
    <m/>
    <m/>
  </r>
  <r>
    <x v="10"/>
    <x v="4"/>
    <s v="C:\Users\andre\Desktop\REACTIV CEFAS\E2\E2/20201116_Cefas_Test6-Run1/Plate 1/@6/E6_01.tif "/>
    <s v=" 92640.8387 "/>
    <s v=" 50.4982 "/>
    <x v="0"/>
    <n v="4678200"/>
    <m/>
    <m/>
    <m/>
  </r>
  <r>
    <x v="10"/>
    <x v="4"/>
    <s v="C:\Users\andre\Desktop\REACTIV CEFAS\E2\E2/20201116_Cefas_Test6-Run1/Plate 1/@6/E6_02.tif "/>
    <s v=" 99865.2235 "/>
    <s v=" 50.3405 "/>
    <x v="0"/>
    <n v="5027263"/>
    <m/>
    <m/>
    <m/>
  </r>
  <r>
    <x v="10"/>
    <x v="4"/>
    <s v="C:\Users\andre\Desktop\REACTIV CEFAS\E2\E2/20201116_Cefas_Test6-Run1/Plate 1/@6/E6_03.tif "/>
    <s v=" 88574.4185 "/>
    <s v=" 48.6369 "/>
    <x v="0"/>
    <n v="4307983"/>
    <m/>
    <m/>
    <m/>
  </r>
  <r>
    <x v="10"/>
    <x v="5"/>
    <s v="C:\Users\andre\Desktop\REACTIV CEFAS\E2\E2/20201116_Cefas_Test6-Run1/Plate 1/@6/F6_01.tif "/>
    <s v=" 73433.4923 "/>
    <s v=" 44.8872 "/>
    <x v="0"/>
    <n v="3296223"/>
    <m/>
    <m/>
    <m/>
  </r>
  <r>
    <x v="10"/>
    <x v="5"/>
    <s v="C:\Users\andre\Desktop\REACTIV CEFAS\E2\E2/20201116_Cefas_Test6-Run1/Plate 1/@6/F6_02.tif "/>
    <s v=" 69150.7731 "/>
    <s v=" 41.9697 "/>
    <x v="0"/>
    <n v="2902234"/>
    <m/>
    <m/>
    <m/>
  </r>
  <r>
    <x v="10"/>
    <x v="5"/>
    <s v="C:\Users\andre\Desktop\REACTIV CEFAS\E2\E2/20201116_Cefas_Test6-Run1/Plate 1/@6/F6_03.tif "/>
    <s v=" 69020.9938 "/>
    <s v=" 41.4698 "/>
    <x v="0"/>
    <n v="2862284"/>
    <m/>
    <m/>
    <m/>
  </r>
  <r>
    <x v="10"/>
    <x v="6"/>
    <s v="C:\Users\andre\Desktop\REACTIV CEFAS\E2\E2/20201116_Cefas_Test6-Run1/Plate 1/@6/G6_01- exclu.tif"/>
    <m/>
    <m/>
    <x v="1"/>
    <m/>
    <m/>
    <m/>
    <m/>
  </r>
  <r>
    <x v="10"/>
    <x v="6"/>
    <s v="C:\Users\andre\Desktop\REACTIV CEFAS\E2\E2/20201116_Cefas_Test6-Run1/Plate 1/@6/G6_02- exclu.tif"/>
    <m/>
    <m/>
    <x v="1"/>
    <m/>
    <m/>
    <m/>
    <m/>
  </r>
  <r>
    <x v="10"/>
    <x v="6"/>
    <s v="C:\Users\andre\Desktop\REACTIV CEFAS\E2\E2/20201116_Cefas_Test6-Run1/Plate 1/@6/G6_03- exclu.tif"/>
    <m/>
    <m/>
    <x v="1"/>
    <m/>
    <m/>
    <m/>
    <m/>
  </r>
  <r>
    <x v="10"/>
    <x v="7"/>
    <s v="C:\Users\andre\Desktop\REACTIV CEFAS\E2\E2/20201116_Cefas_Test6-Run1/Plate 1/@6/H6_01.tif "/>
    <s v=" 39323.1484 "/>
    <s v=" 38.2525 "/>
    <x v="0"/>
    <n v="1504208"/>
    <m/>
    <m/>
    <m/>
  </r>
  <r>
    <x v="10"/>
    <x v="7"/>
    <s v="C:\Users\andre\Desktop\REACTIV CEFAS\E2\E2/20201116_Cefas_Test6-Run1/Plate 1/@6/H6_02.tif "/>
    <s v=" 48083.2558 "/>
    <s v=" 37.9613 "/>
    <x v="0"/>
    <n v="1825304"/>
    <m/>
    <m/>
    <m/>
  </r>
  <r>
    <x v="10"/>
    <x v="7"/>
    <s v="C:\Users\andre\Desktop\REACTIV CEFAS\E2\E2/20201116_Cefas_Test6-Run1/Plate 1/@6/H6_03.tif "/>
    <s v=" 24960.8984 "/>
    <s v=" 42.1464 "/>
    <x v="0"/>
    <n v="1052013"/>
    <m/>
    <m/>
    <m/>
  </r>
  <r>
    <x v="1"/>
    <x v="8"/>
    <s v=" "/>
    <m/>
    <m/>
    <x v="1"/>
    <m/>
    <m/>
    <m/>
    <m/>
  </r>
  <r>
    <x v="1"/>
    <x v="8"/>
    <s v="group "/>
    <s v=" "/>
    <s v=" mean of mean fluo "/>
    <x v="2"/>
    <s v=" mean of total fluo "/>
    <s v=" SD total fluo "/>
    <s v=" n fluorescent "/>
    <s v=" n total"/>
  </r>
  <r>
    <x v="10"/>
    <x v="9"/>
    <s v="C:\Users\andre\Desktop\REACTIV CEFAS\E2\E2/20201116_Cefas_Test6-Run1/Plate 1/@6/ "/>
    <s v=" "/>
    <s v=" 43.5561 "/>
    <x v="12"/>
    <s v=" 2409464.88 "/>
    <s v=" 1595160.51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1"/>
    <x v="0"/>
    <s v="C:\Users\andre\Desktop\REACTIV CEFAS\E2\E2/20201116_Cefas_Test6-Run1/Plate 1/@7/A7_01.tif "/>
    <s v=" 76872.6455 "/>
    <s v=" 58.3655 "/>
    <x v="0"/>
    <n v="4486711"/>
    <m/>
    <m/>
    <m/>
  </r>
  <r>
    <x v="11"/>
    <x v="0"/>
    <s v="C:\Users\andre\Desktop\REACTIV CEFAS\E2\E2/20201116_Cefas_Test6-Run1/Plate 1/@7/A7_02.tif "/>
    <s v=" 73563.2716 "/>
    <s v=" 51.4699 "/>
    <x v="0"/>
    <n v="3786291"/>
    <m/>
    <m/>
    <m/>
  </r>
  <r>
    <x v="11"/>
    <x v="0"/>
    <s v="C:\Users\andre\Desktop\REACTIV CEFAS\E2\E2/20201116_Cefas_Test6-Run1/Plate 1/@7/A7_03.tif "/>
    <s v=" 79662.9019 "/>
    <s v=" 52.3649 "/>
    <x v="0"/>
    <n v="4171541"/>
    <m/>
    <m/>
    <m/>
  </r>
  <r>
    <x v="11"/>
    <x v="1"/>
    <s v="C:\Users\andre\Desktop\REACTIV CEFAS\E2\E2/20201116_Cefas_Test6-Run1/Plate 1/@7/B7_01.tif "/>
    <s v=" 64911.3138 "/>
    <s v=" 53.7048 "/>
    <x v="0"/>
    <n v="3486047"/>
    <m/>
    <m/>
    <m/>
  </r>
  <r>
    <x v="11"/>
    <x v="1"/>
    <s v="C:\Users\andre\Desktop\REACTIV CEFAS\E2\E2/20201116_Cefas_Test6-Run1/Plate 1/@7/B7_02.tif "/>
    <s v=" 67831.3496 "/>
    <s v=" 53.6489 "/>
    <x v="0"/>
    <n v="3639078"/>
    <m/>
    <m/>
    <m/>
  </r>
  <r>
    <x v="11"/>
    <x v="1"/>
    <s v="C:\Users\andre\Desktop\REACTIV CEFAS\E2\E2/20201116_Cefas_Test6-Run1/Plate 1/@7/B7_03.tif "/>
    <s v=" 72438.5171 "/>
    <s v=" 57.0911 "/>
    <x v="0"/>
    <n v="4135593"/>
    <m/>
    <m/>
    <m/>
  </r>
  <r>
    <x v="11"/>
    <x v="2"/>
    <s v="C:\Users\andre\Desktop\REACTIV CEFAS\E2\E2/20201116_Cefas_Test6-Run1/Plate 1/@7/C7_01.tif "/>
    <s v=" 84551.2581 "/>
    <s v=" 62.3154 "/>
    <x v="0"/>
    <n v="5268848"/>
    <m/>
    <m/>
    <m/>
  </r>
  <r>
    <x v="11"/>
    <x v="2"/>
    <s v="C:\Users\andre\Desktop\REACTIV CEFAS\E2\E2/20201116_Cefas_Test6-Run1/Plate 1/@7/C7_02.tif "/>
    <s v=" 90110.141 "/>
    <s v=" 59.2712 "/>
    <x v="0"/>
    <n v="5340940"/>
    <m/>
    <m/>
    <m/>
  </r>
  <r>
    <x v="11"/>
    <x v="2"/>
    <s v="C:\Users\andre\Desktop\REACTIV CEFAS\E2\E2/20201116_Cefas_Test6-Run1/Plate 1/@7/C7_03.tif "/>
    <s v=" 85438.0838 "/>
    <s v=" 58.2729 "/>
    <x v="0"/>
    <n v="4978726"/>
    <m/>
    <m/>
    <m/>
  </r>
  <r>
    <x v="11"/>
    <x v="3"/>
    <s v="C:\Users\andre\Desktop\REACTIV CEFAS\E2\E2/20201116_Cefas_Test6-Run1/Plate 1/@7/D7_01.tif "/>
    <s v=" 73130.6737 "/>
    <s v=" 55.0834 "/>
    <x v="0"/>
    <n v="4028287"/>
    <m/>
    <m/>
    <m/>
  </r>
  <r>
    <x v="11"/>
    <x v="3"/>
    <s v="C:\Users\andre\Desktop\REACTIV CEFAS\E2\E2/20201116_Cefas_Test6-Run1/Plate 1/@7/D7_02.tif "/>
    <s v=" 72481.7769 "/>
    <s v=" 61.5936 "/>
    <x v="0"/>
    <n v="4464410"/>
    <m/>
    <m/>
    <m/>
  </r>
  <r>
    <x v="11"/>
    <x v="3"/>
    <s v="C:\Users\andre\Desktop\REACTIV CEFAS\E2\E2/20201116_Cefas_Test6-Run1/Plate 1/@7/D7_03.tif "/>
    <s v=" 70318.7874 "/>
    <s v=" 61.2931 "/>
    <x v="0"/>
    <n v="4310059"/>
    <m/>
    <m/>
    <m/>
  </r>
  <r>
    <x v="11"/>
    <x v="4"/>
    <s v="C:\Users\andre\Desktop\REACTIV CEFAS\E2\E2/20201116_Cefas_Test6-Run1/Plate 1/@7/E7_01- exclu.tif"/>
    <m/>
    <m/>
    <x v="1"/>
    <m/>
    <m/>
    <m/>
    <m/>
  </r>
  <r>
    <x v="11"/>
    <x v="4"/>
    <s v="C:\Users\andre\Desktop\REACTIV CEFAS\E2\E2/20201116_Cefas_Test6-Run1/Plate 1/@7/E7_02.tif "/>
    <s v=" 76267.0085 "/>
    <s v=" 58.6653 "/>
    <x v="0"/>
    <n v="4474230"/>
    <m/>
    <m/>
    <m/>
  </r>
  <r>
    <x v="11"/>
    <x v="4"/>
    <s v="C:\Users\andre\Desktop\REACTIV CEFAS\E2\E2/20201116_Cefas_Test6-Run1/Plate 1/@7/E7_03.tif "/>
    <s v=" 64240.787 "/>
    <s v=" 61.8593 "/>
    <x v="0"/>
    <n v="3973888"/>
    <m/>
    <m/>
    <m/>
  </r>
  <r>
    <x v="11"/>
    <x v="5"/>
    <s v="C:\Users\andre\Desktop\REACTIV CEFAS\E2\E2/20201116_Cefas_Test6-Run1/Plate 1/@7/F7_01.tif "/>
    <s v=" 79208.6741 "/>
    <s v=" 52.3815 "/>
    <x v="0"/>
    <n v="4149068"/>
    <m/>
    <m/>
    <m/>
  </r>
  <r>
    <x v="11"/>
    <x v="5"/>
    <s v="C:\Users\andre\Desktop\REACTIV CEFAS\E2\E2/20201116_Cefas_Test6-Run1/Plate 1/@7/F7_02.tif "/>
    <s v=" 69669.8906 "/>
    <s v=" 53.9618 "/>
    <x v="0"/>
    <n v="3759514"/>
    <m/>
    <m/>
    <m/>
  </r>
  <r>
    <x v="11"/>
    <x v="5"/>
    <s v="C:\Users\andre\Desktop\REACTIV CEFAS\E2\E2/20201116_Cefas_Test6-Run1/Plate 1/@7/F7_03.tif "/>
    <s v=" 77175.464 "/>
    <s v=" 53.9986 "/>
    <x v="0"/>
    <n v="4167367"/>
    <m/>
    <m/>
    <m/>
  </r>
  <r>
    <x v="11"/>
    <x v="6"/>
    <s v="C:\Users\andre\Desktop\REACTIV CEFAS\E2\E2/20201116_Cefas_Test6-Run1/Plate 1/@7/G7_01.tif "/>
    <s v=" 88833.9772 "/>
    <s v=" 54.5103 "/>
    <x v="0"/>
    <n v="4842371"/>
    <m/>
    <m/>
    <m/>
  </r>
  <r>
    <x v="11"/>
    <x v="6"/>
    <s v="C:\Users\andre\Desktop\REACTIV CEFAS\E2\E2/20201116_Cefas_Test6-Run1/Plate 1/@7/G7_02.tif "/>
    <s v=" 92727.3583 "/>
    <s v=" 58.4616 "/>
    <x v="0"/>
    <n v="5420992"/>
    <m/>
    <m/>
    <m/>
  </r>
  <r>
    <x v="11"/>
    <x v="6"/>
    <s v="C:\Users\andre\Desktop\REACTIV CEFAS\E2\E2/20201116_Cefas_Test6-Run1/Plate 1/@7/G7_03.tif "/>
    <s v=" 92316.3903 "/>
    <s v=" 58.6354 "/>
    <x v="0"/>
    <n v="5413011"/>
    <m/>
    <m/>
    <m/>
  </r>
  <r>
    <x v="11"/>
    <x v="7"/>
    <s v="C:\Users\andre\Desktop\REACTIV CEFAS\E2\E2/20201116_Cefas_Test6-Run1/Plate 1/@7/H7_01.tif "/>
    <s v=" 81068.8451 "/>
    <s v=" 51.5229 "/>
    <x v="0"/>
    <n v="4176906"/>
    <m/>
    <m/>
    <m/>
  </r>
  <r>
    <x v="11"/>
    <x v="7"/>
    <s v="C:\Users\andre\Desktop\REACTIV CEFAS\E2\E2/20201116_Cefas_Test6-Run1/Plate 1/@7/H7_02.tif "/>
    <s v=" 79944.0905 "/>
    <s v=" 49.0087 "/>
    <x v="0"/>
    <n v="3917953"/>
    <m/>
    <m/>
    <m/>
  </r>
  <r>
    <x v="11"/>
    <x v="7"/>
    <s v="C:\Users\andre\Desktop\REACTIV CEFAS\E2\E2/20201116_Cefas_Test6-Run1/Plate 1/@7/H7_03.tif "/>
    <s v=" 68934.4742 "/>
    <s v=" 52.8337 "/>
    <x v="0"/>
    <n v="3642063"/>
    <m/>
    <m/>
    <m/>
  </r>
  <r>
    <x v="1"/>
    <x v="8"/>
    <s v=" "/>
    <m/>
    <m/>
    <x v="1"/>
    <m/>
    <m/>
    <m/>
    <m/>
  </r>
  <r>
    <x v="1"/>
    <x v="8"/>
    <s v="group "/>
    <s v=" "/>
    <s v=" mean of mean fluo "/>
    <x v="2"/>
    <s v=" mean of total fluo "/>
    <s v=" SD total fluo "/>
    <s v=" n fluorescent "/>
    <s v=" n total"/>
  </r>
  <r>
    <x v="11"/>
    <x v="9"/>
    <s v="C:\Users\andre\Desktop\REACTIV CEFAS\E2\E2/20201116_Cefas_Test6-Run1/Plate 1/@7/ "/>
    <s v=" "/>
    <s v=" 56.2702 "/>
    <x v="13"/>
    <s v=" 4269810.62 "/>
    <s v=" 701246.659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2"/>
    <x v="0"/>
    <s v="C:\Users\andre\Desktop\REACTIV CEFAS\E2\E2/20201116_Cefas_Test6-Run1/Plate 4/@10/A4_01.tif "/>
    <s v=" 13367.2749 "/>
    <s v=" 32.0227 "/>
    <x v="0"/>
    <n v="428056"/>
    <m/>
    <m/>
    <m/>
  </r>
  <r>
    <x v="12"/>
    <x v="0"/>
    <s v="C:\Users\andre\Desktop\REACTIV CEFAS\E2\E2/20201116_Cefas_Test6-Run1/Plate 4/@10/A4_02.tif "/>
    <s v=" 19618.3144 "/>
    <s v=" 33.3528 "/>
    <x v="0"/>
    <n v="654326"/>
    <m/>
    <m/>
    <m/>
  </r>
  <r>
    <x v="12"/>
    <x v="0"/>
    <s v="C:\Users\andre\Desktop\REACTIV CEFAS\E2\E2/20201116_Cefas_Test6-Run1/Plate 4/@10/A4_03.tif "/>
    <s v=" 15724.9334 "/>
    <s v=" 32.4773 "/>
    <x v="0"/>
    <n v="510703"/>
    <m/>
    <m/>
    <m/>
  </r>
  <r>
    <x v="12"/>
    <x v="1"/>
    <s v="C:\Users\andre\Desktop\REACTIV CEFAS\E2\E2/20201116_Cefas_Test6-Run1/Plate 4/@10/B4_01.tif "/>
    <s v=" 52106.4162 "/>
    <s v=" 38.384 "/>
    <x v="0"/>
    <n v="2000051"/>
    <m/>
    <m/>
    <m/>
  </r>
  <r>
    <x v="12"/>
    <x v="1"/>
    <s v="C:\Users\andre\Desktop\REACTIV CEFAS\E2\E2/20201116_Cefas_Test6-Run1/Plate 4/@10/B4_02.tif "/>
    <s v=" 72027.5491 "/>
    <s v=" 38.3904 "/>
    <x v="0"/>
    <n v="2765166"/>
    <m/>
    <m/>
    <m/>
  </r>
  <r>
    <x v="12"/>
    <x v="1"/>
    <s v="C:\Users\andre\Desktop\REACTIV CEFAS\E2\E2/20201116_Cefas_Test6-Run1/Plate 4/@10/B4_03.tif "/>
    <s v=" 71767.9904 "/>
    <s v=" 38.8261 "/>
    <x v="0"/>
    <n v="2786471"/>
    <m/>
    <m/>
    <m/>
  </r>
  <r>
    <x v="12"/>
    <x v="2"/>
    <s v="C:\Users\andre\Desktop\REACTIV CEFAS\E2\E2/20201116_Cefas_Test6-Run1/Plate 4/@10/C4_01.tif "/>
    <s v=" 55134.6014 "/>
    <s v=" 38.1424 "/>
    <x v="0"/>
    <n v="2102967"/>
    <m/>
    <m/>
    <m/>
  </r>
  <r>
    <x v="12"/>
    <x v="2"/>
    <s v="C:\Users\andre\Desktop\REACTIV CEFAS\E2\E2/20201116_Cefas_Test6-Run1/Plate 4/@10/C4_02.tif "/>
    <s v=" 52603.9037 "/>
    <s v=" 37.3236 "/>
    <x v="0"/>
    <n v="1963367"/>
    <m/>
    <m/>
    <m/>
  </r>
  <r>
    <x v="12"/>
    <x v="2"/>
    <s v="C:\Users\andre\Desktop\REACTIV CEFAS\E2\E2/20201116_Cefas_Test6-Run1/Plate 4/@10/C4_03.tif "/>
    <s v=" 52798.5728 "/>
    <s v=" 37.6985 "/>
    <x v="0"/>
    <n v="1990426"/>
    <m/>
    <m/>
    <m/>
  </r>
  <r>
    <x v="12"/>
    <x v="3"/>
    <s v="C:\Users\andre\Desktop\REACTIV CEFAS\E2\E2/20201116_Cefas_Test6-Run1/Plate 4/@10/D4_01.tif "/>
    <s v=" 62164.3172 "/>
    <s v=" 39.2836 "/>
    <x v="0"/>
    <n v="2442037"/>
    <m/>
    <m/>
    <m/>
  </r>
  <r>
    <x v="12"/>
    <x v="3"/>
    <s v="C:\Users\andre\Desktop\REACTIV CEFAS\E2\E2/20201116_Cefas_Test6-Run1/Plate 4/@10/D4_02.tif "/>
    <s v=" 65841.3993 "/>
    <s v=" 44.4997 "/>
    <x v="0"/>
    <n v="2929921"/>
    <m/>
    <m/>
    <m/>
  </r>
  <r>
    <x v="12"/>
    <x v="3"/>
    <s v="C:\Users\andre\Desktop\REACTIV CEFAS\E2\E2/20201116_Cefas_Test6-Run1/Plate 4/@10/D4_03.tif "/>
    <s v=" 59136.1319 "/>
    <s v=" 41.173 "/>
    <x v="0"/>
    <n v="2434812"/>
    <m/>
    <m/>
    <m/>
  </r>
  <r>
    <x v="12"/>
    <x v="4"/>
    <s v="C:\Users\andre\Desktop\REACTIV CEFAS\E2\E2/20201116_Cefas_Test6-Run1/Plate 4/@10/E4_01.tif "/>
    <s v=" 1297.7937 "/>
    <s v=" 31.9667 "/>
    <x v="0"/>
    <n v="41486"/>
    <m/>
    <m/>
    <m/>
  </r>
  <r>
    <x v="12"/>
    <x v="4"/>
    <s v="C:\Users\andre\Desktop\REACTIV CEFAS\E2\E2/20201116_Cefas_Test6-Run1/Plate 4/@10/E4_02.tif "/>
    <s v=" 2963.2956 "/>
    <s v=" 36.1752 "/>
    <x v="0"/>
    <n v="107198"/>
    <m/>
    <m/>
    <m/>
  </r>
  <r>
    <x v="12"/>
    <x v="4"/>
    <s v="C:\Users\andre\Desktop\REACTIV CEFAS\E2\E2/20201116_Cefas_Test6-Run1/Plate 4/@10/E4_03.tif "/>
    <s v=" 3071.445 "/>
    <s v=" 39.7254 "/>
    <x v="0"/>
    <n v="122014"/>
    <m/>
    <m/>
    <m/>
  </r>
  <r>
    <x v="12"/>
    <x v="5"/>
    <s v="C:\Users\andre\Desktop\REACTIV CEFAS\E2\E2/20201116_Cefas_Test6-Run1/Plate 4/@10/F4_01.tif "/>
    <s v=" 18688.229 "/>
    <s v=" 31.9329 "/>
    <x v="0"/>
    <n v="596769"/>
    <m/>
    <m/>
    <m/>
  </r>
  <r>
    <x v="12"/>
    <x v="5"/>
    <s v="C:\Users\andre\Desktop\REACTIV CEFAS\E2\E2/20201116_Cefas_Test6-Run1/Plate 4/@10/F4_02- exclu.tif"/>
    <m/>
    <m/>
    <x v="1"/>
    <m/>
    <m/>
    <m/>
    <m/>
  </r>
  <r>
    <x v="12"/>
    <x v="5"/>
    <s v="C:\Users\andre\Desktop\REACTIV CEFAS\E2\E2/20201116_Cefas_Test6-Run1/Plate 4/@10/F4_03.tif "/>
    <s v=" 21024.2576 "/>
    <s v=" 32.3796 "/>
    <x v="0"/>
    <n v="680758"/>
    <m/>
    <m/>
    <m/>
  </r>
  <r>
    <x v="12"/>
    <x v="6"/>
    <s v="C:\Users\andre\Desktop\REACTIV CEFAS\E2\E2/20201116_Cefas_Test6-Run1/Plate 4/@10/G4_01.tif "/>
    <s v=" 21759.674 "/>
    <s v=" 33.6352 "/>
    <x v="0"/>
    <n v="731891"/>
    <m/>
    <m/>
    <m/>
  </r>
  <r>
    <x v="12"/>
    <x v="6"/>
    <s v="C:\Users\andre\Desktop\REACTIV CEFAS\E2\E2/20201116_Cefas_Test6-Run1/Plate 4/@10/G4_02.tif "/>
    <s v=" 27232.0373 "/>
    <s v=" 33.1048 "/>
    <x v="0"/>
    <n v="901512"/>
    <m/>
    <m/>
    <m/>
  </r>
  <r>
    <x v="12"/>
    <x v="6"/>
    <s v="C:\Users\andre\Desktop\REACTIV CEFAS\E2\E2/20201116_Cefas_Test6-Run1/Plate 4/@10/G4_03.tif "/>
    <s v=" 33764.2655 "/>
    <s v=" 34.2428 "/>
    <x v="0"/>
    <n v="1156183"/>
    <m/>
    <m/>
    <m/>
  </r>
  <r>
    <x v="12"/>
    <x v="7"/>
    <s v="C:\Users\andre\Desktop\REACTIV CEFAS\E2\E2/20201116_Cefas_Test6-Run1/Plate 4/@10/H4_01.tif "/>
    <s v=" 4520.648 "/>
    <s v=" 37.4689 "/>
    <x v="0"/>
    <n v="169384"/>
    <m/>
    <m/>
    <m/>
  </r>
  <r>
    <x v="12"/>
    <x v="7"/>
    <s v="C:\Users\andre\Desktop\REACTIV CEFAS\E2\E2/20201116_Cefas_Test6-Run1/Plate 4/@10/H4_02.tif "/>
    <s v=" 10858.2071 "/>
    <s v=" 36.2849 "/>
    <x v="0"/>
    <n v="393989"/>
    <m/>
    <m/>
    <m/>
  </r>
  <r>
    <x v="12"/>
    <x v="7"/>
    <s v="C:\Users\andre\Desktop\REACTIV CEFAS\E2\E2/20201116_Cefas_Test6-Run1/Plate 4/@10/H4_03.tif "/>
    <s v=" 3915.0109 "/>
    <s v=" 36.9945 "/>
    <x v="0"/>
    <n v="144834"/>
    <m/>
    <m/>
    <m/>
  </r>
  <r>
    <x v="1"/>
    <x v="8"/>
    <s v=" "/>
    <m/>
    <m/>
    <x v="1"/>
    <m/>
    <m/>
    <m/>
    <m/>
  </r>
  <r>
    <x v="1"/>
    <x v="8"/>
    <s v="group "/>
    <s v=" "/>
    <s v=" mean of mean fluo "/>
    <x v="2"/>
    <s v=" mean of total fluo "/>
    <s v=" SD total fluo "/>
    <s v=" n fluorescent "/>
    <s v=" n total"/>
  </r>
  <r>
    <x v="12"/>
    <x v="9"/>
    <s v="C:\Users\andre\Desktop\REACTIV CEFAS\E2\E2/20201116_Cefas_Test6-Run1/Plate 4/@10/ "/>
    <s v=" "/>
    <s v=" 36.1458 "/>
    <x v="14"/>
    <s v=" 1187713.79 "/>
    <s v=" 1001809.81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3"/>
    <x v="0"/>
    <s v="C:\Users\andre\Desktop\REACTIV CEFAS\E2\E2/20201116_Cefas_Test6-Run1/Plate 4/@11/A5_01.tif "/>
    <s v=" 57081.2919 "/>
    <s v=" 44.0705 "/>
    <x v="0"/>
    <n v="2515600"/>
    <m/>
    <m/>
    <m/>
  </r>
  <r>
    <x v="13"/>
    <x v="0"/>
    <s v="C:\Users\andre\Desktop\REACTIV CEFAS\E2\E2/20201116_Cefas_Test6-Run1/Plate 4/@11/A5_02.tif "/>
    <s v=" 54745.2633 "/>
    <s v=" 48.0119 "/>
    <x v="0"/>
    <n v="2628422"/>
    <m/>
    <m/>
    <m/>
  </r>
  <r>
    <x v="13"/>
    <x v="0"/>
    <s v="C:\Users\andre\Desktop\REACTIV CEFAS\E2\E2/20201116_Cefas_Test6-Run1/Plate 4/@11/A5_03.tif "/>
    <s v=" 57081.2919 "/>
    <s v=" 48.371 "/>
    <x v="0"/>
    <n v="2761078"/>
    <m/>
    <m/>
    <m/>
  </r>
  <r>
    <x v="13"/>
    <x v="1"/>
    <s v="C:\Users\andre\Desktop\REACTIV CEFAS\E2\E2/20201116_Cefas_Test6-Run1/Plate 4/@11/B5_01.tif "/>
    <s v=" 48321.1846 "/>
    <s v=" 39.8129 "/>
    <x v="0"/>
    <n v="1923806"/>
    <m/>
    <m/>
    <m/>
  </r>
  <r>
    <x v="13"/>
    <x v="1"/>
    <s v="C:\Users\andre\Desktop\REACTIV CEFAS\E2\E2/20201116_Cefas_Test6-Run1/Plate 4/@11/B5_02.tif "/>
    <s v=" 49078.2309 "/>
    <s v=" 39.3649 "/>
    <x v="0"/>
    <n v="1931961"/>
    <m/>
    <m/>
    <m/>
  </r>
  <r>
    <x v="13"/>
    <x v="1"/>
    <s v="C:\Users\andre\Desktop\REACTIV CEFAS\E2\E2/20201116_Cefas_Test6-Run1/Plate 4/@11/B5_03.tif "/>
    <s v=" 50786.9926 "/>
    <s v=" 44.244 "/>
    <x v="0"/>
    <n v="2247022"/>
    <m/>
    <m/>
    <m/>
  </r>
  <r>
    <x v="13"/>
    <x v="2"/>
    <s v="C:\Users\andre\Desktop\REACTIV CEFAS\E2\E2/20201116_Cefas_Test6-Run1/Plate 4/@11/C5_01.tif "/>
    <s v=" 64608.4953 "/>
    <s v=" 38.0087 "/>
    <x v="0"/>
    <n v="2455685"/>
    <m/>
    <m/>
    <m/>
  </r>
  <r>
    <x v="13"/>
    <x v="2"/>
    <s v="C:\Users\andre\Desktop\REACTIV CEFAS\E2\E2/20201116_Cefas_Test6-Run1/Plate 4/@11/C5_02.tif "/>
    <s v=" 63224.182 "/>
    <s v=" 38.5966 "/>
    <x v="0"/>
    <n v="2440241"/>
    <m/>
    <m/>
    <m/>
  </r>
  <r>
    <x v="13"/>
    <x v="2"/>
    <s v="C:\Users\andre\Desktop\REACTIV CEFAS\E2\E2/20201116_Cefas_Test6-Run1/Plate 4/@11/C5_03.tif "/>
    <s v=" 60066.2174 "/>
    <s v=" 37.5171 "/>
    <x v="0"/>
    <n v="2253511"/>
    <m/>
    <m/>
    <m/>
  </r>
  <r>
    <x v="13"/>
    <x v="3"/>
    <s v="C:\Users\andre\Desktop\REACTIV CEFAS\E2\E2/20201116_Cefas_Test6-Run1/Plate 4/@11/D5_01.tif "/>
    <s v=" 3785.2316 "/>
    <s v=" 32.12 "/>
    <x v="0"/>
    <n v="121582"/>
    <m/>
    <m/>
    <m/>
  </r>
  <r>
    <x v="13"/>
    <x v="3"/>
    <s v="C:\Users\andre\Desktop\REACTIV CEFAS\E2\E2/20201116_Cefas_Test6-Run1/Plate 4/@11/D5_02.tif "/>
    <s v=" 8284.2496 "/>
    <s v=" 33.4752 "/>
    <x v="0"/>
    <n v="277317"/>
    <m/>
    <m/>
    <m/>
  </r>
  <r>
    <x v="13"/>
    <x v="3"/>
    <s v="C:\Users\andre\Desktop\REACTIV CEFAS\E2\E2/20201116_Cefas_Test6-Run1/Plate 4/@11/D5_03.tif "/>
    <s v=" 10403.9793 "/>
    <s v=" 33.763 "/>
    <x v="0"/>
    <n v="351269"/>
    <m/>
    <m/>
    <m/>
  </r>
  <r>
    <x v="13"/>
    <x v="4"/>
    <s v="C:\Users\andre\Desktop\REACTIV CEFAS\E2\E2/20201116_Cefas_Test6-Run1/Plate 4/@11/E5_01.tif "/>
    <s v=" 73909.3499 "/>
    <s v=" 41.369 "/>
    <x v="0"/>
    <n v="3057559"/>
    <m/>
    <m/>
    <m/>
  </r>
  <r>
    <x v="13"/>
    <x v="4"/>
    <s v="C:\Users\andre\Desktop\REACTIV CEFAS\E2\E2/20201116_Cefas_Test6-Run1/Plate 4/@11/E5_02.tif "/>
    <s v=" 72395.2573 "/>
    <s v=" 42.8452 "/>
    <x v="0"/>
    <n v="3101792"/>
    <m/>
    <m/>
    <m/>
  </r>
  <r>
    <x v="13"/>
    <x v="4"/>
    <s v="C:\Users\andre\Desktop\REACTIV CEFAS\E2\E2/20201116_Cefas_Test6-Run1/Plate 4/@11/E5_03.tif "/>
    <s v=" 69496.8514 "/>
    <s v=" 41.2166 "/>
    <x v="0"/>
    <n v="2864425"/>
    <m/>
    <m/>
    <m/>
  </r>
  <r>
    <x v="13"/>
    <x v="5"/>
    <s v="C:\Users\andre\Desktop\REACTIV CEFAS\E2\E2/20201116_Cefas_Test6-Run1/Plate 4/@11/F5_01.tif "/>
    <s v=" 6748.5271 "/>
    <s v=" 35.4744 "/>
    <x v="0"/>
    <n v="239400"/>
    <m/>
    <m/>
    <m/>
  </r>
  <r>
    <x v="13"/>
    <x v="5"/>
    <s v="C:\Users\andre\Desktop\REACTIV CEFAS\E2\E2/20201116_Cefas_Test6-Run1/Plate 4/@11/F5_02.tif "/>
    <s v=" 3633.8223 "/>
    <s v=" 34.881 "/>
    <x v="0"/>
    <n v="126751"/>
    <m/>
    <m/>
    <m/>
  </r>
  <r>
    <x v="13"/>
    <x v="5"/>
    <s v="C:\Users\andre\Desktop\REACTIV CEFAS\E2\E2/20201116_Cefas_Test6-Run1/Plate 4/@11/F5_03.tif "/>
    <s v=" 2141.3596 "/>
    <s v=" 33.9899 "/>
    <x v="0"/>
    <n v="72785"/>
    <m/>
    <m/>
    <m/>
  </r>
  <r>
    <x v="13"/>
    <x v="6"/>
    <s v="C:\Users\andre\Desktop\REACTIV CEFAS\E2\E2/20201116_Cefas_Test6-Run1/Plate 4/@11/G5_01.tif "/>
    <s v=" 38068.6145 "/>
    <s v=" 39.8449 "/>
    <x v="0"/>
    <n v="1516840"/>
    <m/>
    <m/>
    <m/>
  </r>
  <r>
    <x v="13"/>
    <x v="6"/>
    <s v="C:\Users\andre\Desktop\REACTIV CEFAS\E2\E2/20201116_Cefas_Test6-Run1/Plate 4/@11/G5_02.tif "/>
    <s v=" 41853.8461 "/>
    <s v=" 37.491 "/>
    <x v="0"/>
    <n v="1569141"/>
    <m/>
    <m/>
    <m/>
  </r>
  <r>
    <x v="13"/>
    <x v="6"/>
    <s v="C:\Users\andre\Desktop\REACTIV CEFAS\E2\E2/20201116_Cefas_Test6-Run1/Plate 4/@11/G5_03.tif "/>
    <s v=" 32899.0697 "/>
    <s v=" 36.8389 "/>
    <x v="0"/>
    <n v="1211966"/>
    <m/>
    <m/>
    <m/>
  </r>
  <r>
    <x v="13"/>
    <x v="7"/>
    <s v="C:\Users\andre\Desktop\REACTIV CEFAS\E2\E2/20201116_Cefas_Test6-Run1/Plate 4/@11/H5_01- exclu.tif"/>
    <m/>
    <m/>
    <x v="1"/>
    <m/>
    <m/>
    <m/>
    <m/>
  </r>
  <r>
    <x v="13"/>
    <x v="7"/>
    <s v="C:\Users\andre\Desktop\REACTIV CEFAS\E2\E2/20201116_Cefas_Test6-Run1/Plate 4/@11/H5_02.tif "/>
    <s v=" 7873.2816 "/>
    <s v=" 32.8462 "/>
    <x v="0"/>
    <n v="258607"/>
    <m/>
    <m/>
    <m/>
  </r>
  <r>
    <x v="13"/>
    <x v="7"/>
    <s v="C:\Users\andre\Desktop\REACTIV CEFAS\E2\E2/20201116_Cefas_Test6-Run1/Plate 4/@11/H5_03.tif "/>
    <s v=" 11031.2463 "/>
    <s v=" 34.6118 "/>
    <x v="0"/>
    <n v="381811"/>
    <m/>
    <m/>
    <m/>
  </r>
  <r>
    <x v="1"/>
    <x v="8"/>
    <s v=" "/>
    <m/>
    <m/>
    <x v="1"/>
    <m/>
    <m/>
    <m/>
    <m/>
  </r>
  <r>
    <x v="1"/>
    <x v="8"/>
    <s v="group "/>
    <s v=" "/>
    <s v=" mean of mean fluo "/>
    <x v="2"/>
    <s v=" mean of total fluo "/>
    <s v=" SD total fluo "/>
    <s v=" n fluorescent "/>
    <s v=" n total"/>
  </r>
  <r>
    <x v="13"/>
    <x v="9"/>
    <s v="C:\Users\andre\Desktop\REACTIV CEFAS\E2\E2/20201116_Cefas_Test6-Run1/Plate 4/@11/ "/>
    <s v=" "/>
    <s v=" 38.4503 "/>
    <x v="15"/>
    <s v=" 1522705.92 "/>
    <s v=" 1117608.98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4"/>
    <x v="0"/>
    <s v="C:\Users\andre\Desktop\REACTIV CEFAS\E2\E2/20201116_Cefas_Test6-Run1/Plate 4/@12/A6_01.tif "/>
    <s v=" 67939.499 "/>
    <s v=" 48.475 "/>
    <x v="0"/>
    <n v="3293368"/>
    <m/>
    <m/>
    <m/>
  </r>
  <r>
    <x v="14"/>
    <x v="0"/>
    <s v="C:\Users\andre\Desktop\REACTIV CEFAS\E2\E2/20201116_Cefas_Test6-Run1/Plate 4/@12/A6_02.tif "/>
    <s v=" 67788.0898 "/>
    <s v=" 50.0683 "/>
    <x v="0"/>
    <n v="3394033"/>
    <m/>
    <m/>
    <m/>
  </r>
  <r>
    <x v="14"/>
    <x v="0"/>
    <s v="C:\Users\andre\Desktop\REACTIV CEFAS\E2\E2/20201116_Cefas_Test6-Run1/Plate 4/@12/A6_03.tif "/>
    <s v=" 73411.8624 "/>
    <s v=" 49.7298 "/>
    <x v="0"/>
    <n v="3650759"/>
    <m/>
    <m/>
    <m/>
  </r>
  <r>
    <x v="14"/>
    <x v="1"/>
    <s v="C:\Users\andre\Desktop\REACTIV CEFAS\E2\E2/20201116_Cefas_Test6-Run1/Plate 4/@12/B6_01.tif "/>
    <s v=" 64630.1252 "/>
    <s v=" 56.8504 "/>
    <x v="0"/>
    <n v="3674249"/>
    <m/>
    <m/>
    <m/>
  </r>
  <r>
    <x v="14"/>
    <x v="1"/>
    <s v="C:\Users\andre\Desktop\REACTIV CEFAS\E2\E2/20201116_Cefas_Test6-Run1/Plate 4/@12/B6_02.tif "/>
    <s v=" 76872.6455 "/>
    <s v=" 58.3165 "/>
    <x v="0"/>
    <n v="4482947"/>
    <m/>
    <m/>
    <m/>
  </r>
  <r>
    <x v="14"/>
    <x v="1"/>
    <s v="C:\Users\andre\Desktop\REACTIV CEFAS\E2\E2/20201116_Cefas_Test6-Run1/Plate 4/@12/B6_03.tif "/>
    <s v=" 75293.6632 "/>
    <s v=" 54.8937 "/>
    <x v="0"/>
    <n v="4133148"/>
    <m/>
    <m/>
    <m/>
  </r>
  <r>
    <x v="14"/>
    <x v="2"/>
    <s v="C:\Users\andre\Desktop\REACTIV CEFAS\E2\E2/20201116_Cefas_Test6-Run1/Plate 4/@12/C6_01.tif "/>
    <s v=" 78170.4392 "/>
    <s v=" 55.7366 "/>
    <x v="0"/>
    <n v="4356953"/>
    <m/>
    <m/>
    <m/>
  </r>
  <r>
    <x v="14"/>
    <x v="2"/>
    <s v="C:\Users\andre\Desktop\REACTIV CEFAS\E2\E2/20201116_Cefas_Test6-Run1/Plate 4/@12/C6_02.tif "/>
    <s v=" 81566.3326 "/>
    <s v=" 54.349 "/>
    <x v="0"/>
    <n v="4433047"/>
    <m/>
    <m/>
    <m/>
  </r>
  <r>
    <x v="14"/>
    <x v="2"/>
    <s v="C:\Users\andre\Desktop\REACTIV CEFAS\E2\E2/20201116_Cefas_Test6-Run1/Plate 4/@12/C6_03.tif "/>
    <s v=" 86411.429 "/>
    <s v=" 54.819 "/>
    <x v="0"/>
    <n v="4736990"/>
    <m/>
    <m/>
    <m/>
  </r>
  <r>
    <x v="14"/>
    <x v="3"/>
    <s v="C:\Users\andre\Desktop\REACTIV CEFAS\E2\E2/20201116_Cefas_Test6-Run1/Plate 4/@12/D6_01.tif "/>
    <s v=" 82388.2686 "/>
    <s v=" 48.2817 "/>
    <x v="0"/>
    <n v="3977846"/>
    <m/>
    <m/>
    <m/>
  </r>
  <r>
    <x v="14"/>
    <x v="3"/>
    <s v="C:\Users\andre\Desktop\REACTIV CEFAS\E2\E2/20201116_Cefas_Test6-Run1/Plate 4/@12/D6_02.tif "/>
    <s v=" 78235.3289 "/>
    <s v=" 49.6287 "/>
    <x v="0"/>
    <n v="3882717"/>
    <m/>
    <m/>
    <m/>
  </r>
  <r>
    <x v="14"/>
    <x v="3"/>
    <s v="C:\Users\andre\Desktop\REACTIV CEFAS\E2\E2/20201116_Cefas_Test6-Run1/Plate 4/@12/D6_03.tif "/>
    <s v=" 80592.9874 "/>
    <s v=" 51.8851 "/>
    <x v="0"/>
    <n v="4181578"/>
    <m/>
    <m/>
    <m/>
  </r>
  <r>
    <x v="14"/>
    <x v="4"/>
    <s v="C:\Users\andre\Desktop\REACTIV CEFAS\E2\E2/20201116_Cefas_Test6-Run1/Plate 4/@12/E6_01.tif "/>
    <s v=" 80160.3895 "/>
    <s v=" 47.7364 "/>
    <x v="0"/>
    <n v="3826566"/>
    <m/>
    <m/>
    <m/>
  </r>
  <r>
    <x v="14"/>
    <x v="4"/>
    <s v="C:\Users\andre\Desktop\REACTIV CEFAS\E2\E2/20201116_Cefas_Test6-Run1/Plate 4/@12/E6_02.tif "/>
    <s v=" 78256.9588 "/>
    <s v=" 51.5451 "/>
    <x v="0"/>
    <n v="4033759"/>
    <m/>
    <m/>
    <m/>
  </r>
  <r>
    <x v="14"/>
    <x v="4"/>
    <s v="C:\Users\andre\Desktop\REACTIV CEFAS\E2\E2/20201116_Cefas_Test6-Run1/Plate 4/@12/E6_03.tif "/>
    <s v=" 80571.3575 "/>
    <s v=" 49.5119 "/>
    <x v="0"/>
    <n v="3989245"/>
    <m/>
    <m/>
    <m/>
  </r>
  <r>
    <x v="14"/>
    <x v="5"/>
    <s v="C:\Users\andre\Desktop\REACTIV CEFAS\E2\E2/20201116_Cefas_Test6-Run1/Plate 4/@12/F6_01.tif "/>
    <s v=" 92489.4294 "/>
    <s v=" 54.0185 "/>
    <x v="0"/>
    <n v="4996138"/>
    <m/>
    <m/>
    <m/>
  </r>
  <r>
    <x v="14"/>
    <x v="5"/>
    <s v="C:\Users\andre\Desktop\REACTIV CEFAS\E2\E2/20201116_Cefas_Test6-Run1/Plate 4/@12/F6_02.tif "/>
    <s v=" 87947.1516 "/>
    <s v=" 56.5635 "/>
    <x v="0"/>
    <n v="4974595"/>
    <m/>
    <m/>
    <m/>
  </r>
  <r>
    <x v="14"/>
    <x v="5"/>
    <s v="C:\Users\andre\Desktop\REACTIV CEFAS\E2\E2/20201116_Cefas_Test6-Run1/Plate 4/@12/F6_03.tif "/>
    <s v=" 90391.3297 "/>
    <s v=" 59.2606 "/>
    <x v="0"/>
    <n v="5356643"/>
    <m/>
    <m/>
    <m/>
  </r>
  <r>
    <x v="14"/>
    <x v="6"/>
    <s v="C:\Users\andre\Desktop\REACTIV CEFAS\E2\E2/20201116_Cefas_Test6-Run1/Plate 4/@12/G6_01.tif "/>
    <s v=" 56864.993 "/>
    <s v=" 50.0072 "/>
    <x v="0"/>
    <n v="2843661"/>
    <m/>
    <m/>
    <m/>
  </r>
  <r>
    <x v="14"/>
    <x v="6"/>
    <s v="C:\Users\andre\Desktop\REACTIV CEFAS\E2\E2/20201116_Cefas_Test6-Run1/Plate 4/@12/G6_02.tif "/>
    <s v=" 70902.7946 "/>
    <s v=" 53.3646 "/>
    <x v="0"/>
    <n v="3783696"/>
    <m/>
    <m/>
    <m/>
  </r>
  <r>
    <x v="14"/>
    <x v="6"/>
    <s v="C:\Users\andre\Desktop\REACTIV CEFAS\E2\E2/20201116_Cefas_Test6-Run1/Plate 4/@12/G6_03.tif "/>
    <s v=" 59828.2885 "/>
    <s v=" 49.9497 "/>
    <x v="0"/>
    <n v="2988408"/>
    <m/>
    <m/>
    <m/>
  </r>
  <r>
    <x v="14"/>
    <x v="7"/>
    <s v="C:\Users\andre\Desktop\REACTIV CEFAS\E2\E2/20201116_Cefas_Test6-Run1/Plate 4/@12/H6_01- exclu.tif"/>
    <m/>
    <m/>
    <x v="1"/>
    <m/>
    <m/>
    <m/>
    <m/>
  </r>
  <r>
    <x v="14"/>
    <x v="7"/>
    <s v="C:\Users\andre\Desktop\REACTIV CEFAS\E2\E2/20201116_Cefas_Test6-Run1/Plate 4/@12/H6_02.tif "/>
    <s v=" 73671.4211 "/>
    <s v=" 43.6136 "/>
    <x v="0"/>
    <n v="3213078"/>
    <m/>
    <m/>
    <m/>
  </r>
  <r>
    <x v="14"/>
    <x v="7"/>
    <s v="C:\Users\andre\Desktop\REACTIV CEFAS\E2\E2/20201116_Cefas_Test6-Run1/Plate 4/@12/H6_03.tif "/>
    <s v=" 75769.5209 "/>
    <s v=" 44.7753 "/>
    <x v="0"/>
    <n v="3392606"/>
    <m/>
    <m/>
    <m/>
  </r>
  <r>
    <x v="1"/>
    <x v="8"/>
    <s v=" "/>
    <m/>
    <m/>
    <x v="1"/>
    <m/>
    <m/>
    <m/>
    <m/>
  </r>
  <r>
    <x v="1"/>
    <x v="8"/>
    <s v="group "/>
    <s v=" "/>
    <s v=" mean of mean fluo "/>
    <x v="2"/>
    <s v=" mean of total fluo "/>
    <s v=" SD total fluo "/>
    <s v=" n fluorescent "/>
    <s v=" n total"/>
  </r>
  <r>
    <x v="14"/>
    <x v="9"/>
    <s v="C:\Users\andre\Desktop\REACTIV CEFAS\E2\E2/20201116_Cefas_Test6-Run1/Plate 4/@12/ "/>
    <s v=" "/>
    <s v=" 51.4827 "/>
    <x v="16"/>
    <s v=" 3885384.33 "/>
    <s v=" 798162.211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5"/>
    <x v="0"/>
    <s v="C:\Users\andre\Desktop\REACTIV CEFAS\E2\E2/20201116_Cefas_Test6-Run1/Plate 4/@17/A8_01.tif "/>
    <s v=" 68242.3176 "/>
    <s v=" 45.8456 "/>
    <x v="0"/>
    <n v="3128613"/>
    <m/>
    <m/>
    <m/>
  </r>
  <r>
    <x v="15"/>
    <x v="0"/>
    <s v="C:\Users\andre\Desktop\REACTIV CEFAS\E2\E2/20201116_Cefas_Test6-Run1/Plate 4/@17/A8_02.tif "/>
    <s v=" 77586.432 "/>
    <s v=" 46.7326 "/>
    <x v="0"/>
    <n v="3625819"/>
    <m/>
    <m/>
    <m/>
  </r>
  <r>
    <x v="15"/>
    <x v="0"/>
    <s v="C:\Users\andre\Desktop\REACTIV CEFAS\E2\E2/20201116_Cefas_Test6-Run1/Plate 4/@17/A8_03.tif "/>
    <s v=" 77456.6527 "/>
    <s v=" 49.4851 "/>
    <x v="0"/>
    <n v="3832947"/>
    <m/>
    <m/>
    <m/>
  </r>
  <r>
    <x v="15"/>
    <x v="1"/>
    <s v="C:\Users\andre\Desktop\REACTIV CEFAS\E2\E2/20201116_Cefas_Test6-Run1/Plate 4/@17/B8_01.tif "/>
    <s v=" 65473.691 "/>
    <s v=" 43.5127 "/>
    <x v="0"/>
    <n v="2848938"/>
    <m/>
    <m/>
    <m/>
  </r>
  <r>
    <x v="15"/>
    <x v="1"/>
    <s v="C:\Users\andre\Desktop\REACTIV CEFAS\E2\E2/20201116_Cefas_Test6-Run1/Plate 4/@17/B8_02.tif "/>
    <s v=" 63310.7016 "/>
    <s v=" 41.2412 "/>
    <x v="0"/>
    <n v="2611009"/>
    <m/>
    <m/>
    <m/>
  </r>
  <r>
    <x v="15"/>
    <x v="1"/>
    <s v="C:\Users\andre\Desktop\REACTIV CEFAS\E2\E2/20201116_Cefas_Test6-Run1/Plate 4/@17/B8_03.tif "/>
    <s v=" 69929.4493 "/>
    <s v=" 45.3177 "/>
    <x v="0"/>
    <n v="3169039"/>
    <m/>
    <m/>
    <m/>
  </r>
  <r>
    <x v="15"/>
    <x v="2"/>
    <s v="C:\Users\andre\Desktop\REACTIV CEFAS\E2\E2/20201116_Cefas_Test6-Run1/Plate 4/@17/C8_01.tif "/>
    <s v=" 22235.5317 "/>
    <s v=" 34.3638 "/>
    <x v="0"/>
    <n v="764098"/>
    <m/>
    <m/>
    <m/>
  </r>
  <r>
    <x v="15"/>
    <x v="2"/>
    <s v="C:\Users\andre\Desktop\REACTIV CEFAS\E2\E2/20201116_Cefas_Test6-Run1/Plate 4/@17/C8_02.tif "/>
    <s v=" 31493.1266 "/>
    <s v=" 36.4375 "/>
    <x v="0"/>
    <n v="1147531"/>
    <m/>
    <m/>
    <m/>
  </r>
  <r>
    <x v="15"/>
    <x v="2"/>
    <s v="C:\Users\andre\Desktop\REACTIV CEFAS\E2\E2/20201116_Cefas_Test6-Run1/Plate 4/@17/C8_03.tif "/>
    <s v=" 22862.7986 "/>
    <s v=" 34.3652 "/>
    <x v="0"/>
    <n v="785684"/>
    <m/>
    <m/>
    <m/>
  </r>
  <r>
    <x v="15"/>
    <x v="3"/>
    <s v="C:\Users\andre\Desktop\REACTIV CEFAS\E2\E2/20201116_Cefas_Test6-Run1/Plate 4/@17/D8_01- exclu.tif"/>
    <m/>
    <m/>
    <x v="1"/>
    <m/>
    <m/>
    <m/>
    <m/>
  </r>
  <r>
    <x v="15"/>
    <x v="3"/>
    <s v="C:\Users\andre\Desktop\REACTIV CEFAS\E2\E2/20201116_Cefas_Test6-Run1/Plate 4/@17/D8_02- exclu.tif"/>
    <m/>
    <m/>
    <x v="1"/>
    <m/>
    <m/>
    <m/>
    <m/>
  </r>
  <r>
    <x v="15"/>
    <x v="3"/>
    <s v="C:\Users\andre\Desktop\REACTIV CEFAS\E2\E2/20201116_Cefas_Test6-Run1/Plate 4/@17/D8_03- exclu.tif"/>
    <m/>
    <m/>
    <x v="1"/>
    <m/>
    <m/>
    <m/>
    <m/>
  </r>
  <r>
    <x v="15"/>
    <x v="4"/>
    <s v="C:\Users\andre\Desktop\REACTIV CEFAS\E2\E2/20201116_Cefas_Test6-Run1/Plate 4/@17/E8_01.tif "/>
    <n v="0"/>
    <n v="0"/>
    <x v="0"/>
    <n v="0"/>
    <m/>
    <m/>
    <m/>
  </r>
  <r>
    <x v="15"/>
    <x v="4"/>
    <s v="C:\Users\andre\Desktop\REACTIV CEFAS\E2\E2/20201116_Cefas_Test6-Run1/Plate 4/@17/E8_02.tif "/>
    <s v=" 3633.8223 "/>
    <s v=" 33.7262 "/>
    <x v="0"/>
    <n v="122555"/>
    <m/>
    <m/>
    <m/>
  </r>
  <r>
    <x v="15"/>
    <x v="4"/>
    <s v="C:\Users\andre\Desktop\REACTIV CEFAS\E2\E2/20201116_Cefas_Test6-Run1/Plate 4/@17/E8_03.tif "/>
    <n v="0"/>
    <n v="0"/>
    <x v="0"/>
    <n v="0"/>
    <m/>
    <m/>
    <m/>
  </r>
  <r>
    <x v="15"/>
    <x v="5"/>
    <s v="C:\Users\andre\Desktop\REACTIV CEFAS\E2\E2/20201116_Cefas_Test6-Run1/Plate 4/@17/F8_01.tif "/>
    <s v=" 3915.0109 "/>
    <s v=" 32.6022 "/>
    <x v="0"/>
    <n v="127638"/>
    <m/>
    <m/>
    <m/>
  </r>
  <r>
    <x v="15"/>
    <x v="5"/>
    <s v="C:\Users\andre\Desktop\REACTIV CEFAS\E2\E2/20201116_Cefas_Test6-Run1/Plate 4/@17/F8_02.tif "/>
    <s v=" 1168.0143 "/>
    <s v=" 32.5185 "/>
    <x v="0"/>
    <n v="37982"/>
    <m/>
    <m/>
    <m/>
  </r>
  <r>
    <x v="15"/>
    <x v="5"/>
    <s v="C:\Users\andre\Desktop\REACTIV CEFAS\E2\E2/20201116_Cefas_Test6-Run1/Plate 4/@17/F8_03.tif "/>
    <s v=" 1622.2421 "/>
    <s v=" 32.3067 "/>
    <x v="0"/>
    <n v="52409"/>
    <m/>
    <m/>
    <m/>
  </r>
  <r>
    <x v="15"/>
    <x v="6"/>
    <s v="C:\Users\andre\Desktop\REACTIV CEFAS\E2\E2/20201116_Cefas_Test6-Run1/Plate 4/@17/G8_01.tif "/>
    <s v=" 35040.4293 "/>
    <s v=" 36.7889 "/>
    <x v="0"/>
    <n v="1289098"/>
    <m/>
    <m/>
    <m/>
  </r>
  <r>
    <x v="15"/>
    <x v="6"/>
    <s v="C:\Users\andre\Desktop\REACTIV CEFAS\E2\E2/20201116_Cefas_Test6-Run1/Plate 4/@17/G8_02.tif "/>
    <s v=" 15011.1469 "/>
    <s v=" 34.2795 "/>
    <x v="0"/>
    <n v="514575"/>
    <m/>
    <m/>
    <m/>
  </r>
  <r>
    <x v="15"/>
    <x v="6"/>
    <s v="C:\Users\andre\Desktop\REACTIV CEFAS\E2\E2/20201116_Cefas_Test6-Run1/Plate 4/@17/G8_03.tif "/>
    <s v=" 38674.2516 "/>
    <s v=" 38.495 "/>
    <x v="0"/>
    <n v="1488764"/>
    <m/>
    <m/>
    <m/>
  </r>
  <r>
    <x v="15"/>
    <x v="7"/>
    <s v="C:\Users\andre\Desktop\REACTIV CEFAS\E2\E2/20201116_Cefas_Test6-Run1/Plate 4/@17/H8_01.tif "/>
    <s v=" 62510.3955 "/>
    <s v=" 38.5384 "/>
    <x v="0"/>
    <n v="2409051"/>
    <m/>
    <m/>
    <m/>
  </r>
  <r>
    <x v="15"/>
    <x v="7"/>
    <s v="C:\Users\andre\Desktop\REACTIV CEFAS\E2\E2/20201116_Cefas_Test6-Run1/Plate 4/@17/H8_02.tif "/>
    <s v=" 53317.6903 "/>
    <s v=" 40.5667 "/>
    <x v="0"/>
    <n v="2162925"/>
    <m/>
    <m/>
    <m/>
  </r>
  <r>
    <x v="15"/>
    <x v="7"/>
    <s v="C:\Users\andre\Desktop\REACTIV CEFAS\E2\E2/20201116_Cefas_Test6-Run1/Plate 4/@17/H8_03.tif "/>
    <s v=" 50138.0957 "/>
    <s v=" 43.1389 "/>
    <x v="0"/>
    <n v="2162903"/>
    <m/>
    <m/>
    <m/>
  </r>
  <r>
    <x v="1"/>
    <x v="8"/>
    <s v=" "/>
    <m/>
    <m/>
    <x v="1"/>
    <m/>
    <m/>
    <m/>
    <m/>
  </r>
  <r>
    <x v="1"/>
    <x v="8"/>
    <s v="group "/>
    <s v=" "/>
    <s v=" mean of mean fluo "/>
    <x v="2"/>
    <s v=" mean of total fluo "/>
    <s v=" SD total fluo "/>
    <s v=" n fluorescent "/>
    <s v=" n total"/>
  </r>
  <r>
    <x v="15"/>
    <x v="9"/>
    <s v="C:\Users\andre\Desktop\REACTIV CEFAS\E2\E2/20201116_Cefas_Test6-Run1/Plate 4/@17/ "/>
    <s v=" "/>
    <s v=" 35.6668 "/>
    <x v="17"/>
    <s v=" 1415178.12 "/>
    <s v=" 1282530.67 "/>
    <n v="22"/>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6"/>
    <x v="0"/>
    <s v="C:\Users\andre\Desktop\REACTIV CEFAS\E2\E2/20201116_Cefas_Test6-Run1/Plate 4/@18/A9_01.tif "/>
    <s v=" 66295.627 "/>
    <s v=" 42.2835 "/>
    <x v="0"/>
    <n v="2803213"/>
    <m/>
    <m/>
    <m/>
  </r>
  <r>
    <x v="16"/>
    <x v="0"/>
    <s v="C:\Users\andre\Desktop\REACTIV CEFAS\E2\E2/20201116_Cefas_Test6-Run1/Plate 4/@18/A9_02.tif "/>
    <s v=" 67355.4919 "/>
    <s v=" 40.9544 "/>
    <x v="0"/>
    <n v="2758504"/>
    <m/>
    <m/>
    <m/>
  </r>
  <r>
    <x v="16"/>
    <x v="0"/>
    <s v="C:\Users\andre\Desktop\REACTIV CEFAS\E2\E2/20201116_Cefas_Test6-Run1/Plate 4/@18/A9_03.tif "/>
    <s v=" 70924.4245 "/>
    <s v=" 44.179 "/>
    <x v="0"/>
    <n v="3133371"/>
    <m/>
    <m/>
    <m/>
  </r>
  <r>
    <x v="16"/>
    <x v="1"/>
    <s v="C:\Users\andre\Desktop\REACTIV CEFAS\E2\E2/20201116_Cefas_Test6-Run1/Plate 4/@18/B9_01- exclu.tif"/>
    <m/>
    <m/>
    <x v="1"/>
    <m/>
    <m/>
    <m/>
    <m/>
  </r>
  <r>
    <x v="16"/>
    <x v="1"/>
    <s v="C:\Users\andre\Desktop\REACTIV CEFAS\E2\E2/20201116_Cefas_Test6-Run1/Plate 4/@18/B9_02- exclu.tif"/>
    <m/>
    <m/>
    <x v="1"/>
    <m/>
    <m/>
    <m/>
    <m/>
  </r>
  <r>
    <x v="16"/>
    <x v="1"/>
    <s v="C:\Users\andre\Desktop\REACTIV CEFAS\E2\E2/20201116_Cefas_Test6-Run1/Plate 4/@18/B9_03.tif "/>
    <s v=" 40058.5649 "/>
    <s v=" 43.0859 "/>
    <x v="0"/>
    <n v="1725957"/>
    <m/>
    <m/>
    <m/>
  </r>
  <r>
    <x v="16"/>
    <x v="2"/>
    <s v="C:\Users\andre\Desktop\REACTIV CEFAS\E2\E2/20201116_Cefas_Test6-Run1/Plate 4/@18/C9_01.tif "/>
    <s v=" 52041.5265 "/>
    <s v=" 41.3483 "/>
    <x v="0"/>
    <n v="2151828"/>
    <m/>
    <m/>
    <m/>
  </r>
  <r>
    <x v="16"/>
    <x v="2"/>
    <s v="C:\Users\andre\Desktop\REACTIV CEFAS\E2\E2/20201116_Cefas_Test6-Run1/Plate 4/@18/C9_02.tif "/>
    <s v=" 50073.2061 "/>
    <s v=" 39.7132 "/>
    <x v="0"/>
    <n v="1988566"/>
    <m/>
    <m/>
    <m/>
  </r>
  <r>
    <x v="16"/>
    <x v="2"/>
    <s v="C:\Users\andre\Desktop\REACTIV CEFAS\E2\E2/20201116_Cefas_Test6-Run1/Plate 4/@18/C9_03.tif "/>
    <s v=" 52776.9429 "/>
    <s v=" 39.3902 "/>
    <x v="0"/>
    <n v="2078892"/>
    <m/>
    <m/>
    <m/>
  </r>
  <r>
    <x v="16"/>
    <x v="3"/>
    <s v="C:\Users\andre\Desktop\REACTIV CEFAS\E2\E2/20201116_Cefas_Test6-Run1/Plate 4/@18/D9_01- exclu.tif"/>
    <m/>
    <m/>
    <x v="1"/>
    <m/>
    <m/>
    <m/>
    <m/>
  </r>
  <r>
    <x v="16"/>
    <x v="3"/>
    <s v="C:\Users\andre\Desktop\REACTIV CEFAS\E2\E2/20201116_Cefas_Test6-Run1/Plate 4/@18/D9_02.tif "/>
    <s v=" 22884.4285 "/>
    <s v=" 36.5123 "/>
    <x v="0"/>
    <n v="835563"/>
    <m/>
    <m/>
    <m/>
  </r>
  <r>
    <x v="16"/>
    <x v="3"/>
    <s v="C:\Users\andre\Desktop\REACTIV CEFAS\E2\E2/20201116_Cefas_Test6-Run1/Plate 4/@18/D9_03.tif "/>
    <s v=" 26756.1797 "/>
    <s v=" 37.6079 "/>
    <x v="0"/>
    <n v="1006244"/>
    <m/>
    <m/>
    <m/>
  </r>
  <r>
    <x v="16"/>
    <x v="4"/>
    <s v="C:\Users\andre\Desktop\REACTIV CEFAS\E2\E2/20201116_Cefas_Test6-Run1/Plate 4/@18/E9_01.tif "/>
    <s v=" 59265.9113 "/>
    <s v=" 47.0639 "/>
    <x v="0"/>
    <n v="2789283"/>
    <m/>
    <m/>
    <m/>
  </r>
  <r>
    <x v="16"/>
    <x v="4"/>
    <s v="C:\Users\andre\Desktop\REACTIV CEFAS\E2\E2/20201116_Cefas_Test6-Run1/Plate 4/@18/E9_02.tif "/>
    <s v=" 52279.4553 "/>
    <s v=" 52.3235 "/>
    <x v="0"/>
    <n v="2735446"/>
    <m/>
    <m/>
    <m/>
  </r>
  <r>
    <x v="16"/>
    <x v="4"/>
    <s v="C:\Users\andre\Desktop\REACTIV CEFAS\E2\E2/20201116_Cefas_Test6-Run1/Plate 4/@18/E9_03.tif "/>
    <s v=" 80030.6101 "/>
    <s v=" 46.2535 "/>
    <x v="0"/>
    <n v="3701697"/>
    <m/>
    <m/>
    <m/>
  </r>
  <r>
    <x v="16"/>
    <x v="5"/>
    <s v="C:\Users\andre\Desktop\REACTIV CEFAS\E2\E2/20201116_Cefas_Test6-Run1/Plate 4/@18/F9_01.tif "/>
    <s v=" 47802.0671 "/>
    <s v=" 46.4851 "/>
    <x v="0"/>
    <n v="2222082"/>
    <m/>
    <m/>
    <m/>
  </r>
  <r>
    <x v="16"/>
    <x v="5"/>
    <s v="C:\Users\andre\Desktop\REACTIV CEFAS\E2\E2/20201116_Cefas_Test6-Run1/Plate 4/@18/F9_02.tif "/>
    <s v=" 51955.0069 "/>
    <s v=" 47.607 "/>
    <x v="0"/>
    <n v="2473422"/>
    <m/>
    <m/>
    <m/>
  </r>
  <r>
    <x v="16"/>
    <x v="5"/>
    <s v="C:\Users\andre\Desktop\REACTIV CEFAS\E2\E2/20201116_Cefas_Test6-Run1/Plate 4/@18/F9_03.tif "/>
    <s v=" 47499.2486 "/>
    <s v=" 46.076 "/>
    <x v="0"/>
    <n v="2188578"/>
    <m/>
    <m/>
    <m/>
  </r>
  <r>
    <x v="16"/>
    <x v="6"/>
    <s v="C:\Users\andre\Desktop\REACTIV CEFAS\E2\E2/20201116_Cefas_Test6-Run1/Plate 4/@18/G9_01.tif "/>
    <s v=" 77024.0548 "/>
    <s v=" 50.802 "/>
    <x v="0"/>
    <n v="3912978"/>
    <m/>
    <m/>
    <m/>
  </r>
  <r>
    <x v="16"/>
    <x v="6"/>
    <s v="C:\Users\andre\Desktop\REACTIV CEFAS\E2\E2/20201116_Cefas_Test6-Run1/Plate 4/@18/G9_02.tif "/>
    <s v=" 70426.9369 "/>
    <s v=" 50.8716 "/>
    <x v="0"/>
    <n v="3582732"/>
    <m/>
    <m/>
    <m/>
  </r>
  <r>
    <x v="16"/>
    <x v="6"/>
    <s v="C:\Users\andre\Desktop\REACTIV CEFAS\E2\E2/20201116_Cefas_Test6-Run1/Plate 4/@18/G9_03.tif "/>
    <s v=" 75509.9621 "/>
    <s v=" 54.9138 "/>
    <x v="0"/>
    <n v="4146537"/>
    <m/>
    <m/>
    <m/>
  </r>
  <r>
    <x v="16"/>
    <x v="7"/>
    <s v="C:\Users\andre\Desktop\REACTIV CEFAS\E2\E2/20201116_Cefas_Test6-Run1/Plate 4/@18/H9_01.tif "/>
    <s v=" 51998.2667 "/>
    <s v=" 45.5882 "/>
    <x v="0"/>
    <n v="2370507"/>
    <m/>
    <m/>
    <m/>
  </r>
  <r>
    <x v="16"/>
    <x v="7"/>
    <s v="C:\Users\andre\Desktop\REACTIV CEFAS\E2\E2/20201116_Cefas_Test6-Run1/Plate 4/@18/H9_02.tif "/>
    <s v=" 48926.8217 "/>
    <s v=" 44.8647 "/>
    <x v="0"/>
    <n v="2195088"/>
    <m/>
    <m/>
    <m/>
  </r>
  <r>
    <x v="16"/>
    <x v="7"/>
    <s v="C:\Users\andre\Desktop\REACTIV CEFAS\E2\E2/20201116_Cefas_Test6-Run1/Plate 4/@18/H9_03.tif "/>
    <s v=" 45920.2663 "/>
    <s v=" 41.1046 "/>
    <x v="0"/>
    <n v="1887533"/>
    <m/>
    <m/>
    <m/>
  </r>
  <r>
    <x v="1"/>
    <x v="8"/>
    <s v=" "/>
    <m/>
    <m/>
    <x v="1"/>
    <m/>
    <m/>
    <m/>
    <m/>
  </r>
  <r>
    <x v="1"/>
    <x v="8"/>
    <s v="group "/>
    <s v=" "/>
    <s v=" mean of mean fluo "/>
    <x v="2"/>
    <s v=" mean of total fluo "/>
    <s v=" SD total fluo "/>
    <s v=" n fluorescent "/>
    <s v=" n total"/>
  </r>
  <r>
    <x v="16"/>
    <x v="9"/>
    <s v="C:\Users\andre\Desktop\REACTIV CEFAS\E2\E2/20201116_Cefas_Test6-Run1/Plate 4/@18/ "/>
    <s v=" "/>
    <s v=" 44.178 "/>
    <x v="18"/>
    <s v=" 2293388.83 "/>
    <s v=" 995505.483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7"/>
    <x v="0"/>
    <s v="C:\Users\andre\Desktop\REACTIV CEFAS\E2\E2/20201116_Cefas_Test6-Run1/Plate 4/@19/A10_01.tif "/>
    <s v=" 75142.2539 "/>
    <s v=" 47.7858 "/>
    <x v="0"/>
    <n v="3590736"/>
    <m/>
    <m/>
    <m/>
  </r>
  <r>
    <x v="17"/>
    <x v="0"/>
    <s v="C:\Users\andre\Desktop\REACTIV CEFAS\E2\E2/20201116_Cefas_Test6-Run1/Plate 4/@19/A10_02.tif "/>
    <s v=" 75942.56 "/>
    <s v=" 49.7969 "/>
    <x v="0"/>
    <n v="3781706"/>
    <m/>
    <m/>
    <m/>
  </r>
  <r>
    <x v="17"/>
    <x v="0"/>
    <s v="C:\Users\andre\Desktop\REACTIV CEFAS\E2\E2/20201116_Cefas_Test6-Run1/Plate 4/@19/A10_03.tif "/>
    <s v=" 75747.891 "/>
    <s v=" 47.6017 "/>
    <x v="0"/>
    <n v="3605725"/>
    <m/>
    <m/>
    <m/>
  </r>
  <r>
    <x v="17"/>
    <x v="1"/>
    <s v="C:\Users\andre\Desktop\REACTIV CEFAS\E2\E2/20201116_Cefas_Test6-Run1/Plate 4/@19/B10_01- exclu.tif"/>
    <m/>
    <m/>
    <x v="1"/>
    <m/>
    <m/>
    <m/>
    <m/>
  </r>
  <r>
    <x v="17"/>
    <x v="1"/>
    <s v="C:\Users\andre\Desktop\REACTIV CEFAS\E2\E2/20201116_Cefas_Test6-Run1/Plate 4/@19/B10_02.tif "/>
    <s v=" 20829.5885 "/>
    <s v=" 35.001 "/>
    <x v="0"/>
    <n v="729057"/>
    <m/>
    <m/>
    <m/>
  </r>
  <r>
    <x v="17"/>
    <x v="1"/>
    <s v="C:\Users\andre\Desktop\REACTIV CEFAS\E2\E2/20201116_Cefas_Test6-Run1/Plate 4/@19/B10_03- exclu.tif"/>
    <m/>
    <m/>
    <x v="1"/>
    <m/>
    <m/>
    <m/>
    <m/>
  </r>
  <r>
    <x v="17"/>
    <x v="2"/>
    <s v="C:\Users\andre\Desktop\REACTIV CEFAS\E2\E2/20201116_Cefas_Test6-Run1/Plate 4/@19/C10_01.tif "/>
    <s v=" 49056.601 "/>
    <s v=" 42.8951 "/>
    <x v="0"/>
    <n v="2104286"/>
    <m/>
    <m/>
    <m/>
  </r>
  <r>
    <x v="17"/>
    <x v="2"/>
    <s v="C:\Users\andre\Desktop\REACTIV CEFAS\E2\E2/20201116_Cefas_Test6-Run1/Plate 4/@19/C10_02.tif "/>
    <s v=" 44730.6221 "/>
    <s v=" 39.779 "/>
    <x v="0"/>
    <n v="1779340"/>
    <m/>
    <m/>
    <m/>
  </r>
  <r>
    <x v="17"/>
    <x v="2"/>
    <s v="C:\Users\andre\Desktop\REACTIV CEFAS\E2\E2/20201116_Cefas_Test6-Run1/Plate 4/@19/C10_03.tif "/>
    <s v=" 45920.2663 "/>
    <s v=" 43.0457 "/>
    <x v="0"/>
    <n v="1976670"/>
    <m/>
    <m/>
    <m/>
  </r>
  <r>
    <x v="17"/>
    <x v="3"/>
    <s v="C:\Users\andre\Desktop\REACTIV CEFAS\E2\E2/20201116_Cefas_Test6-Run1/Plate 4/@19/D10_01.tif "/>
    <s v=" 85502.9735 "/>
    <s v=" 45.0683 "/>
    <x v="0"/>
    <n v="3853474"/>
    <m/>
    <m/>
    <m/>
  </r>
  <r>
    <x v="17"/>
    <x v="3"/>
    <s v="C:\Users\andre\Desktop\REACTIV CEFAS\E2\E2/20201116_Cefas_Test6-Run1/Plate 4/@19/D10_02- exclu.tif"/>
    <m/>
    <m/>
    <x v="1"/>
    <m/>
    <m/>
    <m/>
    <m/>
  </r>
  <r>
    <x v="17"/>
    <x v="3"/>
    <s v="C:\Users\andre\Desktop\REACTIV CEFAS\E2\E2/20201116_Cefas_Test6-Run1/Plate 4/@19/D10_03.tif "/>
    <s v=" 72222.2182 "/>
    <s v=" 47.3097 "/>
    <x v="0"/>
    <n v="3416810"/>
    <m/>
    <m/>
    <m/>
  </r>
  <r>
    <x v="17"/>
    <x v="4"/>
    <s v="C:\Users\andre\Desktop\REACTIV CEFAS\E2\E2/20201116_Cefas_Test6-Run1/Plate 4/@19/E10_01.tif "/>
    <s v=" 63829.819 "/>
    <s v=" 44.6503 "/>
    <x v="0"/>
    <n v="2850020"/>
    <m/>
    <m/>
    <m/>
  </r>
  <r>
    <x v="17"/>
    <x v="4"/>
    <s v="C:\Users\andre\Desktop\REACTIV CEFAS\E2\E2/20201116_Cefas_Test6-Run1/Plate 4/@19/E10_02.tif "/>
    <s v=" 65906.2889 "/>
    <s v=" 41.704 "/>
    <x v="0"/>
    <n v="2748554"/>
    <m/>
    <m/>
    <m/>
  </r>
  <r>
    <x v="17"/>
    <x v="4"/>
    <s v="C:\Users\andre\Desktop\REACTIV CEFAS\E2\E2/20201116_Cefas_Test6-Run1/Plate 4/@19/E10_03.tif "/>
    <s v=" 64543.6056 "/>
    <s v=" 41.9672 "/>
    <x v="0"/>
    <n v="2708712"/>
    <m/>
    <m/>
    <m/>
  </r>
  <r>
    <x v="17"/>
    <x v="5"/>
    <s v="C:\Users\andre\Desktop\REACTIV CEFAS\E2\E2/20201116_Cefas_Test6-Run1/Plate 4/@19/F10_01.tif "/>
    <s v=" 57319.2208 "/>
    <s v=" 47.7789 "/>
    <x v="0"/>
    <n v="2738647"/>
    <m/>
    <m/>
    <m/>
  </r>
  <r>
    <x v="17"/>
    <x v="5"/>
    <s v="C:\Users\andre\Desktop\REACTIV CEFAS\E2\E2/20201116_Cefas_Test6-Run1/Plate 4/@19/F10_02.tif "/>
    <s v=" 54161.2562 "/>
    <s v=" 49.4445 "/>
    <x v="0"/>
    <n v="2677976"/>
    <m/>
    <m/>
    <m/>
  </r>
  <r>
    <x v="17"/>
    <x v="5"/>
    <s v="C:\Users\andre\Desktop\REACTIV CEFAS\E2\E2/20201116_Cefas_Test6-Run1/Plate 4/@19/F10_03.tif "/>
    <s v=" 55805.1281 "/>
    <s v=" 49.5097 "/>
    <x v="0"/>
    <n v="2762895"/>
    <m/>
    <m/>
    <m/>
  </r>
  <r>
    <x v="17"/>
    <x v="6"/>
    <s v="C:\Users\andre\Desktop\REACTIV CEFAS\E2\E2/20201116_Cefas_Test6-Run1/Plate 4/@19/G10_01.tif "/>
    <s v=" 56389.1353 "/>
    <s v=" 46.0518 "/>
    <x v="0"/>
    <n v="2596820"/>
    <m/>
    <m/>
    <m/>
  </r>
  <r>
    <x v="17"/>
    <x v="6"/>
    <s v="C:\Users\andre\Desktop\REACTIV CEFAS\E2\E2/20201116_Cefas_Test6-Run1/Plate 4/@19/G10_02.tif "/>
    <s v=" 63937.9685 "/>
    <s v=" 46.2256 "/>
    <x v="0"/>
    <n v="2955574"/>
    <m/>
    <m/>
    <m/>
  </r>
  <r>
    <x v="17"/>
    <x v="6"/>
    <s v="C:\Users\andre\Desktop\REACTIV CEFAS\E2\E2/20201116_Cefas_Test6-Run1/Plate 4/@19/G10_03.tif "/>
    <s v=" 63094.4026 "/>
    <s v=" 42.0792 "/>
    <x v="0"/>
    <n v="2654961"/>
    <m/>
    <m/>
    <m/>
  </r>
  <r>
    <x v="17"/>
    <x v="7"/>
    <s v="C:\Users\andre\Desktop\REACTIV CEFAS\E2\E2/20201116_Cefas_Test6-Run1/Plate 4/@19/H10_01.tif "/>
    <s v=" 41183.3194 "/>
    <s v=" 39.3482 "/>
    <x v="0"/>
    <n v="1620490"/>
    <m/>
    <m/>
    <m/>
  </r>
  <r>
    <x v="17"/>
    <x v="7"/>
    <s v="C:\Users\andre\Desktop\REACTIV CEFAS\E2\E2/20201116_Cefas_Test6-Run1/Plate 4/@19/H10_02.tif "/>
    <s v=" 35710.956 "/>
    <s v=" 42.7892 "/>
    <x v="0"/>
    <n v="1528044"/>
    <m/>
    <m/>
    <m/>
  </r>
  <r>
    <x v="17"/>
    <x v="7"/>
    <s v="C:\Users\andre\Desktop\REACTIV CEFAS\E2\E2/20201116_Cefas_Test6-Run1/Plate 4/@19/H10_03.tif "/>
    <s v=" 34196.8634 "/>
    <s v=" 38.6629 "/>
    <x v="0"/>
    <n v="1322149"/>
    <m/>
    <m/>
    <m/>
  </r>
  <r>
    <x v="1"/>
    <x v="8"/>
    <s v=" "/>
    <m/>
    <m/>
    <x v="1"/>
    <m/>
    <m/>
    <m/>
    <m/>
  </r>
  <r>
    <x v="1"/>
    <x v="8"/>
    <s v="group "/>
    <s v=" "/>
    <s v=" mean of mean fluo "/>
    <x v="2"/>
    <s v=" mean of total fluo "/>
    <s v=" SD total fluo "/>
    <s v=" n fluorescent "/>
    <s v=" n total"/>
  </r>
  <r>
    <x v="17"/>
    <x v="9"/>
    <s v="C:\Users\andre\Desktop\REACTIV CEFAS\E2\E2/20201116_Cefas_Test6-Run1/Plate 4/@19/ "/>
    <s v=" "/>
    <s v=" 43.5786 "/>
    <x v="19"/>
    <s v=" 2427712.42 "/>
    <s v=" 1016073.59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8"/>
    <x v="0"/>
    <s v="C:\Users\andre\Desktop\REACTIV CEFAS\E2\E2/20201116_Cefas_Test6-Run1/Plate 4/@20/A11_01.tif "/>
    <s v=" 86173.5002 "/>
    <s v=" 52.2221 "/>
    <x v="0"/>
    <n v="4500164"/>
    <m/>
    <m/>
    <m/>
  </r>
  <r>
    <x v="18"/>
    <x v="0"/>
    <s v="C:\Users\andre\Desktop\REACTIV CEFAS\E2\E2/20201116_Cefas_Test6-Run1/Plate 4/@20/A11_02.tif "/>
    <s v=" 96274.661 "/>
    <s v=" 54.5435 "/>
    <x v="0"/>
    <n v="5251154"/>
    <m/>
    <m/>
    <m/>
  </r>
  <r>
    <x v="18"/>
    <x v="0"/>
    <s v="C:\Users\andre\Desktop\REACTIV CEFAS\E2\E2/20201116_Cefas_Test6-Run1/Plate 4/@20/A11_03.tif "/>
    <s v=" 83513.0232 "/>
    <s v=" 51.9731 "/>
    <x v="0"/>
    <n v="4340428"/>
    <m/>
    <m/>
    <m/>
  </r>
  <r>
    <x v="18"/>
    <x v="1"/>
    <s v="C:\Users\andre\Desktop\REACTIV CEFAS\E2\E2/20201116_Cefas_Test6-Run1/Plate 4/@20/B11_01.tif "/>
    <s v=" 58400.7155 "/>
    <s v=" 47.3348 "/>
    <x v="0"/>
    <n v="2764387"/>
    <m/>
    <m/>
    <m/>
  </r>
  <r>
    <x v="18"/>
    <x v="1"/>
    <s v="C:\Users\andre\Desktop\REACTIV CEFAS\E2\E2/20201116_Cefas_Test6-Run1/Plate 4/@20/B11_02.tif "/>
    <s v=" 66079.3281 "/>
    <s v=" 51.78 "/>
    <x v="0"/>
    <n v="3421590"/>
    <m/>
    <m/>
    <m/>
  </r>
  <r>
    <x v="18"/>
    <x v="1"/>
    <s v="C:\Users\andre\Desktop\REACTIV CEFAS\E2\E2/20201116_Cefas_Test6-Run1/Plate 4/@20/B11_03.tif "/>
    <s v=" 65625.1003 "/>
    <s v=" 51.9334 "/>
    <x v="0"/>
    <n v="3408136"/>
    <m/>
    <m/>
    <m/>
  </r>
  <r>
    <x v="18"/>
    <x v="2"/>
    <s v="C:\Users\andre\Desktop\REACTIV CEFAS\E2\E2/20201116_Cefas_Test6-Run1/Plate 4/@20/C11_01.tif "/>
    <s v=" 57059.662 "/>
    <s v=" 47.939 "/>
    <x v="0"/>
    <n v="2735381"/>
    <m/>
    <m/>
    <m/>
  </r>
  <r>
    <x v="18"/>
    <x v="2"/>
    <s v="C:\Users\andre\Desktop\REACTIV CEFAS\E2\E2/20201116_Cefas_Test6-Run1/Plate 4/@20/C11_02.tif "/>
    <s v=" 57340.8507 "/>
    <s v=" 48.3463 "/>
    <x v="0"/>
    <n v="2772217"/>
    <m/>
    <m/>
    <m/>
  </r>
  <r>
    <x v="18"/>
    <x v="2"/>
    <s v="C:\Users\andre\Desktop\REACTIV CEFAS\E2\E2/20201116_Cefas_Test6-Run1/Plate 4/@20/C11_03.tif "/>
    <s v=" 57384.1105 "/>
    <s v=" 48.6619 "/>
    <x v="0"/>
    <n v="2792419"/>
    <m/>
    <m/>
    <m/>
  </r>
  <r>
    <x v="18"/>
    <x v="3"/>
    <s v="C:\Users\andre\Desktop\REACTIV CEFAS\E2\E2/20201116_Cefas_Test6-Run1/Plate 4/@20/D11_01.tif "/>
    <s v=" 85438.0838 "/>
    <s v=" 52.2559 "/>
    <x v="0"/>
    <n v="4464648"/>
    <m/>
    <m/>
    <m/>
  </r>
  <r>
    <x v="18"/>
    <x v="3"/>
    <s v="C:\Users\andre\Desktop\REACTIV CEFAS\E2\E2/20201116_Cefas_Test6-Run1/Plate 4/@20/D11_02.tif "/>
    <s v=" 84443.1086 "/>
    <s v=" 54.1555 "/>
    <x v="0"/>
    <n v="4573057"/>
    <m/>
    <m/>
    <m/>
  </r>
  <r>
    <x v="18"/>
    <x v="3"/>
    <s v="C:\Users\andre\Desktop\REACTIV CEFAS\E2\E2/20201116_Cefas_Test6-Run1/Plate 4/@20/D11_03.tif "/>
    <s v=" 90823.9275 "/>
    <s v=" 56.7899 "/>
    <x v="0"/>
    <n v="5157886"/>
    <m/>
    <m/>
    <m/>
  </r>
  <r>
    <x v="18"/>
    <x v="4"/>
    <s v="C:\Users\andre\Desktop\REACTIV CEFAS\E2\E2/20201116_Cefas_Test6-Run1/Plate 4/@20/E11_01.tif "/>
    <s v=" 78970.7453 "/>
    <s v=" 48.0216 "/>
    <x v="0"/>
    <n v="3792305"/>
    <m/>
    <m/>
    <m/>
  </r>
  <r>
    <x v="18"/>
    <x v="4"/>
    <s v="C:\Users\andre\Desktop\REACTIV CEFAS\E2\E2/20201116_Cefas_Test6-Run1/Plate 4/@20/E11_02.tif "/>
    <s v=" 82150.3398 "/>
    <s v=" 50.3736 "/>
    <x v="0"/>
    <n v="4138210"/>
    <m/>
    <m/>
    <m/>
  </r>
  <r>
    <x v="18"/>
    <x v="4"/>
    <s v="C:\Users\andre\Desktop\REACTIV CEFAS\E2\E2/20201116_Cefas_Test6-Run1/Plate 4/@20/E11_03.tif "/>
    <s v=" 79576.3823 "/>
    <s v=" 53.1044 "/>
    <x v="0"/>
    <n v="4225854"/>
    <m/>
    <m/>
    <m/>
  </r>
  <r>
    <x v="18"/>
    <x v="5"/>
    <s v="C:\Users\andre\Desktop\REACTIV CEFAS\E2\E2/20201116_Cefas_Test6-Run1/Plate 4/@20/F11_01.tif "/>
    <s v=" 89655.9132 "/>
    <s v=" 52.7756 "/>
    <x v="0"/>
    <n v="4731648"/>
    <m/>
    <m/>
    <m/>
  </r>
  <r>
    <x v="18"/>
    <x v="5"/>
    <s v="C:\Users\andre\Desktop\REACTIV CEFAS\E2\E2/20201116_Cefas_Test6-Run1/Plate 4/@20/F11_02.tif "/>
    <s v=" 80657.8771 "/>
    <s v=" 49.7584 "/>
    <x v="0"/>
    <n v="4013405"/>
    <m/>
    <m/>
    <m/>
  </r>
  <r>
    <x v="18"/>
    <x v="5"/>
    <s v="C:\Users\andre\Desktop\REACTIV CEFAS\E2\E2/20201116_Cefas_Test6-Run1/Plate 4/@20/F11_03.tif "/>
    <s v=" 70124.1184 "/>
    <s v=" 56.1962 "/>
    <x v="0"/>
    <n v="3940707"/>
    <m/>
    <m/>
    <m/>
  </r>
  <r>
    <x v="18"/>
    <x v="6"/>
    <s v="C:\Users\andre\Desktop\REACTIV CEFAS\E2\E2/20201116_Cefas_Test6-Run1/Plate 4/@20/G11_01.tif "/>
    <s v=" 63180.9222 "/>
    <s v=" 53.4023 "/>
    <x v="0"/>
    <n v="3374004"/>
    <m/>
    <m/>
    <m/>
  </r>
  <r>
    <x v="18"/>
    <x v="6"/>
    <s v="C:\Users\andre\Desktop\REACTIV CEFAS\E2\E2/20201116_Cefas_Test6-Run1/Plate 4/@20/G11_02.tif "/>
    <s v=" 62878.1037 "/>
    <s v=" 50.8297 "/>
    <x v="0"/>
    <n v="3196076"/>
    <m/>
    <m/>
    <m/>
  </r>
  <r>
    <x v="18"/>
    <x v="6"/>
    <s v="C:\Users\andre\Desktop\REACTIV CEFAS\E2\E2/20201116_Cefas_Test6-Run1/Plate 4/@20/G11_03.tif "/>
    <s v=" 65105.9828 "/>
    <s v=" 52.9475 "/>
    <x v="0"/>
    <n v="3447200"/>
    <m/>
    <m/>
    <m/>
  </r>
  <r>
    <x v="18"/>
    <x v="7"/>
    <s v="C:\Users\andre\Desktop\REACTIV CEFAS\E2\E2/20201116_Cefas_Test6-Run1/Plate 4/@20/H11_01.tif "/>
    <s v=" 30584.671 "/>
    <s v=" 43.0686 "/>
    <x v="0"/>
    <n v="1317239"/>
    <m/>
    <m/>
    <m/>
  </r>
  <r>
    <x v="18"/>
    <x v="7"/>
    <s v="C:\Users\andre\Desktop\REACTIV CEFAS\E2\E2/20201116_Cefas_Test6-Run1/Plate 4/@20/H11_02.tif "/>
    <s v=" 32920.6996 "/>
    <s v=" 42.6478 "/>
    <x v="0"/>
    <n v="1403996"/>
    <m/>
    <m/>
    <m/>
  </r>
  <r>
    <x v="18"/>
    <x v="7"/>
    <s v="C:\Users\andre\Desktop\REACTIV CEFAS\E2\E2/20201116_Cefas_Test6-Run1/Plate 4/@20/H11_03.tif "/>
    <s v=" 27816.0445 "/>
    <s v=" 43.0443 "/>
    <x v="0"/>
    <n v="1197323"/>
    <m/>
    <m/>
    <m/>
  </r>
  <r>
    <x v="1"/>
    <x v="8"/>
    <s v=" "/>
    <m/>
    <m/>
    <x v="1"/>
    <m/>
    <m/>
    <m/>
    <m/>
  </r>
  <r>
    <x v="1"/>
    <x v="8"/>
    <s v="group "/>
    <s v=" "/>
    <s v=" mean of mean fluo "/>
    <x v="2"/>
    <s v=" mean of total fluo "/>
    <s v=" SD total fluo "/>
    <s v=" n fluorescent "/>
    <s v=" n total"/>
  </r>
  <r>
    <x v="18"/>
    <x v="9"/>
    <s v="C:\Users\andre\Desktop\REACTIV CEFAS\E2\E2/20201116_Cefas_Test6-Run1/Plate 4/@20/ "/>
    <s v=" "/>
    <s v=" 50.5877 "/>
    <x v="20"/>
    <s v=" 3539976.42 "/>
    <s v=" 1128706.95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9"/>
    <x v="0"/>
    <s v="C:\Users\andre\Desktop\REACTIV CEFAS\E2\E2/20201116_Cefas_Test6-Run1/Plate 4/@21/A12_01.tif "/>
    <s v=" 109858.235 "/>
    <s v=" 60.6934 "/>
    <x v="0"/>
    <n v="6667675"/>
    <m/>
    <m/>
    <m/>
  </r>
  <r>
    <x v="19"/>
    <x v="0"/>
    <s v="C:\Users\andre\Desktop\REACTIV CEFAS\E2\E2/20201116_Cefas_Test6-Run1/Plate 4/@21/A12_02.tif "/>
    <s v=" 102071.473 "/>
    <s v=" 58.5544 "/>
    <x v="0"/>
    <n v="5976729"/>
    <m/>
    <m/>
    <m/>
  </r>
  <r>
    <x v="19"/>
    <x v="0"/>
    <s v="C:\Users\andre\Desktop\REACTIV CEFAS\E2\E2/20201116_Cefas_Test6-Run1/Plate 4/@21/A12_03.tif "/>
    <s v=" 108084.583 "/>
    <s v=" 53.6896 "/>
    <x v="0"/>
    <n v="5803020"/>
    <m/>
    <m/>
    <m/>
  </r>
  <r>
    <x v="19"/>
    <x v="1"/>
    <s v="C:\Users\andre\Desktop\REACTIV CEFAS\E2\E2/20201116_Cefas_Test6-Run1/Plate 4/@21/B12_01.tif "/>
    <s v=" 72589.9264 "/>
    <s v=" 60.2494 "/>
    <x v="0"/>
    <n v="4373500"/>
    <m/>
    <m/>
    <m/>
  </r>
  <r>
    <x v="19"/>
    <x v="1"/>
    <s v="C:\Users\andre\Desktop\REACTIV CEFAS\E2\E2/20201116_Cefas_Test6-Run1/Plate 4/@21/B12_02.tif "/>
    <s v=" 89266.5751 "/>
    <s v=" 59.8016 "/>
    <x v="0"/>
    <n v="5338280"/>
    <m/>
    <m/>
    <m/>
  </r>
  <r>
    <x v="19"/>
    <x v="1"/>
    <s v="C:\Users\andre\Desktop\REACTIV CEFAS\E2\E2/20201116_Cefas_Test6-Run1/Plate 4/@21/B12_03.tif "/>
    <s v=" 91991.9419 "/>
    <s v=" 59.4985 "/>
    <x v="0"/>
    <n v="5473380"/>
    <m/>
    <m/>
    <m/>
  </r>
  <r>
    <x v="19"/>
    <x v="2"/>
    <s v="C:\Users\andre\Desktop\REACTIV CEFAS\E2\E2/20201116_Cefas_Test6-Run1/Plate 4/@21/C12_01.tif "/>
    <s v=" 32855.8099 "/>
    <s v=" 46.7255 "/>
    <x v="0"/>
    <n v="1535203"/>
    <m/>
    <m/>
    <m/>
  </r>
  <r>
    <x v="19"/>
    <x v="2"/>
    <s v="C:\Users\andre\Desktop\REACTIV CEFAS\E2\E2/20201116_Cefas_Test6-Run1/Plate 4/@21/C12_02.tif "/>
    <s v=" 23922.6635 "/>
    <s v=" 37.1338 "/>
    <x v="0"/>
    <n v="888340"/>
    <m/>
    <m/>
    <m/>
  </r>
  <r>
    <x v="19"/>
    <x v="2"/>
    <s v="C:\Users\andre\Desktop\REACTIV CEFAS\E2\E2/20201116_Cefas_Test6-Run1/Plate 4/@21/C12_03.tif "/>
    <s v=" 27188.7775 "/>
    <s v=" 46.2411 "/>
    <x v="0"/>
    <n v="1257238"/>
    <m/>
    <m/>
    <m/>
  </r>
  <r>
    <x v="19"/>
    <x v="3"/>
    <s v="C:\Users\andre\Desktop\REACTIV CEFAS\E2\E2/20201116_Cefas_Test6-Run1/Plate 4/@21/D12_01.tif "/>
    <s v=" 60693.4843 "/>
    <s v=" 49.4252 "/>
    <x v="0"/>
    <n v="2999785"/>
    <m/>
    <m/>
    <m/>
  </r>
  <r>
    <x v="19"/>
    <x v="3"/>
    <s v="C:\Users\andre\Desktop\REACTIV CEFAS\E2\E2/20201116_Cefas_Test6-Run1/Plate 4/@21/D12_02.tif "/>
    <s v=" 61472.1605 "/>
    <s v=" 50.4842 "/>
    <x v="0"/>
    <n v="3103371"/>
    <m/>
    <m/>
    <m/>
  </r>
  <r>
    <x v="19"/>
    <x v="3"/>
    <s v="C:\Users\andre\Desktop\REACTIV CEFAS\E2\E2/20201116_Cefas_Test6-Run1/Plate 4/@21/D12_03.tif "/>
    <s v=" 57924.8578 "/>
    <s v=" 47.3633 "/>
    <x v="0"/>
    <n v="2743514"/>
    <m/>
    <m/>
    <m/>
  </r>
  <r>
    <x v="19"/>
    <x v="4"/>
    <s v="C:\Users\andre\Desktop\REACTIV CEFAS\E2\E2/20201116_Cefas_Test6-Run1/Plate 4/@21/E12_01.tif "/>
    <s v=" 71075.8338 "/>
    <s v=" 55.9291 "/>
    <x v="0"/>
    <n v="3975207"/>
    <m/>
    <m/>
    <m/>
  </r>
  <r>
    <x v="19"/>
    <x v="4"/>
    <s v="C:\Users\andre\Desktop\REACTIV CEFAS\E2\E2/20201116_Cefas_Test6-Run1/Plate 4/@21/E12_02.tif "/>
    <s v=" 70470.1967 "/>
    <s v=" 53.186 "/>
    <x v="0"/>
    <n v="3748028"/>
    <m/>
    <m/>
    <m/>
  </r>
  <r>
    <x v="19"/>
    <x v="4"/>
    <s v="C:\Users\andre\Desktop\REACTIV CEFAS\E2\E2/20201116_Cefas_Test6-Run1/Plate 4/@21/E12_03.tif "/>
    <s v=" 71746.3605 "/>
    <s v=" 57.8013 "/>
    <x v="0"/>
    <n v="4147035"/>
    <m/>
    <m/>
    <m/>
  </r>
  <r>
    <x v="19"/>
    <x v="5"/>
    <s v="C:\Users\andre\Desktop\REACTIV CEFAS\E2\E2/20201116_Cefas_Test6-Run1/Plate 4/@21/F12_01.tif "/>
    <s v=" 79641.272 "/>
    <s v=" 60.9191 "/>
    <x v="0"/>
    <n v="4851672"/>
    <m/>
    <m/>
    <m/>
  </r>
  <r>
    <x v="19"/>
    <x v="5"/>
    <s v="C:\Users\andre\Desktop\REACTIV CEFAS\E2\E2/20201116_Cefas_Test6-Run1/Plate 4/@21/F12_02.tif "/>
    <s v=" 89526.1339 "/>
    <s v=" 59.9026 "/>
    <x v="0"/>
    <n v="5362851"/>
    <m/>
    <m/>
    <m/>
  </r>
  <r>
    <x v="19"/>
    <x v="5"/>
    <s v="C:\Users\andre\Desktop\REACTIV CEFAS\E2\E2/20201116_Cefas_Test6-Run1/Plate 4/@21/F12_03- exclu.tif"/>
    <m/>
    <m/>
    <x v="1"/>
    <m/>
    <m/>
    <m/>
    <m/>
  </r>
  <r>
    <x v="19"/>
    <x v="6"/>
    <s v="C:\Users\andre\Desktop\REACTIV CEFAS\E2\E2/20201116_Cefas_Test6-Run1/Plate 4/@21/G12_01.tif "/>
    <s v=" 39150.1093 "/>
    <s v=" 60.6011 "/>
    <x v="0"/>
    <n v="2372540"/>
    <m/>
    <m/>
    <m/>
  </r>
  <r>
    <x v="19"/>
    <x v="6"/>
    <s v="C:\Users\andre\Desktop\REACTIV CEFAS\E2\E2/20201116_Cefas_Test6-Run1/Plate 4/@21/G12_02.tif "/>
    <s v=" 55848.3879 "/>
    <s v=" 62.0844 "/>
    <x v="0"/>
    <n v="3467315"/>
    <m/>
    <m/>
    <m/>
  </r>
  <r>
    <x v="19"/>
    <x v="6"/>
    <s v="C:\Users\andre\Desktop\REACTIV CEFAS\E2\E2/20201116_Cefas_Test6-Run1/Plate 4/@21/G12_03.tif "/>
    <s v=" 39474.5577 "/>
    <s v=" 60.4586 "/>
    <x v="0"/>
    <n v="2386578"/>
    <m/>
    <m/>
    <m/>
  </r>
  <r>
    <x v="19"/>
    <x v="7"/>
    <s v="C:\Users\andre\Desktop\REACTIV CEFAS\E2\E2/20201116_Cefas_Test6-Run1/Plate 4/@21/H12_01.tif "/>
    <s v=" 73325.3428 "/>
    <s v=" 49.6454 "/>
    <x v="0"/>
    <n v="3640268"/>
    <m/>
    <m/>
    <m/>
  </r>
  <r>
    <x v="19"/>
    <x v="7"/>
    <s v="C:\Users\andre\Desktop\REACTIV CEFAS\E2\E2/20201116_Cefas_Test6-Run1/Plate 4/@21/H12_02.tif "/>
    <s v=" 67896.2392 "/>
    <s v=" 50.5585 "/>
    <x v="0"/>
    <n v="3432729"/>
    <m/>
    <m/>
    <m/>
  </r>
  <r>
    <x v="19"/>
    <x v="7"/>
    <s v="C:\Users\andre\Desktop\REACTIV CEFAS\E2\E2/20201116_Cefas_Test6-Run1/Plate 4/@21/H12_03.tif "/>
    <s v=" 60888.1534 "/>
    <s v=" 51.9684 "/>
    <x v="0"/>
    <n v="3164259"/>
    <m/>
    <m/>
    <m/>
  </r>
  <r>
    <x v="1"/>
    <x v="8"/>
    <s v=" "/>
    <m/>
    <m/>
    <x v="1"/>
    <m/>
    <m/>
    <m/>
    <m/>
  </r>
  <r>
    <x v="1"/>
    <x v="8"/>
    <s v="group "/>
    <s v=" "/>
    <s v=" mean of mean fluo "/>
    <x v="2"/>
    <s v=" mean of total fluo "/>
    <s v=" SD total fluo "/>
    <s v=" n fluorescent "/>
    <s v=" n total"/>
  </r>
  <r>
    <x v="19"/>
    <x v="9"/>
    <s v="C:\Users\andre\Desktop\REACTIV CEFAS\E2\E2/20201116_Cefas_Test6-Run1/Plate 4/@21/ "/>
    <s v=" "/>
    <s v=" 54.8276 "/>
    <x v="21"/>
    <s v=" 3746855.67 "/>
    <s v=" 1524723.27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0"/>
    <x v="0"/>
    <s v="C:\Users\andre\Desktop\REACTIV CEFAS\E2\E2/20201116_Cefas_Test6-Run1/Plate 4/@8/A2_01.tif "/>
    <s v=" 4909.9861 "/>
    <s v=" 35.2863 "/>
    <x v="0"/>
    <n v="173255"/>
    <m/>
    <m/>
    <m/>
  </r>
  <r>
    <x v="20"/>
    <x v="0"/>
    <s v="C:\Users\andre\Desktop\REACTIV CEFAS\E2\E2/20201116_Cefas_Test6-Run1/Plate 4/@8/A2_02.tif "/>
    <s v=" 15292.3355 "/>
    <s v=" 36.1117 "/>
    <x v="0"/>
    <n v="552233"/>
    <m/>
    <m/>
    <m/>
  </r>
  <r>
    <x v="20"/>
    <x v="0"/>
    <s v="C:\Users\andre\Desktop\REACTIV CEFAS\E2\E2/20201116_Cefas_Test6-Run1/Plate 4/@8/A2_03.tif "/>
    <s v=" 2552.3276 "/>
    <s v=" 37.0847 "/>
    <x v="0"/>
    <n v="94652"/>
    <m/>
    <m/>
    <m/>
  </r>
  <r>
    <x v="20"/>
    <x v="1"/>
    <s v="C:\Users\andre\Desktop\REACTIV CEFAS\E2\E2/20201116_Cefas_Test6-Run1/Plate 4/@8/B2_01.tif "/>
    <s v=" 4304.349 "/>
    <s v=" 38.4975 "/>
    <x v="0"/>
    <n v="165707"/>
    <m/>
    <m/>
    <m/>
  </r>
  <r>
    <x v="20"/>
    <x v="1"/>
    <s v="C:\Users\andre\Desktop\REACTIV CEFAS\E2\E2/20201116_Cefas_Test6-Run1/Plate 4/@8/B2_02.tif "/>
    <s v=" 3093.0749 "/>
    <s v=" 34.7133 "/>
    <x v="0"/>
    <n v="107371"/>
    <m/>
    <m/>
    <m/>
  </r>
  <r>
    <x v="20"/>
    <x v="1"/>
    <s v="C:\Users\andre\Desktop\REACTIV CEFAS\E2\E2/20201116_Cefas_Test6-Run1/Plate 4/@8/B2_03.tif "/>
    <s v=" 2811.8863 "/>
    <s v=" 33.1308 "/>
    <x v="0"/>
    <n v="93160"/>
    <m/>
    <m/>
    <m/>
  </r>
  <r>
    <x v="20"/>
    <x v="2"/>
    <s v="C:\Users\andre\Desktop\REACTIV CEFAS\E2\E2/20201116_Cefas_Test6-Run1/Plate 4/@8/C2_01.tif "/>
    <s v=" 6402.4488 "/>
    <s v=" 39.5372 "/>
    <x v="0"/>
    <n v="253135"/>
    <m/>
    <m/>
    <m/>
  </r>
  <r>
    <x v="20"/>
    <x v="2"/>
    <s v="C:\Users\andre\Desktop\REACTIV CEFAS\E2\E2/20201116_Cefas_Test6-Run1/Plate 4/@8/C2_02.tif "/>
    <s v=" 5688.6623 "/>
    <s v=" 35.9049 "/>
    <x v="0"/>
    <n v="204251"/>
    <m/>
    <m/>
    <m/>
  </r>
  <r>
    <x v="20"/>
    <x v="2"/>
    <s v="C:\Users\andre\Desktop\REACTIV CEFAS\E2\E2/20201116_Cefas_Test6-Run1/Plate 4/@8/C2_03.tif "/>
    <s v=" 6878.3065 "/>
    <s v=" 38.327 "/>
    <x v="0"/>
    <n v="263625"/>
    <m/>
    <m/>
    <m/>
  </r>
  <r>
    <x v="20"/>
    <x v="3"/>
    <s v="C:\Users\andre\Desktop\REACTIV CEFAS\E2\E2/20201116_Cefas_Test6-Run1/Plate 4/@8/D2_01.tif "/>
    <s v=" 3698.712 "/>
    <s v=" 35.8596 "/>
    <x v="0"/>
    <n v="132635"/>
    <m/>
    <m/>
    <m/>
  </r>
  <r>
    <x v="20"/>
    <x v="3"/>
    <s v="C:\Users\andre\Desktop\REACTIV CEFAS\E2\E2/20201116_Cefas_Test6-Run1/Plate 4/@8/D2_02.tif "/>
    <s v=" 6056.3705 "/>
    <s v=" 39.0786 "/>
    <x v="0"/>
    <n v="236674"/>
    <m/>
    <m/>
    <m/>
  </r>
  <r>
    <x v="20"/>
    <x v="3"/>
    <s v="C:\Users\andre\Desktop\REACTIV CEFAS\E2\E2/20201116_Cefas_Test6-Run1/Plate 4/@8/D2_03.tif "/>
    <s v=" 9084.5557 "/>
    <s v=" 40.2643 "/>
    <x v="0"/>
    <n v="365783"/>
    <m/>
    <m/>
    <m/>
  </r>
  <r>
    <x v="20"/>
    <x v="4"/>
    <s v="C:\Users\andre\Desktop\REACTIV CEFAS\E2\E2/20201116_Cefas_Test6-Run1/Plate 4/@8/E2_01.tif "/>
    <s v=" 5169.5448 "/>
    <s v=" 36.4226 "/>
    <x v="0"/>
    <n v="188288"/>
    <m/>
    <m/>
    <m/>
  </r>
  <r>
    <x v="20"/>
    <x v="4"/>
    <s v="C:\Users\andre\Desktop\REACTIV CEFAS\E2\E2/20201116_Cefas_Test6-Run1/Plate 4/@8/E2_02.tif "/>
    <n v="0"/>
    <n v="0"/>
    <x v="0"/>
    <n v="0"/>
    <m/>
    <m/>
    <m/>
  </r>
  <r>
    <x v="20"/>
    <x v="4"/>
    <s v="C:\Users\andre\Desktop\REACTIV CEFAS\E2\E2/20201116_Cefas_Test6-Run1/Plate 4/@8/E2_03.tif "/>
    <s v=" 8327.5094 "/>
    <s v=" 41.3169 "/>
    <x v="0"/>
    <n v="344067"/>
    <m/>
    <m/>
    <m/>
  </r>
  <r>
    <x v="20"/>
    <x v="5"/>
    <s v="C:\Users\andre\Desktop\REACTIV CEFAS\E2\E2/20201116_Cefas_Test6-Run1/Plate 4/@8/F2_01.tif "/>
    <s v=" 3309.3739 "/>
    <s v=" 34.5948 "/>
    <x v="0"/>
    <n v="114487"/>
    <m/>
    <m/>
    <m/>
  </r>
  <r>
    <x v="20"/>
    <x v="5"/>
    <s v="C:\Users\andre\Desktop\REACTIV CEFAS\E2\E2/20201116_Cefas_Test6-Run1/Plate 4/@8/F2_02.tif "/>
    <s v=" 1276.1638 "/>
    <s v=" 33.6102 "/>
    <x v="0"/>
    <n v="42892"/>
    <m/>
    <m/>
    <m/>
  </r>
  <r>
    <x v="20"/>
    <x v="5"/>
    <s v="C:\Users\andre\Desktop\REACTIV CEFAS\E2\E2/20201116_Cefas_Test6-Run1/Plate 4/@8/F2_03.tif "/>
    <s v=" 843.5659 "/>
    <s v=" 31.9487 "/>
    <x v="0"/>
    <n v="26951"/>
    <m/>
    <m/>
    <m/>
  </r>
  <r>
    <x v="20"/>
    <x v="6"/>
    <s v="C:\Users\andre\Desktop\REACTIV CEFAS\E2\E2/20201116_Cefas_Test6-Run1/Plate 4/@8/G2_01.tif "/>
    <s v=" 9106.1856 "/>
    <s v=" 38.9881 "/>
    <x v="0"/>
    <n v="355033"/>
    <m/>
    <m/>
    <m/>
  </r>
  <r>
    <x v="20"/>
    <x v="6"/>
    <s v="C:\Users\andre\Desktop\REACTIV CEFAS\E2\E2/20201116_Cefas_Test6-Run1/Plate 4/@8/G2_02.tif "/>
    <s v=" 5667.0324 "/>
    <s v=" 37.0191 "/>
    <x v="0"/>
    <n v="209788"/>
    <m/>
    <m/>
    <m/>
  </r>
  <r>
    <x v="20"/>
    <x v="6"/>
    <s v="C:\Users\andre\Desktop\REACTIV CEFAS\E2\E2/20201116_Cefas_Test6-Run1/Plate 4/@8/G2_03.tif "/>
    <s v=" 7008.0859 "/>
    <s v=" 41.1358 "/>
    <x v="0"/>
    <n v="288283"/>
    <m/>
    <m/>
    <m/>
  </r>
  <r>
    <x v="20"/>
    <x v="7"/>
    <s v="C:\Users\andre\Desktop\REACTIV CEFAS\E2\E2/20201116_Cefas_Test6-Run1/Plate 4/@8/H2_01.tif "/>
    <s v=" 129.7794 "/>
    <s v=" 30.6667 "/>
    <x v="0"/>
    <n v="3980"/>
    <m/>
    <m/>
    <m/>
  </r>
  <r>
    <x v="20"/>
    <x v="7"/>
    <s v="C:\Users\andre\Desktop\REACTIV CEFAS\E2\E2/20201116_Cefas_Test6-Run1/Plate 4/@8/H2_02.tif "/>
    <s v=" 7613.7229 "/>
    <s v=" 38.4034 "/>
    <x v="0"/>
    <n v="292393"/>
    <m/>
    <m/>
    <m/>
  </r>
  <r>
    <x v="20"/>
    <x v="7"/>
    <s v="C:\Users\andre\Desktop\REACTIV CEFAS\E2\E2/20201116_Cefas_Test6-Run1/Plate 4/@8/H2_03.tif "/>
    <s v=" 5948.221 "/>
    <s v=" 38.0509 "/>
    <x v="0"/>
    <n v="226335"/>
    <m/>
    <m/>
    <m/>
  </r>
  <r>
    <x v="1"/>
    <x v="8"/>
    <s v=" "/>
    <m/>
    <m/>
    <x v="1"/>
    <m/>
    <m/>
    <m/>
    <m/>
  </r>
  <r>
    <x v="1"/>
    <x v="8"/>
    <s v="group "/>
    <s v=" "/>
    <s v=" mean of mean fluo "/>
    <x v="2"/>
    <s v=" mean of total fluo "/>
    <s v=" SD total fluo "/>
    <s v=" n fluorescent "/>
    <s v=" n total"/>
  </r>
  <r>
    <x v="20"/>
    <x v="9"/>
    <s v="C:\Users\andre\Desktop\REACTIV CEFAS\E2\E2/20201116_Cefas_Test6-Run1/Plate 4/@8/ "/>
    <s v=" "/>
    <s v=" 35.248 "/>
    <x v="22"/>
    <s v=" 197290.75 "/>
    <s v=" 131801.152 "/>
    <n v="23"/>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1"/>
    <x v="0"/>
    <s v="C:\Users\andre\Desktop\REACTIV CEFAS\E2\E2/20201116_Cefas_Test6-Run1/Plate 4/@9/A3_01.tif "/>
    <s v=" 3612.1924 "/>
    <s v=" 37.2695 "/>
    <x v="0"/>
    <n v="134624"/>
    <m/>
    <m/>
    <m/>
  </r>
  <r>
    <x v="21"/>
    <x v="0"/>
    <s v="C:\Users\andre\Desktop\REACTIV CEFAS\E2\E2/20201116_Cefas_Test6-Run1/Plate 4/@9/A3_02.tif "/>
    <s v=" 7137.8652 "/>
    <s v=" 36.8364 "/>
    <x v="0"/>
    <n v="262933"/>
    <m/>
    <m/>
    <m/>
  </r>
  <r>
    <x v="21"/>
    <x v="0"/>
    <s v="C:\Users\andre\Desktop\REACTIV CEFAS\E2\E2/20201116_Cefas_Test6-Run1/Plate 4/@9/A3_03.tif "/>
    <s v=" 216.2989 "/>
    <s v=" 32.6 "/>
    <x v="0"/>
    <n v="7051"/>
    <m/>
    <m/>
    <m/>
  </r>
  <r>
    <x v="21"/>
    <x v="1"/>
    <s v="C:\Users\andre\Desktop\REACTIV CEFAS\E2\E2/20201116_Cefas_Test6-Run1/Plate 4/@9/B3_01.tif "/>
    <s v=" 11982.9616 "/>
    <s v=" 41.8159 "/>
    <x v="0"/>
    <n v="501078"/>
    <m/>
    <m/>
    <m/>
  </r>
  <r>
    <x v="21"/>
    <x v="1"/>
    <s v="C:\Users\andre\Desktop\REACTIV CEFAS\E2\E2/20201116_Cefas_Test6-Run1/Plate 4/@9/B3_02.tif "/>
    <n v="0"/>
    <n v="0"/>
    <x v="0"/>
    <n v="0"/>
    <m/>
    <m/>
    <m/>
  </r>
  <r>
    <x v="21"/>
    <x v="1"/>
    <s v="C:\Users\andre\Desktop\REACTIV CEFAS\E2\E2/20201116_Cefas_Test6-Run1/Plate 4/@9/B3_03.tif "/>
    <n v="0"/>
    <n v="0"/>
    <x v="0"/>
    <n v="0"/>
    <m/>
    <m/>
    <m/>
  </r>
  <r>
    <x v="21"/>
    <x v="2"/>
    <s v="C:\Users\andre\Desktop\REACTIV CEFAS\E2\E2/20201116_Cefas_Test6-Run1/Plate 4/@9/C3_01.tif "/>
    <s v=" 8998.0362 "/>
    <s v=" 36.762 "/>
    <x v="0"/>
    <n v="330786"/>
    <m/>
    <m/>
    <m/>
  </r>
  <r>
    <x v="21"/>
    <x v="2"/>
    <s v="C:\Users\andre\Desktop\REACTIV CEFAS\E2\E2/20201116_Cefas_Test6-Run1/Plate 4/@9/C3_02.tif "/>
    <s v=" 8305.8795 "/>
    <s v=" 34.7552 "/>
    <x v="0"/>
    <n v="288673"/>
    <m/>
    <m/>
    <m/>
  </r>
  <r>
    <x v="21"/>
    <x v="2"/>
    <s v="C:\Users\andre\Desktop\REACTIV CEFAS\E2\E2/20201116_Cefas_Test6-Run1/Plate 4/@9/C3_03.tif "/>
    <s v=" 8132.8404 "/>
    <s v=" 37.2021 "/>
    <x v="0"/>
    <n v="302559"/>
    <m/>
    <m/>
    <m/>
  </r>
  <r>
    <x v="21"/>
    <x v="3"/>
    <s v="C:\Users\andre\Desktop\REACTIV CEFAS\E2\E2/20201116_Cefas_Test6-Run1/Plate 4/@9/D3_01.tif "/>
    <s v=" 13799.8728 "/>
    <s v=" 45.8135 "/>
    <x v="0"/>
    <n v="632220"/>
    <m/>
    <m/>
    <m/>
  </r>
  <r>
    <x v="21"/>
    <x v="3"/>
    <s v="C:\Users\andre\Desktop\REACTIV CEFAS\E2\E2/20201116_Cefas_Test6-Run1/Plate 4/@9/D3_02.tif "/>
    <s v=" 1405.9432 "/>
    <s v=" 33.1077 "/>
    <x v="0"/>
    <n v="46548"/>
    <m/>
    <m/>
    <m/>
  </r>
  <r>
    <x v="21"/>
    <x v="3"/>
    <s v="C:\Users\andre\Desktop\REACTIV CEFAS\E2\E2/20201116_Cefas_Test6-Run1/Plate 4/@9/D3_03.tif "/>
    <s v=" 4477.3882 "/>
    <s v=" 34.9952 "/>
    <x v="0"/>
    <n v="156687"/>
    <m/>
    <m/>
    <m/>
  </r>
  <r>
    <x v="21"/>
    <x v="4"/>
    <s v="C:\Users\andre\Desktop\REACTIV CEFAS\E2\E2/20201116_Cefas_Test6-Run1/Plate 4/@9/E3_01.tif "/>
    <s v=" 7354.1642 "/>
    <s v=" 37.9529 "/>
    <x v="0"/>
    <n v="279112"/>
    <m/>
    <m/>
    <m/>
  </r>
  <r>
    <x v="21"/>
    <x v="4"/>
    <s v="C:\Users\andre\Desktop\REACTIV CEFAS\E2\E2/20201116_Cefas_Test6-Run1/Plate 4/@9/E3_02.tif "/>
    <s v=" 12523.709 "/>
    <s v=" 39.8066 "/>
    <x v="0"/>
    <n v="498526"/>
    <m/>
    <m/>
    <m/>
  </r>
  <r>
    <x v="21"/>
    <x v="4"/>
    <s v="C:\Users\andre\Desktop\REACTIV CEFAS\E2\E2/20201116_Cefas_Test6-Run1/Plate 4/@9/E3_03.tif "/>
    <s v=" 670.5267 "/>
    <s v=" 32.0645 "/>
    <x v="0"/>
    <n v="21500"/>
    <m/>
    <m/>
    <m/>
  </r>
  <r>
    <x v="21"/>
    <x v="5"/>
    <s v="C:\Users\andre\Desktop\REACTIV CEFAS\E2\E2/20201116_Cefas_Test6-Run1/Plate 4/@9/F3_01.tif "/>
    <s v=" 5602.1427 "/>
    <s v=" 38.6371 "/>
    <x v="0"/>
    <n v="216450"/>
    <m/>
    <m/>
    <m/>
  </r>
  <r>
    <x v="21"/>
    <x v="5"/>
    <s v="C:\Users\andre\Desktop\REACTIV CEFAS\E2\E2/20201116_Cefas_Test6-Run1/Plate 4/@9/F3_02.tif "/>
    <s v=" 4953.2459 "/>
    <s v=" 38.7118 "/>
    <x v="0"/>
    <n v="191749"/>
    <m/>
    <m/>
    <m/>
  </r>
  <r>
    <x v="21"/>
    <x v="5"/>
    <s v="C:\Users\andre\Desktop\REACTIV CEFAS\E2\E2/20201116_Cefas_Test6-Run1/Plate 4/@9/F3_03.tif "/>
    <s v=" 4909.9861 "/>
    <s v=" 40.7577 "/>
    <x v="0"/>
    <n v="200120"/>
    <m/>
    <m/>
    <m/>
  </r>
  <r>
    <x v="21"/>
    <x v="6"/>
    <s v="C:\Users\andre\Desktop\REACTIV CEFAS\E2\E2/20201116_Cefas_Test6-Run1/Plate 4/@9/G3_01- exclu.tif"/>
    <m/>
    <m/>
    <x v="1"/>
    <m/>
    <m/>
    <m/>
    <m/>
  </r>
  <r>
    <x v="21"/>
    <x v="6"/>
    <s v="C:\Users\andre\Desktop\REACTIV CEFAS\E2\E2/20201116_Cefas_Test6-Run1/Plate 4/@9/G3_02.tif "/>
    <s v=" 5018.1356 "/>
    <s v=" 44.1422 "/>
    <x v="0"/>
    <n v="221512"/>
    <m/>
    <m/>
    <m/>
  </r>
  <r>
    <x v="21"/>
    <x v="6"/>
    <s v="C:\Users\andre\Desktop\REACTIV CEFAS\E2\E2/20201116_Cefas_Test6-Run1/Plate 4/@9/G3_03.tif "/>
    <s v=" 1254.5339 "/>
    <s v=" 31.9828 "/>
    <x v="0"/>
    <n v="40123"/>
    <m/>
    <m/>
    <m/>
  </r>
  <r>
    <x v="21"/>
    <x v="7"/>
    <s v="C:\Users\andre\Desktop\REACTIV CEFAS\E2\E2/20201116_Cefas_Test6-Run1/Plate 4/@9/H3_01.tif "/>
    <s v=" 5710.2922 "/>
    <s v=" 39.9015 "/>
    <x v="0"/>
    <n v="227849"/>
    <m/>
    <m/>
    <m/>
  </r>
  <r>
    <x v="21"/>
    <x v="7"/>
    <s v="C:\Users\andre\Desktop\REACTIV CEFAS\E2\E2/20201116_Cefas_Test6-Run1/Plate 4/@9/H3_02.tif "/>
    <s v=" 7375.7941 "/>
    <s v=" 36.7302 "/>
    <x v="0"/>
    <n v="270914"/>
    <m/>
    <m/>
    <m/>
  </r>
  <r>
    <x v="21"/>
    <x v="7"/>
    <s v="C:\Users\andre\Desktop\REACTIV CEFAS\E2\E2/20201116_Cefas_Test6-Run1/Plate 4/@9/H3_03.tif "/>
    <s v=" 4780.2067 "/>
    <s v=" 38.9955 "/>
    <x v="0"/>
    <n v="186406"/>
    <m/>
    <m/>
    <m/>
  </r>
  <r>
    <x v="1"/>
    <x v="8"/>
    <s v=" "/>
    <m/>
    <m/>
    <x v="1"/>
    <m/>
    <m/>
    <m/>
    <m/>
  </r>
  <r>
    <x v="1"/>
    <x v="8"/>
    <s v="group "/>
    <s v=" "/>
    <s v=" mean of mean fluo "/>
    <x v="2"/>
    <s v=" mean of total fluo "/>
    <s v=" SD total fluo "/>
    <s v=" n fluorescent "/>
    <s v=" n total"/>
  </r>
  <r>
    <x v="21"/>
    <x v="9"/>
    <s v="C:\Users\andre\Desktop\REACTIV CEFAS\E2\E2/20201116_Cefas_Test6-Run1/Plate 4/@9/ "/>
    <s v=" "/>
    <s v=" 32.9517 "/>
    <x v="23"/>
    <s v=" 209059.167 "/>
    <s v=" 169584.673 "/>
    <n v="21"/>
    <n v="24"/>
  </r>
  <r>
    <x v="1"/>
    <x v="8"/>
    <s v=" "/>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0">
  <r>
    <x v="0"/>
    <x v="0"/>
    <s v="C:\Users\andre\Desktop\REACTIV CEFAS\E2\E2/20201117_Cefas_Test6-Run2/Plate 1/@1/A10_01.tif "/>
    <s v=" 43.2598 "/>
    <s v=" 30.5 "/>
    <x v="0"/>
    <n v="1319"/>
    <m/>
    <m/>
    <m/>
  </r>
  <r>
    <x v="0"/>
    <x v="0"/>
    <s v="C:\Users\andre\Desktop\REACTIV CEFAS\E2\E2/20201117_Cefas_Test6-Run2/Plate 1/@1/A10_02.tif "/>
    <s v=" 1319.4236 "/>
    <s v=" 34.2459 "/>
    <x v="0"/>
    <n v="45185"/>
    <m/>
    <m/>
    <m/>
  </r>
  <r>
    <x v="0"/>
    <x v="0"/>
    <s v="C:\Users\andre\Desktop\REACTIV CEFAS\E2\E2/20201117_Cefas_Test6-Run2/Plate 1/@1/A10_03.tif "/>
    <n v="0"/>
    <n v="0"/>
    <x v="0"/>
    <n v="0"/>
    <m/>
    <m/>
    <m/>
  </r>
  <r>
    <x v="0"/>
    <x v="1"/>
    <s v="C:\Users\andre\Desktop\REACTIV CEFAS\E2\E2/20201117_Cefas_Test6-Run2/Plate 1/@1/B10_01.tif "/>
    <s v=" 670.5267 "/>
    <s v=" 33.1935 "/>
    <x v="0"/>
    <n v="22257"/>
    <m/>
    <m/>
    <m/>
  </r>
  <r>
    <x v="0"/>
    <x v="1"/>
    <s v="C:\Users\andre\Desktop\REACTIV CEFAS\E2\E2/20201117_Cefas_Test6-Run2/Plate 1/@1/B10_02.tif "/>
    <n v="0"/>
    <n v="0"/>
    <x v="0"/>
    <n v="0"/>
    <m/>
    <m/>
    <m/>
  </r>
  <r>
    <x v="0"/>
    <x v="1"/>
    <s v="C:\Users\andre\Desktop\REACTIV CEFAS\E2\E2/20201117_Cefas_Test6-Run2/Plate 1/@1/B10_03.tif "/>
    <s v=" 9928.1216 "/>
    <s v=" 42.427 "/>
    <x v="0"/>
    <n v="421221"/>
    <m/>
    <m/>
    <m/>
  </r>
  <r>
    <x v="0"/>
    <x v="2"/>
    <s v="C:\Users\andre\Desktop\REACTIV CEFAS\E2\E2/20201117_Cefas_Test6-Run2/Plate 1/@1/C10_01.tif "/>
    <s v=" 194.6691 "/>
    <s v=" 34.1111 "/>
    <x v="0"/>
    <n v="6640"/>
    <m/>
    <m/>
    <m/>
  </r>
  <r>
    <x v="0"/>
    <x v="2"/>
    <s v="C:\Users\andre\Desktop\REACTIV CEFAS\E2\E2/20201117_Cefas_Test6-Run2/Plate 1/@1/C10_02.tif "/>
    <s v=" 475.8577 "/>
    <s v=" 32.9091 "/>
    <x v="0"/>
    <n v="15660"/>
    <m/>
    <m/>
    <m/>
  </r>
  <r>
    <x v="0"/>
    <x v="2"/>
    <s v="C:\Users\andre\Desktop\REACTIV CEFAS\E2\E2/20201117_Cefas_Test6-Run2/Plate 1/@1/C10_03.tif "/>
    <s v=" 6683.6374 "/>
    <s v=" 38.0906 "/>
    <x v="0"/>
    <n v="254584"/>
    <m/>
    <m/>
    <m/>
  </r>
  <r>
    <x v="0"/>
    <x v="3"/>
    <s v="C:\Users\andre\Desktop\REACTIV CEFAS\E2\E2/20201117_Cefas_Test6-Run2/Plate 1/@1/D10_01.tif "/>
    <s v=" 4672.0572 "/>
    <s v=" 34.7917 "/>
    <x v="0"/>
    <n v="162549"/>
    <m/>
    <m/>
    <m/>
  </r>
  <r>
    <x v="0"/>
    <x v="3"/>
    <s v="C:\Users\andre\Desktop\REACTIV CEFAS\E2\E2/20201117_Cefas_Test6-Run2/Plate 1/@1/D10_02.tif "/>
    <s v=" 4217.8295 "/>
    <s v=" 34.0513 "/>
    <x v="0"/>
    <n v="143623"/>
    <m/>
    <m/>
    <m/>
  </r>
  <r>
    <x v="0"/>
    <x v="3"/>
    <s v="C:\Users\andre\Desktop\REACTIV CEFAS\E2\E2/20201117_Cefas_Test6-Run2/Plate 1/@1/D10_03.tif "/>
    <s v=" 4931.616 "/>
    <s v=" 36.9211 "/>
    <x v="0"/>
    <n v="182080"/>
    <m/>
    <m/>
    <m/>
  </r>
  <r>
    <x v="0"/>
    <x v="4"/>
    <s v="C:\Users\andre\Desktop\REACTIV CEFAS\E2\E2/20201117_Cefas_Test6-Run2/Plate 1/@1/E10_01.tif "/>
    <s v=" 3655.4522 "/>
    <s v=" 39.2959 "/>
    <x v="0"/>
    <n v="143644"/>
    <m/>
    <m/>
    <m/>
  </r>
  <r>
    <x v="0"/>
    <x v="4"/>
    <s v="C:\Users\andre\Desktop\REACTIV CEFAS\E2\E2/20201117_Cefas_Test6-Run2/Plate 1/@1/E10_02.tif "/>
    <s v=" 3677.0821 "/>
    <s v=" 36.8529 "/>
    <x v="0"/>
    <n v="135511"/>
    <m/>
    <m/>
    <m/>
  </r>
  <r>
    <x v="0"/>
    <x v="4"/>
    <s v="C:\Users\andre\Desktop\REACTIV CEFAS\E2\E2/20201117_Cefas_Test6-Run2/Plate 1/@1/E10_03.tif "/>
    <s v=" 2379.2884 "/>
    <s v=" 33.5455 "/>
    <x v="0"/>
    <n v="79814"/>
    <m/>
    <m/>
    <m/>
  </r>
  <r>
    <x v="0"/>
    <x v="5"/>
    <s v="C:\Users\andre\Desktop\REACTIV CEFAS\E2\E2/20201117_Cefas_Test6-Run2/Plate 1/@1/F10_01.tif "/>
    <s v=" 21.6299 "/>
    <n v="30"/>
    <x v="0"/>
    <n v="649"/>
    <m/>
    <m/>
    <m/>
  </r>
  <r>
    <x v="0"/>
    <x v="5"/>
    <s v="C:\Users\andre\Desktop\REACTIV CEFAS\E2\E2/20201117_Cefas_Test6-Run2/Plate 1/@1/F10_02.tif "/>
    <n v="0"/>
    <n v="0"/>
    <x v="0"/>
    <n v="0"/>
    <m/>
    <m/>
    <m/>
  </r>
  <r>
    <x v="0"/>
    <x v="5"/>
    <s v="C:\Users\andre\Desktop\REACTIV CEFAS\E2\E2/20201117_Cefas_Test6-Run2/Plate 1/@1/F10_03.tif "/>
    <s v=" 64.8897 "/>
    <s v=" 30.6667 "/>
    <x v="0"/>
    <n v="1990"/>
    <m/>
    <m/>
    <m/>
  </r>
  <r>
    <x v="0"/>
    <x v="6"/>
    <s v="C:\Users\andre\Desktop\REACTIV CEFAS\E2\E2/20201117_Cefas_Test6-Run2/Plate 1/@1/G10_01.tif "/>
    <s v=" 3655.4522 "/>
    <s v=" 39.5799 "/>
    <x v="0"/>
    <n v="144682"/>
    <m/>
    <m/>
    <m/>
  </r>
  <r>
    <x v="0"/>
    <x v="6"/>
    <s v="C:\Users\andre\Desktop\REACTIV CEFAS\E2\E2/20201117_Cefas_Test6-Run2/Plate 1/@1/G10_02.tif "/>
    <s v=" 7721.8724 "/>
    <s v=" 39.395 "/>
    <x v="0"/>
    <n v="304203"/>
    <m/>
    <m/>
    <m/>
  </r>
  <r>
    <x v="0"/>
    <x v="6"/>
    <s v="C:\Users\andre\Desktop\REACTIV CEFAS\E2\E2/20201117_Cefas_Test6-Run2/Plate 1/@1/G10_03.tif "/>
    <s v=" 6251.0395 "/>
    <s v=" 38.6263 "/>
    <x v="0"/>
    <n v="241455"/>
    <m/>
    <m/>
    <m/>
  </r>
  <r>
    <x v="0"/>
    <x v="7"/>
    <s v="C:\Users\andre\Desktop\REACTIV CEFAS\E2\E2/20201117_Cefas_Test6-Run2/Plate 1/@1/H10_01- exclu.tif"/>
    <m/>
    <m/>
    <x v="1"/>
    <m/>
    <m/>
    <m/>
    <m/>
  </r>
  <r>
    <x v="0"/>
    <x v="7"/>
    <s v="C:\Users\andre\Desktop\REACTIV CEFAS\E2\E2/20201117_Cefas_Test6-Run2/Plate 1/@1/H10_02- exclu.tif"/>
    <m/>
    <m/>
    <x v="1"/>
    <m/>
    <m/>
    <m/>
    <m/>
  </r>
  <r>
    <x v="0"/>
    <x v="7"/>
    <s v="C:\Users\andre\Desktop\REACTIV CEFAS\E2\E2/20201117_Cefas_Test6-Run2/Plate 1/@1/H10_03- exclu.tif"/>
    <m/>
    <m/>
    <x v="1"/>
    <m/>
    <m/>
    <m/>
    <m/>
  </r>
  <r>
    <x v="1"/>
    <x v="8"/>
    <s v=" "/>
    <m/>
    <m/>
    <x v="1"/>
    <m/>
    <m/>
    <m/>
    <m/>
  </r>
  <r>
    <x v="1"/>
    <x v="8"/>
    <s v="group "/>
    <s v=" "/>
    <s v=" mean of mean fluo "/>
    <x v="2"/>
    <s v=" mean of total fluo "/>
    <s v=" SD total fluo "/>
    <s v=" n fluorescent "/>
    <s v=" n total"/>
  </r>
  <r>
    <x v="0"/>
    <x v="9"/>
    <s v="C:\Users\andre\Desktop\REACTIV CEFAS\E2\E2/20201117_Cefas_Test6-Run2/Plate 1/@1/ "/>
    <s v=" "/>
    <s v=" 26.6335 "/>
    <x v="3"/>
    <s v=" 96127.75 "/>
    <s v=" 118071.906 "/>
    <n v="18"/>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
    <x v="0"/>
    <s v="C:\Users\andre\Desktop\REACTIV CEFAS\E2\E2/20201117_Cefas_Test6-Run2/Plate 1/@13/A8_01.tif "/>
    <s v=" 28162.1228 "/>
    <s v=" 35.7427 "/>
    <x v="0"/>
    <n v="1006590"/>
    <m/>
    <m/>
    <m/>
  </r>
  <r>
    <x v="2"/>
    <x v="0"/>
    <s v="C:\Users\andre\Desktop\REACTIV CEFAS\E2\E2/20201117_Cefas_Test6-Run2/Plate 1/@13/A8_02.tif "/>
    <s v=" 31947.3544 "/>
    <s v=" 35.4028 "/>
    <x v="0"/>
    <n v="1131027"/>
    <m/>
    <m/>
    <m/>
  </r>
  <r>
    <x v="2"/>
    <x v="0"/>
    <s v="C:\Users\andre\Desktop\REACTIV CEFAS\E2\E2/20201117_Cefas_Test6-Run2/Plate 1/@13/A8_03.tif "/>
    <s v=" 31752.6853 "/>
    <s v=" 35.6199 "/>
    <x v="0"/>
    <n v="1131027"/>
    <m/>
    <m/>
    <m/>
  </r>
  <r>
    <x v="2"/>
    <x v="1"/>
    <s v="C:\Users\andre\Desktop\REACTIV CEFAS\E2\E2/20201117_Cefas_Test6-Run2/Plate 1/@13/B8_01.tif "/>
    <s v=" 62056.1677 "/>
    <s v=" 40.4333 "/>
    <x v="0"/>
    <n v="2509133"/>
    <m/>
    <m/>
    <m/>
  </r>
  <r>
    <x v="2"/>
    <x v="1"/>
    <s v="C:\Users\andre\Desktop\REACTIV CEFAS\E2\E2/20201117_Cefas_Test6-Run2/Plate 1/@13/B8_02.tif "/>
    <s v=" 71551.6914 "/>
    <s v=" 41.7288 "/>
    <x v="0"/>
    <n v="2985769"/>
    <m/>
    <m/>
    <m/>
  </r>
  <r>
    <x v="2"/>
    <x v="1"/>
    <s v="C:\Users\andre\Desktop\REACTIV CEFAS\E2\E2/20201117_Cefas_Test6-Run2/Plate 1/@13/B8_03.tif "/>
    <s v=" 62640.1748 "/>
    <s v=" 41.0915 "/>
    <x v="0"/>
    <n v="2573979"/>
    <m/>
    <m/>
    <m/>
  </r>
  <r>
    <x v="2"/>
    <x v="2"/>
    <s v="C:\Users\andre\Desktop\REACTIV CEFAS\E2\E2/20201117_Cefas_Test6-Run2/Plate 1/@13/C8_01.tif "/>
    <s v=" 16135.9014 "/>
    <s v=" 34.5965 "/>
    <x v="0"/>
    <n v="558246"/>
    <m/>
    <m/>
    <m/>
  </r>
  <r>
    <x v="2"/>
    <x v="2"/>
    <s v="C:\Users\andre\Desktop\REACTIV CEFAS\E2\E2/20201117_Cefas_Test6-Run2/Plate 1/@13/C8_02.tif "/>
    <s v=" 6986.456 "/>
    <s v=" 32.0836 "/>
    <x v="0"/>
    <n v="224151"/>
    <m/>
    <m/>
    <m/>
  </r>
  <r>
    <x v="2"/>
    <x v="2"/>
    <s v="C:\Users\andre\Desktop\REACTIV CEFAS\E2\E2/20201117_Cefas_Test6-Run2/Plate 1/@13/C8_03.tif "/>
    <s v=" 12610.2286 "/>
    <s v=" 33.8988 "/>
    <x v="0"/>
    <n v="427472"/>
    <m/>
    <m/>
    <m/>
  </r>
  <r>
    <x v="2"/>
    <x v="3"/>
    <s v="C:\Users\andre\Desktop\REACTIV CEFAS\E2\E2/20201117_Cefas_Test6-Run2/Plate 1/@13/D8_01.tif "/>
    <s v=" 30281.8525 "/>
    <s v=" 35.1586 "/>
    <x v="0"/>
    <n v="1064667"/>
    <m/>
    <m/>
    <m/>
  </r>
  <r>
    <x v="2"/>
    <x v="3"/>
    <s v="C:\Users\andre\Desktop\REACTIV CEFAS\E2\E2/20201117_Cefas_Test6-Run2/Plate 1/@13/D8_02.tif "/>
    <s v=" 38717.5114 "/>
    <s v=" 35.8877 "/>
    <x v="0"/>
    <n v="1389483"/>
    <m/>
    <m/>
    <m/>
  </r>
  <r>
    <x v="2"/>
    <x v="3"/>
    <s v="C:\Users\andre\Desktop\REACTIV CEFAS\E2\E2/20201117_Cefas_Test6-Run2/Plate 1/@13/D8_03.tif "/>
    <s v=" 29654.5855 "/>
    <s v=" 34.9555 "/>
    <x v="0"/>
    <n v="1036591"/>
    <m/>
    <m/>
    <m/>
  </r>
  <r>
    <x v="2"/>
    <x v="4"/>
    <s v="C:\Users\andre\Desktop\REACTIV CEFAS\E2\E2/20201117_Cefas_Test6-Run2/Plate 1/@13/E8_01.tif "/>
    <s v=" 46244.7147 "/>
    <s v=" 39.5776 "/>
    <x v="0"/>
    <n v="1830257"/>
    <m/>
    <m/>
    <m/>
  </r>
  <r>
    <x v="2"/>
    <x v="4"/>
    <s v="C:\Users\andre\Desktop\REACTIV CEFAS\E2\E2/20201117_Cefas_Test6-Run2/Plate 1/@13/E8_02.tif "/>
    <s v=" 63829.819 "/>
    <s v=" 43.0661 "/>
    <x v="0"/>
    <n v="2748900"/>
    <m/>
    <m/>
    <m/>
  </r>
  <r>
    <x v="2"/>
    <x v="4"/>
    <s v="C:\Users\andre\Desktop\REACTIV CEFAS\E2\E2/20201117_Cefas_Test6-Run2/Plate 1/@13/E8_03.tif "/>
    <s v=" 63548.6304 "/>
    <s v=" 42.0218 "/>
    <x v="0"/>
    <n v="2670427"/>
    <m/>
    <m/>
    <m/>
  </r>
  <r>
    <x v="2"/>
    <x v="5"/>
    <s v="C:\Users\andre\Desktop\REACTIV CEFAS\E2\E2/20201117_Cefas_Test6-Run2/Plate 1/@13/F8_01.tif "/>
    <s v=" 66187.4776 "/>
    <s v=" 44.6853 "/>
    <x v="0"/>
    <n v="2957607"/>
    <m/>
    <m/>
    <m/>
  </r>
  <r>
    <x v="2"/>
    <x v="5"/>
    <s v="C:\Users\andre\Desktop\REACTIV CEFAS\E2\E2/20201117_Cefas_Test6-Run2/Plate 1/@13/F8_02.tif "/>
    <s v=" 62207.577 "/>
    <s v=" 42.9503 "/>
    <x v="0"/>
    <n v="2671833"/>
    <m/>
    <m/>
    <m/>
  </r>
  <r>
    <x v="2"/>
    <x v="5"/>
    <s v="C:\Users\andre\Desktop\REACTIV CEFAS\E2\E2/20201117_Cefas_Test6-Run2/Plate 1/@13/F8_03.tif "/>
    <s v=" 60001.3277 "/>
    <s v=" 40.8983 "/>
    <x v="0"/>
    <n v="2453955"/>
    <m/>
    <m/>
    <m/>
  </r>
  <r>
    <x v="2"/>
    <x v="6"/>
    <s v="C:\Users\andre\Desktop\REACTIV CEFAS\E2\E2/20201117_Cefas_Test6-Run2/Plate 1/@13/G8_01.tif "/>
    <s v=" 32704.4007 "/>
    <s v=" 36.6806 "/>
    <x v="0"/>
    <n v="1199616"/>
    <m/>
    <m/>
    <m/>
  </r>
  <r>
    <x v="2"/>
    <x v="6"/>
    <s v="C:\Users\andre\Desktop\REACTIV CEFAS\E2\E2/20201117_Cefas_Test6-Run2/Plate 1/@13/G8_02.tif "/>
    <s v=" 40815.6112 "/>
    <s v=" 36.9565 "/>
    <x v="0"/>
    <n v="1508404"/>
    <m/>
    <m/>
    <m/>
  </r>
  <r>
    <x v="2"/>
    <x v="6"/>
    <s v="C:\Users\andre\Desktop\REACTIV CEFAS\E2\E2/20201117_Cefas_Test6-Run2/Plate 1/@13/G8_03.tif "/>
    <s v=" 27578.1157 "/>
    <s v=" 36.28 "/>
    <x v="0"/>
    <n v="1000534"/>
    <m/>
    <m/>
    <m/>
  </r>
  <r>
    <x v="2"/>
    <x v="7"/>
    <s v="C:\Users\andre\Desktop\REACTIV CEFAS\E2\E2/20201117_Cefas_Test6-Run2/Plate 1/@13/H8_01.tif "/>
    <s v=" 4780.2067 "/>
    <s v=" 31.4027 "/>
    <x v="0"/>
    <n v="150111"/>
    <m/>
    <m/>
    <m/>
  </r>
  <r>
    <x v="2"/>
    <x v="7"/>
    <s v="C:\Users\andre\Desktop\REACTIV CEFAS\E2\E2/20201117_Cefas_Test6-Run2/Plate 1/@13/H8_02.tif "/>
    <s v=" 7851.6518 "/>
    <s v=" 32.1763 "/>
    <x v="0"/>
    <n v="252637"/>
    <m/>
    <m/>
    <m/>
  </r>
  <r>
    <x v="2"/>
    <x v="7"/>
    <s v="C:\Users\andre\Desktop\REACTIV CEFAS\E2\E2/20201117_Cefas_Test6-Run2/Plate 1/@13/H8_03.tif "/>
    <s v=" 4607.1676 "/>
    <s v=" 32.3897 "/>
    <x v="0"/>
    <n v="149225"/>
    <m/>
    <m/>
    <m/>
  </r>
  <r>
    <x v="1"/>
    <x v="8"/>
    <s v=" "/>
    <m/>
    <m/>
    <x v="1"/>
    <m/>
    <m/>
    <m/>
    <m/>
  </r>
  <r>
    <x v="1"/>
    <x v="8"/>
    <s v="group "/>
    <s v=" "/>
    <s v=" mean of mean fluo "/>
    <x v="2"/>
    <s v=" mean of total fluo "/>
    <s v=" SD total fluo "/>
    <s v=" n fluorescent "/>
    <s v=" n total"/>
  </r>
  <r>
    <x v="2"/>
    <x v="9"/>
    <s v="C:\Users\andre\Desktop\REACTIV CEFAS\E2\E2/20201117_Cefas_Test6-Run2/Plate 1/@13/ "/>
    <s v=" "/>
    <s v=" 37.3202 "/>
    <x v="4"/>
    <s v=" 1484651.71 "/>
    <s v=" 977127.389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3"/>
    <x v="0"/>
    <s v="C:\Users\andre\Desktop\REACTIV CEFAS\E2\E2/20201117_Cefas_Test6-Run2/Plate 1/@14/A9_01- exclu.tif"/>
    <m/>
    <m/>
    <x v="1"/>
    <m/>
    <m/>
    <m/>
    <m/>
  </r>
  <r>
    <x v="3"/>
    <x v="0"/>
    <s v="C:\Users\andre\Desktop\REACTIV CEFAS\E2\E2/20201117_Cefas_Test6-Run2/Plate 1/@14/A9_02- exclu.tif"/>
    <m/>
    <m/>
    <x v="1"/>
    <m/>
    <m/>
    <m/>
    <m/>
  </r>
  <r>
    <x v="3"/>
    <x v="0"/>
    <s v="C:\Users\andre\Desktop\REACTIV CEFAS\E2\E2/20201117_Cefas_Test6-Run2/Plate 1/@14/A9_03- exclu.tif"/>
    <m/>
    <m/>
    <x v="1"/>
    <m/>
    <m/>
    <m/>
    <m/>
  </r>
  <r>
    <x v="3"/>
    <x v="1"/>
    <s v="C:\Users\andre\Desktop\REACTIV CEFAS\E2\E2/20201117_Cefas_Test6-Run2/Plate 1/@14/B9_01.tif "/>
    <s v=" 65473.691 "/>
    <s v=" 41.8427 "/>
    <x v="0"/>
    <n v="2739599"/>
    <m/>
    <m/>
    <m/>
  </r>
  <r>
    <x v="3"/>
    <x v="1"/>
    <s v="C:\Users\andre\Desktop\REACTIV CEFAS\E2\E2/20201117_Cefas_Test6-Run2/Plate 1/@14/B9_02.tif "/>
    <s v=" 65279.022 "/>
    <s v=" 41.9433 "/>
    <x v="0"/>
    <n v="2738020"/>
    <m/>
    <m/>
    <m/>
  </r>
  <r>
    <x v="3"/>
    <x v="1"/>
    <s v="C:\Users\andre\Desktop\REACTIV CEFAS\E2\E2/20201117_Cefas_Test6-Run2/Plate 1/@14/B9_03.tif "/>
    <s v=" 69799.67 "/>
    <s v=" 42.5931 "/>
    <x v="0"/>
    <n v="2972986"/>
    <m/>
    <m/>
    <m/>
  </r>
  <r>
    <x v="3"/>
    <x v="2"/>
    <s v="C:\Users\andre\Desktop\REACTIV CEFAS\E2\E2/20201117_Cefas_Test6-Run2/Plate 1/@14/C9_01.tif "/>
    <s v=" 44687.3623 "/>
    <s v=" 37.4593 "/>
    <x v="0"/>
    <n v="1673959"/>
    <m/>
    <m/>
    <m/>
  </r>
  <r>
    <x v="3"/>
    <x v="2"/>
    <s v="C:\Users\andre\Desktop\REACTIV CEFAS\E2\E2/20201117_Cefas_Test6-Run2/Plate 1/@14/C9_02.tif "/>
    <s v=" 40253.2339 "/>
    <s v=" 36.3853 "/>
    <x v="0"/>
    <n v="1464625"/>
    <m/>
    <m/>
    <m/>
  </r>
  <r>
    <x v="3"/>
    <x v="2"/>
    <s v="C:\Users\andre\Desktop\REACTIV CEFAS\E2\E2/20201117_Cefas_Test6-Run2/Plate 1/@14/C9_03.tif "/>
    <s v=" 49965.0566 "/>
    <s v=" 38.1784 "/>
    <x v="0"/>
    <n v="1907584"/>
    <m/>
    <m/>
    <m/>
  </r>
  <r>
    <x v="3"/>
    <x v="3"/>
    <s v="C:\Users\andre\Desktop\REACTIV CEFAS\E2\E2/20201117_Cefas_Test6-Run2/Plate 1/@14/D9_01.tif "/>
    <s v=" 65884.659 "/>
    <s v=" 48.4875 "/>
    <x v="0"/>
    <n v="3194584"/>
    <m/>
    <m/>
    <m/>
  </r>
  <r>
    <x v="3"/>
    <x v="3"/>
    <s v="C:\Users\andre\Desktop\REACTIV CEFAS\E2\E2/20201117_Cefas_Test6-Run2/Plate 1/@14/D9_02.tif "/>
    <s v=" 74190.5386 "/>
    <s v=" 44.9469 "/>
    <x v="0"/>
    <n v="3334638"/>
    <m/>
    <m/>
    <m/>
  </r>
  <r>
    <x v="3"/>
    <x v="3"/>
    <s v="C:\Users\andre\Desktop\REACTIV CEFAS\E2\E2/20201117_Cefas_Test6-Run2/Plate 1/@14/D9_03.tif "/>
    <s v=" 70080.8586 "/>
    <s v=" 49.0164 "/>
    <x v="0"/>
    <n v="3435108"/>
    <m/>
    <m/>
    <m/>
  </r>
  <r>
    <x v="3"/>
    <x v="4"/>
    <s v="C:\Users\andre\Desktop\REACTIV CEFAS\E2\E2/20201117_Cefas_Test6-Run2/Plate 1/@14/E9_01.tif "/>
    <s v=" 2271.1389 "/>
    <s v=" 31.8952 "/>
    <x v="0"/>
    <n v="72439"/>
    <m/>
    <m/>
    <m/>
  </r>
  <r>
    <x v="3"/>
    <x v="4"/>
    <s v="C:\Users\andre\Desktop\REACTIV CEFAS\E2\E2/20201117_Cefas_Test6-Run2/Plate 1/@14/E9_02.tif "/>
    <s v=" 6164.52 "/>
    <s v=" 33.786 "/>
    <x v="0"/>
    <n v="208274"/>
    <m/>
    <m/>
    <m/>
  </r>
  <r>
    <x v="3"/>
    <x v="4"/>
    <s v="C:\Users\andre\Desktop\REACTIV CEFAS\E2\E2/20201117_Cefas_Test6-Run2/Plate 1/@14/E9_03.tif "/>
    <s v=" 605.637 "/>
    <s v=" 32.3214 "/>
    <x v="0"/>
    <n v="19575"/>
    <m/>
    <m/>
    <m/>
  </r>
  <r>
    <x v="3"/>
    <x v="5"/>
    <s v="C:\Users\andre\Desktop\REACTIV CEFAS\E2\E2/20201117_Cefas_Test6-Run2/Plate 1/@14/F9_01.tif "/>
    <s v=" 30433.2617 "/>
    <s v=" 34.9666 "/>
    <x v="0"/>
    <n v="1064148"/>
    <m/>
    <m/>
    <m/>
  </r>
  <r>
    <x v="3"/>
    <x v="5"/>
    <s v="C:\Users\andre\Desktop\REACTIV CEFAS\E2\E2/20201117_Cefas_Test6-Run2/Plate 1/@14/F9_02.tif "/>
    <s v=" 23814.514 "/>
    <s v=" 35.3497 "/>
    <x v="0"/>
    <n v="841835"/>
    <m/>
    <m/>
    <m/>
  </r>
  <r>
    <x v="3"/>
    <x v="5"/>
    <s v="C:\Users\andre\Desktop\REACTIV CEFAS\E2\E2/20201117_Cefas_Test6-Run2/Plate 1/@14/F9_03.tif "/>
    <s v=" 23317.0264 "/>
    <s v=" 32.8275 "/>
    <x v="0"/>
    <n v="765439"/>
    <m/>
    <m/>
    <m/>
  </r>
  <r>
    <x v="3"/>
    <x v="6"/>
    <s v="C:\Users\andre\Desktop\REACTIV CEFAS\E2\E2/20201117_Cefas_Test6-Run2/Plate 1/@14/G9_01.tif "/>
    <s v=" 8651.9579 "/>
    <s v=" 33.79 "/>
    <x v="0"/>
    <n v="292350"/>
    <m/>
    <m/>
    <m/>
  </r>
  <r>
    <x v="3"/>
    <x v="6"/>
    <s v="C:\Users\andre\Desktop\REACTIV CEFAS\E2\E2/20201117_Cefas_Test6-Run2/Plate 1/@14/G9_02.tif "/>
    <s v=" 5212.8046 "/>
    <s v=" 32.5726 "/>
    <x v="0"/>
    <n v="169795"/>
    <m/>
    <m/>
    <m/>
  </r>
  <r>
    <x v="3"/>
    <x v="6"/>
    <s v="C:\Users\andre\Desktop\REACTIV CEFAS\E2\E2/20201117_Cefas_Test6-Run2/Plate 1/@14/G9_03.tif "/>
    <s v=" 8673.5877 "/>
    <s v=" 33.9701 "/>
    <x v="0"/>
    <n v="294642"/>
    <m/>
    <m/>
    <m/>
  </r>
  <r>
    <x v="3"/>
    <x v="7"/>
    <s v="C:\Users\andre\Desktop\REACTIV CEFAS\E2\E2/20201117_Cefas_Test6-Run2/Plate 1/@14/H9_01.tif "/>
    <s v=" 20656.5494 "/>
    <s v=" 34.7864 "/>
    <x v="0"/>
    <n v="718567"/>
    <m/>
    <m/>
    <m/>
  </r>
  <r>
    <x v="3"/>
    <x v="7"/>
    <s v="C:\Users\andre\Desktop\REACTIV CEFAS\E2\E2/20201117_Cefas_Test6-Run2/Plate 1/@14/H9_02.tif "/>
    <s v=" 24701.3397 "/>
    <s v=" 35.4475 "/>
    <x v="0"/>
    <n v="875600"/>
    <m/>
    <m/>
    <m/>
  </r>
  <r>
    <x v="3"/>
    <x v="7"/>
    <s v="C:\Users\andre\Desktop\REACTIV CEFAS\E2\E2/20201117_Cefas_Test6-Run2/Plate 1/@14/H9_03.tif "/>
    <s v=" 30022.2937 "/>
    <s v=" 36.286 "/>
    <x v="0"/>
    <n v="1089390"/>
    <m/>
    <m/>
    <m/>
  </r>
  <r>
    <x v="1"/>
    <x v="8"/>
    <s v=" "/>
    <m/>
    <m/>
    <x v="1"/>
    <m/>
    <m/>
    <m/>
    <m/>
  </r>
  <r>
    <x v="1"/>
    <x v="8"/>
    <s v="group "/>
    <s v=" "/>
    <s v=" mean of mean fluo "/>
    <x v="2"/>
    <s v=" mean of total fluo "/>
    <s v=" SD total fluo "/>
    <s v=" n fluorescent "/>
    <s v=" n total"/>
  </r>
  <r>
    <x v="3"/>
    <x v="9"/>
    <s v="C:\Users\andre\Desktop\REACTIV CEFAS\E2\E2/20201117_Cefas_Test6-Run2/Plate 1/@14/ "/>
    <s v=" "/>
    <s v=" 38.0158 "/>
    <x v="5"/>
    <s v=" 1502746.92 "/>
    <s v=" 1134745.19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4"/>
    <x v="0"/>
    <s v="C:\Users\andre\Desktop\REACTIV CEFAS\E2\E2/20201117_Cefas_Test6-Run2/Plate 1/@15/A11_01.tif "/>
    <s v=" 94111.6715 "/>
    <s v=" 50.7378 "/>
    <x v="0"/>
    <n v="4775016"/>
    <m/>
    <m/>
    <m/>
  </r>
  <r>
    <x v="4"/>
    <x v="0"/>
    <s v="C:\Users\andre\Desktop\REACTIV CEFAS\E2\E2/20201117_Cefas_Test6-Run2/Plate 1/@15/A11_02.tif "/>
    <s v=" 88985.3865 "/>
    <s v=" 45.1728 "/>
    <x v="0"/>
    <n v="4019721"/>
    <m/>
    <m/>
    <m/>
  </r>
  <r>
    <x v="4"/>
    <x v="0"/>
    <s v="C:\Users\andre\Desktop\REACTIV CEFAS\E2\E2/20201117_Cefas_Test6-Run2/Plate 1/@15/A11_03.tif "/>
    <s v=" 78776.0762 "/>
    <s v=" 52.0695 "/>
    <x v="0"/>
    <n v="4101828"/>
    <m/>
    <m/>
    <m/>
  </r>
  <r>
    <x v="4"/>
    <x v="1"/>
    <s v="C:\Users\andre\Desktop\REACTIV CEFAS\E2\E2/20201117_Cefas_Test6-Run2/Plate 1/@15/B11_01.tif "/>
    <s v=" 54053.1067 "/>
    <s v=" 44.0656 "/>
    <x v="0"/>
    <n v="2381884"/>
    <m/>
    <m/>
    <m/>
  </r>
  <r>
    <x v="4"/>
    <x v="1"/>
    <s v="C:\Users\andre\Desktop\REACTIV CEFAS\E2\E2/20201117_Cefas_Test6-Run2/Plate 1/@15/B11_02.tif "/>
    <s v=" 52344.345 "/>
    <s v=" 45.3826 "/>
    <x v="0"/>
    <n v="2375525"/>
    <m/>
    <m/>
    <m/>
  </r>
  <r>
    <x v="4"/>
    <x v="1"/>
    <s v="C:\Users\andre\Desktop\REACTIV CEFAS\E2\E2/20201117_Cefas_Test6-Run2/Plate 1/@15/B11_03.tif "/>
    <s v=" 53166.281 "/>
    <s v=" 46.6851 "/>
    <x v="0"/>
    <n v="2482074"/>
    <m/>
    <m/>
    <m/>
  </r>
  <r>
    <x v="4"/>
    <x v="2"/>
    <s v="C:\Users\andre\Desktop\REACTIV CEFAS\E2\E2/20201117_Cefas_Test6-Run2/Plate 1/@15/C11_01.tif "/>
    <s v=" 40296.4937 "/>
    <s v=" 40.2979 "/>
    <x v="0"/>
    <n v="1623864"/>
    <m/>
    <m/>
    <m/>
  </r>
  <r>
    <x v="4"/>
    <x v="2"/>
    <s v="C:\Users\andre\Desktop\REACTIV CEFAS\E2\E2/20201117_Cefas_Test6-Run2/Plate 1/@15/C11_02- exclu.tif"/>
    <m/>
    <m/>
    <x v="1"/>
    <m/>
    <m/>
    <m/>
    <m/>
  </r>
  <r>
    <x v="4"/>
    <x v="2"/>
    <s v="C:\Users\andre\Desktop\REACTIV CEFAS\E2\E2/20201117_Cefas_Test6-Run2/Plate 1/@15/C11_03- exclu.tif"/>
    <m/>
    <m/>
    <x v="1"/>
    <m/>
    <m/>
    <m/>
    <m/>
  </r>
  <r>
    <x v="4"/>
    <x v="3"/>
    <s v="C:\Users\andre\Desktop\REACTIV CEFAS\E2\E2/20201117_Cefas_Test6-Run2/Plate 1/@15/D11_01.tif "/>
    <s v=" 57470.63 "/>
    <s v=" 50.9364 "/>
    <x v="0"/>
    <n v="2927347"/>
    <m/>
    <m/>
    <m/>
  </r>
  <r>
    <x v="4"/>
    <x v="3"/>
    <s v="C:\Users\andre\Desktop\REACTIV CEFAS\E2\E2/20201117_Cefas_Test6-Run2/Plate 1/@15/D11_02.tif "/>
    <s v=" 54226.1458 "/>
    <s v=" 44.3797 "/>
    <x v="0"/>
    <n v="2406542"/>
    <m/>
    <m/>
    <m/>
  </r>
  <r>
    <x v="4"/>
    <x v="3"/>
    <s v="C:\Users\andre\Desktop\REACTIV CEFAS\E2\E2/20201117_Cefas_Test6-Run2/Plate 1/@15/D11_03.tif "/>
    <s v=" 62878.1037 "/>
    <s v=" 44.0791 "/>
    <x v="0"/>
    <n v="2771611"/>
    <m/>
    <m/>
    <m/>
  </r>
  <r>
    <x v="4"/>
    <x v="4"/>
    <s v="C:\Users\andre\Desktop\REACTIV CEFAS\E2\E2/20201117_Cefas_Test6-Run2/Plate 1/@15/E11_01.tif "/>
    <s v=" 93852.1128 "/>
    <s v=" 56.575 "/>
    <x v="0"/>
    <n v="5309685"/>
    <m/>
    <m/>
    <m/>
  </r>
  <r>
    <x v="4"/>
    <x v="4"/>
    <s v="C:\Users\andre\Desktop\REACTIV CEFAS\E2\E2/20201117_Cefas_Test6-Run2/Plate 1/@15/E11_02.tif "/>
    <s v=" 98848.6185 "/>
    <s v=" 53.0672 "/>
    <x v="0"/>
    <n v="5245617"/>
    <m/>
    <m/>
    <m/>
  </r>
  <r>
    <x v="4"/>
    <x v="4"/>
    <s v="C:\Users\andre\Desktop\REACTIV CEFAS\E2\E2/20201117_Cefas_Test6-Run2/Plate 1/@15/E11_03.tif "/>
    <s v=" 100362.711 "/>
    <s v=" 56.5625 "/>
    <x v="0"/>
    <n v="5676766"/>
    <m/>
    <m/>
    <m/>
  </r>
  <r>
    <x v="4"/>
    <x v="5"/>
    <s v="C:\Users\andre\Desktop\REACTIV CEFAS\E2\E2/20201117_Cefas_Test6-Run2/Plate 1/@15/F11_01.tif "/>
    <s v=" 79727.7916 "/>
    <s v=" 53.1039 "/>
    <x v="0"/>
    <n v="4233857"/>
    <m/>
    <m/>
    <m/>
  </r>
  <r>
    <x v="4"/>
    <x v="5"/>
    <s v="C:\Users\andre\Desktop\REACTIV CEFAS\E2\E2/20201117_Cefas_Test6-Run2/Plate 1/@15/F11_02.tif "/>
    <s v=" 81047.2152 "/>
    <s v=" 55.6864 "/>
    <x v="0"/>
    <n v="4513229"/>
    <m/>
    <m/>
    <m/>
  </r>
  <r>
    <x v="4"/>
    <x v="5"/>
    <s v="C:\Users\andre\Desktop\REACTIV CEFAS\E2\E2/20201117_Cefas_Test6-Run2/Plate 1/@15/F11_03.tif "/>
    <s v=" 84443.1086 "/>
    <s v=" 48.3135 "/>
    <x v="0"/>
    <n v="4079744"/>
    <m/>
    <m/>
    <m/>
  </r>
  <r>
    <x v="4"/>
    <x v="6"/>
    <s v="C:\Users\andre\Desktop\REACTIV CEFAS\E2\E2/20201117_Cefas_Test6-Run2/Plate 1/@15/G11_01.tif "/>
    <s v=" 82042.1903 "/>
    <s v=" 41.1819 "/>
    <x v="0"/>
    <n v="3378654"/>
    <m/>
    <m/>
    <m/>
  </r>
  <r>
    <x v="4"/>
    <x v="6"/>
    <s v="C:\Users\andre\Desktop\REACTIV CEFAS\E2\E2/20201117_Cefas_Test6-Run2/Plate 1/@15/G11_02.tif "/>
    <s v=" 82799.2366 "/>
    <s v=" 43.7244 "/>
    <x v="0"/>
    <n v="3620347"/>
    <m/>
    <m/>
    <m/>
  </r>
  <r>
    <x v="4"/>
    <x v="6"/>
    <s v="C:\Users\andre\Desktop\REACTIV CEFAS\E2\E2/20201117_Cefas_Test6-Run2/Plate 1/@15/G11_03.tif "/>
    <s v=" 66338.8868 "/>
    <s v=" 43.0619 "/>
    <x v="0"/>
    <n v="2856682"/>
    <m/>
    <m/>
    <m/>
  </r>
  <r>
    <x v="4"/>
    <x v="7"/>
    <s v="C:\Users\andre\Desktop\REACTIV CEFAS\E2\E2/20201117_Cefas_Test6-Run2/Plate 1/@15/H11_01.tif "/>
    <s v=" 75034.1045 "/>
    <s v=" 49.8818 "/>
    <x v="0"/>
    <n v="3742837"/>
    <m/>
    <m/>
    <m/>
  </r>
  <r>
    <x v="4"/>
    <x v="7"/>
    <s v="C:\Users\andre\Desktop\REACTIV CEFAS\E2\E2/20201117_Cefas_Test6-Run2/Plate 1/@15/H11_02.tif "/>
    <s v=" 82388.2686 "/>
    <s v=" 49.4214 "/>
    <x v="0"/>
    <n v="4071741"/>
    <m/>
    <m/>
    <m/>
  </r>
  <r>
    <x v="4"/>
    <x v="7"/>
    <s v="C:\Users\andre\Desktop\REACTIV CEFAS\E2\E2/20201117_Cefas_Test6-Run2/Plate 1/@15/H11_03.tif "/>
    <s v=" 72611.5563 "/>
    <s v=" 48.3324 "/>
    <x v="0"/>
    <n v="3509494"/>
    <m/>
    <m/>
    <m/>
  </r>
  <r>
    <x v="1"/>
    <x v="8"/>
    <s v=" "/>
    <m/>
    <m/>
    <x v="1"/>
    <m/>
    <m/>
    <m/>
    <m/>
  </r>
  <r>
    <x v="1"/>
    <x v="8"/>
    <s v="group "/>
    <s v=" "/>
    <s v=" mean of mean fluo "/>
    <x v="2"/>
    <s v=" mean of total fluo "/>
    <s v=" SD total fluo "/>
    <s v=" n fluorescent "/>
    <s v=" n total"/>
  </r>
  <r>
    <x v="4"/>
    <x v="9"/>
    <s v="C:\Users\andre\Desktop\REACTIV CEFAS\E2\E2/20201117_Cefas_Test6-Run2/Plate 1/@15/ "/>
    <s v=" "/>
    <s v=" 47.5661 "/>
    <x v="6"/>
    <s v=" 3492183.46 "/>
    <s v=" 1155670.21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5"/>
    <x v="0"/>
    <s v="C:\Users\andre\Desktop\REACTIV CEFAS\E2\E2/20201117_Cefas_Test6-Run2/Plate 1/@16/A12_01.tif "/>
    <s v=" 129.7794 "/>
    <s v=" 31.6667 "/>
    <x v="0"/>
    <n v="4110"/>
    <m/>
    <m/>
    <m/>
  </r>
  <r>
    <x v="5"/>
    <x v="0"/>
    <s v="C:\Users\andre\Desktop\REACTIV CEFAS\E2\E2/20201117_Cefas_Test6-Run2/Plate 1/@16/A12_02.tif "/>
    <s v=" 8954.7764 "/>
    <s v=" 38.5652 "/>
    <x v="0"/>
    <n v="345343"/>
    <m/>
    <m/>
    <m/>
  </r>
  <r>
    <x v="5"/>
    <x v="0"/>
    <s v="C:\Users\andre\Desktop\REACTIV CEFAS\E2\E2/20201117_Cefas_Test6-Run2/Plate 1/@16/A12_03.tif "/>
    <s v=" 7310.9044 "/>
    <s v=" 35.8609 "/>
    <x v="0"/>
    <n v="262176"/>
    <m/>
    <m/>
    <m/>
  </r>
  <r>
    <x v="5"/>
    <x v="1"/>
    <s v="C:\Users\andre\Desktop\REACTIV CEFAS\E2\E2/20201117_Cefas_Test6-Run2/Plate 1/@16/B12_01.tif "/>
    <s v=" 1881.8008 "/>
    <s v=" 36.1839 "/>
    <x v="0"/>
    <n v="68091"/>
    <m/>
    <m/>
    <m/>
  </r>
  <r>
    <x v="5"/>
    <x v="1"/>
    <s v="C:\Users\andre\Desktop\REACTIV CEFAS\E2\E2/20201117_Cefas_Test6-Run2/Plate 1/@16/B12_02.tif "/>
    <s v=" 5731.9221 "/>
    <s v=" 42.9057 "/>
    <x v="0"/>
    <n v="245932"/>
    <m/>
    <m/>
    <m/>
  </r>
  <r>
    <x v="5"/>
    <x v="1"/>
    <s v="C:\Users\andre\Desktop\REACTIV CEFAS\E2\E2/20201117_Cefas_Test6-Run2/Plate 1/@16/B12_03.tif "/>
    <s v=" 8889.8867 "/>
    <s v=" 46.292 "/>
    <x v="0"/>
    <n v="411530"/>
    <m/>
    <m/>
    <m/>
  </r>
  <r>
    <x v="5"/>
    <x v="2"/>
    <s v="C:\Users\andre\Desktop\REACTIV CEFAS\E2\E2/20201117_Cefas_Test6-Run2/Plate 1/@16/C12_01.tif "/>
    <s v=" 1427.573 "/>
    <s v=" 33.0758 "/>
    <x v="0"/>
    <n v="47218"/>
    <m/>
    <m/>
    <m/>
  </r>
  <r>
    <x v="5"/>
    <x v="2"/>
    <s v="C:\Users\andre\Desktop\REACTIV CEFAS\E2\E2/20201117_Cefas_Test6-Run2/Plate 1/@16/C12_02.tif "/>
    <s v=" 9214.3351 "/>
    <s v=" 39.6596 "/>
    <x v="0"/>
    <n v="365437"/>
    <m/>
    <m/>
    <m/>
  </r>
  <r>
    <x v="5"/>
    <x v="2"/>
    <s v="C:\Users\andre\Desktop\REACTIV CEFAS\E2\E2/20201117_Cefas_Test6-Run2/Plate 1/@16/C12_03.tif "/>
    <s v=" 6445.7086 "/>
    <s v=" 38.0839 "/>
    <x v="0"/>
    <n v="245478"/>
    <m/>
    <m/>
    <m/>
  </r>
  <r>
    <x v="5"/>
    <x v="3"/>
    <s v="C:\Users\andre\Desktop\REACTIV CEFAS\E2\E2/20201117_Cefas_Test6-Run2/Plate 1/@16/D12_01.tif "/>
    <s v=" 367.7082 "/>
    <s v=" 31.3529 "/>
    <x v="0"/>
    <n v="11529"/>
    <m/>
    <m/>
    <m/>
  </r>
  <r>
    <x v="5"/>
    <x v="3"/>
    <s v="C:\Users\andre\Desktop\REACTIV CEFAS\E2\E2/20201117_Cefas_Test6-Run2/Plate 1/@16/D12_02.tif "/>
    <s v=" 259.5587 "/>
    <s v=" 31.5 "/>
    <x v="0"/>
    <n v="8176"/>
    <m/>
    <m/>
    <m/>
  </r>
  <r>
    <x v="5"/>
    <x v="3"/>
    <s v="C:\Users\andre\Desktop\REACTIV CEFAS\E2\E2/20201117_Cefas_Test6-Run2/Plate 1/@16/D12_03.tif "/>
    <s v=" 1773.6514 "/>
    <s v=" 33.4512 "/>
    <x v="0"/>
    <n v="59331"/>
    <m/>
    <m/>
    <m/>
  </r>
  <r>
    <x v="5"/>
    <x v="4"/>
    <s v="C:\Users\andre\Desktop\REACTIV CEFAS\E2\E2/20201117_Cefas_Test6-Run2/Plate 1/@16/E12_01.tif "/>
    <s v=" 21.6299 "/>
    <n v="30"/>
    <x v="0"/>
    <n v="649"/>
    <m/>
    <m/>
    <m/>
  </r>
  <r>
    <x v="5"/>
    <x v="4"/>
    <s v="C:\Users\andre\Desktop\REACTIV CEFAS\E2\E2/20201117_Cefas_Test6-Run2/Plate 1/@16/E12_02.tif "/>
    <n v="0"/>
    <n v="0"/>
    <x v="0"/>
    <n v="0"/>
    <m/>
    <m/>
    <m/>
  </r>
  <r>
    <x v="5"/>
    <x v="4"/>
    <s v="C:\Users\andre\Desktop\REACTIV CEFAS\E2\E2/20201117_Cefas_Test6-Run2/Plate 1/@16/E12_03.tif "/>
    <s v=" 3504.0429 "/>
    <s v=" 37.642 "/>
    <x v="0"/>
    <n v="131899"/>
    <m/>
    <m/>
    <m/>
  </r>
  <r>
    <x v="5"/>
    <x v="5"/>
    <s v="C:\Users\andre\Desktop\REACTIV CEFAS\E2\E2/20201117_Cefas_Test6-Run2/Plate 1/@16/F12_01.tif "/>
    <s v=" 10490.4989 "/>
    <s v=" 39.0536 "/>
    <x v="0"/>
    <n v="409692"/>
    <m/>
    <m/>
    <m/>
  </r>
  <r>
    <x v="5"/>
    <x v="5"/>
    <s v="C:\Users\andre\Desktop\REACTIV CEFAS\E2\E2/20201117_Cefas_Test6-Run2/Plate 1/@16/F12_02.tif "/>
    <s v=" 6705.2673 "/>
    <s v=" 39.1 "/>
    <x v="0"/>
    <n v="262176"/>
    <m/>
    <m/>
    <m/>
  </r>
  <r>
    <x v="5"/>
    <x v="5"/>
    <s v="C:\Users\andre\Desktop\REACTIV CEFAS\E2\E2/20201117_Cefas_Test6-Run2/Plate 1/@16/F12_03.tif "/>
    <s v=" 8154.4703 "/>
    <s v=" 38.1459 "/>
    <x v="0"/>
    <n v="311060"/>
    <m/>
    <m/>
    <m/>
  </r>
  <r>
    <x v="5"/>
    <x v="6"/>
    <s v="C:\Users\andre\Desktop\REACTIV CEFAS\E2\E2/20201117_Cefas_Test6-Run2/Plate 1/@16/G12_01.tif "/>
    <s v=" 5256.0644 "/>
    <s v=" 37.0412 "/>
    <x v="0"/>
    <n v="194691"/>
    <m/>
    <m/>
    <m/>
  </r>
  <r>
    <x v="5"/>
    <x v="6"/>
    <s v="C:\Users\andre\Desktop\REACTIV CEFAS\E2\E2/20201117_Cefas_Test6-Run2/Plate 1/@16/G12_02.tif "/>
    <s v=" 4390.8686 "/>
    <s v=" 35.069 "/>
    <x v="0"/>
    <n v="153983"/>
    <m/>
    <m/>
    <m/>
  </r>
  <r>
    <x v="5"/>
    <x v="6"/>
    <s v="C:\Users\andre\Desktop\REACTIV CEFAS\E2\E2/20201117_Cefas_Test6-Run2/Plate 1/@16/G12_03.tif "/>
    <s v=" 2033.2101 "/>
    <s v=" 33.4574 "/>
    <x v="0"/>
    <n v="68026"/>
    <m/>
    <m/>
    <m/>
  </r>
  <r>
    <x v="5"/>
    <x v="7"/>
    <s v="C:\Users\andre\Desktop\REACTIV CEFAS\E2\E2/20201117_Cefas_Test6-Run2/Plate 1/@16/H12_01.tif "/>
    <s v=" 6294.2993 "/>
    <s v=" 36.4536 "/>
    <x v="0"/>
    <n v="229450"/>
    <m/>
    <m/>
    <m/>
  </r>
  <r>
    <x v="5"/>
    <x v="7"/>
    <s v="C:\Users\andre\Desktop\REACTIV CEFAS\E2\E2/20201117_Cefas_Test6-Run2/Plate 1/@16/H12_02.tif "/>
    <s v=" 3071.445 "/>
    <s v=" 36.831 "/>
    <x v="0"/>
    <n v="113124"/>
    <m/>
    <m/>
    <m/>
  </r>
  <r>
    <x v="5"/>
    <x v="7"/>
    <s v="C:\Users\andre\Desktop\REACTIV CEFAS\E2\E2/20201117_Cefas_Test6-Run2/Plate 1/@16/H12_03.tif "/>
    <s v=" 4390.8686 "/>
    <s v=" 36.9754 "/>
    <x v="0"/>
    <n v="162354"/>
    <m/>
    <m/>
    <m/>
  </r>
  <r>
    <x v="1"/>
    <x v="8"/>
    <s v=" "/>
    <m/>
    <m/>
    <x v="1"/>
    <m/>
    <m/>
    <m/>
    <m/>
  </r>
  <r>
    <x v="1"/>
    <x v="8"/>
    <s v="group "/>
    <s v=" "/>
    <s v=" mean of mean fluo "/>
    <x v="2"/>
    <s v=" mean of total fluo "/>
    <s v=" SD total fluo "/>
    <s v=" n fluorescent "/>
    <s v=" n total"/>
  </r>
  <r>
    <x v="5"/>
    <x v="9"/>
    <s v="C:\Users\andre\Desktop\REACTIV CEFAS\E2\E2/20201117_Cefas_Test6-Run2/Plate 1/@16/ "/>
    <s v=" "/>
    <s v=" 34.932 "/>
    <x v="7"/>
    <s v=" 171310.625 "/>
    <s v=" 136205.397 "/>
    <n v="23"/>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6"/>
    <x v="0"/>
    <s v="C:\Users\andre\Desktop\REACTIV CEFAS\E2\E2/20201117_Cefas_Test6-Run2/Plate 1/@2/A2_01- exclu.tif"/>
    <m/>
    <m/>
    <x v="1"/>
    <m/>
    <m/>
    <m/>
    <m/>
  </r>
  <r>
    <x v="6"/>
    <x v="0"/>
    <s v="C:\Users\andre\Desktop\REACTIV CEFAS\E2\E2/20201117_Cefas_Test6-Run2/Plate 1/@2/A2_02- exclu.tif"/>
    <m/>
    <m/>
    <x v="1"/>
    <m/>
    <m/>
    <m/>
    <m/>
  </r>
  <r>
    <x v="6"/>
    <x v="0"/>
    <s v="C:\Users\andre\Desktop\REACTIV CEFAS\E2\E2/20201117_Cefas_Test6-Run2/Plate 1/@2/A2_03- exclu.tif"/>
    <m/>
    <m/>
    <x v="1"/>
    <m/>
    <m/>
    <m/>
    <m/>
  </r>
  <r>
    <x v="6"/>
    <x v="1"/>
    <s v="C:\Users\andre\Desktop\REACTIV CEFAS\E2\E2/20201117_Cefas_Test6-Run2/Plate 1/@2/B2_01.tif "/>
    <s v=" 4369.2387 "/>
    <s v=" 40.5248 "/>
    <x v="0"/>
    <n v="177062"/>
    <m/>
    <m/>
    <m/>
  </r>
  <r>
    <x v="6"/>
    <x v="1"/>
    <s v="C:\Users\andre\Desktop\REACTIV CEFAS\E2\E2/20201117_Cefas_Test6-Run2/Plate 1/@2/B2_02.tif "/>
    <s v=" 3460.7831 "/>
    <s v=" 34.8188 "/>
    <x v="0"/>
    <n v="120500"/>
    <m/>
    <m/>
    <m/>
  </r>
  <r>
    <x v="6"/>
    <x v="1"/>
    <s v="C:\Users\andre\Desktop\REACTIV CEFAS\E2\E2/20201117_Cefas_Test6-Run2/Plate 1/@2/B2_03.tif "/>
    <s v=" 3157.9646 "/>
    <s v=" 36.2877 "/>
    <x v="0"/>
    <n v="114595"/>
    <m/>
    <m/>
    <m/>
  </r>
  <r>
    <x v="6"/>
    <x v="2"/>
    <s v="C:\Users\andre\Desktop\REACTIV CEFAS\E2\E2/20201117_Cefas_Test6-Run2/Plate 1/@2/C2_01.tif "/>
    <s v=" 8716.8475 "/>
    <s v=" 40.3474 "/>
    <x v="0"/>
    <n v="351702"/>
    <m/>
    <m/>
    <m/>
  </r>
  <r>
    <x v="6"/>
    <x v="2"/>
    <s v="C:\Users\andre\Desktop\REACTIV CEFAS\E2\E2/20201117_Cefas_Test6-Run2/Plate 1/@2/C2_02.tif "/>
    <s v=" 3136.3347 "/>
    <s v=" 32.3793 "/>
    <x v="0"/>
    <n v="101552"/>
    <m/>
    <m/>
    <m/>
  </r>
  <r>
    <x v="6"/>
    <x v="2"/>
    <s v="C:\Users\andre\Desktop\REACTIV CEFAS\E2\E2/20201117_Cefas_Test6-Run2/Plate 1/@2/C2_03.tif "/>
    <s v=" 5104.6551 "/>
    <s v=" 36.1017 "/>
    <x v="0"/>
    <n v="184287"/>
    <m/>
    <m/>
    <m/>
  </r>
  <r>
    <x v="6"/>
    <x v="3"/>
    <s v="C:\Users\andre\Desktop\REACTIV CEFAS\E2\E2/20201117_Cefas_Test6-Run2/Plate 1/@2/D2_01.tif "/>
    <s v=" 7700.2425 "/>
    <s v=" 37.1292 "/>
    <x v="0"/>
    <n v="285904"/>
    <m/>
    <m/>
    <m/>
  </r>
  <r>
    <x v="6"/>
    <x v="3"/>
    <s v="C:\Users\andre\Desktop\REACTIV CEFAS\E2\E2/20201117_Cefas_Test6-Run2/Plate 1/@2/D2_02.tif "/>
    <s v=" 6078.0004 "/>
    <s v=" 37.2527 "/>
    <x v="0"/>
    <n v="226422"/>
    <m/>
    <m/>
    <m/>
  </r>
  <r>
    <x v="6"/>
    <x v="3"/>
    <s v="C:\Users\andre\Desktop\REACTIV CEFAS\E2\E2/20201117_Cefas_Test6-Run2/Plate 1/@2/D2_03.tif "/>
    <s v=" 1124.7545 "/>
    <s v=" 33.0192 "/>
    <x v="0"/>
    <n v="37139"/>
    <m/>
    <m/>
    <m/>
  </r>
  <r>
    <x v="6"/>
    <x v="4"/>
    <s v="C:\Users\andre\Desktop\REACTIV CEFAS\E2\E2/20201117_Cefas_Test6-Run2/Plate 1/@2/E2_01.tif "/>
    <s v=" 14470.3995 "/>
    <s v=" 41.7175 "/>
    <x v="0"/>
    <n v="603669"/>
    <m/>
    <m/>
    <m/>
  </r>
  <r>
    <x v="6"/>
    <x v="4"/>
    <s v="C:\Users\andre\Desktop\REACTIV CEFAS\E2\E2/20201117_Cefas_Test6-Run2/Plate 1/@2/E2_02.tif "/>
    <s v=" 216.2989 "/>
    <s v=" 33.6 "/>
    <x v="0"/>
    <n v="7268"/>
    <m/>
    <m/>
    <m/>
  </r>
  <r>
    <x v="6"/>
    <x v="4"/>
    <s v="C:\Users\andre\Desktop\REACTIV CEFAS\E2\E2/20201117_Cefas_Test6-Run2/Plate 1/@2/E2_03- exclu.tif"/>
    <m/>
    <m/>
    <x v="1"/>
    <m/>
    <m/>
    <m/>
    <m/>
  </r>
  <r>
    <x v="6"/>
    <x v="5"/>
    <s v="C:\Users\andre\Desktop\REACTIV CEFAS\E2\E2/20201117_Cefas_Test6-Run2/Plate 1/@2/F2_01.tif "/>
    <n v="0"/>
    <n v="0"/>
    <x v="0"/>
    <n v="0"/>
    <m/>
    <m/>
    <m/>
  </r>
  <r>
    <x v="6"/>
    <x v="5"/>
    <s v="C:\Users\andre\Desktop\REACTIV CEFAS\E2\E2/20201117_Cefas_Test6-Run2/Plate 1/@2/F2_02- exclu.tif"/>
    <m/>
    <m/>
    <x v="1"/>
    <m/>
    <m/>
    <m/>
    <m/>
  </r>
  <r>
    <x v="6"/>
    <x v="5"/>
    <s v="C:\Users\andre\Desktop\REACTIV CEFAS\E2\E2/20201117_Cefas_Test6-Run2/Plate 1/@2/F2_03- exclu.tif"/>
    <m/>
    <m/>
    <x v="1"/>
    <m/>
    <m/>
    <m/>
    <m/>
  </r>
  <r>
    <x v="6"/>
    <x v="6"/>
    <s v="C:\Users\andre\Desktop\REACTIV CEFAS\E2\E2/20201117_Cefas_Test6-Run2/Plate 1/@2/G2_01- exclu.tif"/>
    <m/>
    <m/>
    <x v="1"/>
    <m/>
    <m/>
    <m/>
    <m/>
  </r>
  <r>
    <x v="6"/>
    <x v="6"/>
    <s v="C:\Users\andre\Desktop\REACTIV CEFAS\E2\E2/20201117_Cefas_Test6-Run2/Plate 1/@2/G2_02.tif "/>
    <s v=" 3417.5234 "/>
    <s v=" 36.6456 "/>
    <x v="0"/>
    <n v="125237"/>
    <m/>
    <m/>
    <m/>
  </r>
  <r>
    <x v="6"/>
    <x v="6"/>
    <s v="C:\Users\andre\Desktop\REACTIV CEFAS\E2\E2/20201117_Cefas_Test6-Run2/Plate 1/@2/G2_03.tif "/>
    <n v="0"/>
    <n v="0"/>
    <x v="0"/>
    <n v="0"/>
    <m/>
    <m/>
    <m/>
  </r>
  <r>
    <x v="6"/>
    <x v="7"/>
    <s v="C:\Users\andre\Desktop\REACTIV CEFAS\E2\E2/20201117_Cefas_Test6-Run2/Plate 1/@2/H2_01.tif "/>
    <s v=" 4088.0501 "/>
    <s v=" 36.1429 "/>
    <x v="0"/>
    <n v="147754"/>
    <m/>
    <m/>
    <m/>
  </r>
  <r>
    <x v="6"/>
    <x v="7"/>
    <s v="C:\Users\andre\Desktop\REACTIV CEFAS\E2\E2/20201117_Cefas_Test6-Run2/Plate 1/@2/H2_02.tif "/>
    <s v=" 3871.7511 "/>
    <s v=" 37.6983 "/>
    <x v="0"/>
    <n v="145959"/>
    <m/>
    <m/>
    <m/>
  </r>
  <r>
    <x v="6"/>
    <x v="7"/>
    <s v="C:\Users\andre\Desktop\REACTIV CEFAS\E2\E2/20201117_Cefas_Test6-Run2/Plate 1/@2/H2_03.tif "/>
    <s v=" 3763.6017 "/>
    <s v=" 35.7471 "/>
    <x v="0"/>
    <n v="134538"/>
    <m/>
    <m/>
    <m/>
  </r>
  <r>
    <x v="1"/>
    <x v="8"/>
    <s v=" "/>
    <m/>
    <m/>
    <x v="1"/>
    <m/>
    <m/>
    <m/>
    <m/>
  </r>
  <r>
    <x v="1"/>
    <x v="8"/>
    <s v="group "/>
    <s v=" "/>
    <s v=" mean of mean fluo "/>
    <x v="2"/>
    <s v=" mean of total fluo "/>
    <s v=" SD total fluo "/>
    <s v=" n fluorescent "/>
    <s v=" n total"/>
  </r>
  <r>
    <x v="6"/>
    <x v="9"/>
    <s v="C:\Users\andre\Desktop\REACTIV CEFAS\E2\E2/20201117_Cefas_Test6-Run2/Plate 1/@2/ "/>
    <s v=" "/>
    <s v=" 33.5932 "/>
    <x v="8"/>
    <s v=" 219280.333 "/>
    <s v=" 257252.564 "/>
    <n v="21"/>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7"/>
    <x v="0"/>
    <s v="C:\Users\andre\Desktop\REACTIV CEFAS\E2\E2/20201117_Cefas_Test6-Run2/Plate 1/@3/A3_01.tif "/>
    <s v=" 6813.4168 "/>
    <s v=" 39.5619 "/>
    <x v="0"/>
    <n v="269552"/>
    <m/>
    <m/>
    <m/>
  </r>
  <r>
    <x v="7"/>
    <x v="0"/>
    <s v="C:\Users\andre\Desktop\REACTIV CEFAS\E2\E2/20201117_Cefas_Test6-Run2/Plate 1/@3/A3_02.tif "/>
    <s v=" 692.1566 "/>
    <s v=" 32.7812 "/>
    <x v="0"/>
    <n v="22690"/>
    <m/>
    <m/>
    <m/>
  </r>
  <r>
    <x v="7"/>
    <x v="0"/>
    <s v="C:\Users\andre\Desktop\REACTIV CEFAS\E2\E2/20201117_Cefas_Test6-Run2/Plate 1/@3/A3_03.tif "/>
    <s v=" 605.637 "/>
    <s v=" 32.3214 "/>
    <x v="0"/>
    <n v="19575"/>
    <m/>
    <m/>
    <m/>
  </r>
  <r>
    <x v="7"/>
    <x v="1"/>
    <s v="C:\Users\andre\Desktop\REACTIV CEFAS\E2\E2/20201117_Cefas_Test6-Run2/Plate 1/@3/B3_01.tif "/>
    <s v=" 1038.2349 "/>
    <s v=" 34.4167 "/>
    <x v="0"/>
    <n v="35733"/>
    <m/>
    <m/>
    <m/>
  </r>
  <r>
    <x v="7"/>
    <x v="1"/>
    <s v="C:\Users\andre\Desktop\REACTIV CEFAS\E2\E2/20201117_Cefas_Test6-Run2/Plate 1/@3/B3_02.tif "/>
    <s v=" 605.637 "/>
    <s v=" 33.25 "/>
    <x v="0"/>
    <n v="20137"/>
    <m/>
    <m/>
    <m/>
  </r>
  <r>
    <x v="7"/>
    <x v="1"/>
    <s v="C:\Users\andre\Desktop\REACTIV CEFAS\E2\E2/20201117_Cefas_Test6-Run2/Plate 1/@3/B3_03- exclu.tif"/>
    <m/>
    <m/>
    <x v="1"/>
    <m/>
    <m/>
    <m/>
    <m/>
  </r>
  <r>
    <x v="7"/>
    <x v="2"/>
    <s v="C:\Users\andre\Desktop\REACTIV CEFAS\E2\E2/20201117_Cefas_Test6-Run2/Plate 1/@3/C3_01.tif "/>
    <s v=" 6121.2602 "/>
    <s v=" 38.0813 "/>
    <x v="0"/>
    <n v="233105"/>
    <m/>
    <m/>
    <m/>
  </r>
  <r>
    <x v="7"/>
    <x v="2"/>
    <s v="C:\Users\andre\Desktop\REACTIV CEFAS\E2\E2/20201117_Cefas_Test6-Run2/Plate 1/@3/C3_02- exclu.tif"/>
    <m/>
    <m/>
    <x v="1"/>
    <m/>
    <m/>
    <m/>
    <m/>
  </r>
  <r>
    <x v="7"/>
    <x v="2"/>
    <s v="C:\Users\andre\Desktop\REACTIV CEFAS\E2\E2/20201117_Cefas_Test6-Run2/Plate 1/@3/C3_03- exclu.tif"/>
    <m/>
    <m/>
    <x v="1"/>
    <m/>
    <m/>
    <m/>
    <m/>
  </r>
  <r>
    <x v="7"/>
    <x v="3"/>
    <s v="C:\Users\andre\Desktop\REACTIV CEFAS\E2\E2/20201117_Cefas_Test6-Run2/Plate 1/@3/D3_01.tif "/>
    <s v=" 584.0072 "/>
    <s v=" 31.2222 "/>
    <x v="0"/>
    <n v="18234"/>
    <m/>
    <m/>
    <m/>
  </r>
  <r>
    <x v="7"/>
    <x v="3"/>
    <s v="C:\Users\andre\Desktop\REACTIV CEFAS\E2\E2/20201117_Cefas_Test6-Run2/Plate 1/@3/D3_02.tif "/>
    <s v=" 1773.6514 "/>
    <n v="32"/>
    <x v="0"/>
    <n v="56757"/>
    <m/>
    <m/>
    <m/>
  </r>
  <r>
    <x v="7"/>
    <x v="3"/>
    <s v="C:\Users\andre\Desktop\REACTIV CEFAS\E2\E2/20201117_Cefas_Test6-Run2/Plate 1/@3/D3_03.tif "/>
    <s v=" 2984.9255 "/>
    <s v=" 33.0362 "/>
    <x v="0"/>
    <n v="98611"/>
    <m/>
    <m/>
    <m/>
  </r>
  <r>
    <x v="7"/>
    <x v="4"/>
    <s v="C:\Users\andre\Desktop\REACTIV CEFAS\E2\E2/20201117_Cefas_Test6-Run2/Plate 1/@3/E3_01.tif "/>
    <s v=" 5320.9541 "/>
    <s v=" 40.8171 "/>
    <x v="0"/>
    <n v="217186"/>
    <m/>
    <m/>
    <m/>
  </r>
  <r>
    <x v="7"/>
    <x v="4"/>
    <s v="C:\Users\andre\Desktop\REACTIV CEFAS\E2\E2/20201117_Cefas_Test6-Run2/Plate 1/@3/E3_02.tif "/>
    <s v=" 4390.8686 "/>
    <s v=" 37.7931 "/>
    <x v="0"/>
    <n v="165945"/>
    <m/>
    <m/>
    <m/>
  </r>
  <r>
    <x v="7"/>
    <x v="4"/>
    <s v="C:\Users\andre\Desktop\REACTIV CEFAS\E2\E2/20201117_Cefas_Test6-Run2/Plate 1/@3/E3_03.tif "/>
    <s v=" 5169.5448 "/>
    <s v=" 36.5272 "/>
    <x v="0"/>
    <n v="188829"/>
    <m/>
    <m/>
    <m/>
  </r>
  <r>
    <x v="7"/>
    <x v="5"/>
    <s v="C:\Users\andre\Desktop\REACTIV CEFAS\E2\E2/20201117_Cefas_Test6-Run2/Plate 1/@3/F3_01.tif "/>
    <n v="0"/>
    <n v="0"/>
    <x v="0"/>
    <n v="0"/>
    <m/>
    <m/>
    <m/>
  </r>
  <r>
    <x v="7"/>
    <x v="5"/>
    <s v="C:\Users\andre\Desktop\REACTIV CEFAS\E2\E2/20201117_Cefas_Test6-Run2/Plate 1/@3/F3_02.tif "/>
    <s v=" 5991.4808 "/>
    <s v=" 36.1227 "/>
    <x v="0"/>
    <n v="216429"/>
    <m/>
    <m/>
    <m/>
  </r>
  <r>
    <x v="7"/>
    <x v="5"/>
    <s v="C:\Users\andre\Desktop\REACTIV CEFAS\E2\E2/20201117_Cefas_Test6-Run2/Plate 1/@3/F3_03.tif "/>
    <s v=" 3547.3027 "/>
    <s v=" 39.1768 "/>
    <x v="0"/>
    <n v="138972"/>
    <m/>
    <m/>
    <m/>
  </r>
  <r>
    <x v="7"/>
    <x v="6"/>
    <s v="C:\Users\andre\Desktop\REACTIV CEFAS\E2\E2/20201117_Cefas_Test6-Run2/Plate 1/@3/G3_01.tif "/>
    <s v=" 43.2598 "/>
    <n v="32"/>
    <x v="0"/>
    <n v="1384"/>
    <m/>
    <m/>
    <m/>
  </r>
  <r>
    <x v="7"/>
    <x v="6"/>
    <s v="C:\Users\andre\Desktop\REACTIV CEFAS\E2\E2/20201117_Cefas_Test6-Run2/Plate 1/@3/G3_02.tif "/>
    <s v=" 5861.7014 "/>
    <s v=" 36.3358 "/>
    <x v="0"/>
    <n v="212990"/>
    <m/>
    <m/>
    <m/>
  </r>
  <r>
    <x v="7"/>
    <x v="6"/>
    <s v="C:\Users\andre\Desktop\REACTIV CEFAS\E2\E2/20201117_Cefas_Test6-Run2/Plate 1/@3/G3_03.tif "/>
    <s v=" 6013.1107 "/>
    <s v=" 36.4317 "/>
    <x v="0"/>
    <n v="219068"/>
    <m/>
    <m/>
    <m/>
  </r>
  <r>
    <x v="7"/>
    <x v="7"/>
    <s v="C:\Users\andre\Desktop\REACTIV CEFAS\E2\E2/20201117_Cefas_Test6-Run2/Plate 1/@3/H3_01.tif "/>
    <n v="0"/>
    <n v="0"/>
    <x v="0"/>
    <n v="0"/>
    <m/>
    <m/>
    <m/>
  </r>
  <r>
    <x v="7"/>
    <x v="7"/>
    <s v="C:\Users\andre\Desktop\REACTIV CEFAS\E2\E2/20201117_Cefas_Test6-Run2/Plate 1/@3/H3_02.tif "/>
    <s v=" 216.2989 "/>
    <s v=" 32.6 "/>
    <x v="0"/>
    <n v="7051"/>
    <m/>
    <m/>
    <m/>
  </r>
  <r>
    <x v="7"/>
    <x v="7"/>
    <s v="C:\Users\andre\Desktop\REACTIV CEFAS\E2\E2/20201117_Cefas_Test6-Run2/Plate 1/@3/H3_03.tif "/>
    <s v=" 584.0072 "/>
    <s v=" 31.9259 "/>
    <x v="0"/>
    <n v="18645"/>
    <m/>
    <m/>
    <m/>
  </r>
  <r>
    <x v="1"/>
    <x v="8"/>
    <s v=" "/>
    <m/>
    <m/>
    <x v="1"/>
    <m/>
    <m/>
    <m/>
    <m/>
  </r>
  <r>
    <x v="1"/>
    <x v="8"/>
    <s v="group "/>
    <s v=" "/>
    <s v=" mean of mean fluo "/>
    <x v="2"/>
    <s v=" mean of total fluo "/>
    <s v=" SD total fluo "/>
    <s v=" n fluorescent "/>
    <s v=" n total"/>
  </r>
  <r>
    <x v="7"/>
    <x v="9"/>
    <s v="C:\Users\andre\Desktop\REACTIV CEFAS\E2\E2/20201117_Cefas_Test6-Run2/Plate 1/@3/ "/>
    <s v=" "/>
    <s v=" 30.8566 "/>
    <x v="9"/>
    <s v=" 110473.833 "/>
    <s v=" 125021.735 "/>
    <n v="21"/>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8"/>
    <x v="0"/>
    <s v="C:\Users\andre\Desktop\REACTIV CEFAS\E2\E2/20201117_Cefas_Test6-Run2/Plate 1/@4/A4_01.tif "/>
    <s v=" 108.1495 "/>
    <s v=" 31.2 "/>
    <x v="0"/>
    <n v="3374"/>
    <m/>
    <m/>
    <m/>
  </r>
  <r>
    <x v="8"/>
    <x v="0"/>
    <s v="C:\Users\andre\Desktop\REACTIV CEFAS\E2\E2/20201117_Cefas_Test6-Run2/Plate 1/@4/A4_02.tif "/>
    <s v=" 1146.3844 "/>
    <s v=" 34.566 "/>
    <x v="0"/>
    <n v="39626"/>
    <m/>
    <m/>
    <m/>
  </r>
  <r>
    <x v="8"/>
    <x v="0"/>
    <s v="C:\Users\andre\Desktop\REACTIV CEFAS\E2\E2/20201117_Cefas_Test6-Run2/Plate 1/@4/A4_03- exclu.tif"/>
    <m/>
    <m/>
    <x v="1"/>
    <m/>
    <m/>
    <m/>
    <m/>
  </r>
  <r>
    <x v="8"/>
    <x v="1"/>
    <s v="C:\Users\andre\Desktop\REACTIV CEFAS\E2\E2/20201117_Cefas_Test6-Run2/Plate 1/@4/B4_01.tif "/>
    <s v=" 2184.6194 "/>
    <s v=" 33.6733 "/>
    <x v="0"/>
    <n v="73563"/>
    <m/>
    <m/>
    <m/>
  </r>
  <r>
    <x v="8"/>
    <x v="1"/>
    <s v="C:\Users\andre\Desktop\REACTIV CEFAS\E2\E2/20201117_Cefas_Test6-Run2/Plate 1/@4/B4_02.tif "/>
    <s v=" 1362.6834 "/>
    <s v=" 32.8413 "/>
    <x v="0"/>
    <n v="44752"/>
    <m/>
    <m/>
    <m/>
  </r>
  <r>
    <x v="8"/>
    <x v="1"/>
    <s v="C:\Users\andre\Desktop\REACTIV CEFAS\E2\E2/20201117_Cefas_Test6-Run2/Plate 1/@4/B4_03.tif "/>
    <s v=" 3136.3347 "/>
    <s v=" 35.3793 "/>
    <x v="0"/>
    <n v="110961"/>
    <m/>
    <m/>
    <m/>
  </r>
  <r>
    <x v="8"/>
    <x v="2"/>
    <s v="C:\Users\andre\Desktop\REACTIV CEFAS\E2\E2/20201117_Cefas_Test6-Run2/Plate 1/@4/C4_01- exclu.tif"/>
    <m/>
    <m/>
    <x v="1"/>
    <m/>
    <m/>
    <m/>
    <m/>
  </r>
  <r>
    <x v="8"/>
    <x v="2"/>
    <s v="C:\Users\andre\Desktop\REACTIV CEFAS\E2\E2/20201117_Cefas_Test6-Run2/Plate 1/@4/C4_02- exclu.tif"/>
    <m/>
    <m/>
    <x v="1"/>
    <m/>
    <m/>
    <m/>
    <m/>
  </r>
  <r>
    <x v="8"/>
    <x v="2"/>
    <s v="C:\Users\andre\Desktop\REACTIV CEFAS\E2\E2/20201117_Cefas_Test6-Run2/Plate 1/@4/C4_03- exclu.tif"/>
    <m/>
    <m/>
    <x v="1"/>
    <m/>
    <m/>
    <m/>
    <m/>
  </r>
  <r>
    <x v="8"/>
    <x v="3"/>
    <s v="C:\Users\andre\Desktop\REACTIV CEFAS\E2\E2/20201117_Cefas_Test6-Run2/Plate 1/@4/D4_01.tif "/>
    <s v=" 173.0392 "/>
    <s v=" 30.75 "/>
    <x v="0"/>
    <n v="5321"/>
    <m/>
    <m/>
    <m/>
  </r>
  <r>
    <x v="8"/>
    <x v="3"/>
    <s v="C:\Users\andre\Desktop\REACTIV CEFAS\E2\E2/20201117_Cefas_Test6-Run2/Plate 1/@4/D4_02.tif "/>
    <s v=" 4780.2067 "/>
    <s v=" 33.8778 "/>
    <x v="0"/>
    <n v="161943"/>
    <m/>
    <m/>
    <m/>
  </r>
  <r>
    <x v="8"/>
    <x v="3"/>
    <s v="C:\Users\andre\Desktop\REACTIV CEFAS\E2\E2/20201117_Cefas_Test6-Run2/Plate 1/@4/D4_03.tif "/>
    <s v=" 4109.68 "/>
    <s v=" 35.1158 "/>
    <x v="0"/>
    <n v="144315"/>
    <m/>
    <m/>
    <m/>
  </r>
  <r>
    <x v="8"/>
    <x v="4"/>
    <s v="C:\Users\andre\Desktop\REACTIV CEFAS\E2\E2/20201117_Cefas_Test6-Run2/Plate 1/@4/E4_01.tif "/>
    <s v=" 5256.0644 "/>
    <s v=" 37.214 "/>
    <x v="0"/>
    <n v="195599"/>
    <m/>
    <m/>
    <m/>
  </r>
  <r>
    <x v="8"/>
    <x v="4"/>
    <s v="C:\Users\andre\Desktop\REACTIV CEFAS\E2\E2/20201117_Cefas_Test6-Run2/Plate 1/@4/E4_02.tif "/>
    <s v=" 302.8185 "/>
    <s v=" 31.3571 "/>
    <x v="0"/>
    <n v="9496"/>
    <m/>
    <m/>
    <m/>
  </r>
  <r>
    <x v="8"/>
    <x v="4"/>
    <s v="C:\Users\andre\Desktop\REACTIV CEFAS\E2\E2/20201117_Cefas_Test6-Run2/Plate 1/@4/E4_03.tif "/>
    <s v=" 5364.2139 "/>
    <s v=" 40.3226 "/>
    <x v="0"/>
    <n v="216299"/>
    <m/>
    <m/>
    <m/>
  </r>
  <r>
    <x v="8"/>
    <x v="5"/>
    <s v="C:\Users\andre\Desktop\REACTIV CEFAS\E2\E2/20201117_Cefas_Test6-Run2/Plate 1/@4/F4_01.tif "/>
    <s v=" 5948.221 "/>
    <s v=" 39.2364 "/>
    <x v="0"/>
    <n v="233387"/>
    <m/>
    <m/>
    <m/>
  </r>
  <r>
    <x v="8"/>
    <x v="5"/>
    <s v="C:\Users\andre\Desktop\REACTIV CEFAS\E2\E2/20201117_Cefas_Test6-Run2/Plate 1/@4/F4_02.tif "/>
    <s v=" 4239.4593 "/>
    <s v=" 37.7806 "/>
    <x v="0"/>
    <n v="160169"/>
    <m/>
    <m/>
    <m/>
  </r>
  <r>
    <x v="8"/>
    <x v="5"/>
    <s v="C:\Users\andre\Desktop\REACTIV CEFAS\E2\E2/20201117_Cefas_Test6-Run2/Plate 1/@4/F4_03.tif "/>
    <s v=" 4174.5697 "/>
    <s v=" 36.9275 "/>
    <x v="0"/>
    <n v="154156"/>
    <m/>
    <m/>
    <m/>
  </r>
  <r>
    <x v="8"/>
    <x v="6"/>
    <s v="C:\Users\andre\Desktop\REACTIV CEFAS\E2\E2/20201117_Cefas_Test6-Run2/Plate 1/@4/G4_01.tif "/>
    <s v=" 12026.2214 "/>
    <s v=" 41.3094 "/>
    <x v="0"/>
    <n v="496795"/>
    <m/>
    <m/>
    <m/>
  </r>
  <r>
    <x v="8"/>
    <x v="6"/>
    <s v="C:\Users\andre\Desktop\REACTIV CEFAS\E2\E2/20201117_Cefas_Test6-Run2/Plate 1/@4/G4_02.tif "/>
    <s v=" 13064.4564 "/>
    <s v=" 34.8642 "/>
    <x v="0"/>
    <n v="455482"/>
    <m/>
    <m/>
    <m/>
  </r>
  <r>
    <x v="8"/>
    <x v="6"/>
    <s v="C:\Users\andre\Desktop\REACTIV CEFAS\E2\E2/20201117_Cefas_Test6-Run2/Plate 1/@4/G4_03- exclu.tif"/>
    <m/>
    <m/>
    <x v="1"/>
    <m/>
    <m/>
    <m/>
    <m/>
  </r>
  <r>
    <x v="8"/>
    <x v="7"/>
    <s v="C:\Users\andre\Desktop\REACTIV CEFAS\E2\E2/20201117_Cefas_Test6-Run2/Plate 1/@4/H4_01.tif "/>
    <s v=" 4023.1604 "/>
    <s v=" 35.4946 "/>
    <x v="0"/>
    <n v="142801"/>
    <m/>
    <m/>
    <m/>
  </r>
  <r>
    <x v="8"/>
    <x v="7"/>
    <s v="C:\Users\andre\Desktop\REACTIV CEFAS\E2\E2/20201117_Cefas_Test6-Run2/Plate 1/@4/H4_02.tif "/>
    <s v=" 2509.0678 "/>
    <s v=" 38.1379 "/>
    <x v="0"/>
    <n v="95691"/>
    <m/>
    <m/>
    <m/>
  </r>
  <r>
    <x v="8"/>
    <x v="7"/>
    <s v="C:\Users\andre\Desktop\REACTIV CEFAS\E2\E2/20201117_Cefas_Test6-Run2/Plate 1/@4/H4_03.tif "/>
    <s v=" 9279.2248 "/>
    <s v=" 38.7902 "/>
    <x v="0"/>
    <n v="359943"/>
    <m/>
    <m/>
    <m/>
  </r>
  <r>
    <x v="1"/>
    <x v="8"/>
    <s v=" "/>
    <m/>
    <m/>
    <x v="1"/>
    <m/>
    <m/>
    <m/>
    <m/>
  </r>
  <r>
    <x v="1"/>
    <x v="8"/>
    <s v="group "/>
    <s v=" "/>
    <s v=" mean of mean fluo "/>
    <x v="2"/>
    <s v=" mean of total fluo "/>
    <s v=" SD total fluo "/>
    <s v=" n fluorescent "/>
    <s v=" n total"/>
  </r>
  <r>
    <x v="8"/>
    <x v="9"/>
    <s v="C:\Users\andre\Desktop\REACTIV CEFAS\E2\E2/20201117_Cefas_Test6-Run2/Plate 1/@4/ "/>
    <s v=" "/>
    <s v=" 34.3947 "/>
    <x v="10"/>
    <s v=" 205544.333 "/>
    <s v=" 255013.901 "/>
    <n v="22"/>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9"/>
    <x v="0"/>
    <s v="C:\Users\andre\Desktop\REACTIV CEFAS\E2\E2/20201117_Cefas_Test6-Run2/Plate 1/@5/A5_01.tif "/>
    <s v=" 43.2598 "/>
    <s v=" 31.5 "/>
    <x v="0"/>
    <n v="1363"/>
    <m/>
    <m/>
    <m/>
  </r>
  <r>
    <x v="9"/>
    <x v="0"/>
    <s v="C:\Users\andre\Desktop\REACTIV CEFAS\E2\E2/20201117_Cefas_Test6-Run2/Plate 1/@5/A5_02.tif "/>
    <n v="0"/>
    <n v="0"/>
    <x v="0"/>
    <n v="0"/>
    <m/>
    <m/>
    <m/>
  </r>
  <r>
    <x v="9"/>
    <x v="0"/>
    <s v="C:\Users\andre\Desktop\REACTIV CEFAS\E2\E2/20201117_Cefas_Test6-Run2/Plate 1/@5/A5_03- exclu.tif"/>
    <m/>
    <m/>
    <x v="1"/>
    <m/>
    <m/>
    <m/>
    <m/>
  </r>
  <r>
    <x v="9"/>
    <x v="1"/>
    <s v="C:\Users\andre\Desktop\REACTIV CEFAS\E2\E2/20201117_Cefas_Test6-Run2/Plate 1/@5/B5_01.tif "/>
    <s v=" 25523.2757 "/>
    <s v=" 33.15 "/>
    <x v="0"/>
    <n v="846097"/>
    <m/>
    <m/>
    <m/>
  </r>
  <r>
    <x v="9"/>
    <x v="1"/>
    <s v="C:\Users\andre\Desktop\REACTIV CEFAS\E2\E2/20201117_Cefas_Test6-Run2/Plate 1/@5/B5_02.tif "/>
    <s v=" 39128.4794 "/>
    <s v=" 35.4024 "/>
    <x v="0"/>
    <n v="1385243"/>
    <m/>
    <m/>
    <m/>
  </r>
  <r>
    <x v="9"/>
    <x v="1"/>
    <s v="C:\Users\andre\Desktop\REACTIV CEFAS\E2\E2/20201117_Cefas_Test6-Run2/Plate 1/@5/B5_03.tif "/>
    <s v=" 34845.7602 "/>
    <s v=" 34.509 "/>
    <x v="0"/>
    <n v="1202492"/>
    <m/>
    <m/>
    <m/>
  </r>
  <r>
    <x v="9"/>
    <x v="2"/>
    <s v="C:\Users\andre\Desktop\REACTIV CEFAS\E2\E2/20201117_Cefas_Test6-Run2/Plate 1/@5/C5_01.tif "/>
    <s v=" 2011.5802 "/>
    <s v=" 34.129 "/>
    <x v="0"/>
    <n v="68653"/>
    <m/>
    <m/>
    <m/>
  </r>
  <r>
    <x v="9"/>
    <x v="2"/>
    <s v="C:\Users\andre\Desktop\REACTIV CEFAS\E2\E2/20201117_Cefas_Test6-Run2/Plate 1/@5/C5_02.tif "/>
    <s v=" 692.1566 "/>
    <s v=" 31.4688 "/>
    <x v="0"/>
    <n v="21781"/>
    <m/>
    <m/>
    <m/>
  </r>
  <r>
    <x v="9"/>
    <x v="2"/>
    <s v="C:\Users\andre\Desktop\REACTIV CEFAS\E2\E2/20201117_Cefas_Test6-Run2/Plate 1/@5/C5_03.tif "/>
    <n v="0"/>
    <n v="0"/>
    <x v="0"/>
    <n v="0"/>
    <m/>
    <m/>
    <m/>
  </r>
  <r>
    <x v="9"/>
    <x v="3"/>
    <s v="C:\Users\andre\Desktop\REACTIV CEFAS\E2\E2/20201117_Cefas_Test6-Run2/Plate 1/@5/D5_01.tif "/>
    <n v="0"/>
    <n v="0"/>
    <x v="0"/>
    <n v="0"/>
    <m/>
    <m/>
    <m/>
  </r>
  <r>
    <x v="9"/>
    <x v="3"/>
    <s v="C:\Users\andre\Desktop\REACTIV CEFAS\E2\E2/20201117_Cefas_Test6-Run2/Plate 1/@5/D5_02- exclu.tif"/>
    <m/>
    <m/>
    <x v="1"/>
    <m/>
    <m/>
    <m/>
    <m/>
  </r>
  <r>
    <x v="9"/>
    <x v="3"/>
    <s v="C:\Users\andre\Desktop\REACTIV CEFAS\E2\E2/20201117_Cefas_Test6-Run2/Plate 1/@5/D5_03.tif "/>
    <n v="0"/>
    <n v="0"/>
    <x v="0"/>
    <n v="0"/>
    <m/>
    <m/>
    <m/>
  </r>
  <r>
    <x v="9"/>
    <x v="4"/>
    <s v="C:\Users\andre\Desktop\REACTIV CEFAS\E2\E2/20201117_Cefas_Test6-Run2/Plate 1/@5/E5_01.tif "/>
    <s v=" 30995.639 "/>
    <s v=" 31.529 "/>
    <x v="0"/>
    <n v="977260"/>
    <m/>
    <m/>
    <m/>
  </r>
  <r>
    <x v="9"/>
    <x v="4"/>
    <s v="C:\Users\andre\Desktop\REACTIV CEFAS\E2\E2/20201117_Cefas_Test6-Run2/Plate 1/@5/E5_02.tif "/>
    <s v=" 3525.6728 "/>
    <s v=" 31.3926 "/>
    <x v="0"/>
    <n v="110680"/>
    <m/>
    <m/>
    <m/>
  </r>
  <r>
    <x v="9"/>
    <x v="4"/>
    <s v="C:\Users\andre\Desktop\REACTIV CEFAS\E2\E2/20201117_Cefas_Test6-Run2/Plate 1/@5/E5_03.tif "/>
    <s v=" 14275.7305 "/>
    <s v=" 31.4091 "/>
    <x v="0"/>
    <n v="448388"/>
    <m/>
    <m/>
    <m/>
  </r>
  <r>
    <x v="9"/>
    <x v="5"/>
    <s v="C:\Users\andre\Desktop\REACTIV CEFAS\E2\E2/20201117_Cefas_Test6-Run2/Plate 1/@5/F5_01.tif "/>
    <n v="0"/>
    <n v="0"/>
    <x v="0"/>
    <n v="0"/>
    <m/>
    <m/>
    <m/>
  </r>
  <r>
    <x v="9"/>
    <x v="5"/>
    <s v="C:\Users\andre\Desktop\REACTIV CEFAS\E2\E2/20201117_Cefas_Test6-Run2/Plate 1/@5/F5_02.tif "/>
    <s v=" 713.7865 "/>
    <s v=" 31.1515 "/>
    <x v="0"/>
    <n v="22236"/>
    <m/>
    <m/>
    <m/>
  </r>
  <r>
    <x v="9"/>
    <x v="5"/>
    <s v="C:\Users\andre\Desktop\REACTIV CEFAS\E2\E2/20201117_Cefas_Test6-Run2/Plate 1/@5/F5_03.tif "/>
    <n v="0"/>
    <n v="0"/>
    <x v="0"/>
    <n v="0"/>
    <m/>
    <m/>
    <m/>
  </r>
  <r>
    <x v="9"/>
    <x v="6"/>
    <s v="C:\Users\andre\Desktop\REACTIV CEFAS\E2\E2/20201117_Cefas_Test6-Run2/Plate 1/@5/G5_01.tif "/>
    <s v=" 6424.0787 "/>
    <s v=" 40.3232 "/>
    <x v="0"/>
    <n v="259040"/>
    <m/>
    <m/>
    <m/>
  </r>
  <r>
    <x v="9"/>
    <x v="6"/>
    <s v="C:\Users\andre\Desktop\REACTIV CEFAS\E2\E2/20201117_Cefas_Test6-Run2/Plate 1/@5/G5_02.tif "/>
    <s v=" 3915.0109 "/>
    <s v=" 36.9116 "/>
    <x v="0"/>
    <n v="144509"/>
    <m/>
    <m/>
    <m/>
  </r>
  <r>
    <x v="9"/>
    <x v="6"/>
    <s v="C:\Users\andre\Desktop\REACTIV CEFAS\E2\E2/20201117_Cefas_Test6-Run2/Plate 1/@5/G5_03.tif "/>
    <s v=" 3741.9718 "/>
    <s v=" 35.4682 "/>
    <x v="0"/>
    <n v="132721"/>
    <m/>
    <m/>
    <m/>
  </r>
  <r>
    <x v="9"/>
    <x v="7"/>
    <s v="C:\Users\andre\Desktop\REACTIV CEFAS\E2\E2/20201117_Cefas_Test6-Run2/Plate 1/@5/H5_01.tif "/>
    <s v=" 2725.3667 "/>
    <s v=" 33.3095 "/>
    <x v="0"/>
    <n v="90781"/>
    <m/>
    <m/>
    <m/>
  </r>
  <r>
    <x v="9"/>
    <x v="7"/>
    <s v="C:\Users\andre\Desktop\REACTIV CEFAS\E2\E2/20201117_Cefas_Test6-Run2/Plate 1/@5/H5_02.tif "/>
    <s v=" 5602.1427 "/>
    <s v=" 39.1506 "/>
    <x v="0"/>
    <n v="219327"/>
    <m/>
    <m/>
    <m/>
  </r>
  <r>
    <x v="9"/>
    <x v="7"/>
    <s v="C:\Users\andre\Desktop\REACTIV CEFAS\E2\E2/20201117_Cefas_Test6-Run2/Plate 1/@5/H5_03.tif "/>
    <s v=" 2444.1781 "/>
    <s v=" 34.2035 "/>
    <x v="0"/>
    <n v="83600"/>
    <m/>
    <m/>
    <m/>
  </r>
  <r>
    <x v="1"/>
    <x v="8"/>
    <s v=" "/>
    <m/>
    <m/>
    <x v="1"/>
    <m/>
    <m/>
    <m/>
    <m/>
  </r>
  <r>
    <x v="1"/>
    <x v="8"/>
    <s v="group "/>
    <s v=" "/>
    <s v=" mean of mean fluo "/>
    <x v="2"/>
    <s v=" mean of total fluo "/>
    <s v=" SD total fluo "/>
    <s v=" n fluorescent "/>
    <s v=" n total"/>
  </r>
  <r>
    <x v="9"/>
    <x v="9"/>
    <s v="C:\Users\andre\Desktop\REACTIV CEFAS\E2\E2/20201117_Cefas_Test6-Run2/Plate 1/@5/ "/>
    <s v=" "/>
    <s v=" 24.0956 "/>
    <x v="11"/>
    <s v=" 251220.417 "/>
    <s v=" 412272.07 "/>
    <n v="17"/>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0"/>
    <x v="0"/>
    <s v="C:\Users\andre\Desktop\REACTIV CEFAS\E2\E2/20201117_Cefas_Test6-Run2/Plate 1/@6/A6_01.tif "/>
    <s v=" 51154.7008 "/>
    <s v=" 41.814 "/>
    <x v="0"/>
    <n v="2138980"/>
    <m/>
    <m/>
    <m/>
  </r>
  <r>
    <x v="10"/>
    <x v="0"/>
    <s v="C:\Users\andre\Desktop\REACTIV CEFAS\E2\E2/20201117_Cefas_Test6-Run2/Plate 1/@6/A6_02.tif "/>
    <s v=" 48861.932 "/>
    <s v=" 44.9637 "/>
    <x v="0"/>
    <n v="2197013"/>
    <m/>
    <m/>
    <m/>
  </r>
  <r>
    <x v="10"/>
    <x v="0"/>
    <s v="C:\Users\andre\Desktop\REACTIV CEFAS\E2\E2/20201117_Cefas_Test6-Run2/Plate 1/@6/A6_03.tif "/>
    <s v=" 66036.0683 "/>
    <s v=" 42.0606 "/>
    <x v="0"/>
    <n v="2777516"/>
    <m/>
    <m/>
    <m/>
  </r>
  <r>
    <x v="10"/>
    <x v="1"/>
    <s v="C:\Users\andre\Desktop\REACTIV CEFAS\E2\E2/20201117_Cefas_Test6-Run2/Plate 1/@6/B6_01.tif "/>
    <s v=" 50938.4019 "/>
    <s v=" 46.118 "/>
    <x v="0"/>
    <n v="2349180"/>
    <m/>
    <m/>
    <m/>
  </r>
  <r>
    <x v="10"/>
    <x v="1"/>
    <s v="C:\Users\andre\Desktop\REACTIV CEFAS\E2\E2/20201117_Cefas_Test6-Run2/Plate 1/@6/B6_02.tif "/>
    <s v=" 53620.5088 "/>
    <s v=" 42.1436 "/>
    <x v="0"/>
    <n v="2259762"/>
    <m/>
    <m/>
    <m/>
  </r>
  <r>
    <x v="10"/>
    <x v="1"/>
    <s v="C:\Users\andre\Desktop\REACTIV CEFAS\E2\E2/20201117_Cefas_Test6-Run2/Plate 1/@6/B6_03.tif "/>
    <s v=" 46742.2023 "/>
    <s v=" 46.0639 "/>
    <x v="0"/>
    <n v="2153126"/>
    <m/>
    <m/>
    <m/>
  </r>
  <r>
    <x v="10"/>
    <x v="2"/>
    <s v="C:\Users\andre\Desktop\REACTIV CEFAS\E2\E2/20201117_Cefas_Test6-Run2/Plate 1/@6/C6_01.tif "/>
    <s v=" 61126.0822 "/>
    <s v=" 46.3857 "/>
    <x v="0"/>
    <n v="2835376"/>
    <m/>
    <m/>
    <m/>
  </r>
  <r>
    <x v="10"/>
    <x v="2"/>
    <s v="C:\Users\andre\Desktop\REACTIV CEFAS\E2\E2/20201117_Cefas_Test6-Run2/Plate 1/@6/C6_02.tif "/>
    <s v=" 58681.9041 "/>
    <s v=" 49.2525 "/>
    <x v="0"/>
    <n v="2890230"/>
    <m/>
    <m/>
    <m/>
  </r>
  <r>
    <x v="10"/>
    <x v="2"/>
    <s v="C:\Users\andre\Desktop\REACTIV CEFAS\E2\E2/20201117_Cefas_Test6-Run2/Plate 1/@6/C6_03.tif "/>
    <s v=" 61991.278 "/>
    <s v=" 48.1553 "/>
    <x v="0"/>
    <n v="2985207"/>
    <m/>
    <m/>
    <m/>
  </r>
  <r>
    <x v="10"/>
    <x v="3"/>
    <s v="C:\Users\andre\Desktop\REACTIV CEFAS\E2\E2/20201117_Cefas_Test6-Run2/Plate 1/@6/D6_01- exclu.tif"/>
    <m/>
    <m/>
    <x v="1"/>
    <m/>
    <m/>
    <m/>
    <m/>
  </r>
  <r>
    <x v="10"/>
    <x v="3"/>
    <s v="C:\Users\andre\Desktop\REACTIV CEFAS\E2\E2/20201117_Cefas_Test6-Run2/Plate 1/@6/D6_02- exclu.tif"/>
    <m/>
    <m/>
    <x v="1"/>
    <m/>
    <m/>
    <m/>
    <m/>
  </r>
  <r>
    <x v="10"/>
    <x v="3"/>
    <s v="C:\Users\andre\Desktop\REACTIV CEFAS\E2\E2/20201117_Cefas_Test6-Run2/Plate 1/@6/D6_03- exclu.tif"/>
    <m/>
    <m/>
    <x v="1"/>
    <m/>
    <m/>
    <m/>
    <m/>
  </r>
  <r>
    <x v="10"/>
    <x v="4"/>
    <s v="C:\Users\andre\Desktop\REACTIV CEFAS\E2\E2/20201117_Cefas_Test6-Run2/Plate 1/@6/E6_01.tif "/>
    <s v=" 99194.6968 "/>
    <s v=" 50.1742 "/>
    <x v="0"/>
    <n v="4977017"/>
    <m/>
    <m/>
    <m/>
  </r>
  <r>
    <x v="10"/>
    <x v="4"/>
    <s v="C:\Users\andre\Desktop\REACTIV CEFAS\E2\E2/20201117_Cefas_Test6-Run2/Plate 1/@6/E6_02.tif "/>
    <s v=" 98653.9494 "/>
    <s v=" 47.4389 "/>
    <x v="0"/>
    <n v="4680039"/>
    <m/>
    <m/>
    <m/>
  </r>
  <r>
    <x v="10"/>
    <x v="4"/>
    <s v="C:\Users\andre\Desktop\REACTIV CEFAS\E2\E2/20201117_Cefas_Test6-Run2/Plate 1/@6/E6_03.tif "/>
    <s v=" 92727.3583 "/>
    <s v=" 45.7331 "/>
    <x v="0"/>
    <n v="4240714"/>
    <m/>
    <m/>
    <m/>
  </r>
  <r>
    <x v="10"/>
    <x v="5"/>
    <s v="C:\Users\andre\Desktop\REACTIV CEFAS\E2\E2/20201117_Cefas_Test6-Run2/Plate 1/@6/F6_01.tif "/>
    <s v=" 49143.1206 "/>
    <s v=" 43.5066 "/>
    <x v="0"/>
    <n v="2138050"/>
    <m/>
    <m/>
    <m/>
  </r>
  <r>
    <x v="10"/>
    <x v="5"/>
    <s v="C:\Users\andre\Desktop\REACTIV CEFAS\E2\E2/20201117_Cefas_Test6-Run2/Plate 1/@6/F6_02.tif "/>
    <s v=" 47023.3909 "/>
    <s v=" 45.4742 "/>
    <x v="0"/>
    <n v="2138353"/>
    <m/>
    <m/>
    <m/>
  </r>
  <r>
    <x v="10"/>
    <x v="5"/>
    <s v="C:\Users\andre\Desktop\REACTIV CEFAS\E2\E2/20201117_Cefas_Test6-Run2/Plate 1/@6/F6_03.tif "/>
    <s v=" 49792.0174 "/>
    <s v=" 49.2024 "/>
    <x v="0"/>
    <n v="2449888"/>
    <m/>
    <m/>
    <m/>
  </r>
  <r>
    <x v="10"/>
    <x v="6"/>
    <s v="C:\Users\andre\Desktop\REACTIV CEFAS\E2\E2/20201117_Cefas_Test6-Run2/Plate 1/@6/G6_01.tif "/>
    <s v=" 68090.9083 "/>
    <s v=" 43.0492 "/>
    <x v="0"/>
    <n v="2931262"/>
    <m/>
    <m/>
    <m/>
  </r>
  <r>
    <x v="10"/>
    <x v="6"/>
    <s v="C:\Users\andre\Desktop\REACTIV CEFAS\E2\E2/20201117_Cefas_Test6-Run2/Plate 1/@6/G6_02.tif "/>
    <s v=" 59417.3205 "/>
    <s v=" 45.5941 "/>
    <x v="0"/>
    <n v="2709079"/>
    <m/>
    <m/>
    <m/>
  </r>
  <r>
    <x v="10"/>
    <x v="6"/>
    <s v="C:\Users\andre\Desktop\REACTIV CEFAS\E2\E2/20201117_Cefas_Test6-Run2/Plate 1/@6/G6_03.tif "/>
    <s v=" 54918.3025 "/>
    <s v=" 42.0654 "/>
    <x v="0"/>
    <n v="2310159"/>
    <m/>
    <m/>
    <m/>
  </r>
  <r>
    <x v="10"/>
    <x v="7"/>
    <s v="C:\Users\andre\Desktop\REACTIV CEFAS\E2\E2/20201117_Cefas_Test6-Run2/Plate 1/@6/H6_01.tif "/>
    <s v=" 67506.9011 "/>
    <s v=" 43.2634 "/>
    <x v="0"/>
    <n v="2920577"/>
    <m/>
    <m/>
    <m/>
  </r>
  <r>
    <x v="10"/>
    <x v="7"/>
    <s v="C:\Users\andre\Desktop\REACTIV CEFAS\E2\E2/20201117_Cefas_Test6-Run2/Plate 1/@6/H6_02.tif "/>
    <s v=" 62726.6944 "/>
    <s v=" 40.13 "/>
    <x v="0"/>
    <n v="2517222"/>
    <m/>
    <m/>
    <m/>
  </r>
  <r>
    <x v="10"/>
    <x v="7"/>
    <s v="C:\Users\andre\Desktop\REACTIV CEFAS\E2\E2/20201117_Cefas_Test6-Run2/Plate 1/@6/H6_03.tif "/>
    <s v=" 56691.9538 "/>
    <s v=" 44.2068 "/>
    <x v="0"/>
    <n v="2506169"/>
    <m/>
    <m/>
    <m/>
  </r>
  <r>
    <x v="1"/>
    <x v="8"/>
    <s v=" "/>
    <m/>
    <m/>
    <x v="1"/>
    <m/>
    <m/>
    <m/>
    <m/>
  </r>
  <r>
    <x v="1"/>
    <x v="8"/>
    <s v="group "/>
    <s v=" "/>
    <s v=" mean of mean fluo "/>
    <x v="2"/>
    <s v=" mean of total fluo "/>
    <s v=" SD total fluo "/>
    <s v=" n fluorescent "/>
    <s v=" n total"/>
  </r>
  <r>
    <x v="10"/>
    <x v="9"/>
    <s v="C:\Users\andre\Desktop\REACTIV CEFAS\E2\E2/20201117_Cefas_Test6-Run2/Plate 1/@6/ "/>
    <s v=" "/>
    <s v=" 44.8068 "/>
    <x v="12"/>
    <s v=" 2605293.71 "/>
    <s v=" 953547.293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1"/>
    <x v="0"/>
    <s v="C:\Users\andre\Desktop\REACTIV CEFAS\E2\E2/20201117_Cefas_Test6-Run2/Plate 1/@7/A7_01.tif "/>
    <s v=" 80701.1369 "/>
    <s v=" 58.9461 "/>
    <x v="0"/>
    <n v="4757019"/>
    <m/>
    <m/>
    <m/>
  </r>
  <r>
    <x v="11"/>
    <x v="0"/>
    <s v="C:\Users\andre\Desktop\REACTIV CEFAS\E2\E2/20201117_Cefas_Test6-Run2/Plate 1/@7/A7_02.tif "/>
    <s v=" 92035.2016 "/>
    <s v=" 52.6531 "/>
    <x v="0"/>
    <n v="4845940"/>
    <m/>
    <m/>
    <m/>
  </r>
  <r>
    <x v="11"/>
    <x v="0"/>
    <s v="C:\Users\andre\Desktop\REACTIV CEFAS\E2\E2/20201117_Cefas_Test6-Run2/Plate 1/@7/A7_03.tif "/>
    <s v=" 89309.8349 "/>
    <s v=" 57.2662 "/>
    <x v="0"/>
    <n v="5114432"/>
    <m/>
    <m/>
    <m/>
  </r>
  <r>
    <x v="11"/>
    <x v="1"/>
    <s v="C:\Users\andre\Desktop\REACTIV CEFAS\E2\E2/20201117_Cefas_Test6-Run2/Plate 1/@7/B7_01.tif "/>
    <s v=" 68004.3887 "/>
    <s v=" 53.833 "/>
    <x v="0"/>
    <n v="3660881"/>
    <m/>
    <m/>
    <m/>
  </r>
  <r>
    <x v="11"/>
    <x v="1"/>
    <s v="C:\Users\andre\Desktop\REACTIV CEFAS\E2\E2/20201117_Cefas_Test6-Run2/Plate 1/@7/B7_02.tif "/>
    <s v=" 67377.1218 "/>
    <s v=" 54.2421 "/>
    <x v="0"/>
    <n v="3654674"/>
    <m/>
    <m/>
    <m/>
  </r>
  <r>
    <x v="11"/>
    <x v="1"/>
    <s v="C:\Users\andre\Desktop\REACTIV CEFAS\E2\E2/20201117_Cefas_Test6-Run2/Plate 1/@7/B7_03.tif "/>
    <s v=" 67160.8228 "/>
    <s v=" 53.9233 "/>
    <x v="0"/>
    <n v="3621537"/>
    <m/>
    <m/>
    <m/>
  </r>
  <r>
    <x v="11"/>
    <x v="2"/>
    <s v="C:\Users\andre\Desktop\REACTIV CEFAS\E2\E2/20201117_Cefas_Test6-Run2/Plate 1/@7/C7_01.tif "/>
    <s v=" 91191.6358 "/>
    <s v=" 53.6708 "/>
    <x v="0"/>
    <n v="4894326"/>
    <m/>
    <m/>
    <m/>
  </r>
  <r>
    <x v="11"/>
    <x v="2"/>
    <s v="C:\Users\andre\Desktop\REACTIV CEFAS\E2\E2/20201117_Cefas_Test6-Run2/Plate 1/@7/C7_02.tif "/>
    <s v=" 77997.4 "/>
    <s v=" 55.8747 "/>
    <x v="0"/>
    <n v="4358078"/>
    <m/>
    <m/>
    <m/>
  </r>
  <r>
    <x v="11"/>
    <x v="2"/>
    <s v="C:\Users\andre\Desktop\REACTIV CEFAS\E2\E2/20201117_Cefas_Test6-Run2/Plate 1/@7/C7_03.tif "/>
    <s v=" 81739.3718 "/>
    <s v=" 55.7997 "/>
    <x v="0"/>
    <n v="4561031"/>
    <m/>
    <m/>
    <m/>
  </r>
  <r>
    <x v="11"/>
    <x v="3"/>
    <s v="C:\Users\andre\Desktop\REACTIV CEFAS\E2\E2/20201117_Cefas_Test6-Run2/Plate 1/@7/D7_01.tif "/>
    <s v=" 78429.9979 "/>
    <s v=" 55.2722 "/>
    <x v="0"/>
    <n v="4334999"/>
    <m/>
    <m/>
    <m/>
  </r>
  <r>
    <x v="11"/>
    <x v="3"/>
    <s v="C:\Users\andre\Desktop\REACTIV CEFAS\E2\E2/20201117_Cefas_Test6-Run2/Plate 1/@7/D7_02.tif "/>
    <s v=" 80549.7276 "/>
    <s v=" 57.1321 "/>
    <x v="0"/>
    <n v="4601976"/>
    <m/>
    <m/>
    <m/>
  </r>
  <r>
    <x v="11"/>
    <x v="3"/>
    <s v="C:\Users\andre\Desktop\REACTIV CEFAS\E2\E2/20201117_Cefas_Test6-Run2/Plate 1/@7/D7_03.tif "/>
    <s v=" 78148.8093 "/>
    <s v=" 54.6028 "/>
    <x v="0"/>
    <n v="4267146"/>
    <m/>
    <m/>
    <m/>
  </r>
  <r>
    <x v="11"/>
    <x v="4"/>
    <s v="C:\Users\andre\Desktop\REACTIV CEFAS\E2\E2/20201117_Cefas_Test6-Run2/Plate 1/@7/E7_01- exclu.tif"/>
    <m/>
    <m/>
    <x v="1"/>
    <m/>
    <m/>
    <m/>
    <m/>
  </r>
  <r>
    <x v="11"/>
    <x v="4"/>
    <s v="C:\Users\andre\Desktop\REACTIV CEFAS\E2\E2/20201117_Cefas_Test6-Run2/Plate 1/@7/E7_02.tif "/>
    <s v=" 65841.3993 "/>
    <s v=" 59.1659 "/>
    <x v="0"/>
    <n v="3895566"/>
    <m/>
    <m/>
    <m/>
  </r>
  <r>
    <x v="11"/>
    <x v="4"/>
    <s v="C:\Users\andre\Desktop\REACTIV CEFAS\E2\E2/20201117_Cefas_Test6-Run2/Plate 1/@7/E7_03- exclu.tif"/>
    <m/>
    <m/>
    <x v="1"/>
    <m/>
    <m/>
    <m/>
    <m/>
  </r>
  <r>
    <x v="11"/>
    <x v="5"/>
    <s v="C:\Users\andre\Desktop\REACTIV CEFAS\E2\E2/20201117_Cefas_Test6-Run2/Plate 1/@7/F7_01.tif "/>
    <s v=" 71205.6131 "/>
    <s v=" 60.2846 "/>
    <x v="0"/>
    <n v="4292604"/>
    <m/>
    <m/>
    <m/>
  </r>
  <r>
    <x v="11"/>
    <x v="5"/>
    <s v="C:\Users\andre\Desktop\REACTIV CEFAS\E2\E2/20201117_Cefas_Test6-Run2/Plate 1/@7/F7_02.tif "/>
    <s v=" 59633.6195 "/>
    <s v=" 62.5481 "/>
    <x v="0"/>
    <n v="3729967"/>
    <m/>
    <m/>
    <m/>
  </r>
  <r>
    <x v="11"/>
    <x v="5"/>
    <s v="C:\Users\andre\Desktop\REACTIV CEFAS\E2\E2/20201117_Cefas_Test6-Run2/Plate 1/@7/F7_03.tif "/>
    <s v=" 60152.737 "/>
    <s v=" 60.8565 "/>
    <x v="0"/>
    <n v="3660687"/>
    <m/>
    <m/>
    <m/>
  </r>
  <r>
    <x v="11"/>
    <x v="6"/>
    <s v="C:\Users\andre\Desktop\REACTIV CEFAS\E2\E2/20201117_Cefas_Test6-Run2/Plate 1/@7/G7_01.tif "/>
    <s v=" 73173.9335 "/>
    <s v=" 62.5782 "/>
    <x v="0"/>
    <n v="4579092"/>
    <m/>
    <m/>
    <m/>
  </r>
  <r>
    <x v="11"/>
    <x v="6"/>
    <s v="C:\Users\andre\Desktop\REACTIV CEFAS\E2\E2/20201117_Cefas_Test6-Run2/Plate 1/@7/G7_02.tif "/>
    <s v=" 79078.8948 "/>
    <s v=" 59.5364 "/>
    <x v="0"/>
    <n v="4708071"/>
    <m/>
    <m/>
    <m/>
  </r>
  <r>
    <x v="11"/>
    <x v="6"/>
    <s v="C:\Users\andre\Desktop\REACTIV CEFAS\E2\E2/20201117_Cefas_Test6-Run2/Plate 1/@7/G7_03.tif "/>
    <s v=" 73022.5243 "/>
    <s v=" 59.0649 "/>
    <x v="0"/>
    <n v="4313066"/>
    <m/>
    <m/>
    <m/>
  </r>
  <r>
    <x v="11"/>
    <x v="7"/>
    <s v="C:\Users\andre\Desktop\REACTIV CEFAS\E2\E2/20201117_Cefas_Test6-Run2/Plate 1/@7/H7_01.tif "/>
    <s v=" 104256.092 "/>
    <s v=" 53.838 "/>
    <x v="0"/>
    <n v="5612936"/>
    <m/>
    <m/>
    <m/>
  </r>
  <r>
    <x v="11"/>
    <x v="7"/>
    <s v="C:\Users\andre\Desktop\REACTIV CEFAS\E2\E2/20201117_Cefas_Test6-Run2/Plate 1/@7/H7_02.tif "/>
    <s v=" 89180.0556 "/>
    <s v=" 52.5768 "/>
    <x v="0"/>
    <n v="4688799"/>
    <m/>
    <m/>
    <m/>
  </r>
  <r>
    <x v="11"/>
    <x v="7"/>
    <s v="C:\Users\andre\Desktop\REACTIV CEFAS\E2\E2/20201117_Cefas_Test6-Run2/Plate 1/@7/H7_03.tif "/>
    <s v=" 89288.205 "/>
    <s v=" 54.6105 "/>
    <x v="0"/>
    <n v="4876070"/>
    <m/>
    <m/>
    <m/>
  </r>
  <r>
    <x v="1"/>
    <x v="8"/>
    <s v=" "/>
    <m/>
    <m/>
    <x v="1"/>
    <m/>
    <m/>
    <m/>
    <m/>
  </r>
  <r>
    <x v="1"/>
    <x v="8"/>
    <s v="group "/>
    <s v=" "/>
    <s v=" mean of mean fluo "/>
    <x v="2"/>
    <s v=" mean of total fluo "/>
    <s v=" SD total fluo "/>
    <s v=" n fluorescent "/>
    <s v=" n total"/>
  </r>
  <r>
    <x v="11"/>
    <x v="9"/>
    <s v="C:\Users\andre\Desktop\REACTIV CEFAS\E2\E2/20201117_Cefas_Test6-Run2/Plate 1/@7/ "/>
    <s v=" "/>
    <s v=" 56.6624 "/>
    <x v="13"/>
    <s v=" 4287507.5 "/>
    <s v=" 665763.613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2"/>
    <x v="0"/>
    <s v="C:\Users\andre\Desktop\REACTIV CEFAS\E2\E2/20201117_Cefas_Test6-Run2/Plate 4/@10/A4_01.tif "/>
    <s v=" 9495.5237 "/>
    <s v=" 37.5308 "/>
    <x v="0"/>
    <n v="356374"/>
    <m/>
    <m/>
    <m/>
  </r>
  <r>
    <x v="12"/>
    <x v="0"/>
    <s v="C:\Users\andre\Desktop\REACTIV CEFAS\E2\E2/20201117_Cefas_Test6-Run2/Plate 4/@10/A4_02.tif "/>
    <s v=" 7310.9044 "/>
    <s v=" 33.7367 "/>
    <x v="0"/>
    <n v="246646"/>
    <m/>
    <m/>
    <m/>
  </r>
  <r>
    <x v="12"/>
    <x v="0"/>
    <s v="C:\Users\andre\Desktop\REACTIV CEFAS\E2\E2/20201117_Cefas_Test6-Run2/Plate 4/@10/A4_03.tif "/>
    <s v=" 8284.2496 "/>
    <s v=" 33.7467 "/>
    <x v="0"/>
    <n v="279566"/>
    <m/>
    <m/>
    <m/>
  </r>
  <r>
    <x v="12"/>
    <x v="1"/>
    <s v="C:\Users\andre\Desktop\REACTIV CEFAS\E2\E2/20201117_Cefas_Test6-Run2/Plate 4/@10/B4_01- exclu.tif"/>
    <m/>
    <m/>
    <x v="1"/>
    <m/>
    <m/>
    <m/>
    <m/>
  </r>
  <r>
    <x v="12"/>
    <x v="1"/>
    <s v="C:\Users\andre\Desktop\REACTIV CEFAS\E2\E2/20201117_Cefas_Test6-Run2/Plate 4/@10/B4_02.tif "/>
    <s v=" 8889.8867 "/>
    <s v=" 32.927 "/>
    <x v="0"/>
    <n v="292717"/>
    <m/>
    <m/>
    <m/>
  </r>
  <r>
    <x v="12"/>
    <x v="1"/>
    <s v="C:\Users\andre\Desktop\REACTIV CEFAS\E2\E2/20201117_Cefas_Test6-Run2/Plate 4/@10/B4_03.tif "/>
    <s v=" 7830.0219 "/>
    <s v=" 33.2486 "/>
    <x v="0"/>
    <n v="260337"/>
    <m/>
    <m/>
    <m/>
  </r>
  <r>
    <x v="12"/>
    <x v="2"/>
    <s v="C:\Users\andre\Desktop\REACTIV CEFAS\E2\E2/20201117_Cefas_Test6-Run2/Plate 4/@10/C4_01.tif "/>
    <s v=" 1319.4236 "/>
    <s v=" 32.9508 "/>
    <x v="0"/>
    <n v="43476"/>
    <m/>
    <m/>
    <m/>
  </r>
  <r>
    <x v="12"/>
    <x v="2"/>
    <s v="C:\Users\andre\Desktop\REACTIV CEFAS\E2\E2/20201117_Cefas_Test6-Run2/Plate 4/@10/C4_02.tif "/>
    <s v=" 20721.4391 "/>
    <s v=" 34.4102 "/>
    <x v="0"/>
    <n v="713029"/>
    <m/>
    <m/>
    <m/>
  </r>
  <r>
    <x v="12"/>
    <x v="2"/>
    <s v="C:\Users\andre\Desktop\REACTIV CEFAS\E2\E2/20201117_Cefas_Test6-Run2/Plate 4/@10/C4_03.tif "/>
    <s v=" 15897.9726 "/>
    <s v=" 33.7592 "/>
    <x v="0"/>
    <n v="536703"/>
    <m/>
    <m/>
    <m/>
  </r>
  <r>
    <x v="12"/>
    <x v="3"/>
    <s v="C:\Users\andre\Desktop\REACTIV CEFAS\E2\E2/20201117_Cefas_Test6-Run2/Plate 4/@10/D4_01.tif "/>
    <s v=" 4131.3099 "/>
    <s v=" 38.0942 "/>
    <x v="0"/>
    <n v="157379"/>
    <m/>
    <m/>
    <m/>
  </r>
  <r>
    <x v="12"/>
    <x v="3"/>
    <s v="C:\Users\andre\Desktop\REACTIV CEFAS\E2\E2/20201117_Cefas_Test6-Run2/Plate 4/@10/D4_02.tif "/>
    <s v=" 49618.9783 "/>
    <s v=" 39.6334 "/>
    <x v="0"/>
    <n v="1966568"/>
    <m/>
    <m/>
    <m/>
  </r>
  <r>
    <x v="12"/>
    <x v="3"/>
    <s v="C:\Users\andre\Desktop\REACTIV CEFAS\E2\E2/20201117_Cefas_Test6-Run2/Plate 4/@10/D4_03.tif "/>
    <s v=" 55091.3416 "/>
    <s v=" 41.2776 "/>
    <x v="0"/>
    <n v="2274037"/>
    <m/>
    <m/>
    <m/>
  </r>
  <r>
    <x v="12"/>
    <x v="4"/>
    <s v="C:\Users\andre\Desktop\REACTIV CEFAS\E2\E2/20201117_Cefas_Test6-Run2/Plate 4/@10/E4_01.tif "/>
    <s v=" 5407.4737 "/>
    <n v="38"/>
    <x v="0"/>
    <n v="205484"/>
    <m/>
    <m/>
    <m/>
  </r>
  <r>
    <x v="12"/>
    <x v="4"/>
    <s v="C:\Users\andre\Desktop\REACTIV CEFAS\E2\E2/20201117_Cefas_Test6-Run2/Plate 4/@10/E4_02- exclu.tif"/>
    <m/>
    <m/>
    <x v="1"/>
    <m/>
    <m/>
    <m/>
    <m/>
  </r>
  <r>
    <x v="12"/>
    <x v="4"/>
    <s v="C:\Users\andre\Desktop\REACTIV CEFAS\E2\E2/20201117_Cefas_Test6-Run2/Plate 4/@10/E4_03- exclu.tif"/>
    <m/>
    <m/>
    <x v="1"/>
    <m/>
    <m/>
    <m/>
    <m/>
  </r>
  <r>
    <x v="12"/>
    <x v="5"/>
    <s v="C:\Users\andre\Desktop\REACTIV CEFAS\E2\E2/20201117_Cefas_Test6-Run2/Plate 4/@10/F4_01.tif "/>
    <s v=" 6099.6303 "/>
    <s v=" 37.7695 "/>
    <x v="0"/>
    <n v="230380"/>
    <m/>
    <m/>
    <m/>
  </r>
  <r>
    <x v="12"/>
    <x v="5"/>
    <s v="C:\Users\andre\Desktop\REACTIV CEFAS\E2\E2/20201117_Cefas_Test6-Run2/Plate 4/@10/F4_02.tif "/>
    <s v=" 73584.9015 "/>
    <s v=" 45.3998 "/>
    <x v="0"/>
    <n v="3340737"/>
    <m/>
    <m/>
    <m/>
  </r>
  <r>
    <x v="12"/>
    <x v="5"/>
    <s v="C:\Users\andre\Desktop\REACTIV CEFAS\E2\E2/20201117_Cefas_Test6-Run2/Plate 4/@10/F4_03.tif "/>
    <s v=" 77672.9516 "/>
    <s v=" 50.7566 "/>
    <x v="0"/>
    <n v="3942416"/>
    <m/>
    <m/>
    <m/>
  </r>
  <r>
    <x v="12"/>
    <x v="6"/>
    <s v="C:\Users\andre\Desktop\REACTIV CEFAS\E2\E2/20201117_Cefas_Test6-Run2/Plate 4/@10/G4_01.tif "/>
    <n v="0"/>
    <n v="0"/>
    <x v="0"/>
    <n v="0"/>
    <m/>
    <m/>
    <m/>
  </r>
  <r>
    <x v="12"/>
    <x v="6"/>
    <s v="C:\Users\andre\Desktop\REACTIV CEFAS\E2\E2/20201117_Cefas_Test6-Run2/Plate 4/@10/G4_02.tif "/>
    <s v=" 27318.5569 "/>
    <s v=" 34.7308 "/>
    <x v="0"/>
    <n v="948795"/>
    <m/>
    <m/>
    <m/>
  </r>
  <r>
    <x v="12"/>
    <x v="6"/>
    <s v="C:\Users\andre\Desktop\REACTIV CEFAS\E2\E2/20201117_Cefas_Test6-Run2/Plate 4/@10/G4_03- exclu.tif"/>
    <m/>
    <m/>
    <x v="1"/>
    <m/>
    <m/>
    <m/>
    <m/>
  </r>
  <r>
    <x v="12"/>
    <x v="7"/>
    <s v="C:\Users\andre\Desktop\REACTIV CEFAS\E2\E2/20201117_Cefas_Test6-Run2/Plate 4/@10/H4_01.tif "/>
    <s v=" 4801.8366 "/>
    <s v=" 36.4144 "/>
    <x v="0"/>
    <n v="174856"/>
    <m/>
    <m/>
    <m/>
  </r>
  <r>
    <x v="12"/>
    <x v="7"/>
    <s v="C:\Users\andre\Desktop\REACTIV CEFAS\E2\E2/20201117_Cefas_Test6-Run2/Plate 4/@10/H4_02.tif "/>
    <s v=" 57016.4022 "/>
    <s v=" 44.8642 "/>
    <x v="0"/>
    <n v="2557995"/>
    <m/>
    <m/>
    <m/>
  </r>
  <r>
    <x v="12"/>
    <x v="7"/>
    <s v="C:\Users\andre\Desktop\REACTIV CEFAS\E2\E2/20201117_Cefas_Test6-Run2/Plate 4/@10/H4_03- exclu.tif"/>
    <m/>
    <m/>
    <x v="1"/>
    <m/>
    <m/>
    <m/>
    <m/>
  </r>
  <r>
    <x v="1"/>
    <x v="8"/>
    <s v=" "/>
    <m/>
    <m/>
    <x v="1"/>
    <m/>
    <m/>
    <m/>
    <m/>
  </r>
  <r>
    <x v="1"/>
    <x v="8"/>
    <s v="group "/>
    <s v=" "/>
    <s v=" mean of mean fluo "/>
    <x v="2"/>
    <s v=" mean of total fluo "/>
    <s v=" SD total fluo "/>
    <s v=" n fluorescent "/>
    <s v=" n total"/>
  </r>
  <r>
    <x v="12"/>
    <x v="9"/>
    <s v="C:\Users\andre\Desktop\REACTIV CEFAS\E2\E2/20201117_Cefas_Test6-Run2/Plate 4/@10/ "/>
    <s v=" "/>
    <s v=" 37.9036 "/>
    <x v="14"/>
    <s v=" 940126.167 "/>
    <s v=" 1099894.88 "/>
    <n v="23"/>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3"/>
    <x v="0"/>
    <s v="C:\Users\andre\Desktop\REACTIV CEFAS\E2\E2/20201117_Cefas_Test6-Run2/Plate 4/@11/A5_01.tif "/>
    <s v=" 11204.2854 "/>
    <s v=" 39.4073 "/>
    <x v="0"/>
    <n v="441531"/>
    <m/>
    <m/>
    <m/>
  </r>
  <r>
    <x v="13"/>
    <x v="0"/>
    <s v="C:\Users\andre\Desktop\REACTIV CEFAS\E2\E2/20201117_Cefas_Test6-Run2/Plate 4/@11/A5_02.tif "/>
    <s v=" 61558.6801 "/>
    <s v=" 47.1574 "/>
    <x v="0"/>
    <n v="2902948"/>
    <m/>
    <m/>
    <m/>
  </r>
  <r>
    <x v="13"/>
    <x v="0"/>
    <s v="C:\Users\andre\Desktop\REACTIV CEFAS\E2\E2/20201117_Cefas_Test6-Run2/Plate 4/@11/A5_03.tif "/>
    <s v=" 68501.8763 "/>
    <s v=" 48.3584 "/>
    <x v="0"/>
    <n v="3312640"/>
    <m/>
    <m/>
    <m/>
  </r>
  <r>
    <x v="13"/>
    <x v="1"/>
    <s v="C:\Users\andre\Desktop\REACTIV CEFAS\E2\E2/20201117_Cefas_Test6-Run2/Plate 4/@11/B5_01.tif "/>
    <s v=" 19445.2753 "/>
    <s v=" 32.8621 "/>
    <x v="0"/>
    <n v="639012"/>
    <m/>
    <m/>
    <m/>
  </r>
  <r>
    <x v="13"/>
    <x v="1"/>
    <s v="C:\Users\andre\Desktop\REACTIV CEFAS\E2\E2/20201117_Cefas_Test6-Run2/Plate 4/@11/B5_02.tif "/>
    <s v=" 47931.8465 "/>
    <s v=" 47.8145 "/>
    <x v="0"/>
    <n v="2291839"/>
    <m/>
    <m/>
    <m/>
  </r>
  <r>
    <x v="13"/>
    <x v="1"/>
    <s v="C:\Users\andre\Desktop\REACTIV CEFAS\E2\E2/20201117_Cefas_Test6-Run2/Plate 4/@11/B5_03.tif "/>
    <s v=" 50419.2844 "/>
    <s v=" 46.8704 "/>
    <x v="0"/>
    <n v="2363174"/>
    <m/>
    <m/>
    <m/>
  </r>
  <r>
    <x v="13"/>
    <x v="2"/>
    <s v="C:\Users\andre\Desktop\REACTIV CEFAS\E2\E2/20201117_Cefas_Test6-Run2/Plate 4/@11/C5_01- exclu.tif"/>
    <m/>
    <m/>
    <x v="1"/>
    <m/>
    <m/>
    <m/>
    <m/>
  </r>
  <r>
    <x v="13"/>
    <x v="2"/>
    <s v="C:\Users\andre\Desktop\REACTIV CEFAS\E2\E2/20201117_Cefas_Test6-Run2/Plate 4/@11/C5_02.tif "/>
    <s v=" 67074.3032 "/>
    <s v=" 43.6985 "/>
    <x v="0"/>
    <n v="2931045"/>
    <m/>
    <m/>
    <m/>
  </r>
  <r>
    <x v="13"/>
    <x v="2"/>
    <s v="C:\Users\andre\Desktop\REACTIV CEFAS\E2\E2/20201117_Cefas_Test6-Run2/Plate 4/@11/C5_03.tif "/>
    <s v=" 72330.3676 "/>
    <s v=" 45.5864 "/>
    <x v="0"/>
    <n v="3297283"/>
    <m/>
    <m/>
    <m/>
  </r>
  <r>
    <x v="13"/>
    <x v="3"/>
    <s v="C:\Users\andre\Desktop\REACTIV CEFAS\E2\E2/20201117_Cefas_Test6-Run2/Plate 4/@11/D5_01- exclu.tif"/>
    <m/>
    <m/>
    <x v="1"/>
    <m/>
    <m/>
    <m/>
    <m/>
  </r>
  <r>
    <x v="13"/>
    <x v="3"/>
    <s v="C:\Users\andre\Desktop\REACTIV CEFAS\E2\E2/20201117_Cefas_Test6-Run2/Plate 4/@11/D5_02.tif "/>
    <s v=" 63764.9294 "/>
    <s v=" 49.7239 "/>
    <x v="0"/>
    <n v="3170640"/>
    <m/>
    <m/>
    <m/>
  </r>
  <r>
    <x v="13"/>
    <x v="3"/>
    <s v="C:\Users\andre\Desktop\REACTIV CEFAS\E2\E2/20201117_Cefas_Test6-Run2/Plate 4/@11/D5_03.tif "/>
    <s v=" 73238.8232 "/>
    <s v=" 46.3193 "/>
    <x v="0"/>
    <n v="3392368"/>
    <m/>
    <m/>
    <m/>
  </r>
  <r>
    <x v="13"/>
    <x v="4"/>
    <s v="C:\Users\andre\Desktop\REACTIV CEFAS\E2\E2/20201117_Cefas_Test6-Run2/Plate 4/@11/E5_01- exclu.tif"/>
    <m/>
    <m/>
    <x v="1"/>
    <m/>
    <m/>
    <m/>
    <m/>
  </r>
  <r>
    <x v="13"/>
    <x v="4"/>
    <s v="C:\Users\andre\Desktop\REACTIV CEFAS\E2\E2/20201117_Cefas_Test6-Run2/Plate 4/@11/E5_02.tif "/>
    <s v=" 42610.8924 "/>
    <s v=" 38.7147 "/>
    <x v="0"/>
    <n v="1649669"/>
    <m/>
    <m/>
    <m/>
  </r>
  <r>
    <x v="13"/>
    <x v="4"/>
    <s v="C:\Users\andre\Desktop\REACTIV CEFAS\E2\E2/20201117_Cefas_Test6-Run2/Plate 4/@11/E5_03.tif "/>
    <s v=" 40188.3442 "/>
    <s v=" 40.0646 "/>
    <x v="0"/>
    <n v="1610129"/>
    <m/>
    <m/>
    <m/>
  </r>
  <r>
    <x v="13"/>
    <x v="5"/>
    <s v="C:\Users\andre\Desktop\REACTIV CEFAS\E2\E2/20201117_Cefas_Test6-Run2/Plate 4/@11/F5_01.tif "/>
    <s v=" 37268.3084 "/>
    <s v=" 34.2908 "/>
    <x v="0"/>
    <n v="1277959"/>
    <m/>
    <m/>
    <m/>
  </r>
  <r>
    <x v="13"/>
    <x v="5"/>
    <s v="C:\Users\andre\Desktop\REACTIV CEFAS\E2\E2/20201117_Cefas_Test6-Run2/Plate 4/@11/F5_02.tif "/>
    <s v=" 84962.2261 "/>
    <s v=" 49.1181 "/>
    <x v="0"/>
    <n v="4173185"/>
    <m/>
    <m/>
    <m/>
  </r>
  <r>
    <x v="13"/>
    <x v="5"/>
    <s v="C:\Users\andre\Desktop\REACTIV CEFAS\E2\E2/20201117_Cefas_Test6-Run2/Plate 4/@11/F5_03.tif "/>
    <s v=" 82777.6067 "/>
    <s v=" 50.4123 "/>
    <x v="0"/>
    <n v="4173012"/>
    <m/>
    <m/>
    <m/>
  </r>
  <r>
    <x v="13"/>
    <x v="6"/>
    <s v="C:\Users\andre\Desktop\REACTIV CEFAS\E2\E2/20201117_Cefas_Test6-Run2/Plate 4/@11/G5_01.tif "/>
    <s v=" 70124.1184 "/>
    <s v=" 36.7761 "/>
    <x v="0"/>
    <n v="2578889"/>
    <m/>
    <m/>
    <m/>
  </r>
  <r>
    <x v="13"/>
    <x v="6"/>
    <s v="C:\Users\andre\Desktop\REACTIV CEFAS\E2\E2/20201117_Cefas_Test6-Run2/Plate 4/@11/G5_02.tif "/>
    <s v=" 72546.6666 "/>
    <s v=" 42.9129 "/>
    <x v="0"/>
    <n v="3113191"/>
    <m/>
    <m/>
    <m/>
  </r>
  <r>
    <x v="13"/>
    <x v="6"/>
    <s v="C:\Users\andre\Desktop\REACTIV CEFAS\E2\E2/20201117_Cefas_Test6-Run2/Plate 4/@11/G5_03.tif "/>
    <s v=" 78949.1154 "/>
    <s v=" 46.4408 "/>
    <x v="0"/>
    <n v="3666462"/>
    <m/>
    <m/>
    <m/>
  </r>
  <r>
    <x v="13"/>
    <x v="7"/>
    <s v="C:\Users\andre\Desktop\REACTIV CEFAS\E2\E2/20201117_Cefas_Test6-Run2/Plate 4/@11/H5_01- exclu.tif"/>
    <m/>
    <m/>
    <x v="1"/>
    <m/>
    <m/>
    <m/>
    <m/>
  </r>
  <r>
    <x v="13"/>
    <x v="7"/>
    <s v="C:\Users\andre\Desktop\REACTIV CEFAS\E2\E2/20201117_Cefas_Test6-Run2/Plate 4/@11/H5_02.tif "/>
    <s v=" 75899.3003 "/>
    <s v=" 45.3252 "/>
    <x v="0"/>
    <n v="3440148"/>
    <m/>
    <m/>
    <m/>
  </r>
  <r>
    <x v="13"/>
    <x v="7"/>
    <s v="C:\Users\andre\Desktop\REACTIV CEFAS\E2\E2/20201117_Cefas_Test6-Run2/Plate 4/@11/H5_03.tif "/>
    <s v=" 74861.0653 "/>
    <s v=" 50.0665 "/>
    <x v="0"/>
    <n v="3748028"/>
    <m/>
    <m/>
    <m/>
  </r>
  <r>
    <x v="1"/>
    <x v="8"/>
    <s v=" "/>
    <m/>
    <m/>
    <x v="1"/>
    <m/>
    <m/>
    <m/>
    <m/>
  </r>
  <r>
    <x v="1"/>
    <x v="8"/>
    <s v="group "/>
    <s v=" "/>
    <s v=" mean of mean fluo "/>
    <x v="2"/>
    <s v=" mean of total fluo "/>
    <s v=" SD total fluo "/>
    <s v=" n fluorescent "/>
    <s v=" n total"/>
  </r>
  <r>
    <x v="13"/>
    <x v="9"/>
    <s v="C:\Users\andre\Desktop\REACTIV CEFAS\E2\E2/20201117_Cefas_Test6-Run2/Plate 4/@11/ "/>
    <s v=" "/>
    <s v=" 42.9529 "/>
    <x v="15"/>
    <s v=" 2380923.25 "/>
    <s v=" 1253236.73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4"/>
    <x v="0"/>
    <s v="C:\Users\andre\Desktop\REACTIV CEFAS\E2\E2/20201117_Cefas_Test6-Run2/Plate 4/@12/A6_01.tif "/>
    <s v=" 53296.0604 "/>
    <s v=" 38.3381 "/>
    <x v="0"/>
    <n v="2043268"/>
    <m/>
    <m/>
    <m/>
  </r>
  <r>
    <x v="14"/>
    <x v="0"/>
    <s v="C:\Users\andre\Desktop\REACTIV CEFAS\E2\E2/20201117_Cefas_Test6-Run2/Plate 4/@12/A6_02.tif "/>
    <s v=" 88401.3793 "/>
    <s v=" 54.6004 "/>
    <x v="0"/>
    <n v="4826754"/>
    <m/>
    <m/>
    <m/>
  </r>
  <r>
    <x v="14"/>
    <x v="0"/>
    <s v="C:\Users\andre\Desktop\REACTIV CEFAS\E2\E2/20201117_Cefas_Test6-Run2/Plate 4/@12/A6_03.tif "/>
    <s v=" 91905.4223 "/>
    <s v=" 51.7216 "/>
    <x v="0"/>
    <n v="4753494"/>
    <m/>
    <m/>
    <m/>
  </r>
  <r>
    <x v="14"/>
    <x v="1"/>
    <s v="C:\Users\andre\Desktop\REACTIV CEFAS\E2\E2/20201117_Cefas_Test6-Run2/Plate 4/@12/B6_01.tif "/>
    <s v=" 39214.999 "/>
    <s v=" 34.3453 "/>
    <x v="0"/>
    <n v="1346850"/>
    <m/>
    <m/>
    <m/>
  </r>
  <r>
    <x v="14"/>
    <x v="1"/>
    <s v="C:\Users\andre\Desktop\REACTIV CEFAS\E2\E2/20201117_Cefas_Test6-Run2/Plate 4/@12/B6_02- exclu.tif"/>
    <m/>
    <m/>
    <x v="1"/>
    <m/>
    <m/>
    <m/>
    <m/>
  </r>
  <r>
    <x v="14"/>
    <x v="1"/>
    <s v="C:\Users\andre\Desktop\REACTIV CEFAS\E2\E2/20201117_Cefas_Test6-Run2/Plate 4/@12/B6_03- exclu.tif"/>
    <m/>
    <m/>
    <x v="1"/>
    <m/>
    <m/>
    <m/>
    <m/>
  </r>
  <r>
    <x v="14"/>
    <x v="2"/>
    <s v="C:\Users\andre\Desktop\REACTIV CEFAS\E2\E2/20201117_Cefas_Test6-Run2/Plate 4/@12/C6_01.tif "/>
    <s v=" 70405.307 "/>
    <s v=" 42.8716 "/>
    <x v="0"/>
    <n v="3018387"/>
    <m/>
    <m/>
    <m/>
  </r>
  <r>
    <x v="14"/>
    <x v="2"/>
    <s v="C:\Users\andre\Desktop\REACTIV CEFAS\E2\E2/20201117_Cefas_Test6-Run2/Plate 4/@12/C6_02.tif "/>
    <s v=" 74060.7592 "/>
    <s v=" 46.7573 "/>
    <x v="0"/>
    <n v="3462881"/>
    <m/>
    <m/>
    <m/>
  </r>
  <r>
    <x v="14"/>
    <x v="2"/>
    <s v="C:\Users\andre\Desktop\REACTIV CEFAS\E2\E2/20201117_Cefas_Test6-Run2/Plate 4/@12/C6_03.tif "/>
    <s v=" 84421.4787 "/>
    <s v=" 45.7297 "/>
    <x v="0"/>
    <n v="3860568"/>
    <m/>
    <m/>
    <m/>
  </r>
  <r>
    <x v="14"/>
    <x v="3"/>
    <s v="C:\Users\andre\Desktop\REACTIV CEFAS\E2\E2/20201117_Cefas_Test6-Run2/Plate 4/@12/D6_01.tif "/>
    <s v=" 33223.5181 "/>
    <s v=" 34.2487 "/>
    <x v="0"/>
    <n v="1137862"/>
    <m/>
    <m/>
    <m/>
  </r>
  <r>
    <x v="14"/>
    <x v="3"/>
    <s v="C:\Users\andre\Desktop\REACTIV CEFAS\E2\E2/20201117_Cefas_Test6-Run2/Plate 4/@12/D6_02.tif "/>
    <s v=" 68415.3567 "/>
    <s v=" 53.2343 "/>
    <x v="0"/>
    <n v="3642042"/>
    <m/>
    <m/>
    <m/>
  </r>
  <r>
    <x v="14"/>
    <x v="3"/>
    <s v="C:\Users\andre\Desktop\REACTIV CEFAS\E2\E2/20201117_Cefas_Test6-Run2/Plate 4/@12/D6_03.tif "/>
    <s v=" 68891.2144 "/>
    <s v=" 57.9108 "/>
    <x v="0"/>
    <n v="3989548"/>
    <m/>
    <m/>
    <m/>
  </r>
  <r>
    <x v="14"/>
    <x v="4"/>
    <s v="C:\Users\andre\Desktop\REACTIV CEFAS\E2\E2/20201117_Cefas_Test6-Run2/Plate 4/@12/E6_01.tif "/>
    <s v=" 85027.1158 "/>
    <s v=" 40.7049 "/>
    <x v="0"/>
    <n v="3461021"/>
    <m/>
    <m/>
    <m/>
  </r>
  <r>
    <x v="14"/>
    <x v="4"/>
    <s v="C:\Users\andre\Desktop\REACTIV CEFAS\E2\E2/20201117_Cefas_Test6-Run2/Plate 4/@12/E6_02.tif "/>
    <s v=" 77413.3929 "/>
    <s v=" 53.867 "/>
    <x v="0"/>
    <n v="4170027"/>
    <m/>
    <m/>
    <m/>
  </r>
  <r>
    <x v="14"/>
    <x v="4"/>
    <s v="C:\Users\andre\Desktop\REACTIV CEFAS\E2\E2/20201117_Cefas_Test6-Run2/Plate 4/@12/E6_03.tif "/>
    <s v=" 87363.1444 "/>
    <s v=" 53.0607 "/>
    <x v="0"/>
    <n v="4635546"/>
    <m/>
    <m/>
    <m/>
  </r>
  <r>
    <x v="14"/>
    <x v="5"/>
    <s v="C:\Users\andre\Desktop\REACTIV CEFAS\E2\E2/20201117_Cefas_Test6-Run2/Plate 4/@12/F6_01- exclu.tif"/>
    <m/>
    <m/>
    <x v="1"/>
    <m/>
    <m/>
    <m/>
    <m/>
  </r>
  <r>
    <x v="14"/>
    <x v="5"/>
    <s v="C:\Users\andre\Desktop\REACTIV CEFAS\E2\E2/20201117_Cefas_Test6-Run2/Plate 4/@12/F6_02.tif "/>
    <s v=" 81241.8842 "/>
    <s v=" 52.1581 "/>
    <x v="0"/>
    <n v="4237426"/>
    <m/>
    <m/>
    <m/>
  </r>
  <r>
    <x v="14"/>
    <x v="5"/>
    <s v="C:\Users\andre\Desktop\REACTIV CEFAS\E2\E2/20201117_Cefas_Test6-Run2/Plate 4/@12/F6_03.tif "/>
    <s v=" 78970.7453 "/>
    <s v=" 55.0345 "/>
    <x v="0"/>
    <n v="4346116"/>
    <m/>
    <m/>
    <m/>
  </r>
  <r>
    <x v="14"/>
    <x v="6"/>
    <s v="C:\Users\andre\Desktop\REACTIV CEFAS\E2\E2/20201117_Cefas_Test6-Run2/Plate 4/@12/G6_01.tif "/>
    <s v=" 49359.4195 "/>
    <s v=" 37.1455 "/>
    <x v="0"/>
    <n v="1833480"/>
    <m/>
    <m/>
    <m/>
  </r>
  <r>
    <x v="14"/>
    <x v="6"/>
    <s v="C:\Users\andre\Desktop\REACTIV CEFAS\E2\E2/20201117_Cefas_Test6-Run2/Plate 4/@12/G6_02.tif "/>
    <s v=" 80203.6493 "/>
    <s v=" 52.9051 "/>
    <x v="0"/>
    <n v="4243180"/>
    <m/>
    <m/>
    <m/>
  </r>
  <r>
    <x v="14"/>
    <x v="6"/>
    <s v="C:\Users\andre\Desktop\REACTIV CEFAS\E2\E2/20201117_Cefas_Test6-Run2/Plate 4/@12/G6_03.tif "/>
    <s v=" 75683.0013 "/>
    <s v=" 50.8028 "/>
    <x v="0"/>
    <n v="3844908"/>
    <m/>
    <m/>
    <m/>
  </r>
  <r>
    <x v="14"/>
    <x v="7"/>
    <s v="C:\Users\andre\Desktop\REACTIV CEFAS\E2\E2/20201117_Cefas_Test6-Run2/Plate 4/@12/H6_01.tif "/>
    <s v=" 88314.8598 "/>
    <s v=" 46.8097 "/>
    <x v="0"/>
    <n v="4133992"/>
    <m/>
    <m/>
    <m/>
  </r>
  <r>
    <x v="14"/>
    <x v="7"/>
    <s v="C:\Users\andre\Desktop\REACTIV CEFAS\E2\E2/20201117_Cefas_Test6-Run2/Plate 4/@12/H6_02.tif "/>
    <s v=" 88141.8206 "/>
    <s v=" 56.1094 "/>
    <x v="0"/>
    <n v="4945589"/>
    <m/>
    <m/>
    <m/>
  </r>
  <r>
    <x v="14"/>
    <x v="7"/>
    <s v="C:\Users\andre\Desktop\REACTIV CEFAS\E2\E2/20201117_Cefas_Test6-Run2/Plate 4/@12/H6_03.tif "/>
    <s v=" 87428.0341 "/>
    <s v=" 54.6865 "/>
    <x v="0"/>
    <n v="4781137"/>
    <m/>
    <m/>
    <m/>
  </r>
  <r>
    <x v="1"/>
    <x v="8"/>
    <s v=" "/>
    <m/>
    <m/>
    <x v="1"/>
    <m/>
    <m/>
    <m/>
    <m/>
  </r>
  <r>
    <x v="1"/>
    <x v="8"/>
    <s v="group "/>
    <s v=" "/>
    <s v=" mean of mean fluo "/>
    <x v="2"/>
    <s v=" mean of total fluo "/>
    <s v=" SD total fluo "/>
    <s v=" n fluorescent "/>
    <s v=" n total"/>
  </r>
  <r>
    <x v="14"/>
    <x v="9"/>
    <s v="C:\Users\andre\Desktop\REACTIV CEFAS\E2\E2/20201117_Cefas_Test6-Run2/Plate 4/@12/ "/>
    <s v=" "/>
    <s v=" 48.6403 "/>
    <x v="16"/>
    <s v=" 3476196.17 "/>
    <s v=" 1187473.96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5"/>
    <x v="0"/>
    <s v="C:\Users\andre\Desktop\REACTIV CEFAS\E2\E2/20201117_Cefas_Test6-Run2/Plate 4/@17/A8_01.tif "/>
    <s v=" 59525.47 "/>
    <s v=" 41.4037 "/>
    <x v="0"/>
    <n v="2464575"/>
    <m/>
    <m/>
    <m/>
  </r>
  <r>
    <x v="15"/>
    <x v="0"/>
    <s v="C:\Users\andre\Desktop\REACTIV CEFAS\E2\E2/20201117_Cefas_Test6-Run2/Plate 4/@17/A8_02.tif "/>
    <s v=" 53231.1707 "/>
    <s v=" 47.7196 "/>
    <x v="0"/>
    <n v="2540172"/>
    <m/>
    <m/>
    <m/>
  </r>
  <r>
    <x v="15"/>
    <x v="0"/>
    <s v="C:\Users\andre\Desktop\REACTIV CEFAS\E2\E2/20201117_Cefas_Test6-Run2/Plate 4/@17/A8_03.tif "/>
    <s v=" 59330.801 "/>
    <s v=" 46.8345 "/>
    <x v="0"/>
    <n v="2778728"/>
    <m/>
    <m/>
    <m/>
  </r>
  <r>
    <x v="15"/>
    <x v="1"/>
    <s v="C:\Users\andre\Desktop\REACTIV CEFAS\E2\E2/20201117_Cefas_Test6-Run2/Plate 4/@17/B8_01.tif "/>
    <s v=" 36165.1838 "/>
    <s v=" 35.1447 "/>
    <x v="0"/>
    <n v="1271016"/>
    <m/>
    <m/>
    <m/>
  </r>
  <r>
    <x v="15"/>
    <x v="1"/>
    <s v="C:\Users\andre\Desktop\REACTIV CEFAS\E2\E2/20201117_Cefas_Test6-Run2/Plate 4/@17/B8_02.tif "/>
    <s v=" 63245.8119 "/>
    <s v=" 42.236 "/>
    <x v="0"/>
    <n v="2671249"/>
    <m/>
    <m/>
    <m/>
  </r>
  <r>
    <x v="15"/>
    <x v="1"/>
    <s v="C:\Users\andre\Desktop\REACTIV CEFAS\E2\E2/20201117_Cefas_Test6-Run2/Plate 4/@17/B8_03.tif "/>
    <s v=" 62077.7976 "/>
    <s v=" 41.7101 "/>
    <x v="0"/>
    <n v="2589271"/>
    <m/>
    <m/>
    <m/>
  </r>
  <r>
    <x v="15"/>
    <x v="2"/>
    <s v="C:\Users\andre\Desktop\REACTIV CEFAS\E2\E2/20201117_Cefas_Test6-Run2/Plate 4/@17/C8_01- exclu.tif"/>
    <m/>
    <m/>
    <x v="1"/>
    <m/>
    <m/>
    <m/>
    <m/>
  </r>
  <r>
    <x v="15"/>
    <x v="2"/>
    <s v="C:\Users\andre\Desktop\REACTIV CEFAS\E2\E2/20201117_Cefas_Test6-Run2/Plate 4/@17/C8_02.tif "/>
    <s v=" 41442.8781 "/>
    <s v=" 36.6816 "/>
    <x v="0"/>
    <n v="1520192"/>
    <m/>
    <m/>
    <m/>
  </r>
  <r>
    <x v="15"/>
    <x v="2"/>
    <s v="C:\Users\andre\Desktop\REACTIV CEFAS\E2\E2/20201117_Cefas_Test6-Run2/Plate 4/@17/C8_03.tif "/>
    <s v=" 37246.6786 "/>
    <s v=" 35.7364 "/>
    <x v="0"/>
    <n v="1331060"/>
    <m/>
    <m/>
    <m/>
  </r>
  <r>
    <x v="15"/>
    <x v="3"/>
    <s v="C:\Users\andre\Desktop\REACTIV CEFAS\E2\E2/20201117_Cefas_Test6-Run2/Plate 4/@17/D8_01.tif "/>
    <s v=" 63159.2923 "/>
    <s v=" 48.8853 "/>
    <x v="0"/>
    <n v="3087559"/>
    <m/>
    <m/>
    <m/>
  </r>
  <r>
    <x v="15"/>
    <x v="3"/>
    <s v="C:\Users\andre\Desktop\REACTIV CEFAS\E2\E2/20201117_Cefas_Test6-Run2/Plate 4/@17/D8_02.tif "/>
    <s v=" 28097.2331 "/>
    <s v=" 38.0408 "/>
    <x v="0"/>
    <n v="1068841"/>
    <m/>
    <m/>
    <m/>
  </r>
  <r>
    <x v="15"/>
    <x v="3"/>
    <s v="C:\Users\andre\Desktop\REACTIV CEFAS\E2\E2/20201117_Cefas_Test6-Run2/Plate 4/@17/D8_03- exclu.tif"/>
    <m/>
    <m/>
    <x v="1"/>
    <m/>
    <m/>
    <m/>
    <m/>
  </r>
  <r>
    <x v="15"/>
    <x v="4"/>
    <s v="C:\Users\andre\Desktop\REACTIV CEFAS\E2\E2/20201117_Cefas_Test6-Run2/Plate 4/@17/E8_01.tif "/>
    <s v=" 55523.9395 "/>
    <s v=" 38.6884 "/>
    <x v="0"/>
    <n v="2148130"/>
    <m/>
    <m/>
    <m/>
  </r>
  <r>
    <x v="15"/>
    <x v="4"/>
    <s v="C:\Users\andre\Desktop\REACTIV CEFAS\E2\E2/20201117_Cefas_Test6-Run2/Plate 4/@17/E8_02.tif "/>
    <s v=" 55437.4199 "/>
    <s v=" 44.151 "/>
    <x v="0"/>
    <n v="2447617"/>
    <m/>
    <m/>
    <m/>
  </r>
  <r>
    <x v="15"/>
    <x v="4"/>
    <s v="C:\Users\andre\Desktop\REACTIV CEFAS\E2\E2/20201117_Cefas_Test6-Run2/Plate 4/@17/E8_03.tif "/>
    <s v=" 54507.3345 "/>
    <s v=" 42.6667 "/>
    <x v="0"/>
    <n v="2325646"/>
    <m/>
    <m/>
    <m/>
  </r>
  <r>
    <x v="15"/>
    <x v="5"/>
    <s v="C:\Users\andre\Desktop\REACTIV CEFAS\E2\E2/20201117_Cefas_Test6-Run2/Plate 4/@17/F8_01.tif "/>
    <s v=" 31947.3544 "/>
    <s v=" 35.9066 "/>
    <x v="0"/>
    <n v="1147120"/>
    <m/>
    <m/>
    <m/>
  </r>
  <r>
    <x v="15"/>
    <x v="5"/>
    <s v="C:\Users\andre\Desktop\REACTIV CEFAS\E2\E2/20201117_Cefas_Test6-Run2/Plate 4/@17/F8_02.tif "/>
    <s v=" 68826.3247 "/>
    <s v=" 46.3655 "/>
    <x v="0"/>
    <n v="3191167"/>
    <m/>
    <m/>
    <m/>
  </r>
  <r>
    <x v="15"/>
    <x v="5"/>
    <s v="C:\Users\andre\Desktop\REACTIV CEFAS\E2\E2/20201117_Cefas_Test6-Run2/Plate 4/@17/F8_03- exclu.tif"/>
    <m/>
    <m/>
    <x v="1"/>
    <m/>
    <m/>
    <m/>
    <m/>
  </r>
  <r>
    <x v="15"/>
    <x v="6"/>
    <s v="C:\Users\andre\Desktop\REACTIV CEFAS\E2\E2/20201117_Cefas_Test6-Run2/Plate 4/@17/G8_01.tif "/>
    <s v=" 54615.4839 "/>
    <s v=" 42.8424 "/>
    <x v="0"/>
    <n v="2339857"/>
    <m/>
    <m/>
    <m/>
  </r>
  <r>
    <x v="15"/>
    <x v="6"/>
    <s v="C:\Users\andre\Desktop\REACTIV CEFAS\E2\E2/20201117_Cefas_Test6-Run2/Plate 4/@17/G8_02.tif "/>
    <s v=" 42610.8924 "/>
    <s v=" 38.5355 "/>
    <x v="0"/>
    <n v="1642033"/>
    <m/>
    <m/>
    <m/>
  </r>
  <r>
    <x v="15"/>
    <x v="6"/>
    <s v="C:\Users\andre\Desktop\REACTIV CEFAS\E2\E2/20201117_Cefas_Test6-Run2/Plate 4/@17/G8_03.tif "/>
    <s v=" 39366.4082 "/>
    <s v=" 38.6346 "/>
    <x v="0"/>
    <n v="1520906"/>
    <m/>
    <m/>
    <m/>
  </r>
  <r>
    <x v="15"/>
    <x v="7"/>
    <s v="C:\Users\andre\Desktop\REACTIV CEFAS\E2\E2/20201117_Cefas_Test6-Run2/Plate 4/@17/H8_01.tif "/>
    <s v=" 62683.4346 "/>
    <s v=" 41.4617 "/>
    <x v="0"/>
    <n v="2598962"/>
    <m/>
    <m/>
    <m/>
  </r>
  <r>
    <x v="15"/>
    <x v="7"/>
    <s v="C:\Users\andre\Desktop\REACTIV CEFAS\E2\E2/20201117_Cefas_Test6-Run2/Plate 4/@17/H8_02.tif "/>
    <s v=" 53836.8077 "/>
    <s v=" 41.2045 "/>
    <x v="0"/>
    <n v="2218319"/>
    <m/>
    <m/>
    <m/>
  </r>
  <r>
    <x v="15"/>
    <x v="7"/>
    <s v="C:\Users\andre\Desktop\REACTIV CEFAS\E2\E2/20201117_Cefas_Test6-Run2/Plate 4/@17/H8_03.tif "/>
    <s v=" 77845.9908 "/>
    <s v=" 42.8672 "/>
    <x v="0"/>
    <n v="3337039"/>
    <m/>
    <m/>
    <m/>
  </r>
  <r>
    <x v="1"/>
    <x v="8"/>
    <s v=" "/>
    <m/>
    <m/>
    <x v="1"/>
    <m/>
    <m/>
    <m/>
    <m/>
  </r>
  <r>
    <x v="1"/>
    <x v="8"/>
    <s v="group "/>
    <s v=" "/>
    <s v=" mean of mean fluo "/>
    <x v="2"/>
    <s v=" mean of total fluo "/>
    <s v=" SD total fluo "/>
    <s v=" n fluorescent "/>
    <s v=" n total"/>
  </r>
  <r>
    <x v="15"/>
    <x v="9"/>
    <s v="C:\Users\andre\Desktop\REACTIV CEFAS\E2\E2/20201117_Cefas_Test6-Run2/Plate 4/@17/ "/>
    <s v=" "/>
    <s v=" 41.9085 "/>
    <x v="17"/>
    <s v=" 2165214.67 "/>
    <s v=" 669977.235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6"/>
    <x v="0"/>
    <s v="C:\Users\andre\Desktop\REACTIV CEFAS\E2\E2/20201117_Cefas_Test6-Run2/Plate 4/@18/A9_01.tif "/>
    <s v=" 72633.1862 "/>
    <s v=" 42.3362 "/>
    <x v="0"/>
    <n v="3075014"/>
    <m/>
    <m/>
    <m/>
  </r>
  <r>
    <x v="16"/>
    <x v="0"/>
    <s v="C:\Users\andre\Desktop\REACTIV CEFAS\E2\E2/20201117_Cefas_Test6-Run2/Plate 4/@18/A9_02.tif "/>
    <s v=" 54550.5943 "/>
    <s v=" 45.5032 "/>
    <x v="0"/>
    <n v="2482225"/>
    <m/>
    <m/>
    <m/>
  </r>
  <r>
    <x v="16"/>
    <x v="0"/>
    <s v="C:\Users\andre\Desktop\REACTIV CEFAS\E2\E2/20201117_Cefas_Test6-Run2/Plate 4/@18/A9_03- exclu.tif"/>
    <m/>
    <m/>
    <x v="1"/>
    <m/>
    <m/>
    <m/>
    <m/>
  </r>
  <r>
    <x v="16"/>
    <x v="1"/>
    <s v="C:\Users\andre\Desktop\REACTIV CEFAS\E2\E2/20201117_Cefas_Test6-Run2/Plate 4/@18/B9_01.tif "/>
    <s v=" 57751.8187 "/>
    <s v=" 39.6614 "/>
    <x v="0"/>
    <n v="2290519"/>
    <m/>
    <m/>
    <m/>
  </r>
  <r>
    <x v="16"/>
    <x v="1"/>
    <s v="C:\Users\andre\Desktop\REACTIV CEFAS\E2\E2/20201117_Cefas_Test6-Run2/Plate 4/@18/B9_02- exclu.tif"/>
    <m/>
    <m/>
    <x v="1"/>
    <m/>
    <m/>
    <m/>
    <m/>
  </r>
  <r>
    <x v="16"/>
    <x v="1"/>
    <s v="C:\Users\andre\Desktop\REACTIV CEFAS\E2\E2/20201117_Cefas_Test6-Run2/Plate 4/@18/B9_03- exclu.tif"/>
    <m/>
    <m/>
    <x v="1"/>
    <m/>
    <m/>
    <m/>
    <m/>
  </r>
  <r>
    <x v="16"/>
    <x v="2"/>
    <s v="C:\Users\andre\Desktop\REACTIV CEFAS\E2\E2/20201117_Cefas_Test6-Run2/Plate 4/@18/C9_01.tif "/>
    <s v=" 68891.2144 "/>
    <s v=" 44.8038 "/>
    <x v="0"/>
    <n v="3086586"/>
    <m/>
    <m/>
    <m/>
  </r>
  <r>
    <x v="16"/>
    <x v="2"/>
    <s v="C:\Users\andre\Desktop\REACTIV CEFAS\E2\E2/20201117_Cefas_Test6-Run2/Plate 4/@18/C9_02.tif "/>
    <s v=" 49662.2381 "/>
    <s v=" 41.7239 "/>
    <x v="0"/>
    <n v="2072101"/>
    <m/>
    <m/>
    <m/>
  </r>
  <r>
    <x v="16"/>
    <x v="2"/>
    <s v="C:\Users\andre\Desktop\REACTIV CEFAS\E2\E2/20201117_Cefas_Test6-Run2/Plate 4/@18/C9_03.tif "/>
    <s v=" 48861.932 "/>
    <s v=" 43.1164 "/>
    <x v="0"/>
    <n v="2106752"/>
    <m/>
    <m/>
    <m/>
  </r>
  <r>
    <x v="16"/>
    <x v="3"/>
    <s v="C:\Users\andre\Desktop\REACTIV CEFAS\E2\E2/20201117_Cefas_Test6-Run2/Plate 4/@18/D9_01.tif "/>
    <s v=" 55805.1281 "/>
    <s v=" 51.0829 "/>
    <x v="0"/>
    <n v="2850690"/>
    <m/>
    <m/>
    <m/>
  </r>
  <r>
    <x v="16"/>
    <x v="3"/>
    <s v="C:\Users\andre\Desktop\REACTIV CEFAS\E2\E2/20201117_Cefas_Test6-Run2/Plate 4/@18/D9_02.tif "/>
    <s v=" 51652.1884 "/>
    <s v=" 48.2701 "/>
    <x v="0"/>
    <n v="2493256"/>
    <m/>
    <m/>
    <m/>
  </r>
  <r>
    <x v="16"/>
    <x v="3"/>
    <s v="C:\Users\andre\Desktop\REACTIV CEFAS\E2\E2/20201117_Cefas_Test6-Run2/Plate 4/@18/D9_03.tif "/>
    <s v=" 53836.8077 "/>
    <s v=" 42.2523 "/>
    <x v="0"/>
    <n v="2274729"/>
    <m/>
    <m/>
    <m/>
  </r>
  <r>
    <x v="16"/>
    <x v="4"/>
    <s v="C:\Users\andre\Desktop\REACTIV CEFAS\E2\E2/20201117_Cefas_Test6-Run2/Plate 4/@18/E9_01.tif "/>
    <s v=" 70318.7874 "/>
    <s v=" 48.0203 "/>
    <x v="0"/>
    <n v="3376729"/>
    <m/>
    <m/>
    <m/>
  </r>
  <r>
    <x v="16"/>
    <x v="4"/>
    <s v="C:\Users\andre\Desktop\REACTIV CEFAS\E2\E2/20201117_Cefas_Test6-Run2/Plate 4/@18/E9_02.tif "/>
    <s v=" 67615.0506 "/>
    <s v=" 48.2655 "/>
    <x v="0"/>
    <n v="3263475"/>
    <m/>
    <m/>
    <m/>
  </r>
  <r>
    <x v="16"/>
    <x v="4"/>
    <s v="C:\Users\andre\Desktop\REACTIV CEFAS\E2\E2/20201117_Cefas_Test6-Run2/Plate 4/@18/E9_03.tif "/>
    <s v=" 67809.7197 "/>
    <s v=" 43.8182 "/>
    <x v="0"/>
    <n v="2971299"/>
    <m/>
    <m/>
    <m/>
  </r>
  <r>
    <x v="16"/>
    <x v="5"/>
    <s v="C:\Users\andre\Desktop\REACTIV CEFAS\E2\E2/20201117_Cefas_Test6-Run2/Plate 4/@18/F9_01.tif "/>
    <s v=" 76980.795 "/>
    <s v=" 49.222 "/>
    <x v="0"/>
    <n v="3789147"/>
    <m/>
    <m/>
    <m/>
  </r>
  <r>
    <x v="16"/>
    <x v="5"/>
    <s v="C:\Users\andre\Desktop\REACTIV CEFAS\E2\E2/20201117_Cefas_Test6-Run2/Plate 4/@18/F9_02.tif "/>
    <s v=" 69756.4102 "/>
    <s v=" 44.7119 "/>
    <x v="0"/>
    <n v="3118944"/>
    <m/>
    <m/>
    <m/>
  </r>
  <r>
    <x v="16"/>
    <x v="5"/>
    <s v="C:\Users\andre\Desktop\REACTIV CEFAS\E2\E2/20201117_Cefas_Test6-Run2/Plate 4/@18/F9_03.tif "/>
    <s v=" 61861.4986 "/>
    <s v=" 44.5503 "/>
    <x v="0"/>
    <n v="2755951"/>
    <m/>
    <m/>
    <m/>
  </r>
  <r>
    <x v="16"/>
    <x v="6"/>
    <s v="C:\Users\andre\Desktop\REACTIV CEFAS\E2\E2/20201117_Cefas_Test6-Run2/Plate 4/@18/G9_01.tif "/>
    <s v=" 50851.8823 "/>
    <s v=" 36.4351 "/>
    <x v="0"/>
    <n v="1852795"/>
    <m/>
    <m/>
    <m/>
  </r>
  <r>
    <x v="16"/>
    <x v="6"/>
    <s v="C:\Users\andre\Desktop\REACTIV CEFAS\E2\E2/20201117_Cefas_Test6-Run2/Plate 4/@18/G9_02.tif "/>
    <s v=" 73346.9727 "/>
    <s v=" 49.0212 "/>
    <x v="0"/>
    <n v="3595559"/>
    <m/>
    <m/>
    <m/>
  </r>
  <r>
    <x v="16"/>
    <x v="6"/>
    <s v="C:\Users\andre\Desktop\REACTIV CEFAS\E2\E2/20201117_Cefas_Test6-Run2/Plate 4/@18/G9_03.tif "/>
    <s v=" 73866.0902 "/>
    <s v=" 51.1818 "/>
    <x v="0"/>
    <n v="3780603"/>
    <m/>
    <m/>
    <m/>
  </r>
  <r>
    <x v="16"/>
    <x v="7"/>
    <s v="C:\Users\andre\Desktop\REACTIV CEFAS\E2\E2/20201117_Cefas_Test6-Run2/Plate 4/@18/H9_01.tif "/>
    <s v=" 49381.0494 "/>
    <s v=" 41.5423 "/>
    <x v="0"/>
    <n v="2051401"/>
    <m/>
    <m/>
    <m/>
  </r>
  <r>
    <x v="16"/>
    <x v="7"/>
    <s v="C:\Users\andre\Desktop\REACTIV CEFAS\E2\E2/20201117_Cefas_Test6-Run2/Plate 4/@18/H9_02- exclu.tif"/>
    <m/>
    <m/>
    <x v="1"/>
    <m/>
    <m/>
    <m/>
    <m/>
  </r>
  <r>
    <x v="16"/>
    <x v="7"/>
    <s v="C:\Users\andre\Desktop\REACTIV CEFAS\E2\E2/20201117_Cefas_Test6-Run2/Plate 4/@18/H9_03- exclu.tif"/>
    <m/>
    <m/>
    <x v="1"/>
    <m/>
    <m/>
    <m/>
    <m/>
  </r>
  <r>
    <x v="1"/>
    <x v="8"/>
    <s v=" "/>
    <m/>
    <m/>
    <x v="1"/>
    <m/>
    <m/>
    <m/>
    <m/>
  </r>
  <r>
    <x v="1"/>
    <x v="8"/>
    <s v="group "/>
    <s v=" "/>
    <s v=" mean of mean fluo "/>
    <x v="2"/>
    <s v=" mean of total fluo "/>
    <s v=" SD total fluo "/>
    <s v=" n fluorescent "/>
    <s v=" n total"/>
  </r>
  <r>
    <x v="16"/>
    <x v="9"/>
    <s v="C:\Users\andre\Desktop\REACTIV CEFAS\E2\E2/20201117_Cefas_Test6-Run2/Plate 4/@18/ "/>
    <s v=" "/>
    <s v=" 45.0083 "/>
    <x v="18"/>
    <s v=" 2678012.5 "/>
    <s v=" 766887.103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7"/>
    <x v="0"/>
    <s v="C:\Users\andre\Desktop\REACTIV CEFAS\E2\E2/20201117_Cefas_Test6-Run2/Plate 4/@19/A10_01- exclu.tif"/>
    <m/>
    <m/>
    <x v="1"/>
    <m/>
    <m/>
    <m/>
    <m/>
  </r>
  <r>
    <x v="17"/>
    <x v="0"/>
    <s v="C:\Users\andre\Desktop\REACTIV CEFAS\E2\E2/20201117_Cefas_Test6-Run2/Plate 4/@19/A10_02.tif "/>
    <s v=" 50592.3235 "/>
    <s v=" 46.6584 "/>
    <x v="0"/>
    <n v="2360557"/>
    <m/>
    <m/>
    <m/>
  </r>
  <r>
    <x v="17"/>
    <x v="0"/>
    <s v="C:\Users\andre\Desktop\REACTIV CEFAS\E2\E2/20201117_Cefas_Test6-Run2/Plate 4/@19/A10_03.tif "/>
    <s v=" 50159.7256 "/>
    <s v=" 46.2837 "/>
    <x v="0"/>
    <n v="2321580"/>
    <m/>
    <m/>
    <m/>
  </r>
  <r>
    <x v="17"/>
    <x v="1"/>
    <s v="C:\Users\andre\Desktop\REACTIV CEFAS\E2\E2/20201117_Cefas_Test6-Run2/Plate 4/@19/B10_01.tif "/>
    <s v=" 88098.5608 "/>
    <s v=" 50.4027 "/>
    <x v="0"/>
    <n v="4440401"/>
    <m/>
    <m/>
    <m/>
  </r>
  <r>
    <x v="17"/>
    <x v="1"/>
    <s v="C:\Users\andre\Desktop\REACTIV CEFAS\E2\E2/20201117_Cefas_Test6-Run2/Plate 4/@19/B10_02.tif "/>
    <s v=" 76375.1579 "/>
    <s v=" 49.2209 "/>
    <x v="0"/>
    <n v="3759254"/>
    <m/>
    <m/>
    <m/>
  </r>
  <r>
    <x v="17"/>
    <x v="1"/>
    <s v="C:\Users\andre\Desktop\REACTIV CEFAS\E2\E2/20201117_Cefas_Test6-Run2/Plate 4/@19/B10_03.tif "/>
    <s v=" 80138.7596 "/>
    <s v=" 46.9293 "/>
    <x v="0"/>
    <n v="3760855"/>
    <m/>
    <m/>
    <m/>
  </r>
  <r>
    <x v="17"/>
    <x v="2"/>
    <s v="C:\Users\andre\Desktop\REACTIV CEFAS\E2\E2/20201117_Cefas_Test6-Run2/Plate 4/@19/C10_01.tif "/>
    <s v=" 72243.8481 "/>
    <s v=" 44.1784 "/>
    <x v="0"/>
    <n v="3191621"/>
    <m/>
    <m/>
    <m/>
  </r>
  <r>
    <x v="17"/>
    <x v="2"/>
    <s v="C:\Users\andre\Desktop\REACTIV CEFAS\E2\E2/20201117_Cefas_Test6-Run2/Plate 4/@19/C10_02.tif "/>
    <s v=" 67117.563 "/>
    <s v=" 50.9268 "/>
    <x v="0"/>
    <n v="3418086"/>
    <m/>
    <m/>
    <m/>
  </r>
  <r>
    <x v="17"/>
    <x v="2"/>
    <s v="C:\Users\andre\Desktop\REACTIV CEFAS\E2\E2/20201117_Cefas_Test6-Run2/Plate 4/@19/C10_03.tif "/>
    <s v=" 59049.6123 "/>
    <s v=" 52.5099 "/>
    <x v="0"/>
    <n v="3100689"/>
    <m/>
    <m/>
    <m/>
  </r>
  <r>
    <x v="17"/>
    <x v="3"/>
    <s v="C:\Users\andre\Desktop\REACTIV CEFAS\E2\E2/20201117_Cefas_Test6-Run2/Plate 4/@19/D10_01.tif "/>
    <s v=" 56216.0961 "/>
    <s v=" 40.3821 "/>
    <x v="0"/>
    <n v="2270122"/>
    <m/>
    <m/>
    <m/>
  </r>
  <r>
    <x v="17"/>
    <x v="3"/>
    <s v="C:\Users\andre\Desktop\REACTIV CEFAS\E2\E2/20201117_Cefas_Test6-Run2/Plate 4/@19/D10_02.tif "/>
    <s v=" 54096.3665 "/>
    <s v=" 44.3435 "/>
    <x v="0"/>
    <n v="2398820"/>
    <m/>
    <m/>
    <m/>
  </r>
  <r>
    <x v="17"/>
    <x v="3"/>
    <s v="C:\Users\andre\Desktop\REACTIV CEFAS\E2\E2/20201117_Cefas_Test6-Run2/Plate 4/@19/D10_03.tif "/>
    <s v=" 63072.7727 "/>
    <s v=" 46.2147 "/>
    <x v="0"/>
    <n v="2914888"/>
    <m/>
    <m/>
    <m/>
  </r>
  <r>
    <x v="17"/>
    <x v="4"/>
    <s v="C:\Users\andre\Desktop\REACTIV CEFAS\E2\E2/20201117_Cefas_Test6-Run2/Plate 4/@19/E10_01.tif "/>
    <s v=" 66014.4384 "/>
    <s v=" 45.6651 "/>
    <x v="0"/>
    <n v="3014558"/>
    <m/>
    <m/>
    <m/>
  </r>
  <r>
    <x v="17"/>
    <x v="4"/>
    <s v="C:\Users\andre\Desktop\REACTIV CEFAS\E2\E2/20201117_Cefas_Test6-Run2/Plate 4/@19/E10_02- exclu.tif"/>
    <m/>
    <m/>
    <x v="1"/>
    <m/>
    <m/>
    <m/>
    <m/>
  </r>
  <r>
    <x v="17"/>
    <x v="4"/>
    <s v="C:\Users\andre\Desktop\REACTIV CEFAS\E2\E2/20201117_Cefas_Test6-Run2/Plate 4/@19/E10_03- exclu.tif"/>
    <m/>
    <m/>
    <x v="1"/>
    <m/>
    <m/>
    <m/>
    <m/>
  </r>
  <r>
    <x v="17"/>
    <x v="5"/>
    <s v="C:\Users\andre\Desktop\REACTIV CEFAS\E2\E2/20201117_Cefas_Test6-Run2/Plate 4/@19/F10_01.tif "/>
    <s v=" 68501.8763 "/>
    <s v=" 48.1781 "/>
    <x v="0"/>
    <n v="3300289"/>
    <m/>
    <m/>
    <m/>
  </r>
  <r>
    <x v="17"/>
    <x v="5"/>
    <s v="C:\Users\andre\Desktop\REACTIV CEFAS\E2\E2/20201117_Cefas_Test6-Run2/Plate 4/@19/F10_02- exclu.tif"/>
    <m/>
    <m/>
    <x v="1"/>
    <m/>
    <m/>
    <m/>
    <m/>
  </r>
  <r>
    <x v="17"/>
    <x v="5"/>
    <s v="C:\Users\andre\Desktop\REACTIV CEFAS\E2\E2/20201117_Cefas_Test6-Run2/Plate 4/@19/F10_03- exclu.tif"/>
    <m/>
    <m/>
    <x v="1"/>
    <m/>
    <m/>
    <m/>
    <m/>
  </r>
  <r>
    <x v="17"/>
    <x v="6"/>
    <s v="C:\Users\andre\Desktop\REACTIV CEFAS\E2\E2/20201117_Cefas_Test6-Run2/Plate 4/@19/G10_01.tif "/>
    <s v=" 69864.5597 "/>
    <s v=" 44.4294 "/>
    <x v="0"/>
    <n v="3104041"/>
    <m/>
    <m/>
    <m/>
  </r>
  <r>
    <x v="17"/>
    <x v="6"/>
    <s v="C:\Users\andre\Desktop\REACTIV CEFAS\E2\E2/20201117_Cefas_Test6-Run2/Plate 4/@19/G10_02.tif "/>
    <s v=" 67528.531 "/>
    <s v=" 47.9385 "/>
    <x v="0"/>
    <n v="3237217"/>
    <m/>
    <m/>
    <m/>
  </r>
  <r>
    <x v="17"/>
    <x v="6"/>
    <s v="C:\Users\andre\Desktop\REACTIV CEFAS\E2\E2/20201117_Cefas_Test6-Run2/Plate 4/@19/G10_03- exclu.tif"/>
    <m/>
    <m/>
    <x v="1"/>
    <m/>
    <m/>
    <m/>
    <m/>
  </r>
  <r>
    <x v="17"/>
    <x v="7"/>
    <s v="C:\Users\andre\Desktop\REACTIV CEFAS\E2\E2/20201117_Cefas_Test6-Run2/Plate 4/@19/H10_01.tif "/>
    <s v=" 54896.6726 "/>
    <s v=" 38.2396 "/>
    <x v="0"/>
    <n v="2099225"/>
    <m/>
    <m/>
    <m/>
  </r>
  <r>
    <x v="17"/>
    <x v="7"/>
    <s v="C:\Users\andre\Desktop\REACTIV CEFAS\E2\E2/20201117_Cefas_Test6-Run2/Plate 4/@19/H10_02.tif "/>
    <s v=" 68696.5453 "/>
    <s v=" 54.0444 "/>
    <x v="0"/>
    <n v="3712663"/>
    <m/>
    <m/>
    <m/>
  </r>
  <r>
    <x v="17"/>
    <x v="7"/>
    <s v="C:\Users\andre\Desktop\REACTIV CEFAS\E2\E2/20201117_Cefas_Test6-Run2/Plate 4/@19/H10_03.tif "/>
    <s v=" 65776.5096 "/>
    <s v=" 52.4574 "/>
    <x v="0"/>
    <n v="3450466"/>
    <m/>
    <m/>
    <m/>
  </r>
  <r>
    <x v="1"/>
    <x v="8"/>
    <s v=" "/>
    <m/>
    <m/>
    <x v="1"/>
    <m/>
    <m/>
    <m/>
    <m/>
  </r>
  <r>
    <x v="1"/>
    <x v="8"/>
    <s v="group "/>
    <s v=" "/>
    <s v=" mean of mean fluo "/>
    <x v="2"/>
    <s v=" mean of total fluo "/>
    <s v=" SD total fluo "/>
    <s v=" n fluorescent "/>
    <s v=" n total"/>
  </r>
  <r>
    <x v="17"/>
    <x v="9"/>
    <s v="C:\Users\andre\Desktop\REACTIV CEFAS\E2\E2/20201117_Cefas_Test6-Run2/Plate 4/@19/ "/>
    <s v=" "/>
    <s v=" 45.4252 "/>
    <x v="19"/>
    <s v=" 2713153.04 "/>
    <s v=" 979211.054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8"/>
    <x v="0"/>
    <s v="C:\Users\andre\Desktop\REACTIV CEFAS\E2\E2/20201117_Cefas_Test6-Run2/Plate 4/@20/A11_01.tif "/>
    <s v=" 95106.6467 "/>
    <s v=" 47.9802 "/>
    <x v="0"/>
    <n v="4563237"/>
    <m/>
    <m/>
    <m/>
  </r>
  <r>
    <x v="18"/>
    <x v="0"/>
    <s v="C:\Users\andre\Desktop\REACTIV CEFAS\E2\E2/20201117_Cefas_Test6-Run2/Plate 4/@20/A11_02- exclu.tif"/>
    <m/>
    <m/>
    <x v="1"/>
    <m/>
    <m/>
    <m/>
    <m/>
  </r>
  <r>
    <x v="18"/>
    <x v="0"/>
    <s v="C:\Users\andre\Desktop\REACTIV CEFAS\E2\E2/20201117_Cefas_Test6-Run2/Plate 4/@20/A11_03- exclu.tif"/>
    <m/>
    <m/>
    <x v="1"/>
    <m/>
    <m/>
    <m/>
    <m/>
  </r>
  <r>
    <x v="18"/>
    <x v="1"/>
    <s v="C:\Users\andre\Desktop\REACTIV CEFAS\E2\E2/20201117_Cefas_Test6-Run2/Plate 4/@20/B11_01- exclu.tif"/>
    <m/>
    <m/>
    <x v="1"/>
    <m/>
    <m/>
    <m/>
    <m/>
  </r>
  <r>
    <x v="18"/>
    <x v="1"/>
    <s v="C:\Users\andre\Desktop\REACTIV CEFAS\E2\E2/20201117_Cefas_Test6-Run2/Plate 4/@20/B11_02.tif "/>
    <s v=" 67679.9403 "/>
    <s v=" 50.3301 "/>
    <x v="0"/>
    <n v="3406341"/>
    <m/>
    <m/>
    <m/>
  </r>
  <r>
    <x v="18"/>
    <x v="1"/>
    <s v="C:\Users\andre\Desktop\REACTIV CEFAS\E2\E2/20201117_Cefas_Test6-Run2/Plate 4/@20/B11_03.tif "/>
    <s v=" 70145.7483 "/>
    <s v=" 50.3358 "/>
    <x v="0"/>
    <n v="3530842"/>
    <m/>
    <m/>
    <m/>
  </r>
  <r>
    <x v="18"/>
    <x v="2"/>
    <s v="C:\Users\andre\Desktop\REACTIV CEFAS\E2\E2/20201117_Cefas_Test6-Run2/Plate 4/@20/C11_01.tif "/>
    <s v=" 80203.6493 "/>
    <s v=" 48.2953 "/>
    <x v="0"/>
    <n v="3873460"/>
    <m/>
    <m/>
    <m/>
  </r>
  <r>
    <x v="18"/>
    <x v="2"/>
    <s v="C:\Users\andre\Desktop\REACTIV CEFAS\E2\E2/20201117_Cefas_Test6-Run2/Plate 4/@20/C11_02.tif "/>
    <s v=" 78905.8556 "/>
    <s v=" 58.7812 "/>
    <x v="0"/>
    <n v="4638185"/>
    <m/>
    <m/>
    <m/>
  </r>
  <r>
    <x v="18"/>
    <x v="2"/>
    <s v="C:\Users\andre\Desktop\REACTIV CEFAS\E2\E2/20201117_Cefas_Test6-Run2/Plate 4/@20/C11_03- exclu.tif"/>
    <m/>
    <m/>
    <x v="1"/>
    <m/>
    <m/>
    <m/>
    <m/>
  </r>
  <r>
    <x v="18"/>
    <x v="3"/>
    <s v="C:\Users\andre\Desktop\REACTIV CEFAS\E2\E2/20201117_Cefas_Test6-Run2/Plate 4/@20/D11_01.tif "/>
    <s v=" 92878.7675 "/>
    <s v=" 47.0692 "/>
    <x v="0"/>
    <n v="4371726"/>
    <m/>
    <m/>
    <m/>
  </r>
  <r>
    <x v="18"/>
    <x v="3"/>
    <s v="C:\Users\andre\Desktop\REACTIV CEFAS\E2\E2/20201117_Cefas_Test6-Run2/Plate 4/@20/D11_02.tif "/>
    <s v=" 65149.2426 "/>
    <s v=" 50.5262 "/>
    <x v="0"/>
    <n v="3291746"/>
    <m/>
    <m/>
    <m/>
  </r>
  <r>
    <x v="18"/>
    <x v="3"/>
    <s v="C:\Users\andre\Desktop\REACTIV CEFAS\E2\E2/20201117_Cefas_Test6-Run2/Plate 4/@20/D11_03.tif "/>
    <s v=" 67290.6022 "/>
    <s v=" 47.5256 "/>
    <x v="0"/>
    <n v="3198023"/>
    <m/>
    <m/>
    <m/>
  </r>
  <r>
    <x v="18"/>
    <x v="4"/>
    <s v="C:\Users\andre\Desktop\REACTIV CEFAS\E2\E2/20201117_Cefas_Test6-Run2/Plate 4/@20/E11_01.tif "/>
    <s v=" 100622.27 "/>
    <s v=" 52.4706 "/>
    <x v="0"/>
    <n v="5279706"/>
    <m/>
    <m/>
    <m/>
  </r>
  <r>
    <x v="18"/>
    <x v="4"/>
    <s v="C:\Users\andre\Desktop\REACTIV CEFAS\E2\E2/20201117_Cefas_Test6-Run2/Plate 4/@20/E11_02.tif "/>
    <s v=" 66295.627 "/>
    <s v=" 52.8117 "/>
    <x v="0"/>
    <n v="3501188"/>
    <m/>
    <m/>
    <m/>
  </r>
  <r>
    <x v="18"/>
    <x v="4"/>
    <s v="C:\Users\andre\Desktop\REACTIV CEFAS\E2\E2/20201117_Cefas_Test6-Run2/Plate 4/@20/E11_03.tif "/>
    <s v=" 65949.5487 "/>
    <s v=" 54.1578 "/>
    <x v="0"/>
    <n v="3571680"/>
    <m/>
    <m/>
    <m/>
  </r>
  <r>
    <x v="18"/>
    <x v="5"/>
    <s v="C:\Users\andre\Desktop\REACTIV CEFAS\E2\E2/20201117_Cefas_Test6-Run2/Plate 4/@20/F11_01.tif "/>
    <s v=" 76721.2362 "/>
    <s v=" 43.042 "/>
    <x v="0"/>
    <n v="3302236"/>
    <m/>
    <m/>
    <m/>
  </r>
  <r>
    <x v="18"/>
    <x v="5"/>
    <s v="C:\Users\andre\Desktop\REACTIV CEFAS\E2\E2/20201117_Cefas_Test6-Run2/Plate 4/@20/F11_02.tif "/>
    <s v=" 67247.3424 "/>
    <s v=" 49.7166 "/>
    <x v="0"/>
    <n v="3343311"/>
    <m/>
    <m/>
    <m/>
  </r>
  <r>
    <x v="18"/>
    <x v="5"/>
    <s v="C:\Users\andre\Desktop\REACTIV CEFAS\E2\E2/20201117_Cefas_Test6-Run2/Plate 4/@20/F11_03.tif "/>
    <s v=" 67615.0506 "/>
    <s v=" 50.729 "/>
    <x v="0"/>
    <n v="3430047"/>
    <m/>
    <m/>
    <m/>
  </r>
  <r>
    <x v="18"/>
    <x v="6"/>
    <s v="C:\Users\andre\Desktop\REACTIV CEFAS\E2\E2/20201117_Cefas_Test6-Run2/Plate 4/@20/G11_01.tif "/>
    <s v=" 84443.1086 "/>
    <s v=" 50.9495 "/>
    <x v="0"/>
    <n v="4302337"/>
    <m/>
    <m/>
    <m/>
  </r>
  <r>
    <x v="18"/>
    <x v="6"/>
    <s v="C:\Users\andre\Desktop\REACTIV CEFAS\E2\E2/20201117_Cefas_Test6-Run2/Plate 4/@20/G11_02.tif "/>
    <s v=" 65733.2498 "/>
    <s v=" 51.1218 "/>
    <x v="0"/>
    <n v="3360399"/>
    <m/>
    <m/>
    <m/>
  </r>
  <r>
    <x v="18"/>
    <x v="6"/>
    <s v="C:\Users\andre\Desktop\REACTIV CEFAS\E2\E2/20201117_Cefas_Test6-Run2/Plate 4/@20/G11_03.tif "/>
    <s v=" 65668.3601 "/>
    <s v=" 48.6621 "/>
    <x v="0"/>
    <n v="3195557"/>
    <m/>
    <m/>
    <m/>
  </r>
  <r>
    <x v="18"/>
    <x v="7"/>
    <s v="C:\Users\andre\Desktop\REACTIV CEFAS\E2\E2/20201117_Cefas_Test6-Run2/Plate 4/@20/H11_01.tif "/>
    <s v=" 83577.9128 "/>
    <s v=" 48.2019 "/>
    <x v="0"/>
    <n v="4028611"/>
    <m/>
    <m/>
    <m/>
  </r>
  <r>
    <x v="18"/>
    <x v="7"/>
    <s v="C:\Users\andre\Desktop\REACTIV CEFAS\E2\E2/20201117_Cefas_Test6-Run2/Plate 4/@20/H11_02.tif "/>
    <s v=" 77845.9908 "/>
    <s v=" 55.7977 "/>
    <x v="0"/>
    <n v="4343629"/>
    <m/>
    <m/>
    <m/>
  </r>
  <r>
    <x v="18"/>
    <x v="7"/>
    <s v="C:\Users\andre\Desktop\REACTIV CEFAS\E2\E2/20201117_Cefas_Test6-Run2/Plate 4/@20/H11_03.tif "/>
    <s v=" 82496.4181 "/>
    <s v=" 57.0362 "/>
    <x v="0"/>
    <n v="4705281"/>
    <m/>
    <m/>
    <m/>
  </r>
  <r>
    <x v="1"/>
    <x v="8"/>
    <s v=" "/>
    <m/>
    <m/>
    <x v="1"/>
    <m/>
    <m/>
    <m/>
    <m/>
  </r>
  <r>
    <x v="1"/>
    <x v="8"/>
    <s v="group "/>
    <s v=" "/>
    <s v=" mean of mean fluo "/>
    <x v="2"/>
    <s v=" mean of total fluo "/>
    <s v=" SD total fluo "/>
    <s v=" n fluorescent "/>
    <s v=" n total"/>
  </r>
  <r>
    <x v="18"/>
    <x v="9"/>
    <s v="C:\Users\andre\Desktop\REACTIV CEFAS\E2\E2/20201117_Cefas_Test6-Run2/Plate 4/@20/ "/>
    <s v=" "/>
    <s v=" 48.9849 "/>
    <x v="20"/>
    <s v=" 3422240.5 "/>
    <s v=" 1303126.25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9"/>
    <x v="0"/>
    <s v="C:\Users\andre\Desktop\REACTIV CEFAS\E2\E2/20201117_Cefas_Test6-Run2/Plate 4/@21/A12_01.tif "/>
    <s v=" 73757.9407 "/>
    <s v=" 48.4686 "/>
    <x v="0"/>
    <n v="3574946"/>
    <m/>
    <m/>
    <m/>
  </r>
  <r>
    <x v="19"/>
    <x v="0"/>
    <s v="C:\Users\andre\Desktop\REACTIV CEFAS\E2\E2/20201117_Cefas_Test6-Run2/Plate 4/@21/A12_02.tif "/>
    <s v=" 75747.891 "/>
    <s v=" 52.562 "/>
    <x v="0"/>
    <n v="3981458"/>
    <m/>
    <m/>
    <m/>
  </r>
  <r>
    <x v="19"/>
    <x v="0"/>
    <s v="C:\Users\andre\Desktop\REACTIV CEFAS\E2\E2/20201117_Cefas_Test6-Run2/Plate 4/@21/A12_03.tif "/>
    <s v=" 73325.3428 "/>
    <s v=" 51.9383 "/>
    <x v="0"/>
    <n v="3808397"/>
    <m/>
    <m/>
    <m/>
  </r>
  <r>
    <x v="19"/>
    <x v="1"/>
    <s v="C:\Users\andre\Desktop\REACTIV CEFAS\E2\E2/20201117_Cefas_Test6-Run2/Plate 4/@21/B12_01.tif "/>
    <s v=" 73671.4211 "/>
    <s v=" 46.7375 "/>
    <x v="0"/>
    <n v="3443220"/>
    <m/>
    <m/>
    <m/>
  </r>
  <r>
    <x v="19"/>
    <x v="1"/>
    <s v="C:\Users\andre\Desktop\REACTIV CEFAS\E2\E2/20201117_Cefas_Test6-Run2/Plate 4/@21/B12_02.tif "/>
    <s v=" 83988.8808 "/>
    <s v=" 67.8112 "/>
    <x v="0"/>
    <n v="5695389"/>
    <m/>
    <m/>
    <m/>
  </r>
  <r>
    <x v="19"/>
    <x v="1"/>
    <s v="C:\Users\andre\Desktop\REACTIV CEFAS\E2\E2/20201117_Cefas_Test6-Run2/Plate 4/@21/B12_03.tif "/>
    <s v=" 92943.6572 "/>
    <s v=" 66.2772 "/>
    <x v="0"/>
    <n v="6160043"/>
    <m/>
    <m/>
    <m/>
  </r>
  <r>
    <x v="19"/>
    <x v="2"/>
    <s v="C:\Users\andre\Desktop\REACTIV CEFAS\E2\E2/20201117_Cefas_Test6-Run2/Plate 4/@21/C12_01.tif "/>
    <s v=" 64781.5344 "/>
    <s v=" 46.5599 "/>
    <x v="0"/>
    <n v="3016224"/>
    <m/>
    <m/>
    <m/>
  </r>
  <r>
    <x v="19"/>
    <x v="2"/>
    <s v="C:\Users\andre\Desktop\REACTIV CEFAS\E2\E2/20201117_Cefas_Test6-Run2/Plate 4/@21/C12_02.tif "/>
    <s v=" 65084.3529 "/>
    <s v=" 56.4128 "/>
    <x v="0"/>
    <n v="3671588"/>
    <m/>
    <m/>
    <m/>
  </r>
  <r>
    <x v="19"/>
    <x v="2"/>
    <s v="C:\Users\andre\Desktop\REACTIV CEFAS\E2\E2/20201117_Cefas_Test6-Run2/Plate 4/@21/C12_03.tif "/>
    <s v=" 72373.6274 "/>
    <s v=" 61.3305 "/>
    <x v="0"/>
    <n v="4438714"/>
    <m/>
    <m/>
    <m/>
  </r>
  <r>
    <x v="19"/>
    <x v="3"/>
    <s v="C:\Users\andre\Desktop\REACTIV CEFAS\E2\E2/20201117_Cefas_Test6-Run2/Plate 4/@21/D12_01.tif "/>
    <s v=" 89482.8741 "/>
    <s v=" 55.8274 "/>
    <x v="0"/>
    <n v="4995597"/>
    <m/>
    <m/>
    <m/>
  </r>
  <r>
    <x v="19"/>
    <x v="3"/>
    <s v="C:\Users\andre\Desktop\REACTIV CEFAS\E2\E2/20201117_Cefas_Test6-Run2/Plate 4/@21/D12_02.tif "/>
    <s v=" 89331.4648 "/>
    <s v=" 58.1199 "/>
    <x v="0"/>
    <n v="5191932"/>
    <m/>
    <m/>
    <m/>
  </r>
  <r>
    <x v="19"/>
    <x v="3"/>
    <s v="C:\Users\andre\Desktop\REACTIV CEFAS\E2\E2/20201117_Cefas_Test6-Run2/Plate 4/@21/D12_03.tif "/>
    <s v=" 93095.0665 "/>
    <s v=" 62.6385 "/>
    <x v="0"/>
    <n v="5831333"/>
    <m/>
    <m/>
    <m/>
  </r>
  <r>
    <x v="19"/>
    <x v="4"/>
    <s v="C:\Users\andre\Desktop\REACTIV CEFAS\E2\E2/20201117_Cefas_Test6-Run2/Plate 4/@21/E12_01.tif "/>
    <s v=" 63786.5593 "/>
    <s v=" 54.9569 "/>
    <x v="0"/>
    <n v="3505514"/>
    <m/>
    <m/>
    <m/>
  </r>
  <r>
    <x v="19"/>
    <x v="4"/>
    <s v="C:\Users\andre\Desktop\REACTIV CEFAS\E2\E2/20201117_Cefas_Test6-Run2/Plate 4/@21/E12_02.tif "/>
    <s v=" 74796.1756 "/>
    <s v=" 59.4691 "/>
    <x v="0"/>
    <n v="4448058"/>
    <m/>
    <m/>
    <m/>
  </r>
  <r>
    <x v="19"/>
    <x v="4"/>
    <s v="C:\Users\andre\Desktop\REACTIV CEFAS\E2\E2/20201117_Cefas_Test6-Run2/Plate 4/@21/E12_03.tif "/>
    <s v=" 72027.5491 "/>
    <s v=" 59.1444 "/>
    <x v="0"/>
    <n v="4260029"/>
    <m/>
    <m/>
    <m/>
  </r>
  <r>
    <x v="19"/>
    <x v="5"/>
    <s v="C:\Users\andre\Desktop\REACTIV CEFAS\E2\E2/20201117_Cefas_Test6-Run2/Plate 4/@21/F12_01.tif "/>
    <s v=" 85978.8311 "/>
    <s v=" 51.3278 "/>
    <x v="0"/>
    <n v="4413104"/>
    <m/>
    <m/>
    <m/>
  </r>
  <r>
    <x v="19"/>
    <x v="5"/>
    <s v="C:\Users\andre\Desktop\REACTIV CEFAS\E2\E2/20201117_Cefas_Test6-Run2/Plate 4/@21/F12_02.tif "/>
    <s v=" 68566.766 "/>
    <s v=" 55.2707 "/>
    <x v="0"/>
    <n v="3789731"/>
    <m/>
    <m/>
    <m/>
  </r>
  <r>
    <x v="19"/>
    <x v="5"/>
    <s v="C:\Users\andre\Desktop\REACTIV CEFAS\E2\E2/20201117_Cefas_Test6-Run2/Plate 4/@21/F12_03.tif "/>
    <s v=" 69237.2927 "/>
    <s v=" 62.7473 "/>
    <x v="0"/>
    <n v="4344451"/>
    <m/>
    <m/>
    <m/>
  </r>
  <r>
    <x v="19"/>
    <x v="6"/>
    <s v="C:\Users\andre\Desktop\REACTIV CEFAS\E2\E2/20201117_Cefas_Test6-Run2/Plate 4/@21/G12_01.tif "/>
    <s v=" 73022.5243 "/>
    <s v=" 48.8845 "/>
    <x v="0"/>
    <n v="3569668"/>
    <m/>
    <m/>
    <m/>
  </r>
  <r>
    <x v="19"/>
    <x v="6"/>
    <s v="C:\Users\andre\Desktop\REACTIV CEFAS\E2\E2/20201117_Cefas_Test6-Run2/Plate 4/@21/G12_02.tif "/>
    <s v=" 72806.2253 "/>
    <s v=" 60.6881 "/>
    <x v="0"/>
    <n v="4418468"/>
    <m/>
    <m/>
    <m/>
  </r>
  <r>
    <x v="19"/>
    <x v="6"/>
    <s v="C:\Users\andre\Desktop\REACTIV CEFAS\E2\E2/20201117_Cefas_Test6-Run2/Plate 4/@21/G12_03.tif "/>
    <s v=" 79641.272 "/>
    <s v=" 61.0076 "/>
    <x v="0"/>
    <n v="4858723"/>
    <m/>
    <m/>
    <m/>
  </r>
  <r>
    <x v="19"/>
    <x v="7"/>
    <s v="C:\Users\andre\Desktop\REACTIV CEFAS\E2\E2/20201117_Cefas_Test6-Run2/Plate 4/@21/H12_01.tif "/>
    <s v=" 84378.2189 "/>
    <s v=" 53.4842 "/>
    <x v="0"/>
    <n v="4512904"/>
    <m/>
    <m/>
    <m/>
  </r>
  <r>
    <x v="19"/>
    <x v="7"/>
    <s v="C:\Users\andre\Desktop\REACTIV CEFAS\E2\E2/20201117_Cefas_Test6-Run2/Plate 4/@21/H12_02.tif "/>
    <s v=" 83621.1726 "/>
    <s v=" 57.2967 "/>
    <x v="0"/>
    <n v="4791216"/>
    <m/>
    <m/>
    <m/>
  </r>
  <r>
    <x v="19"/>
    <x v="7"/>
    <s v="C:\Users\andre\Desktop\REACTIV CEFAS\E2\E2/20201117_Cefas_Test6-Run2/Plate 4/@21/H12_03.tif "/>
    <s v=" 85156.8952 "/>
    <s v=" 53.3696 "/>
    <x v="0"/>
    <n v="4544787"/>
    <m/>
    <m/>
    <m/>
  </r>
  <r>
    <x v="1"/>
    <x v="8"/>
    <s v=" "/>
    <m/>
    <m/>
    <x v="1"/>
    <m/>
    <m/>
    <m/>
    <m/>
  </r>
  <r>
    <x v="1"/>
    <x v="8"/>
    <s v="group "/>
    <s v=" "/>
    <s v=" mean of mean fluo "/>
    <x v="2"/>
    <s v=" mean of total fluo "/>
    <s v=" SD total fluo "/>
    <s v=" n fluorescent "/>
    <s v=" n total"/>
  </r>
  <r>
    <x v="19"/>
    <x v="9"/>
    <s v="C:\Users\andre\Desktop\REACTIV CEFAS\E2\E2/20201117_Cefas_Test6-Run2/Plate 4/@21/ "/>
    <s v=" "/>
    <s v=" 56.3471 "/>
    <x v="21"/>
    <s v=" 4386062.25 "/>
    <s v=" 798221.729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0"/>
    <x v="0"/>
    <s v="C:\Users\andre\Desktop\REACTIV CEFAS\E2\E2/20201117_Cefas_Test6-Run2/Plate 4/@8/A2_01.tif "/>
    <s v=" 7656.9827 "/>
    <s v=" 35.0706 "/>
    <x v="0"/>
    <n v="268535"/>
    <m/>
    <m/>
    <m/>
  </r>
  <r>
    <x v="20"/>
    <x v="0"/>
    <s v="C:\Users\andre\Desktop\REACTIV CEFAS\E2\E2/20201117_Cefas_Test6-Run2/Plate 4/@8/A2_02.tif "/>
    <s v=" 6099.6303 "/>
    <s v=" 38.1206 "/>
    <x v="0"/>
    <n v="232521"/>
    <m/>
    <m/>
    <m/>
  </r>
  <r>
    <x v="20"/>
    <x v="0"/>
    <s v="C:\Users\andre\Desktop\REACTIV CEFAS\E2\E2/20201117_Cefas_Test6-Run2/Plate 4/@8/A2_03.tif "/>
    <s v=" 5753.552 "/>
    <s v=" 38.6654 "/>
    <x v="0"/>
    <n v="222463"/>
    <m/>
    <m/>
    <m/>
  </r>
  <r>
    <x v="20"/>
    <x v="1"/>
    <s v="C:\Users\andre\Desktop\REACTIV CEFAS\E2\E2/20201117_Cefas_Test6-Run2/Plate 4/@8/B2_01.tif "/>
    <s v=" 8392.3991 "/>
    <s v=" 42.0438 "/>
    <x v="0"/>
    <n v="352848"/>
    <m/>
    <m/>
    <m/>
  </r>
  <r>
    <x v="20"/>
    <x v="1"/>
    <s v="C:\Users\andre\Desktop\REACTIV CEFAS\E2\E2/20201117_Cefas_Test6-Run2/Plate 4/@8/B2_02.tif "/>
    <s v=" 3828.4913 "/>
    <s v=" 33.6215 "/>
    <x v="0"/>
    <n v="128720"/>
    <m/>
    <m/>
    <m/>
  </r>
  <r>
    <x v="20"/>
    <x v="1"/>
    <s v="C:\Users\andre\Desktop\REACTIV CEFAS\E2\E2/20201117_Cefas_Test6-Run2/Plate 4/@8/B2_03.tif "/>
    <s v=" 129.7794 "/>
    <s v=" 30.3333 "/>
    <x v="0"/>
    <n v="3937"/>
    <m/>
    <m/>
    <m/>
  </r>
  <r>
    <x v="20"/>
    <x v="2"/>
    <s v="C:\Users\andre\Desktop\REACTIV CEFAS\E2\E2/20201117_Cefas_Test6-Run2/Plate 4/@8/C2_01.tif "/>
    <s v=" 4801.8366 "/>
    <s v=" 37.527 "/>
    <x v="0"/>
    <n v="180199"/>
    <m/>
    <m/>
    <m/>
  </r>
  <r>
    <x v="20"/>
    <x v="2"/>
    <s v="C:\Users\andre\Desktop\REACTIV CEFAS\E2\E2/20201117_Cefas_Test6-Run2/Plate 4/@8/C2_02.tif "/>
    <s v=" 951.7154 "/>
    <s v=" 31.3409 "/>
    <x v="0"/>
    <n v="29828"/>
    <m/>
    <m/>
    <m/>
  </r>
  <r>
    <x v="20"/>
    <x v="2"/>
    <s v="C:\Users\andre\Desktop\REACTIV CEFAS\E2\E2/20201117_Cefas_Test6-Run2/Plate 4/@8/C2_03- exclu.tif"/>
    <m/>
    <m/>
    <x v="1"/>
    <m/>
    <m/>
    <m/>
    <m/>
  </r>
  <r>
    <x v="20"/>
    <x v="3"/>
    <s v="C:\Users\andre\Desktop\REACTIV CEFAS\E2\E2/20201117_Cefas_Test6-Run2/Plate 4/@8/D2_01.tif "/>
    <s v=" 2054.84 "/>
    <s v=" 33.1158 "/>
    <x v="0"/>
    <n v="68048"/>
    <m/>
    <m/>
    <m/>
  </r>
  <r>
    <x v="20"/>
    <x v="3"/>
    <s v="C:\Users\andre\Desktop\REACTIV CEFAS\E2\E2/20201117_Cefas_Test6-Run2/Plate 4/@8/D2_02.tif "/>
    <s v=" 8500.5486 "/>
    <s v=" 42.3588 "/>
    <x v="0"/>
    <n v="360073"/>
    <m/>
    <m/>
    <m/>
  </r>
  <r>
    <x v="20"/>
    <x v="3"/>
    <s v="C:\Users\andre\Desktop\REACTIV CEFAS\E2\E2/20201117_Cefas_Test6-Run2/Plate 4/@8/D2_03.tif "/>
    <s v=" 9041.296 "/>
    <s v=" 41.3445 "/>
    <x v="0"/>
    <n v="373808"/>
    <m/>
    <m/>
    <m/>
  </r>
  <r>
    <x v="20"/>
    <x v="4"/>
    <s v="C:\Users\andre\Desktop\REACTIV CEFAS\E2\E2/20201117_Cefas_Test6-Run2/Plate 4/@8/E2_01.tif "/>
    <s v=" 216.2989 "/>
    <s v=" 31.4 "/>
    <x v="0"/>
    <n v="6792"/>
    <m/>
    <m/>
    <m/>
  </r>
  <r>
    <x v="20"/>
    <x v="4"/>
    <s v="C:\Users\andre\Desktop\REACTIV CEFAS\E2\E2/20201117_Cefas_Test6-Run2/Plate 4/@8/E2_02.tif "/>
    <s v=" 3222.8543 "/>
    <s v=" 33.1745 "/>
    <x v="0"/>
    <n v="106917"/>
    <m/>
    <m/>
    <m/>
  </r>
  <r>
    <x v="20"/>
    <x v="4"/>
    <s v="C:\Users\andre\Desktop\REACTIV CEFAS\E2\E2/20201117_Cefas_Test6-Run2/Plate 4/@8/E2_03.tif "/>
    <s v=" 3828.4913 "/>
    <s v=" 35.1186 "/>
    <x v="0"/>
    <n v="134451"/>
    <m/>
    <m/>
    <m/>
  </r>
  <r>
    <x v="20"/>
    <x v="5"/>
    <s v="C:\Users\andre\Desktop\REACTIV CEFAS\E2\E2/20201117_Cefas_Test6-Run2/Plate 4/@8/F2_01.tif "/>
    <s v=" 8089.5806 "/>
    <s v=" 39.4118 "/>
    <x v="0"/>
    <n v="318825"/>
    <m/>
    <m/>
    <m/>
  </r>
  <r>
    <x v="20"/>
    <x v="5"/>
    <s v="C:\Users\andre\Desktop\REACTIV CEFAS\E2\E2/20201117_Cefas_Test6-Run2/Plate 4/@8/F2_02.tif "/>
    <s v=" 7938.1713 "/>
    <s v=" 39.3052 "/>
    <x v="0"/>
    <n v="312011"/>
    <m/>
    <m/>
    <m/>
  </r>
  <r>
    <x v="20"/>
    <x v="5"/>
    <s v="C:\Users\andre\Desktop\REACTIV CEFAS\E2\E2/20201117_Cefas_Test6-Run2/Plate 4/@8/F2_03.tif "/>
    <s v=" 5883.3313 "/>
    <s v=" 37.4375 "/>
    <x v="0"/>
    <n v="220257"/>
    <m/>
    <m/>
    <m/>
  </r>
  <r>
    <x v="20"/>
    <x v="6"/>
    <s v="C:\Users\andre\Desktop\REACTIV CEFAS\E2\E2/20201117_Cefas_Test6-Run2/Plate 4/@8/G2_01.tif "/>
    <s v=" 12502.0791 "/>
    <s v=" 38.0952 "/>
    <x v="0"/>
    <n v="476269"/>
    <m/>
    <m/>
    <m/>
  </r>
  <r>
    <x v="20"/>
    <x v="6"/>
    <s v="C:\Users\andre\Desktop\REACTIV CEFAS\E2\E2/20201117_Cefas_Test6-Run2/Plate 4/@8/G2_02.tif "/>
    <s v=" 7765.1322 "/>
    <s v=" 41.1894 "/>
    <x v="0"/>
    <n v="319841"/>
    <m/>
    <m/>
    <m/>
  </r>
  <r>
    <x v="20"/>
    <x v="6"/>
    <s v="C:\Users\andre\Desktop\REACTIV CEFAS\E2\E2/20201117_Cefas_Test6-Run2/Plate 4/@8/G2_03.tif "/>
    <s v=" 129.7794 "/>
    <s v=" 30.1667 "/>
    <x v="0"/>
    <n v="3915"/>
    <m/>
    <m/>
    <m/>
  </r>
  <r>
    <x v="20"/>
    <x v="7"/>
    <s v="C:\Users\andre\Desktop\REACTIV CEFAS\E2\E2/20201117_Cefas_Test6-Run2/Plate 4/@8/H2_01.tif "/>
    <s v=" 2876.776 "/>
    <s v=" 35.1053 "/>
    <x v="0"/>
    <n v="100990"/>
    <m/>
    <m/>
    <m/>
  </r>
  <r>
    <x v="20"/>
    <x v="7"/>
    <s v="C:\Users\andre\Desktop\REACTIV CEFAS\E2\E2/20201117_Cefas_Test6-Run2/Plate 4/@8/H2_02.tif "/>
    <s v=" 8024.6909 "/>
    <s v=" 37.8868 "/>
    <x v="0"/>
    <n v="304030"/>
    <m/>
    <m/>
    <m/>
  </r>
  <r>
    <x v="20"/>
    <x v="7"/>
    <s v="C:\Users\andre\Desktop\REACTIV CEFAS\E2\E2/20201117_Cefas_Test6-Run2/Plate 4/@8/H2_03.tif "/>
    <s v=" 6510.5983 "/>
    <s v=" 38.8306 "/>
    <x v="0"/>
    <n v="252810"/>
    <m/>
    <m/>
    <m/>
  </r>
  <r>
    <x v="1"/>
    <x v="8"/>
    <s v=" "/>
    <m/>
    <m/>
    <x v="1"/>
    <m/>
    <m/>
    <m/>
    <m/>
  </r>
  <r>
    <x v="1"/>
    <x v="8"/>
    <s v="group "/>
    <s v=" "/>
    <s v=" mean of mean fluo "/>
    <x v="2"/>
    <s v=" mean of total fluo "/>
    <s v=" SD total fluo "/>
    <s v=" n fluorescent "/>
    <s v=" n total"/>
  </r>
  <r>
    <x v="20"/>
    <x v="9"/>
    <s v="C:\Users\andre\Desktop\REACTIV CEFAS\E2\E2/20201117_Cefas_Test6-Run2/Plate 4/@8/ "/>
    <s v=" "/>
    <s v=" 36.86 "/>
    <x v="22"/>
    <s v=" 224571.542 "/>
    <s v=" 156121.815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1"/>
    <x v="0"/>
    <s v="C:\Users\andre\Desktop\REACTIV CEFAS\E2\E2/20201117_Cefas_Test6-Run2/Plate 4/@9/A3_01.tif "/>
    <s v=" 6705.2673 "/>
    <s v=" 34.2097 "/>
    <x v="0"/>
    <n v="229385"/>
    <m/>
    <m/>
    <m/>
  </r>
  <r>
    <x v="21"/>
    <x v="0"/>
    <s v="C:\Users\andre\Desktop\REACTIV CEFAS\E2\E2/20201117_Cefas_Test6-Run2/Plate 4/@9/A3_02.tif "/>
    <s v=" 4434.1284 "/>
    <s v=" 37.2537 "/>
    <x v="0"/>
    <n v="165188"/>
    <m/>
    <m/>
    <m/>
  </r>
  <r>
    <x v="21"/>
    <x v="0"/>
    <s v="C:\Users\andre\Desktop\REACTIV CEFAS\E2\E2/20201117_Cefas_Test6-Run2/Plate 4/@9/A3_03.tif "/>
    <s v=" 5126.285 "/>
    <s v=" 38.3207 "/>
    <x v="0"/>
    <n v="196443"/>
    <m/>
    <m/>
    <m/>
  </r>
  <r>
    <x v="21"/>
    <x v="1"/>
    <s v="C:\Users\andre\Desktop\REACTIV CEFAS\E2\E2/20201117_Cefas_Test6-Run2/Plate 4/@9/B3_01- exclu.tif"/>
    <m/>
    <m/>
    <x v="1"/>
    <m/>
    <m/>
    <m/>
    <m/>
  </r>
  <r>
    <x v="21"/>
    <x v="1"/>
    <s v="C:\Users\andre\Desktop\REACTIV CEFAS\E2\E2/20201117_Cefas_Test6-Run2/Plate 4/@9/B3_02.tif "/>
    <s v=" 2638.8471 "/>
    <s v=" 34.1803 "/>
    <x v="0"/>
    <n v="90197"/>
    <m/>
    <m/>
    <m/>
  </r>
  <r>
    <x v="21"/>
    <x v="1"/>
    <s v="C:\Users\andre\Desktop\REACTIV CEFAS\E2\E2/20201117_Cefas_Test6-Run2/Plate 4/@9/B3_03.tif "/>
    <s v=" 6272.6694 "/>
    <s v=" 35.8241 "/>
    <x v="0"/>
    <n v="224713"/>
    <m/>
    <m/>
    <m/>
  </r>
  <r>
    <x v="21"/>
    <x v="2"/>
    <s v="C:\Users\andre\Desktop\REACTIV CEFAS\E2\E2/20201117_Cefas_Test6-Run2/Plate 4/@9/C3_01- exclu.tif"/>
    <m/>
    <m/>
    <x v="1"/>
    <m/>
    <m/>
    <m/>
    <m/>
  </r>
  <r>
    <x v="21"/>
    <x v="2"/>
    <s v="C:\Users\andre\Desktop\REACTIV CEFAS\E2\E2/20201117_Cefas_Test6-Run2/Plate 4/@9/C3_02.tif "/>
    <s v=" 1838.541 "/>
    <s v=" 33.0471 "/>
    <x v="0"/>
    <n v="60758"/>
    <m/>
    <m/>
    <m/>
  </r>
  <r>
    <x v="21"/>
    <x v="2"/>
    <s v="C:\Users\andre\Desktop\REACTIV CEFAS\E2\E2/20201117_Cefas_Test6-Run2/Plate 4/@9/C3_03.tif "/>
    <s v=" 4196.1996 "/>
    <s v=" 35.2216 "/>
    <x v="0"/>
    <n v="147797"/>
    <m/>
    <m/>
    <m/>
  </r>
  <r>
    <x v="21"/>
    <x v="3"/>
    <s v="C:\Users\andre\Desktop\REACTIV CEFAS\E2\E2/20201117_Cefas_Test6-Run2/Plate 4/@9/D3_01.tif "/>
    <s v=" 4088.0501 "/>
    <s v=" 38.1058 "/>
    <x v="0"/>
    <n v="155779"/>
    <m/>
    <m/>
    <m/>
  </r>
  <r>
    <x v="21"/>
    <x v="3"/>
    <s v="C:\Users\andre\Desktop\REACTIV CEFAS\E2\E2/20201117_Cefas_Test6-Run2/Plate 4/@9/D3_02.tif "/>
    <s v=" 2444.1781 "/>
    <s v=" 34.1416 "/>
    <x v="0"/>
    <n v="83448"/>
    <m/>
    <m/>
    <m/>
  </r>
  <r>
    <x v="21"/>
    <x v="3"/>
    <s v="C:\Users\andre\Desktop\REACTIV CEFAS\E2\E2/20201117_Cefas_Test6-Run2/Plate 4/@9/D3_03.tif "/>
    <s v=" 1362.6834 "/>
    <s v=" 31.9365 "/>
    <x v="0"/>
    <n v="43519"/>
    <m/>
    <m/>
    <m/>
  </r>
  <r>
    <x v="21"/>
    <x v="4"/>
    <s v="C:\Users\andre\Desktop\REACTIV CEFAS\E2\E2/20201117_Cefas_Test6-Run2/Plate 4/@9/E3_01.tif "/>
    <s v=" 3417.5234 "/>
    <s v=" 34.1646 "/>
    <x v="0"/>
    <n v="116758"/>
    <m/>
    <m/>
    <m/>
  </r>
  <r>
    <x v="21"/>
    <x v="4"/>
    <s v="C:\Users\andre\Desktop\REACTIV CEFAS\E2\E2/20201117_Cefas_Test6-Run2/Plate 4/@9/E3_02.tif "/>
    <s v=" 10512.1288 "/>
    <s v=" 37.963 "/>
    <x v="0"/>
    <n v="399072"/>
    <m/>
    <m/>
    <m/>
  </r>
  <r>
    <x v="21"/>
    <x v="4"/>
    <s v="C:\Users\andre\Desktop\REACTIV CEFAS\E2\E2/20201117_Cefas_Test6-Run2/Plate 4/@9/E3_03- exclu.tif"/>
    <m/>
    <m/>
    <x v="1"/>
    <m/>
    <m/>
    <m/>
    <m/>
  </r>
  <r>
    <x v="21"/>
    <x v="5"/>
    <s v="C:\Users\andre\Desktop\REACTIV CEFAS\E2\E2/20201117_Cefas_Test6-Run2/Plate 4/@9/F3_01.tif "/>
    <s v=" 5018.1356 "/>
    <s v=" 35.2371 "/>
    <x v="0"/>
    <n v="176824"/>
    <m/>
    <m/>
    <m/>
  </r>
  <r>
    <x v="21"/>
    <x v="5"/>
    <s v="C:\Users\andre\Desktop\REACTIV CEFAS\E2\E2/20201117_Cefas_Test6-Run2/Plate 4/@9/F3_02.tif "/>
    <s v=" 5688.6623 "/>
    <s v=" 34.4259 "/>
    <x v="0"/>
    <n v="195837"/>
    <m/>
    <m/>
    <m/>
  </r>
  <r>
    <x v="21"/>
    <x v="5"/>
    <s v="C:\Users\andre\Desktop\REACTIV CEFAS\E2\E2/20201117_Cefas_Test6-Run2/Plate 4/@9/F3_03.tif "/>
    <s v=" 6424.0787 "/>
    <s v=" 33.5455 "/>
    <x v="0"/>
    <n v="215499"/>
    <m/>
    <m/>
    <m/>
  </r>
  <r>
    <x v="21"/>
    <x v="6"/>
    <s v="C:\Users\andre\Desktop\REACTIV CEFAS\E2\E2/20201117_Cefas_Test6-Run2/Plate 4/@9/G3_01.tif "/>
    <s v=" 8262.6197 "/>
    <s v=" 40.5471 "/>
    <x v="0"/>
    <n v="335025"/>
    <m/>
    <m/>
    <m/>
  </r>
  <r>
    <x v="21"/>
    <x v="6"/>
    <s v="C:\Users\andre\Desktop\REACTIV CEFAS\E2\E2/20201117_Cefas_Test6-Run2/Plate 4/@9/G3_02.tif "/>
    <s v=" 5602.1427 "/>
    <s v=" 40.4556 "/>
    <x v="0"/>
    <n v="226638"/>
    <m/>
    <m/>
    <m/>
  </r>
  <r>
    <x v="21"/>
    <x v="6"/>
    <s v="C:\Users\andre\Desktop\REACTIV CEFAS\E2\E2/20201117_Cefas_Test6-Run2/Plate 4/@9/G3_03.tif "/>
    <s v=" 5537.253 "/>
    <s v=" 40.0078 "/>
    <x v="0"/>
    <n v="221533"/>
    <m/>
    <m/>
    <m/>
  </r>
  <r>
    <x v="21"/>
    <x v="7"/>
    <s v="C:\Users\andre\Desktop\REACTIV CEFAS\E2\E2/20201117_Cefas_Test6-Run2/Plate 4/@9/H3_01.tif "/>
    <s v=" 9084.5557 "/>
    <s v=" 39.5119 "/>
    <x v="0"/>
    <n v="358948"/>
    <m/>
    <m/>
    <m/>
  </r>
  <r>
    <x v="21"/>
    <x v="7"/>
    <s v="C:\Users\andre\Desktop\REACTIV CEFAS\E2\E2/20201117_Cefas_Test6-Run2/Plate 4/@9/H3_02.tif "/>
    <s v=" 13561.9439 "/>
    <s v=" 41.4418 "/>
    <x v="0"/>
    <n v="562031"/>
    <m/>
    <m/>
    <m/>
  </r>
  <r>
    <x v="21"/>
    <x v="7"/>
    <s v="C:\Users\andre\Desktop\REACTIV CEFAS\E2\E2/20201117_Cefas_Test6-Run2/Plate 4/@9/H3_03.tif "/>
    <s v=" 7440.6838 "/>
    <s v=" 39.7936 "/>
    <x v="0"/>
    <n v="296092"/>
    <m/>
    <m/>
    <m/>
  </r>
  <r>
    <x v="1"/>
    <x v="8"/>
    <s v=" "/>
    <m/>
    <m/>
    <x v="1"/>
    <m/>
    <m/>
    <m/>
    <m/>
  </r>
  <r>
    <x v="1"/>
    <x v="8"/>
    <s v="group "/>
    <s v=" "/>
    <s v=" mean of mean fluo "/>
    <x v="2"/>
    <s v=" mean of total fluo "/>
    <s v=" SD total fluo "/>
    <s v=" n fluorescent "/>
    <s v=" n total"/>
  </r>
  <r>
    <x v="21"/>
    <x v="9"/>
    <s v="C:\Users\andre\Desktop\REACTIV CEFAS\E2\E2/20201117_Cefas_Test6-Run2/Plate 4/@9/ "/>
    <s v=" "/>
    <s v=" 37.1952 "/>
    <x v="23"/>
    <s v=" 238745.333 "/>
    <s v=" 140497.135 "/>
    <n v="24"/>
    <n v="24"/>
  </r>
  <r>
    <x v="1"/>
    <x v="8"/>
    <s v=" "/>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10">
  <r>
    <x v="0"/>
    <x v="0"/>
    <s v="C:\Users\andre\Desktop\REACTIV CEFAS\E2\E2/20201118_Cefas_Test6-Run3/Plate 1/@1/A10_01.tif "/>
    <s v=" 5688.6623 "/>
    <s v=" 38.9125 "/>
    <x v="0"/>
    <n v="221360"/>
    <m/>
    <m/>
    <m/>
  </r>
  <r>
    <x v="0"/>
    <x v="0"/>
    <s v="C:\Users\andre\Desktop\REACTIV CEFAS\E2\E2/20201118_Cefas_Test6-Run3/Plate 1/@1/A10_02.tif "/>
    <s v=" 8478.9187 "/>
    <s v=" 39.6837 "/>
    <x v="0"/>
    <n v="336475"/>
    <m/>
    <m/>
    <m/>
  </r>
  <r>
    <x v="0"/>
    <x v="0"/>
    <s v="C:\Users\andre\Desktop\REACTIV CEFAS\E2\E2/20201118_Cefas_Test6-Run3/Plate 1/@1/A10_03.tif "/>
    <s v=" 64.8897 "/>
    <n v="39"/>
    <x v="0"/>
    <n v="2531"/>
    <m/>
    <m/>
    <m/>
  </r>
  <r>
    <x v="0"/>
    <x v="1"/>
    <s v="C:\Users\andre\Desktop\REACTIV CEFAS\E2\E2/20201118_Cefas_Test6-Run3/Plate 1/@1/B10_01.tif "/>
    <s v=" 6315.9292 "/>
    <s v=" 34.7671 "/>
    <x v="0"/>
    <n v="219587"/>
    <m/>
    <m/>
    <m/>
  </r>
  <r>
    <x v="0"/>
    <x v="1"/>
    <s v="C:\Users\andre\Desktop\REACTIV CEFAS\E2\E2/20201118_Cefas_Test6-Run3/Plate 1/@1/B10_02.tif "/>
    <s v=" 7008.0859 "/>
    <s v=" 37.9537 "/>
    <x v="0"/>
    <n v="265983"/>
    <m/>
    <m/>
    <m/>
  </r>
  <r>
    <x v="0"/>
    <x v="1"/>
    <s v="C:\Users\andre\Desktop\REACTIV CEFAS\E2\E2/20201118_Cefas_Test6-Run3/Plate 1/@1/B10_03.tif "/>
    <s v=" 9971.3814 "/>
    <s v=" 37.2885 "/>
    <x v="0"/>
    <n v="371818"/>
    <m/>
    <m/>
    <m/>
  </r>
  <r>
    <x v="0"/>
    <x v="2"/>
    <s v="C:\Users\andre\Desktop\REACTIV CEFAS\E2\E2/20201118_Cefas_Test6-Run3/Plate 1/@1/C10_01.tif "/>
    <s v=" 9041.296 "/>
    <s v=" 37.7919 "/>
    <x v="0"/>
    <n v="341687"/>
    <m/>
    <m/>
    <m/>
  </r>
  <r>
    <x v="0"/>
    <x v="2"/>
    <s v="C:\Users\andre\Desktop\REACTIV CEFAS\E2\E2/20201118_Cefas_Test6-Run3/Plate 1/@1/C10_02- exclu.tif"/>
    <m/>
    <m/>
    <x v="1"/>
    <m/>
    <m/>
    <m/>
    <m/>
  </r>
  <r>
    <x v="0"/>
    <x v="2"/>
    <s v="C:\Users\andre\Desktop\REACTIV CEFAS\E2\E2/20201118_Cefas_Test6-Run3/Plate 1/@1/C10_03.tif "/>
    <s v=" 3893.381 "/>
    <s v=" 36.3556 "/>
    <x v="0"/>
    <n v="141546"/>
    <m/>
    <m/>
    <m/>
  </r>
  <r>
    <x v="0"/>
    <x v="3"/>
    <s v="C:\Users\andre\Desktop\REACTIV CEFAS\E2\E2/20201118_Cefas_Test6-Run3/Plate 1/@1/D10_01- exclu.tif"/>
    <m/>
    <m/>
    <x v="1"/>
    <m/>
    <m/>
    <m/>
    <m/>
  </r>
  <r>
    <x v="0"/>
    <x v="3"/>
    <s v="C:\Users\andre\Desktop\REACTIV CEFAS\E2\E2/20201118_Cefas_Test6-Run3/Plate 1/@1/D10_02- exclu.tif"/>
    <m/>
    <m/>
    <x v="1"/>
    <m/>
    <m/>
    <m/>
    <m/>
  </r>
  <r>
    <x v="0"/>
    <x v="3"/>
    <s v="C:\Users\andre\Desktop\REACTIV CEFAS\E2\E2/20201118_Cefas_Test6-Run3/Plate 1/@1/D10_03- exclu.tif"/>
    <m/>
    <m/>
    <x v="1"/>
    <m/>
    <m/>
    <m/>
    <m/>
  </r>
  <r>
    <x v="0"/>
    <x v="4"/>
    <s v="C:\Users\andre\Desktop\REACTIV CEFAS\E2\E2/20201118_Cefas_Test6-Run3/Plate 1/@1/E10_01.tif "/>
    <s v=" 1038.2349 "/>
    <s v=" 32.1458 "/>
    <x v="0"/>
    <n v="33375"/>
    <m/>
    <m/>
    <m/>
  </r>
  <r>
    <x v="0"/>
    <x v="4"/>
    <s v="C:\Users\andre\Desktop\REACTIV CEFAS\E2\E2/20201118_Cefas_Test6-Run3/Plate 1/@1/E10_02.tif "/>
    <s v=" 2206.2493 "/>
    <s v=" 32.8529 "/>
    <x v="0"/>
    <n v="72482"/>
    <m/>
    <m/>
    <m/>
  </r>
  <r>
    <x v="0"/>
    <x v="4"/>
    <s v="C:\Users\andre\Desktop\REACTIV CEFAS\E2\E2/20201118_Cefas_Test6-Run3/Plate 1/@1/E10_03.tif "/>
    <n v="0"/>
    <n v="0"/>
    <x v="0"/>
    <n v="0"/>
    <m/>
    <m/>
    <m/>
  </r>
  <r>
    <x v="0"/>
    <x v="5"/>
    <s v="C:\Users\andre\Desktop\REACTIV CEFAS\E2\E2/20201118_Cefas_Test6-Run3/Plate 1/@1/F10_01.tif "/>
    <s v=" 865.1958 "/>
    <s v=" 32.175 "/>
    <x v="0"/>
    <n v="27838"/>
    <m/>
    <m/>
    <m/>
  </r>
  <r>
    <x v="0"/>
    <x v="5"/>
    <s v="C:\Users\andre\Desktop\REACTIV CEFAS\E2\E2/20201118_Cefas_Test6-Run3/Plate 1/@1/F10_02- exclu.tif"/>
    <m/>
    <m/>
    <x v="1"/>
    <m/>
    <m/>
    <m/>
    <m/>
  </r>
  <r>
    <x v="0"/>
    <x v="5"/>
    <s v="C:\Users\andre\Desktop\REACTIV CEFAS\E2\E2/20201118_Cefas_Test6-Run3/Plate 1/@1/F10_03.tif "/>
    <n v="0"/>
    <n v="0"/>
    <x v="0"/>
    <n v="0"/>
    <m/>
    <m/>
    <m/>
  </r>
  <r>
    <x v="0"/>
    <x v="6"/>
    <s v="C:\Users\andre\Desktop\REACTIV CEFAS\E2\E2/20201118_Cefas_Test6-Run3/Plate 1/@1/G10_01.tif "/>
    <s v=" 173.0392 "/>
    <s v=" 31.875 "/>
    <x v="0"/>
    <n v="5516"/>
    <m/>
    <m/>
    <m/>
  </r>
  <r>
    <x v="0"/>
    <x v="6"/>
    <s v="C:\Users\andre\Desktop\REACTIV CEFAS\E2\E2/20201118_Cefas_Test6-Run3/Plate 1/@1/G10_02.tif "/>
    <s v=" 1189.6442 "/>
    <s v=" 32.5091 "/>
    <x v="0"/>
    <n v="38674"/>
    <m/>
    <m/>
    <m/>
  </r>
  <r>
    <x v="0"/>
    <x v="6"/>
    <s v="C:\Users\andre\Desktop\REACTIV CEFAS\E2\E2/20201118_Cefas_Test6-Run3/Plate 1/@1/G10_03.tif "/>
    <s v=" 2292.7688 "/>
    <s v=" 33.3679 "/>
    <x v="0"/>
    <n v="76505"/>
    <m/>
    <m/>
    <m/>
  </r>
  <r>
    <x v="0"/>
    <x v="7"/>
    <s v="C:\Users\andre\Desktop\REACTIV CEFAS\E2\E2/20201118_Cefas_Test6-Run3/Plate 1/@1/H10_01.tif "/>
    <s v=" 6510.5983 "/>
    <s v=" 40.5282 "/>
    <x v="0"/>
    <n v="263863"/>
    <m/>
    <m/>
    <m/>
  </r>
  <r>
    <x v="0"/>
    <x v="7"/>
    <s v="C:\Users\andre\Desktop\REACTIV CEFAS\E2\E2/20201118_Cefas_Test6-Run3/Plate 1/@1/H10_02.tif "/>
    <s v=" 6597.1179 "/>
    <s v=" 41.1541 "/>
    <x v="0"/>
    <n v="271498"/>
    <m/>
    <m/>
    <m/>
  </r>
  <r>
    <x v="0"/>
    <x v="7"/>
    <s v="C:\Users\andre\Desktop\REACTIV CEFAS\E2\E2/20201118_Cefas_Test6-Run3/Plate 1/@1/H10_03.tif "/>
    <s v=" 86.5196 "/>
    <n v="31"/>
    <x v="0"/>
    <n v="2682"/>
    <m/>
    <m/>
    <m/>
  </r>
  <r>
    <x v="1"/>
    <x v="8"/>
    <s v=" "/>
    <m/>
    <m/>
    <x v="1"/>
    <m/>
    <m/>
    <m/>
    <m/>
  </r>
  <r>
    <x v="1"/>
    <x v="8"/>
    <s v="group "/>
    <s v=" "/>
    <s v=" mean of mean fluo "/>
    <x v="2"/>
    <s v=" mean of total fluo "/>
    <s v=" SD total fluo "/>
    <s v=" n fluorescent "/>
    <s v=" n total"/>
  </r>
  <r>
    <x v="0"/>
    <x v="9"/>
    <s v="C:\Users\andre\Desktop\REACTIV CEFAS\E2\E2/20201118_Cefas_Test6-Run3/Plate 1/@1/ "/>
    <s v=" "/>
    <s v=" 33.7548 "/>
    <x v="3"/>
    <n v="231576"/>
    <s v=" 300158.204 "/>
    <n v="21"/>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
    <x v="0"/>
    <s v="C:\Users\andre\Desktop\REACTIV CEFAS\E2\E2/20201118_Cefas_Test6-Run3/Plate 1/@13/A8_01.tif "/>
    <s v=" 12891.4172 "/>
    <s v=" 33.7836 "/>
    <x v="0"/>
    <n v="435518"/>
    <m/>
    <m/>
    <m/>
  </r>
  <r>
    <x v="2"/>
    <x v="0"/>
    <s v="C:\Users\andre\Desktop\REACTIV CEFAS\E2\E2/20201118_Cefas_Test6-Run3/Plate 1/@13/A8_02.tif "/>
    <s v=" 14427.1397 "/>
    <s v=" 34.2804 "/>
    <x v="0"/>
    <n v="494568"/>
    <m/>
    <m/>
    <m/>
  </r>
  <r>
    <x v="2"/>
    <x v="0"/>
    <s v="C:\Users\andre\Desktop\REACTIV CEFAS\E2\E2/20201118_Cefas_Test6-Run3/Plate 1/@13/A8_03.tif "/>
    <s v=" 10079.5309 "/>
    <s v=" 33.3906 "/>
    <x v="0"/>
    <n v="336561"/>
    <m/>
    <m/>
    <m/>
  </r>
  <r>
    <x v="2"/>
    <x v="1"/>
    <s v="C:\Users\andre\Desktop\REACTIV CEFAS\E2\E2/20201118_Cefas_Test6-Run3/Plate 1/@13/B8_01.tif "/>
    <s v=" 49943.4267 "/>
    <s v=" 39.3114 "/>
    <x v="0"/>
    <n v="1963346"/>
    <m/>
    <m/>
    <m/>
  </r>
  <r>
    <x v="2"/>
    <x v="1"/>
    <s v="C:\Users\andre\Desktop\REACTIV CEFAS\E2\E2/20201118_Cefas_Test6-Run3/Plate 1/@13/B8_02- exclu.tif"/>
    <m/>
    <m/>
    <x v="1"/>
    <m/>
    <m/>
    <m/>
    <m/>
  </r>
  <r>
    <x v="2"/>
    <x v="1"/>
    <s v="C:\Users\andre\Desktop\REACTIV CEFAS\E2\E2/20201118_Cefas_Test6-Run3/Plate 1/@13/B8_03.tif "/>
    <s v=" 38782.4011 "/>
    <s v=" 37.261 "/>
    <x v="0"/>
    <n v="1445072"/>
    <m/>
    <m/>
    <m/>
  </r>
  <r>
    <x v="2"/>
    <x v="2"/>
    <s v="C:\Users\andre\Desktop\REACTIV CEFAS\E2\E2/20201118_Cefas_Test6-Run3/Plate 1/@13/C8_01.tif "/>
    <s v=" 33439.8171 "/>
    <s v=" 37.7691 "/>
    <x v="0"/>
    <n v="1262991"/>
    <m/>
    <m/>
    <m/>
  </r>
  <r>
    <x v="2"/>
    <x v="2"/>
    <s v="C:\Users\andre\Desktop\REACTIV CEFAS\E2\E2/20201118_Cefas_Test6-Run3/Plate 1/@13/C8_02.tif "/>
    <s v=" 32033.8739 "/>
    <s v=" 35.5334 "/>
    <x v="0"/>
    <n v="1138273"/>
    <m/>
    <m/>
    <m/>
  </r>
  <r>
    <x v="2"/>
    <x v="2"/>
    <s v="C:\Users\andre\Desktop\REACTIV CEFAS\E2\E2/20201118_Cefas_Test6-Run3/Plate 1/@13/C8_03.tif "/>
    <s v=" 43259.7893 "/>
    <s v=" 38.153 "/>
    <x v="0"/>
    <n v="1650491"/>
    <m/>
    <m/>
    <m/>
  </r>
  <r>
    <x v="2"/>
    <x v="3"/>
    <s v="C:\Users\andre\Desktop\REACTIV CEFAS\E2\E2/20201118_Cefas_Test6-Run3/Plate 1/@13/D8_01.tif "/>
    <s v=" 76807.7558 "/>
    <s v=" 47.4244 "/>
    <x v="0"/>
    <n v="3642561"/>
    <m/>
    <m/>
    <m/>
  </r>
  <r>
    <x v="2"/>
    <x v="3"/>
    <s v="C:\Users\andre\Desktop\REACTIV CEFAS\E2\E2/20201118_Cefas_Test6-Run3/Plate 1/@13/D8_02.tif "/>
    <s v=" 79511.4927 "/>
    <s v=" 43.0297 "/>
    <x v="0"/>
    <n v="3421352"/>
    <m/>
    <m/>
    <m/>
  </r>
  <r>
    <x v="2"/>
    <x v="3"/>
    <s v="C:\Users\andre\Desktop\REACTIV CEFAS\E2\E2/20201118_Cefas_Test6-Run3/Plate 1/@13/D8_03.tif "/>
    <s v=" 72568.2965 "/>
    <s v=" 43.1308 "/>
    <x v="0"/>
    <n v="3129932"/>
    <m/>
    <m/>
    <m/>
  </r>
  <r>
    <x v="2"/>
    <x v="4"/>
    <s v="C:\Users\andre\Desktop\REACTIV CEFAS\E2\E2/20201118_Cefas_Test6-Run3/Plate 1/@13/E8_01.tif "/>
    <s v=" 28573.0908 "/>
    <s v=" 36.3581 "/>
    <x v="0"/>
    <n v="1038862"/>
    <m/>
    <m/>
    <m/>
  </r>
  <r>
    <x v="2"/>
    <x v="4"/>
    <s v="C:\Users\andre\Desktop\REACTIV CEFAS\E2\E2/20201118_Cefas_Test6-Run3/Plate 1/@13/E8_02.tif "/>
    <s v=" 20656.5494 "/>
    <s v=" 35.7455 "/>
    <x v="0"/>
    <n v="738380"/>
    <m/>
    <m/>
    <m/>
  </r>
  <r>
    <x v="2"/>
    <x v="4"/>
    <s v="C:\Users\andre\Desktop\REACTIV CEFAS\E2\E2/20201118_Cefas_Test6-Run3/Plate 1/@13/E8_03.tif "/>
    <s v=" 20570.0298 "/>
    <s v=" 35.5657 "/>
    <x v="0"/>
    <n v="731588"/>
    <m/>
    <m/>
    <m/>
  </r>
  <r>
    <x v="2"/>
    <x v="5"/>
    <s v="C:\Users\andre\Desktop\REACTIV CEFAS\E2\E2/20201118_Cefas_Test6-Run3/Plate 1/@13/F8_01.tif "/>
    <s v=" 38328.1733 "/>
    <s v=" 36.7381 "/>
    <x v="0"/>
    <n v="1408106"/>
    <m/>
    <m/>
    <m/>
  </r>
  <r>
    <x v="2"/>
    <x v="5"/>
    <s v="C:\Users\andre\Desktop\REACTIV CEFAS\E2\E2/20201118_Cefas_Test6-Run3/Plate 1/@13/F8_02.tif "/>
    <s v=" 39409.668 "/>
    <s v=" 38.8743 "/>
    <x v="0"/>
    <n v="1532024"/>
    <m/>
    <m/>
    <m/>
  </r>
  <r>
    <x v="2"/>
    <x v="5"/>
    <s v="C:\Users\andre\Desktop\REACTIV CEFAS\E2\E2/20201118_Cefas_Test6-Run3/Plate 1/@13/F8_03.tif "/>
    <s v=" 39171.7392 "/>
    <s v=" 36.1734 "/>
    <x v="0"/>
    <n v="1416974"/>
    <m/>
    <m/>
    <m/>
  </r>
  <r>
    <x v="2"/>
    <x v="6"/>
    <s v="C:\Users\andre\Desktop\REACTIV CEFAS\E2\E2/20201118_Cefas_Test6-Run3/Plate 1/@13/G8_01.tif "/>
    <s v=" 44319.6541 "/>
    <s v=" 42.8145 "/>
    <x v="0"/>
    <n v="1897526"/>
    <m/>
    <m/>
    <m/>
  </r>
  <r>
    <x v="2"/>
    <x v="6"/>
    <s v="C:\Users\andre\Desktop\REACTIV CEFAS\E2\E2/20201118_Cefas_Test6-Run3/Plate 1/@13/G8_02.tif "/>
    <s v=" 36554.5219 "/>
    <s v=" 39.4024 "/>
    <x v="0"/>
    <n v="1440335"/>
    <m/>
    <m/>
    <m/>
  </r>
  <r>
    <x v="2"/>
    <x v="6"/>
    <s v="C:\Users\andre\Desktop\REACTIV CEFAS\E2\E2/20201118_Cefas_Test6-Run3/Plate 1/@13/G8_03.tif "/>
    <s v=" 46461.0137 "/>
    <s v=" 39.9413 "/>
    <x v="0"/>
    <n v="1855715"/>
    <m/>
    <m/>
    <m/>
  </r>
  <r>
    <x v="2"/>
    <x v="7"/>
    <s v="C:\Users\andre\Desktop\REACTIV CEFAS\E2\E2/20201118_Cefas_Test6-Run3/Plate 1/@13/H8_01.tif "/>
    <s v=" 79641.272 "/>
    <s v=" 44.5459 "/>
    <x v="0"/>
    <n v="3547692"/>
    <m/>
    <m/>
    <m/>
  </r>
  <r>
    <x v="2"/>
    <x v="7"/>
    <s v="C:\Users\andre\Desktop\REACTIV CEFAS\E2\E2/20201118_Cefas_Test6-Run3/Plate 1/@13/H8_02.tif "/>
    <s v=" 72698.0758 "/>
    <s v=" 43.7025 "/>
    <x v="0"/>
    <n v="3177085"/>
    <m/>
    <m/>
    <m/>
  </r>
  <r>
    <x v="2"/>
    <x v="7"/>
    <s v="C:\Users\andre\Desktop\REACTIV CEFAS\E2\E2/20201118_Cefas_Test6-Run3/Plate 1/@13/H8_03.tif "/>
    <s v=" 69842.9298 "/>
    <s v=" 44.6216 "/>
    <x v="0"/>
    <n v="3116500"/>
    <m/>
    <m/>
    <m/>
  </r>
  <r>
    <x v="1"/>
    <x v="8"/>
    <s v=" "/>
    <m/>
    <m/>
    <x v="1"/>
    <m/>
    <m/>
    <m/>
    <m/>
  </r>
  <r>
    <x v="1"/>
    <x v="8"/>
    <s v="group "/>
    <s v=" "/>
    <s v=" mean of mean fluo "/>
    <x v="2"/>
    <s v=" mean of total fluo "/>
    <s v=" SD total fluo "/>
    <s v=" n fluorescent "/>
    <s v=" n total"/>
  </r>
  <r>
    <x v="2"/>
    <x v="9"/>
    <s v="C:\Users\andre\Desktop\REACTIV CEFAS\E2\E2/20201118_Cefas_Test6-Run3/Plate 1/@13/ "/>
    <s v=" "/>
    <s v=" 38.9202 "/>
    <x v="4"/>
    <s v=" 1749689.96 "/>
    <s v=" 1038018.4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3"/>
    <x v="0"/>
    <s v="C:\Users\andre\Desktop\REACTIV CEFAS\E2\E2/20201118_Cefas_Test6-Run3/Plate 1/@14/A9_01.tif "/>
    <s v=" 17779.7734 "/>
    <s v=" 35.163 "/>
    <x v="0"/>
    <n v="625190"/>
    <m/>
    <m/>
    <m/>
  </r>
  <r>
    <x v="3"/>
    <x v="0"/>
    <s v="C:\Users\andre\Desktop\REACTIV CEFAS\E2\E2/20201118_Cefas_Test6-Run3/Plate 1/@14/A9_02.tif "/>
    <s v=" 26474.991 "/>
    <s v=" 34.0441 "/>
    <x v="0"/>
    <n v="901318"/>
    <m/>
    <m/>
    <m/>
  </r>
  <r>
    <x v="3"/>
    <x v="0"/>
    <s v="C:\Users\andre\Desktop\REACTIV CEFAS\E2\E2/20201118_Cefas_Test6-Run3/Plate 1/@14/A9_03.tif "/>
    <s v=" 30390.002 "/>
    <s v=" 35.0256 "/>
    <x v="0"/>
    <n v="1064429"/>
    <m/>
    <m/>
    <m/>
  </r>
  <r>
    <x v="3"/>
    <x v="1"/>
    <s v="C:\Users\andre\Desktop\REACTIV CEFAS\E2\E2/20201118_Cefas_Test6-Run3/Plate 1/@14/B9_01.tif "/>
    <s v=" 53274.4305 "/>
    <s v=" 40.1052 "/>
    <x v="0"/>
    <n v="2136579"/>
    <m/>
    <m/>
    <m/>
  </r>
  <r>
    <x v="3"/>
    <x v="1"/>
    <s v="C:\Users\andre\Desktop\REACTIV CEFAS\E2\E2/20201118_Cefas_Test6-Run3/Plate 1/@14/B9_02.tif "/>
    <s v=" 63721.6696 "/>
    <s v=" 41.9745 "/>
    <x v="0"/>
    <n v="2674688"/>
    <m/>
    <m/>
    <m/>
  </r>
  <r>
    <x v="3"/>
    <x v="1"/>
    <s v="C:\Users\andre\Desktop\REACTIV CEFAS\E2\E2/20201118_Cefas_Test6-Run3/Plate 1/@14/B9_03.tif "/>
    <s v=" 52387.6048 "/>
    <s v=" 39.6276 "/>
    <x v="0"/>
    <n v="2075994"/>
    <m/>
    <m/>
    <m/>
  </r>
  <r>
    <x v="3"/>
    <x v="2"/>
    <s v="C:\Users\andre\Desktop\REACTIV CEFAS\E2\E2/20201118_Cefas_Test6-Run3/Plate 1/@14/C9_01.tif "/>
    <s v=" 54399.185 "/>
    <s v=" 38.0414 "/>
    <x v="0"/>
    <n v="2069419"/>
    <m/>
    <m/>
    <m/>
  </r>
  <r>
    <x v="3"/>
    <x v="2"/>
    <s v="C:\Users\andre\Desktop\REACTIV CEFAS\E2\E2/20201118_Cefas_Test6-Run3/Plate 1/@14/C9_02.tif "/>
    <s v=" 53598.8789 "/>
    <s v=" 39.9374 "/>
    <x v="0"/>
    <n v="2140603"/>
    <m/>
    <m/>
    <m/>
  </r>
  <r>
    <x v="3"/>
    <x v="2"/>
    <s v="C:\Users\andre\Desktop\REACTIV CEFAS\E2\E2/20201118_Cefas_Test6-Run3/Plate 1/@14/C9_03.tif "/>
    <s v=" 59720.1391 "/>
    <s v=" 40.5592 "/>
    <x v="0"/>
    <n v="2422202"/>
    <m/>
    <m/>
    <m/>
  </r>
  <r>
    <x v="3"/>
    <x v="3"/>
    <s v="C:\Users\andre\Desktop\REACTIV CEFAS\E2\E2/20201118_Cefas_Test6-Run3/Plate 1/@14/D9_01- exclu.tif"/>
    <m/>
    <m/>
    <x v="1"/>
    <m/>
    <m/>
    <m/>
    <m/>
  </r>
  <r>
    <x v="3"/>
    <x v="3"/>
    <s v="C:\Users\andre\Desktop\REACTIV CEFAS\E2\E2/20201118_Cefas_Test6-Run3/Plate 1/@14/D9_02.tif "/>
    <s v=" 87276.6248 "/>
    <s v=" 47.1299 "/>
    <x v="0"/>
    <n v="4113335"/>
    <m/>
    <m/>
    <m/>
  </r>
  <r>
    <x v="3"/>
    <x v="3"/>
    <s v="C:\Users\andre\Desktop\REACTIV CEFAS\E2\E2/20201118_Cefas_Test6-Run3/Plate 1/@14/D9_03.tif "/>
    <s v=" 86346.5394 "/>
    <s v=" 50.2229 "/>
    <x v="0"/>
    <n v="4336578"/>
    <m/>
    <m/>
    <m/>
  </r>
  <r>
    <x v="3"/>
    <x v="4"/>
    <s v="C:\Users\andre\Desktop\REACTIV CEFAS\E2\E2/20201118_Cefas_Test6-Run3/Plate 1/@14/E9_01.tif "/>
    <s v=" 66728.2249 "/>
    <s v=" 41.2703 "/>
    <x v="0"/>
    <n v="2753897"/>
    <m/>
    <m/>
    <m/>
  </r>
  <r>
    <x v="3"/>
    <x v="4"/>
    <s v="C:\Users\andre\Desktop\REACTIV CEFAS\E2\E2/20201118_Cefas_Test6-Run3/Plate 1/@14/E9_02.tif "/>
    <s v=" 55913.2776 "/>
    <s v=" 38.5698 "/>
    <x v="0"/>
    <n v="2156565"/>
    <m/>
    <m/>
    <m/>
  </r>
  <r>
    <x v="3"/>
    <x v="4"/>
    <s v="C:\Users\andre\Desktop\REACTIV CEFAS\E2\E2/20201118_Cefas_Test6-Run3/Plate 1/@14/E9_03.tif "/>
    <s v=" 39258.2588 "/>
    <s v=" 39.1609 "/>
    <x v="0"/>
    <n v="1537388"/>
    <m/>
    <m/>
    <m/>
  </r>
  <r>
    <x v="3"/>
    <x v="5"/>
    <s v="C:\Users\andre\Desktop\REACTIV CEFAS\E2\E2/20201118_Cefas_Test6-Run3/Plate 1/@14/F9_01.tif "/>
    <s v=" 46006.7859 "/>
    <s v=" 40.0846 "/>
    <x v="0"/>
    <n v="1844165"/>
    <m/>
    <m/>
    <m/>
  </r>
  <r>
    <x v="3"/>
    <x v="5"/>
    <s v="C:\Users\andre\Desktop\REACTIV CEFAS\E2\E2/20201118_Cefas_Test6-Run3/Plate 1/@14/F9_02.tif "/>
    <s v=" 53512.3593 "/>
    <s v=" 39.2846 "/>
    <x v="0"/>
    <n v="2102209"/>
    <m/>
    <m/>
    <m/>
  </r>
  <r>
    <x v="3"/>
    <x v="5"/>
    <s v="C:\Users\andre\Desktop\REACTIV CEFAS\E2\E2/20201118_Cefas_Test6-Run3/Plate 1/@14/F9_03.tif "/>
    <s v=" 48580.7433 "/>
    <s v=" 38.6055 "/>
    <x v="0"/>
    <n v="1875485"/>
    <m/>
    <m/>
    <m/>
  </r>
  <r>
    <x v="3"/>
    <x v="6"/>
    <s v="C:\Users\andre\Desktop\REACTIV CEFAS\E2\E2/20201118_Cefas_Test6-Run3/Plate 1/@14/G9_01.tif "/>
    <s v=" 40253.2339 "/>
    <s v=" 39.4283 "/>
    <x v="0"/>
    <n v="1587115"/>
    <m/>
    <m/>
    <m/>
  </r>
  <r>
    <x v="3"/>
    <x v="6"/>
    <s v="C:\Users\andre\Desktop\REACTIV CEFAS\E2\E2/20201118_Cefas_Test6-Run3/Plate 1/@14/G9_02.tif "/>
    <s v=" 43000.2305 "/>
    <s v=" 39.5065 "/>
    <x v="0"/>
    <n v="1698790"/>
    <m/>
    <m/>
    <m/>
  </r>
  <r>
    <x v="3"/>
    <x v="6"/>
    <s v="C:\Users\andre\Desktop\REACTIV CEFAS\E2\E2/20201118_Cefas_Test6-Run3/Plate 1/@14/G9_03.tif "/>
    <s v=" 46374.4941 "/>
    <s v=" 38.847 "/>
    <x v="0"/>
    <n v="1801511"/>
    <m/>
    <m/>
    <m/>
  </r>
  <r>
    <x v="3"/>
    <x v="7"/>
    <s v="C:\Users\andre\Desktop\REACTIV CEFAS\E2\E2/20201118_Cefas_Test6-Run3/Plate 1/@14/H9_01.tif "/>
    <s v=" 13388.9048 "/>
    <s v=" 33.7431 "/>
    <x v="0"/>
    <n v="451784"/>
    <m/>
    <m/>
    <m/>
  </r>
  <r>
    <x v="3"/>
    <x v="7"/>
    <s v="C:\Users\andre\Desktop\REACTIV CEFAS\E2\E2/20201118_Cefas_Test6-Run3/Plate 1/@14/H9_02.tif "/>
    <s v=" 11117.7658 "/>
    <s v=" 33.4319 "/>
    <x v="0"/>
    <n v="371688"/>
    <m/>
    <m/>
    <m/>
  </r>
  <r>
    <x v="3"/>
    <x v="7"/>
    <s v="C:\Users\andre\Desktop\REACTIV CEFAS\E2\E2/20201118_Cefas_Test6-Run3/Plate 1/@14/H9_03.tif "/>
    <s v=" 10252.5701 "/>
    <s v=" 33.846 "/>
    <x v="0"/>
    <n v="347008"/>
    <m/>
    <m/>
    <m/>
  </r>
  <r>
    <x v="1"/>
    <x v="8"/>
    <s v=" "/>
    <m/>
    <m/>
    <x v="1"/>
    <m/>
    <m/>
    <m/>
    <m/>
  </r>
  <r>
    <x v="1"/>
    <x v="8"/>
    <s v="group "/>
    <s v=" "/>
    <s v=" mean of mean fluo "/>
    <x v="2"/>
    <s v=" mean of total fluo "/>
    <s v=" SD total fluo "/>
    <s v=" n fluorescent "/>
    <s v=" n total"/>
  </r>
  <r>
    <x v="3"/>
    <x v="9"/>
    <s v="C:\Users\andre\Desktop\REACTIV CEFAS\E2\E2/20201118_Cefas_Test6-Run3/Plate 1/@14/ "/>
    <s v=" "/>
    <s v=" 39.5245 "/>
    <x v="5"/>
    <s v=" 1960315.54 "/>
    <s v=" 1089906.12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4"/>
    <x v="0"/>
    <s v="C:\Users\andre\Desktop\REACTIV CEFAS\E2\E2/20201118_Cefas_Test6-Run3/Plate 1/@15/A11_01.tif "/>
    <s v=" 68977.734 "/>
    <s v=" 47.4008 "/>
    <x v="0"/>
    <n v="3269597"/>
    <m/>
    <m/>
    <m/>
  </r>
  <r>
    <x v="4"/>
    <x v="0"/>
    <s v="C:\Users\andre\Desktop\REACTIV CEFAS\E2\E2/20201118_Cefas_Test6-Run3/Plate 1/@15/A11_02.tif "/>
    <s v=" 74168.9087 "/>
    <s v=" 45.058 "/>
    <x v="0"/>
    <n v="3341905"/>
    <m/>
    <m/>
    <m/>
  </r>
  <r>
    <x v="4"/>
    <x v="0"/>
    <s v="C:\Users\andre\Desktop\REACTIV CEFAS\E2\E2/20201118_Cefas_Test6-Run3/Plate 1/@15/A11_03.tif "/>
    <s v=" 66663.3352 "/>
    <s v=" 43.5571 "/>
    <x v="0"/>
    <n v="2903662"/>
    <m/>
    <m/>
    <m/>
  </r>
  <r>
    <x v="4"/>
    <x v="1"/>
    <s v="C:\Users\andre\Desktop\REACTIV CEFAS\E2\E2/20201118_Cefas_Test6-Run3/Plate 1/@15/B11_01.tif "/>
    <s v=" 96144.8816 "/>
    <s v=" 53.1618 "/>
    <x v="0"/>
    <n v="5111231"/>
    <m/>
    <m/>
    <m/>
  </r>
  <r>
    <x v="4"/>
    <x v="1"/>
    <s v="C:\Users\andre\Desktop\REACTIV CEFAS\E2\E2/20201118_Cefas_Test6-Run3/Plate 1/@15/B11_02.tif "/>
    <s v=" 89223.3153 "/>
    <s v=" 49.0895 "/>
    <x v="0"/>
    <n v="4379924"/>
    <m/>
    <m/>
    <m/>
  </r>
  <r>
    <x v="4"/>
    <x v="1"/>
    <s v="C:\Users\andre\Desktop\REACTIV CEFAS\E2\E2/20201118_Cefas_Test6-Run3/Plate 1/@15/B11_03.tif "/>
    <s v=" 86865.6568 "/>
    <s v=" 53.2271 "/>
    <x v="0"/>
    <n v="4623606"/>
    <m/>
    <m/>
    <m/>
  </r>
  <r>
    <x v="4"/>
    <x v="2"/>
    <s v="C:\Users\andre\Desktop\REACTIV CEFAS\E2\E2/20201118_Cefas_Test6-Run3/Plate 1/@15/C11_01.tif "/>
    <s v=" 82453.1583 "/>
    <s v=" 54.7361 "/>
    <x v="0"/>
    <n v="4513164"/>
    <m/>
    <m/>
    <m/>
  </r>
  <r>
    <x v="4"/>
    <x v="2"/>
    <s v="C:\Users\andre\Desktop\REACTIV CEFAS\E2\E2/20201118_Cefas_Test6-Run3/Plate 1/@15/C11_02.tif "/>
    <s v=" 88379.7495 "/>
    <s v=" 57.8769 "/>
    <x v="0"/>
    <n v="5115146"/>
    <m/>
    <m/>
    <m/>
  </r>
  <r>
    <x v="4"/>
    <x v="2"/>
    <s v="C:\Users\andre\Desktop\REACTIV CEFAS\E2\E2/20201118_Cefas_Test6-Run3/Plate 1/@15/C11_03.tif "/>
    <s v=" 71897.7697 "/>
    <s v=" 59.5704 "/>
    <x v="0"/>
    <n v="4282979"/>
    <m/>
    <m/>
    <m/>
  </r>
  <r>
    <x v="4"/>
    <x v="3"/>
    <s v="C:\Users\andre\Desktop\REACTIV CEFAS\E2\E2/20201118_Cefas_Test6-Run3/Plate 1/@15/D11_01.tif "/>
    <s v=" 77845.9908 "/>
    <s v=" 45.8361 "/>
    <x v="0"/>
    <n v="3568154"/>
    <m/>
    <m/>
    <m/>
  </r>
  <r>
    <x v="4"/>
    <x v="3"/>
    <s v="C:\Users\andre\Desktop\REACTIV CEFAS\E2\E2/20201118_Cefas_Test6-Run3/Plate 1/@15/D11_02.tif "/>
    <s v=" 85892.3116 "/>
    <s v=" 48.789 "/>
    <x v="0"/>
    <n v="4190597"/>
    <m/>
    <m/>
    <m/>
  </r>
  <r>
    <x v="4"/>
    <x v="3"/>
    <s v="C:\Users\andre\Desktop\REACTIV CEFAS\E2\E2/20201118_Cefas_Test6-Run3/Plate 1/@15/D11_03.tif "/>
    <s v=" 84356.5891 "/>
    <s v=" 46.6246 "/>
    <x v="0"/>
    <n v="3933094"/>
    <m/>
    <m/>
    <m/>
  </r>
  <r>
    <x v="4"/>
    <x v="4"/>
    <s v="C:\Users\andre\Desktop\REACTIV CEFAS\E2\E2/20201118_Cefas_Test6-Run3/Plate 1/@15/E11_01.tif "/>
    <s v=" 81068.8451 "/>
    <s v=" 50.2359 "/>
    <x v="0"/>
    <n v="4072563"/>
    <m/>
    <m/>
    <m/>
  </r>
  <r>
    <x v="4"/>
    <x v="4"/>
    <s v="C:\Users\andre\Desktop\REACTIV CEFAS\E2\E2/20201118_Cefas_Test6-Run3/Plate 1/@15/E11_02- exclu.tif"/>
    <m/>
    <m/>
    <x v="1"/>
    <m/>
    <m/>
    <m/>
    <m/>
  </r>
  <r>
    <x v="4"/>
    <x v="4"/>
    <s v="C:\Users\andre\Desktop\REACTIV CEFAS\E2\E2/20201118_Cefas_Test6-Run3/Plate 1/@15/E11_03- exclu.tif"/>
    <m/>
    <m/>
    <x v="1"/>
    <m/>
    <m/>
    <m/>
    <m/>
  </r>
  <r>
    <x v="4"/>
    <x v="5"/>
    <s v="C:\Users\andre\Desktop\REACTIV CEFAS\E2\E2/20201118_Cefas_Test6-Run3/Plate 1/@15/F11_01.tif "/>
    <s v=" 49143.1206 "/>
    <s v=" 47.7843 "/>
    <x v="0"/>
    <n v="2348271"/>
    <m/>
    <m/>
    <m/>
  </r>
  <r>
    <x v="4"/>
    <x v="5"/>
    <s v="C:\Users\andre\Desktop\REACTIV CEFAS\E2\E2/20201118_Cefas_Test6-Run3/Plate 1/@15/F11_02.tif "/>
    <s v=" 53014.8717 "/>
    <s v=" 49.6202 "/>
    <x v="0"/>
    <n v="2630606"/>
    <m/>
    <m/>
    <m/>
  </r>
  <r>
    <x v="4"/>
    <x v="5"/>
    <s v="C:\Users\andre\Desktop\REACTIV CEFAS\E2\E2/20201118_Cefas_Test6-Run3/Plate 1/@15/F11_03.tif "/>
    <s v=" 55004.822 "/>
    <s v=" 46.8537 "/>
    <x v="0"/>
    <n v="2577180"/>
    <m/>
    <m/>
    <m/>
  </r>
  <r>
    <x v="4"/>
    <x v="6"/>
    <s v="C:\Users\andre\Desktop\REACTIV CEFAS\E2\E2/20201118_Cefas_Test6-Run3/Plate 1/@15/G11_01.tif "/>
    <s v=" 79900.8308 "/>
    <s v=" 48.6781 "/>
    <x v="0"/>
    <n v="3889423"/>
    <m/>
    <m/>
    <m/>
  </r>
  <r>
    <x v="4"/>
    <x v="6"/>
    <s v="C:\Users\andre\Desktop\REACTIV CEFAS\E2\E2/20201118_Cefas_Test6-Run3/Plate 1/@15/G11_02.tif "/>
    <s v=" 79554.7524 "/>
    <s v=" 49.4407 "/>
    <x v="0"/>
    <n v="3933245"/>
    <m/>
    <m/>
    <m/>
  </r>
  <r>
    <x v="4"/>
    <x v="6"/>
    <s v="C:\Users\andre\Desktop\REACTIV CEFAS\E2\E2/20201118_Cefas_Test6-Run3/Plate 1/@15/G11_03- exclu.tif"/>
    <m/>
    <m/>
    <x v="1"/>
    <m/>
    <m/>
    <m/>
    <m/>
  </r>
  <r>
    <x v="4"/>
    <x v="7"/>
    <s v="C:\Users\andre\Desktop\REACTIV CEFAS\E2\E2/20201118_Cefas_Test6-Run3/Plate 1/@15/H11_01.tif "/>
    <s v=" 78970.7453 "/>
    <s v=" 54.6242 "/>
    <x v="0"/>
    <n v="4313715"/>
    <m/>
    <m/>
    <m/>
  </r>
  <r>
    <x v="4"/>
    <x v="7"/>
    <s v="C:\Users\andre\Desktop\REACTIV CEFAS\E2\E2/20201118_Cefas_Test6-Run3/Plate 1/@15/H11_02.tif "/>
    <s v=" 78797.7061 "/>
    <s v=" 54.1672 "/>
    <x v="0"/>
    <n v="4268249"/>
    <m/>
    <m/>
    <m/>
  </r>
  <r>
    <x v="4"/>
    <x v="7"/>
    <s v="C:\Users\andre\Desktop\REACTIV CEFAS\E2\E2/20201118_Cefas_Test6-Run3/Plate 1/@15/H11_03.tif "/>
    <s v=" 78148.8093 "/>
    <s v=" 52.6299 "/>
    <x v="0"/>
    <n v="4112968"/>
    <m/>
    <m/>
    <m/>
  </r>
  <r>
    <x v="1"/>
    <x v="8"/>
    <s v=" "/>
    <m/>
    <m/>
    <x v="1"/>
    <m/>
    <m/>
    <m/>
    <m/>
  </r>
  <r>
    <x v="1"/>
    <x v="8"/>
    <s v="group "/>
    <s v=" "/>
    <s v=" mean of mean fluo "/>
    <x v="2"/>
    <s v=" mean of total fluo "/>
    <s v=" SD total fluo "/>
    <s v=" n fluorescent "/>
    <s v=" n total"/>
  </r>
  <r>
    <x v="4"/>
    <x v="9"/>
    <s v="C:\Users\andre\Desktop\REACTIV CEFAS\E2\E2/20201118_Cefas_Test6-Run3/Plate 1/@15/ "/>
    <s v=" "/>
    <s v=" 49.6402 "/>
    <x v="6"/>
    <s v=" 3745286.62 "/>
    <s v=" 1027248.28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5"/>
    <x v="0"/>
    <s v="C:\Users\andre\Desktop\REACTIV CEFAS\E2\E2/20201118_Cefas_Test6-Run3/Plate 1/@16/A12_01- exclu.tif"/>
    <m/>
    <m/>
    <x v="1"/>
    <m/>
    <m/>
    <m/>
    <m/>
  </r>
  <r>
    <x v="5"/>
    <x v="0"/>
    <s v="C:\Users\andre\Desktop\REACTIV CEFAS\E2\E2/20201118_Cefas_Test6-Run3/Plate 1/@16/A12_02.tif "/>
    <s v=" 7613.7229 "/>
    <s v=" 35.7358 "/>
    <x v="0"/>
    <n v="272082"/>
    <m/>
    <m/>
    <m/>
  </r>
  <r>
    <x v="5"/>
    <x v="0"/>
    <s v="C:\Users\andre\Desktop\REACTIV CEFAS\E2\E2/20201118_Cefas_Test6-Run3/Plate 1/@16/A12_03- exclu.tif"/>
    <m/>
    <m/>
    <x v="1"/>
    <m/>
    <m/>
    <m/>
    <m/>
  </r>
  <r>
    <x v="5"/>
    <x v="1"/>
    <s v="C:\Users\andre\Desktop\REACTIV CEFAS\E2\E2/20201118_Cefas_Test6-Run3/Plate 1/@16/B12_01.tif "/>
    <s v=" 4736.9469 "/>
    <s v=" 35.9909 "/>
    <x v="0"/>
    <n v="170487"/>
    <m/>
    <m/>
    <m/>
  </r>
  <r>
    <x v="5"/>
    <x v="1"/>
    <s v="C:\Users\andre\Desktop\REACTIV CEFAS\E2\E2/20201118_Cefas_Test6-Run3/Plate 1/@16/B12_02.tif "/>
    <s v=" 5234.4345 "/>
    <s v=" 35.7066 "/>
    <x v="0"/>
    <n v="186904"/>
    <m/>
    <m/>
    <m/>
  </r>
  <r>
    <x v="5"/>
    <x v="1"/>
    <s v="C:\Users\andre\Desktop\REACTIV CEFAS\E2\E2/20201118_Cefas_Test6-Run3/Plate 1/@16/B12_03.tif "/>
    <s v=" 6770.157 "/>
    <s v=" 36.8179 "/>
    <x v="0"/>
    <n v="249263"/>
    <m/>
    <m/>
    <m/>
  </r>
  <r>
    <x v="5"/>
    <x v="2"/>
    <s v="C:\Users\andre\Desktop\REACTIV CEFAS\E2\E2/20201118_Cefas_Test6-Run3/Plate 1/@16/C12_01.tif "/>
    <s v=" 3568.9326 "/>
    <s v=" 33.6788 "/>
    <x v="0"/>
    <n v="120197"/>
    <m/>
    <m/>
    <m/>
  </r>
  <r>
    <x v="5"/>
    <x v="2"/>
    <s v="C:\Users\andre\Desktop\REACTIV CEFAS\E2\E2/20201118_Cefas_Test6-Run3/Plate 1/@16/C12_02.tif "/>
    <s v=" 6597.1179 "/>
    <s v=" 41.1016 "/>
    <x v="0"/>
    <n v="271152"/>
    <m/>
    <m/>
    <m/>
  </r>
  <r>
    <x v="5"/>
    <x v="2"/>
    <s v="C:\Users\andre\Desktop\REACTIV CEFAS\E2\E2/20201118_Cefas_Test6-Run3/Plate 1/@16/C12_03.tif "/>
    <s v=" 2271.1389 "/>
    <s v=" 31.9714 "/>
    <x v="0"/>
    <n v="72612"/>
    <m/>
    <m/>
    <m/>
  </r>
  <r>
    <x v="5"/>
    <x v="3"/>
    <s v="C:\Users\andre\Desktop\REACTIV CEFAS\E2\E2/20201118_Cefas_Test6-Run3/Plate 1/@16/D12_01.tif "/>
    <s v=" 2984.9255 "/>
    <s v=" 34.2971 "/>
    <x v="0"/>
    <n v="102374"/>
    <m/>
    <m/>
    <m/>
  </r>
  <r>
    <x v="5"/>
    <x v="3"/>
    <s v="C:\Users\andre\Desktop\REACTIV CEFAS\E2\E2/20201118_Cefas_Test6-Run3/Plate 1/@16/D12_02.tif "/>
    <n v="0"/>
    <n v="0"/>
    <x v="0"/>
    <n v="0"/>
    <m/>
    <m/>
    <m/>
  </r>
  <r>
    <x v="5"/>
    <x v="3"/>
    <s v="C:\Users\andre\Desktop\REACTIV CEFAS\E2\E2/20201118_Cefas_Test6-Run3/Plate 1/@16/D12_03.tif "/>
    <s v=" 3028.1852 "/>
    <s v=" 33.6429 "/>
    <x v="0"/>
    <n v="101877"/>
    <m/>
    <m/>
    <m/>
  </r>
  <r>
    <x v="5"/>
    <x v="4"/>
    <s v="C:\Users\andre\Desktop\REACTIV CEFAS\E2\E2/20201118_Cefas_Test6-Run3/Plate 1/@16/E12_01.tif "/>
    <s v=" 1254.5339 "/>
    <s v=" 32.6379 "/>
    <x v="0"/>
    <n v="40945"/>
    <m/>
    <m/>
    <m/>
  </r>
  <r>
    <x v="5"/>
    <x v="4"/>
    <s v="C:\Users\andre\Desktop\REACTIV CEFAS\E2\E2/20201118_Cefas_Test6-Run3/Plate 1/@16/E12_02- exclu.tif"/>
    <m/>
    <m/>
    <x v="1"/>
    <m/>
    <m/>
    <m/>
    <m/>
  </r>
  <r>
    <x v="5"/>
    <x v="4"/>
    <s v="C:\Users\andre\Desktop\REACTIV CEFAS\E2\E2/20201118_Cefas_Test6-Run3/Plate 1/@16/E12_03.tif "/>
    <s v=" 475.8577 "/>
    <s v=" 31.0909 "/>
    <x v="0"/>
    <n v="14795"/>
    <m/>
    <m/>
    <m/>
  </r>
  <r>
    <x v="5"/>
    <x v="5"/>
    <s v="C:\Users\andre\Desktop\REACTIV CEFAS\E2\E2/20201118_Cefas_Test6-Run3/Plate 1/@16/F12_01.tif "/>
    <s v=" 1773.6514 "/>
    <s v=" 33.7927 "/>
    <x v="0"/>
    <n v="59936"/>
    <m/>
    <m/>
    <m/>
  </r>
  <r>
    <x v="5"/>
    <x v="5"/>
    <s v="C:\Users\andre\Desktop\REACTIV CEFAS\E2\E2/20201118_Cefas_Test6-Run3/Plate 1/@16/F12_02.tif "/>
    <s v=" 4693.6871 "/>
    <s v=" 38.447 "/>
    <x v="0"/>
    <n v="180458"/>
    <m/>
    <m/>
    <m/>
  </r>
  <r>
    <x v="5"/>
    <x v="5"/>
    <s v="C:\Users\andre\Desktop\REACTIV CEFAS\E2\E2/20201118_Cefas_Test6-Run3/Plate 1/@16/F12_03.tif "/>
    <s v=" 3698.712 "/>
    <s v=" 34.6784 "/>
    <x v="0"/>
    <n v="128265"/>
    <m/>
    <m/>
    <m/>
  </r>
  <r>
    <x v="5"/>
    <x v="6"/>
    <s v="C:\Users\andre\Desktop\REACTIV CEFAS\E2\E2/20201118_Cefas_Test6-Run3/Plate 1/@16/G12_01.tif "/>
    <n v="0"/>
    <n v="0"/>
    <x v="0"/>
    <n v="0"/>
    <m/>
    <m/>
    <m/>
  </r>
  <r>
    <x v="5"/>
    <x v="6"/>
    <s v="C:\Users\andre\Desktop\REACTIV CEFAS\E2\E2/20201118_Cefas_Test6-Run3/Plate 1/@16/G12_02.tif "/>
    <n v="0"/>
    <n v="0"/>
    <x v="0"/>
    <n v="0"/>
    <m/>
    <m/>
    <m/>
  </r>
  <r>
    <x v="5"/>
    <x v="6"/>
    <s v="C:\Users\andre\Desktop\REACTIV CEFAS\E2\E2/20201118_Cefas_Test6-Run3/Plate 1/@16/G12_03.tif "/>
    <s v=" 4758.5768 "/>
    <s v=" 36.0909 "/>
    <x v="0"/>
    <n v="171741"/>
    <m/>
    <m/>
    <m/>
  </r>
  <r>
    <x v="5"/>
    <x v="7"/>
    <s v="C:\Users\andre\Desktop\REACTIV CEFAS\E2\E2/20201118_Cefas_Test6-Run3/Plate 1/@16/H12_01.tif "/>
    <s v=" 8868.2568 "/>
    <s v=" 39.5439 "/>
    <x v="0"/>
    <n v="350685"/>
    <m/>
    <m/>
    <m/>
  </r>
  <r>
    <x v="5"/>
    <x v="7"/>
    <s v="C:\Users\andre\Desktop\REACTIV CEFAS\E2\E2/20201118_Cefas_Test6-Run3/Plate 1/@16/H12_02.tif "/>
    <s v=" 1557.3524 "/>
    <s v=" 34.375 "/>
    <x v="0"/>
    <n v="53534"/>
    <m/>
    <m/>
    <m/>
  </r>
  <r>
    <x v="5"/>
    <x v="7"/>
    <s v="C:\Users\andre\Desktop\REACTIV CEFAS\E2\E2/20201118_Cefas_Test6-Run3/Plate 1/@16/H12_03- exclu.tif"/>
    <m/>
    <m/>
    <x v="1"/>
    <m/>
    <m/>
    <m/>
    <m/>
  </r>
  <r>
    <x v="1"/>
    <x v="8"/>
    <s v=" "/>
    <m/>
    <m/>
    <x v="1"/>
    <m/>
    <m/>
    <m/>
    <m/>
  </r>
  <r>
    <x v="1"/>
    <x v="8"/>
    <s v="group "/>
    <s v=" "/>
    <s v=" mean of mean fluo "/>
    <x v="2"/>
    <s v=" mean of total fluo "/>
    <s v=" SD total fluo "/>
    <s v=" n fluorescent "/>
    <s v=" n total"/>
  </r>
  <r>
    <x v="5"/>
    <x v="9"/>
    <s v="C:\Users\andre\Desktop\REACTIV CEFAS\E2\E2/20201118_Cefas_Test6-Run3/Plate 1/@16/ "/>
    <s v=" "/>
    <s v=" 31.3528 "/>
    <x v="7"/>
    <s v=" 215029.917 "/>
    <s v=" 275119.306 "/>
    <n v="20"/>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6"/>
    <x v="0"/>
    <s v="C:\Users\andre\Desktop\REACTIV CEFAS\E2\E2/20201118_Cefas_Test6-Run3/Plate 1/@2/A2_01.tif "/>
    <s v=" 4325.9789 "/>
    <s v=" 34.245 "/>
    <x v="0"/>
    <n v="148143"/>
    <m/>
    <m/>
    <m/>
  </r>
  <r>
    <x v="6"/>
    <x v="0"/>
    <s v="C:\Users\andre\Desktop\REACTIV CEFAS\E2\E2/20201118_Cefas_Test6-Run3/Plate 1/@2/A2_02.tif "/>
    <s v=" 4628.7975 "/>
    <s v=" 37.2103 "/>
    <x v="0"/>
    <n v="172239"/>
    <m/>
    <m/>
    <m/>
  </r>
  <r>
    <x v="6"/>
    <x v="0"/>
    <s v="C:\Users\andre\Desktop\REACTIV CEFAS\E2\E2/20201118_Cefas_Test6-Run3/Plate 1/@2/A2_03.tif "/>
    <s v=" 5840.0715 "/>
    <s v=" 38.7963 "/>
    <x v="0"/>
    <n v="226573"/>
    <m/>
    <m/>
    <m/>
  </r>
  <r>
    <x v="6"/>
    <x v="1"/>
    <s v="C:\Users\andre\Desktop\REACTIV CEFAS\E2\E2/20201118_Cefas_Test6-Run3/Plate 1/@2/B2_01.tif "/>
    <s v=" 2465.808 "/>
    <s v=" 34.6842 "/>
    <x v="0"/>
    <n v="85525"/>
    <m/>
    <m/>
    <m/>
  </r>
  <r>
    <x v="6"/>
    <x v="1"/>
    <s v="C:\Users\andre\Desktop\REACTIV CEFAS\E2\E2/20201118_Cefas_Test6-Run3/Plate 1/@2/B2_02.tif "/>
    <s v=" 21.6299 "/>
    <n v="36"/>
    <x v="0"/>
    <n v="779"/>
    <m/>
    <m/>
    <m/>
  </r>
  <r>
    <x v="6"/>
    <x v="1"/>
    <s v="C:\Users\andre\Desktop\REACTIV CEFAS\E2\E2/20201118_Cefas_Test6-Run3/Plate 1/@2/B2_03.tif "/>
    <s v=" 454.2278 "/>
    <s v=" 32.3333 "/>
    <x v="0"/>
    <n v="14687"/>
    <m/>
    <m/>
    <m/>
  </r>
  <r>
    <x v="6"/>
    <x v="2"/>
    <s v="C:\Users\andre\Desktop\REACTIV CEFAS\E2\E2/20201118_Cefas_Test6-Run3/Plate 1/@2/C2_01.tif "/>
    <s v=" 5796.8118 "/>
    <s v=" 38.9515 "/>
    <x v="0"/>
    <n v="225794"/>
    <m/>
    <m/>
    <m/>
  </r>
  <r>
    <x v="6"/>
    <x v="2"/>
    <s v="C:\Users\andre\Desktop\REACTIV CEFAS\E2\E2/20201118_Cefas_Test6-Run3/Plate 1/@2/C2_02.tif "/>
    <s v=" 994.9752 "/>
    <s v=" 39.5652 "/>
    <x v="0"/>
    <n v="39366"/>
    <m/>
    <m/>
    <m/>
  </r>
  <r>
    <x v="6"/>
    <x v="2"/>
    <s v="C:\Users\andre\Desktop\REACTIV CEFAS\E2\E2/20201118_Cefas_Test6-Run3/Plate 1/@2/C2_03.tif "/>
    <s v=" 3763.6017 "/>
    <s v=" 34.9713 "/>
    <x v="0"/>
    <n v="131618"/>
    <m/>
    <m/>
    <m/>
  </r>
  <r>
    <x v="6"/>
    <x v="3"/>
    <s v="C:\Users\andre\Desktop\REACTIV CEFAS\E2\E2/20201118_Cefas_Test6-Run3/Plate 1/@2/D2_01.tif "/>
    <s v=" 7310.9044 "/>
    <s v=" 34.7959 "/>
    <x v="0"/>
    <n v="254389"/>
    <m/>
    <m/>
    <m/>
  </r>
  <r>
    <x v="6"/>
    <x v="3"/>
    <s v="C:\Users\andre\Desktop\REACTIV CEFAS\E2\E2/20201118_Cefas_Test6-Run3/Plate 1/@2/D2_02.tif "/>
    <s v=" 3612.1924 "/>
    <s v=" 33.0958 "/>
    <x v="0"/>
    <n v="119548"/>
    <m/>
    <m/>
    <m/>
  </r>
  <r>
    <x v="6"/>
    <x v="3"/>
    <s v="C:\Users\andre\Desktop\REACTIV CEFAS\E2\E2/20201118_Cefas_Test6-Run3/Plate 1/@2/D2_03.tif "/>
    <s v=" 7894.9115 "/>
    <s v=" 36.2055 "/>
    <x v="0"/>
    <n v="285839"/>
    <m/>
    <m/>
    <m/>
  </r>
  <r>
    <x v="6"/>
    <x v="4"/>
    <s v="C:\Users\andre\Desktop\REACTIV CEFAS\E2\E2/20201118_Cefas_Test6-Run3/Plate 1/@2/E2_01.tif "/>
    <s v=" 11355.6947 "/>
    <s v=" 34.6438 "/>
    <x v="0"/>
    <n v="393405"/>
    <m/>
    <m/>
    <m/>
  </r>
  <r>
    <x v="6"/>
    <x v="4"/>
    <s v="C:\Users\andre\Desktop\REACTIV CEFAS\E2\E2/20201118_Cefas_Test6-Run3/Plate 1/@2/E2_02.tif "/>
    <s v=" 35473.0272 "/>
    <s v=" 35.8091 "/>
    <x v="0"/>
    <n v="1270259"/>
    <m/>
    <m/>
    <m/>
  </r>
  <r>
    <x v="6"/>
    <x v="4"/>
    <s v="C:\Users\andre\Desktop\REACTIV CEFAS\E2\E2/20201118_Cefas_Test6-Run3/Plate 1/@2/E2_03.tif "/>
    <s v=" 14665.0686 "/>
    <s v=" 31.8879 "/>
    <x v="0"/>
    <n v="467638"/>
    <m/>
    <m/>
    <m/>
  </r>
  <r>
    <x v="6"/>
    <x v="5"/>
    <s v="C:\Users\andre\Desktop\REACTIV CEFAS\E2\E2/20201118_Cefas_Test6-Run3/Plate 1/@2/F2_01.tif "/>
    <s v=" 13799.8728 "/>
    <s v=" 43.3135 "/>
    <x v="0"/>
    <n v="597721"/>
    <m/>
    <m/>
    <m/>
  </r>
  <r>
    <x v="6"/>
    <x v="5"/>
    <s v="C:\Users\andre\Desktop\REACTIV CEFAS\E2\E2/20201118_Cefas_Test6-Run3/Plate 1/@2/F2_02.tif "/>
    <s v=" 13713.3532 "/>
    <s v=" 44.1877 "/>
    <x v="0"/>
    <n v="605961"/>
    <m/>
    <m/>
    <m/>
  </r>
  <r>
    <x v="6"/>
    <x v="5"/>
    <s v="C:\Users\andre\Desktop\REACTIV CEFAS\E2\E2/20201118_Cefas_Test6-Run3/Plate 1/@2/F2_03.tif "/>
    <s v=" 11961.3317 "/>
    <s v=" 45.4955 "/>
    <x v="0"/>
    <n v="544187"/>
    <m/>
    <m/>
    <m/>
  </r>
  <r>
    <x v="6"/>
    <x v="6"/>
    <s v="C:\Users\andre\Desktop\REACTIV CEFAS\E2\E2/20201118_Cefas_Test6-Run3/Plate 1/@2/G2_01.tif "/>
    <s v=" 7938.1713 "/>
    <s v=" 39.5858 "/>
    <x v="0"/>
    <n v="314239"/>
    <m/>
    <m/>
    <m/>
  </r>
  <r>
    <x v="6"/>
    <x v="6"/>
    <s v="C:\Users\andre\Desktop\REACTIV CEFAS\E2\E2/20201118_Cefas_Test6-Run3/Plate 1/@2/G2_02.tif "/>
    <s v=" 6640.3777 "/>
    <s v=" 38.8925 "/>
    <x v="0"/>
    <n v="258261"/>
    <m/>
    <m/>
    <m/>
  </r>
  <r>
    <x v="6"/>
    <x v="6"/>
    <s v="C:\Users\andre\Desktop\REACTIV CEFAS\E2\E2/20201118_Cefas_Test6-Run3/Plate 1/@2/G2_03.tif "/>
    <s v=" 6662.0075 "/>
    <s v=" 40.039 "/>
    <x v="0"/>
    <n v="266740"/>
    <m/>
    <m/>
    <m/>
  </r>
  <r>
    <x v="6"/>
    <x v="7"/>
    <s v="C:\Users\andre\Desktop\REACTIV CEFAS\E2\E2/20201118_Cefas_Test6-Run3/Plate 1/@2/H2_01.tif "/>
    <s v=" 10879.837 "/>
    <s v=" 43.2704 "/>
    <x v="0"/>
    <n v="470775"/>
    <m/>
    <m/>
    <m/>
  </r>
  <r>
    <x v="6"/>
    <x v="7"/>
    <s v="C:\Users\andre\Desktop\REACTIV CEFAS\E2\E2/20201118_Cefas_Test6-Run3/Plate 1/@2/H2_02.tif "/>
    <s v=" 10663.5381 "/>
    <s v=" 41.4016 "/>
    <x v="0"/>
    <n v="441488"/>
    <m/>
    <m/>
    <m/>
  </r>
  <r>
    <x v="6"/>
    <x v="7"/>
    <s v="C:\Users\andre\Desktop\REACTIV CEFAS\E2\E2/20201118_Cefas_Test6-Run3/Plate 1/@2/H2_03.tif "/>
    <s v=" 6791.7869 "/>
    <s v=" 47.3248 "/>
    <x v="0"/>
    <n v="321420"/>
    <m/>
    <m/>
    <m/>
  </r>
  <r>
    <x v="1"/>
    <x v="8"/>
    <s v=" "/>
    <m/>
    <m/>
    <x v="1"/>
    <m/>
    <m/>
    <m/>
    <m/>
  </r>
  <r>
    <x v="1"/>
    <x v="8"/>
    <s v="group "/>
    <s v=" "/>
    <s v=" mean of mean fluo "/>
    <x v="2"/>
    <s v=" mean of total fluo "/>
    <s v=" SD total fluo "/>
    <s v=" n fluorescent "/>
    <s v=" n total"/>
  </r>
  <r>
    <x v="6"/>
    <x v="9"/>
    <s v="C:\Users\andre\Desktop\REACTIV CEFAS\E2\E2/20201118_Cefas_Test6-Run3/Plate 1/@2/ "/>
    <s v=" "/>
    <s v=" 38.1961 "/>
    <x v="8"/>
    <s v=" 319024.75 "/>
    <s v=" 268850.788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7"/>
    <x v="0"/>
    <s v="C:\Users\andre\Desktop\REACTIV CEFAS\E2\E2/20201118_Cefas_Test6-Run3/Plate 1/@3/A3_01.tif "/>
    <s v=" 2119.7297 "/>
    <s v=" 33.949 "/>
    <x v="0"/>
    <n v="71963"/>
    <m/>
    <m/>
    <m/>
  </r>
  <r>
    <x v="7"/>
    <x v="0"/>
    <s v="C:\Users\andre\Desktop\REACTIV CEFAS\E2\E2/20201118_Cefas_Test6-Run3/Plate 1/@3/A3_02.tif "/>
    <n v="0"/>
    <n v="0"/>
    <x v="0"/>
    <n v="0"/>
    <m/>
    <m/>
    <m/>
  </r>
  <r>
    <x v="7"/>
    <x v="0"/>
    <s v="C:\Users\andre\Desktop\REACTIV CEFAS\E2\E2/20201118_Cefas_Test6-Run3/Plate 1/@3/A3_03.tif "/>
    <s v=" 627.2669 "/>
    <n v="32"/>
    <x v="0"/>
    <n v="20073"/>
    <m/>
    <m/>
    <m/>
  </r>
  <r>
    <x v="7"/>
    <x v="1"/>
    <s v="C:\Users\andre\Desktop\REACTIV CEFAS\E2\E2/20201118_Cefas_Test6-Run3/Plate 1/@3/B3_01.tif "/>
    <s v=" 12480.4492 "/>
    <s v=" 39.2513 "/>
    <x v="0"/>
    <n v="489874"/>
    <m/>
    <m/>
    <m/>
  </r>
  <r>
    <x v="7"/>
    <x v="1"/>
    <s v="C:\Users\andre\Desktop\REACTIV CEFAS\E2\E2/20201118_Cefas_Test6-Run3/Plate 1/@3/B3_02.tif "/>
    <s v=" 16049.3818 "/>
    <s v=" 42.8194 "/>
    <x v="0"/>
    <n v="687225"/>
    <m/>
    <m/>
    <m/>
  </r>
  <r>
    <x v="7"/>
    <x v="1"/>
    <s v="C:\Users\andre\Desktop\REACTIV CEFAS\E2\E2/20201118_Cefas_Test6-Run3/Plate 1/@3/B3_03.tif "/>
    <s v=" 16006.122 "/>
    <s v=" 47.0676 "/>
    <x v="0"/>
    <n v="753369"/>
    <m/>
    <m/>
    <m/>
  </r>
  <r>
    <x v="7"/>
    <x v="2"/>
    <s v="C:\Users\andre\Desktop\REACTIV CEFAS\E2\E2/20201118_Cefas_Test6-Run3/Plate 1/@3/C3_01.tif "/>
    <s v=" 3049.8151 "/>
    <s v=" 37.9929 "/>
    <x v="0"/>
    <n v="115871"/>
    <m/>
    <m/>
    <m/>
  </r>
  <r>
    <x v="7"/>
    <x v="2"/>
    <s v="C:\Users\andre\Desktop\REACTIV CEFAS\E2\E2/20201118_Cefas_Test6-Run3/Plate 1/@3/C3_02.tif "/>
    <s v=" 4088.0501 "/>
    <s v=" 35.455 "/>
    <x v="0"/>
    <n v="144942"/>
    <m/>
    <m/>
    <m/>
  </r>
  <r>
    <x v="7"/>
    <x v="2"/>
    <s v="C:\Users\andre\Desktop\REACTIV CEFAS\E2\E2/20201118_Cefas_Test6-Run3/Plate 1/@3/C3_03.tif "/>
    <s v=" 5061.3953 "/>
    <s v=" 37.3504 "/>
    <x v="0"/>
    <n v="189045"/>
    <m/>
    <m/>
    <m/>
  </r>
  <r>
    <x v="7"/>
    <x v="3"/>
    <s v="C:\Users\andre\Desktop\REACTIV CEFAS\E2\E2/20201118_Cefas_Test6-Run3/Plate 1/@3/D3_01.tif "/>
    <s v=" 4109.68 "/>
    <s v=" 37.1789 "/>
    <x v="0"/>
    <n v="152794"/>
    <m/>
    <m/>
    <m/>
  </r>
  <r>
    <x v="7"/>
    <x v="3"/>
    <s v="C:\Users\andre\Desktop\REACTIV CEFAS\E2\E2/20201118_Cefas_Test6-Run3/Plate 1/@3/D3_02- exclu.tif"/>
    <m/>
    <m/>
    <x v="1"/>
    <m/>
    <m/>
    <m/>
    <m/>
  </r>
  <r>
    <x v="7"/>
    <x v="3"/>
    <s v="C:\Users\andre\Desktop\REACTIV CEFAS\E2\E2/20201118_Cefas_Test6-Run3/Plate 1/@3/D3_03- exclu.tif"/>
    <m/>
    <m/>
    <x v="1"/>
    <m/>
    <m/>
    <m/>
    <m/>
  </r>
  <r>
    <x v="7"/>
    <x v="4"/>
    <s v="C:\Users\andre\Desktop\REACTIV CEFAS\E2\E2/20201118_Cefas_Test6-Run3/Plate 1/@3/E3_01.tif "/>
    <s v=" 7397.424 "/>
    <s v=" 42.2661 "/>
    <x v="0"/>
    <n v="312660"/>
    <m/>
    <m/>
    <m/>
  </r>
  <r>
    <x v="7"/>
    <x v="4"/>
    <s v="C:\Users\andre\Desktop\REACTIV CEFAS\E2\E2/20201118_Cefas_Test6-Run3/Plate 1/@3/E3_02.tif "/>
    <s v=" 9798.3423 "/>
    <s v=" 41.5806 "/>
    <x v="0"/>
    <n v="407421"/>
    <m/>
    <m/>
    <m/>
  </r>
  <r>
    <x v="7"/>
    <x v="4"/>
    <s v="C:\Users\andre\Desktop\REACTIV CEFAS\E2\E2/20201118_Cefas_Test6-Run3/Plate 1/@3/E3_03.tif "/>
    <s v=" 11788.2926 "/>
    <s v=" 41.2679 "/>
    <x v="0"/>
    <n v="486478"/>
    <m/>
    <m/>
    <m/>
  </r>
  <r>
    <x v="7"/>
    <x v="5"/>
    <s v="C:\Users\andre\Desktop\REACTIV CEFAS\E2\E2/20201118_Cefas_Test6-Run3/Plate 1/@3/F3_01.tif "/>
    <s v=" 5861.7014 "/>
    <s v=" 33.6531 "/>
    <x v="0"/>
    <n v="197265"/>
    <m/>
    <m/>
    <m/>
  </r>
  <r>
    <x v="7"/>
    <x v="5"/>
    <s v="C:\Users\andre\Desktop\REACTIV CEFAS\E2\E2/20201118_Cefas_Test6-Run3/Plate 1/@3/F3_02.tif "/>
    <s v=" 3201.2244 "/>
    <s v=" 34.9865 "/>
    <x v="0"/>
    <n v="112000"/>
    <m/>
    <m/>
    <m/>
  </r>
  <r>
    <x v="7"/>
    <x v="5"/>
    <s v="C:\Users\andre\Desktop\REACTIV CEFAS\E2\E2/20201118_Cefas_Test6-Run3/Plate 1/@3/F3_03.tif "/>
    <s v=" 4520.648 "/>
    <s v=" 33.11 "/>
    <x v="0"/>
    <n v="149679"/>
    <m/>
    <m/>
    <m/>
  </r>
  <r>
    <x v="7"/>
    <x v="6"/>
    <s v="C:\Users\andre\Desktop\REACTIV CEFAS\E2\E2/20201118_Cefas_Test6-Run3/Plate 1/@3/G3_01.tif "/>
    <s v=" 9560.4134 "/>
    <s v=" 41.4095 "/>
    <x v="0"/>
    <n v="395892"/>
    <m/>
    <m/>
    <m/>
  </r>
  <r>
    <x v="7"/>
    <x v="6"/>
    <s v="C:\Users\andre\Desktop\REACTIV CEFAS\E2\E2/20201118_Cefas_Test6-Run3/Plate 1/@3/G3_02.tif "/>
    <s v=" 7072.9755 "/>
    <s v=" 41.9419 "/>
    <x v="0"/>
    <n v="296654"/>
    <m/>
    <m/>
    <m/>
  </r>
  <r>
    <x v="7"/>
    <x v="6"/>
    <s v="C:\Users\andre\Desktop\REACTIV CEFAS\E2\E2/20201118_Cefas_Test6-Run3/Plate 1/@3/G3_03.tif "/>
    <s v=" 10490.4989 "/>
    <s v=" 39.5732 "/>
    <x v="0"/>
    <n v="415143"/>
    <m/>
    <m/>
    <m/>
  </r>
  <r>
    <x v="7"/>
    <x v="7"/>
    <s v="C:\Users\andre\Desktop\REACTIV CEFAS\E2\E2/20201118_Cefas_Test6-Run3/Plate 1/@3/H3_01.tif "/>
    <s v=" 3482.413 "/>
    <s v=" 34.8882 "/>
    <x v="0"/>
    <n v="121495"/>
    <m/>
    <m/>
    <m/>
  </r>
  <r>
    <x v="7"/>
    <x v="7"/>
    <s v="C:\Users\andre\Desktop\REACTIV CEFAS\E2\E2/20201118_Cefas_Test6-Run3/Plate 1/@3/H3_02.tif "/>
    <s v=" 4715.317 "/>
    <s v=" 36.4128 "/>
    <x v="0"/>
    <n v="171698"/>
    <m/>
    <m/>
    <m/>
  </r>
  <r>
    <x v="7"/>
    <x v="7"/>
    <s v="C:\Users\andre\Desktop\REACTIV CEFAS\E2\E2/20201118_Cefas_Test6-Run3/Plate 1/@3/H3_03.tif "/>
    <s v=" 43.2598 "/>
    <n v="33"/>
    <x v="0"/>
    <n v="1428"/>
    <m/>
    <m/>
    <m/>
  </r>
  <r>
    <x v="1"/>
    <x v="8"/>
    <s v=" "/>
    <m/>
    <m/>
    <x v="1"/>
    <m/>
    <m/>
    <m/>
    <m/>
  </r>
  <r>
    <x v="1"/>
    <x v="8"/>
    <s v="group "/>
    <s v=" "/>
    <s v=" mean of mean fluo "/>
    <x v="2"/>
    <s v=" mean of total fluo "/>
    <s v=" SD total fluo "/>
    <s v=" n fluorescent "/>
    <s v=" n total"/>
  </r>
  <r>
    <x v="7"/>
    <x v="9"/>
    <s v="C:\Users\andre\Desktop\REACTIV CEFAS\E2\E2/20201118_Cefas_Test6-Run3/Plate 1/@3/ "/>
    <s v=" "/>
    <s v=" 34.6371 "/>
    <x v="9"/>
    <s v=" 243944.75 "/>
    <s v=" 209807.607 "/>
    <n v="22"/>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8"/>
    <x v="0"/>
    <s v="C:\Users\andre\Desktop\REACTIV CEFAS\E2\E2/20201118_Cefas_Test6-Run3/Plate 1/@4/A4_01.tif "/>
    <s v=" 475.8577 "/>
    <s v=" 31.2273 "/>
    <x v="0"/>
    <n v="14860"/>
    <m/>
    <m/>
    <m/>
  </r>
  <r>
    <x v="8"/>
    <x v="0"/>
    <s v="C:\Users\andre\Desktop\REACTIV CEFAS\E2\E2/20201118_Cefas_Test6-Run3/Plate 1/@4/A4_02.tif "/>
    <s v=" 12047.8513 "/>
    <s v=" 33.5081 "/>
    <x v="0"/>
    <n v="403700"/>
    <m/>
    <m/>
    <m/>
  </r>
  <r>
    <x v="8"/>
    <x v="0"/>
    <s v="C:\Users\andre\Desktop\REACTIV CEFAS\E2\E2/20201118_Cefas_Test6-Run3/Plate 1/@4/A4_03.tif "/>
    <s v=" 1881.8008 "/>
    <s v=" 31.4368 "/>
    <x v="0"/>
    <n v="59158"/>
    <m/>
    <m/>
    <m/>
  </r>
  <r>
    <x v="8"/>
    <x v="1"/>
    <s v="C:\Users\andre\Desktop\REACTIV CEFAS\E2\E2/20201118_Cefas_Test6-Run3/Plate 1/@4/B4_01.tif "/>
    <s v=" 26821.0693 "/>
    <s v=" 34.2944 "/>
    <x v="0"/>
    <n v="919811"/>
    <m/>
    <m/>
    <m/>
  </r>
  <r>
    <x v="8"/>
    <x v="1"/>
    <s v="C:\Users\andre\Desktop\REACTIV CEFAS\E2\E2/20201118_Cefas_Test6-Run3/Plate 1/@4/B4_02.tif "/>
    <s v=" 26431.7312 "/>
    <s v=" 34.3175 "/>
    <x v="0"/>
    <n v="907071"/>
    <m/>
    <m/>
    <m/>
  </r>
  <r>
    <x v="8"/>
    <x v="1"/>
    <s v="C:\Users\andre\Desktop\REACTIV CEFAS\E2\E2/20201118_Cefas_Test6-Run3/Plate 1/@4/B4_03.tif "/>
    <s v=" 28053.9733 "/>
    <s v=" 34.2891 "/>
    <x v="0"/>
    <n v="961946"/>
    <m/>
    <m/>
    <m/>
  </r>
  <r>
    <x v="8"/>
    <x v="2"/>
    <s v="C:\Users\andre\Desktop\REACTIV CEFAS\E2\E2/20201118_Cefas_Test6-Run3/Plate 1/@4/C4_01.tif "/>
    <s v=" 16676.6488 "/>
    <s v=" 34.546 "/>
    <x v="0"/>
    <n v="576112"/>
    <m/>
    <m/>
    <m/>
  </r>
  <r>
    <x v="8"/>
    <x v="2"/>
    <s v="C:\Users\andre\Desktop\REACTIV CEFAS\E2\E2/20201118_Cefas_Test6-Run3/Plate 1/@4/C4_02.tif "/>
    <s v=" 12502.0791 "/>
    <s v=" 33.1765 "/>
    <x v="0"/>
    <n v="414775"/>
    <m/>
    <m/>
    <m/>
  </r>
  <r>
    <x v="8"/>
    <x v="2"/>
    <s v="C:\Users\andre\Desktop\REACTIV CEFAS\E2\E2/20201118_Cefas_Test6-Run3/Plate 1/@4/C4_03.tif "/>
    <s v=" 12069.4812 "/>
    <s v=" 33.1846 "/>
    <x v="0"/>
    <n v="400521"/>
    <m/>
    <m/>
    <m/>
  </r>
  <r>
    <x v="8"/>
    <x v="3"/>
    <s v="C:\Users\andre\Desktop\REACTIV CEFAS\E2\E2/20201118_Cefas_Test6-Run3/Plate 1/@4/D4_01.tif "/>
    <s v=" 25458.386 "/>
    <s v=" 33.3976 "/>
    <x v="0"/>
    <n v="850250"/>
    <m/>
    <m/>
    <m/>
  </r>
  <r>
    <x v="8"/>
    <x v="3"/>
    <s v="C:\Users\andre\Desktop\REACTIV CEFAS\E2\E2/20201118_Cefas_Test6-Run3/Plate 1/@4/D4_02.tif "/>
    <s v=" 38717.5114 "/>
    <s v=" 35.8626 "/>
    <x v="0"/>
    <n v="1388509"/>
    <m/>
    <m/>
    <m/>
  </r>
  <r>
    <x v="8"/>
    <x v="3"/>
    <s v="C:\Users\andre\Desktop\REACTIV CEFAS\E2\E2/20201118_Cefas_Test6-Run3/Plate 1/@4/D4_03.tif "/>
    <s v=" 23035.8378 "/>
    <s v=" 34.7333 "/>
    <x v="0"/>
    <n v="800111"/>
    <m/>
    <m/>
    <m/>
  </r>
  <r>
    <x v="8"/>
    <x v="4"/>
    <s v="C:\Users\andre\Desktop\REACTIV CEFAS\E2\E2/20201118_Cefas_Test6-Run3/Plate 1/@4/E4_01.tif "/>
    <s v=" 8370.7692 "/>
    <s v=" 34.2972 "/>
    <x v="0"/>
    <n v="287094"/>
    <m/>
    <m/>
    <m/>
  </r>
  <r>
    <x v="8"/>
    <x v="4"/>
    <s v="C:\Users\andre\Desktop\REACTIV CEFAS\E2\E2/20201118_Cefas_Test6-Run3/Plate 1/@4/E4_02.tif "/>
    <s v=" 16979.4673 "/>
    <s v=" 34.4369 "/>
    <x v="0"/>
    <n v="584721"/>
    <m/>
    <m/>
    <m/>
  </r>
  <r>
    <x v="8"/>
    <x v="4"/>
    <s v="C:\Users\andre\Desktop\REACTIV CEFAS\E2\E2/20201118_Cefas_Test6-Run3/Plate 1/@4/E4_03.tif "/>
    <s v=" 11463.8442 "/>
    <s v=" 32.5528 "/>
    <x v="0"/>
    <n v="373181"/>
    <m/>
    <m/>
    <m/>
  </r>
  <r>
    <x v="8"/>
    <x v="5"/>
    <s v="C:\Users\andre\Desktop\REACTIV CEFAS\E2\E2/20201118_Cefas_Test6-Run3/Plate 1/@4/F4_01.tif "/>
    <s v=" 32271.8028 "/>
    <s v=" 35.0476 "/>
    <x v="0"/>
    <n v="1131049"/>
    <m/>
    <m/>
    <m/>
  </r>
  <r>
    <x v="8"/>
    <x v="5"/>
    <s v="C:\Users\andre\Desktop\REACTIV CEFAS\E2\E2/20201118_Cefas_Test6-Run3/Plate 1/@4/F4_02.tif "/>
    <s v=" 38176.764 "/>
    <s v=" 35.647 "/>
    <x v="0"/>
    <n v="1360888"/>
    <m/>
    <m/>
    <m/>
  </r>
  <r>
    <x v="8"/>
    <x v="5"/>
    <s v="C:\Users\andre\Desktop\REACTIV CEFAS\E2\E2/20201118_Cefas_Test6-Run3/Plate 1/@4/F4_03.tif "/>
    <s v=" 17952.8125 "/>
    <s v=" 33.0988 "/>
    <x v="0"/>
    <n v="594216"/>
    <m/>
    <m/>
    <m/>
  </r>
  <r>
    <x v="8"/>
    <x v="6"/>
    <s v="C:\Users\andre\Desktop\REACTIV CEFAS\E2\E2/20201118_Cefas_Test6-Run3/Plate 1/@4/G4_01.tif "/>
    <s v=" 55978.1673 "/>
    <s v=" 36.3605 "/>
    <x v="0"/>
    <n v="2035395"/>
    <m/>
    <m/>
    <m/>
  </r>
  <r>
    <x v="8"/>
    <x v="6"/>
    <s v="C:\Users\andre\Desktop\REACTIV CEFAS\E2\E2/20201118_Cefas_Test6-Run3/Plate 1/@4/G4_02.tif "/>
    <s v=" 56843.3631 "/>
    <s v=" 38.7249 "/>
    <x v="0"/>
    <n v="2201253"/>
    <m/>
    <m/>
    <m/>
  </r>
  <r>
    <x v="8"/>
    <x v="6"/>
    <s v="C:\Users\andre\Desktop\REACTIV CEFAS\E2\E2/20201118_Cefas_Test6-Run3/Plate 1/@4/G4_03.tif "/>
    <s v=" 55350.9004 "/>
    <s v=" 37.8343 "/>
    <x v="0"/>
    <n v="2094163"/>
    <m/>
    <m/>
    <m/>
  </r>
  <r>
    <x v="8"/>
    <x v="7"/>
    <s v="C:\Users\andre\Desktop\REACTIV CEFAS\E2\E2/20201118_Cefas_Test6-Run3/Plate 1/@4/H4_01.tif "/>
    <s v=" 13410.5347 "/>
    <s v=" 34.0468 "/>
    <x v="0"/>
    <n v="456585"/>
    <m/>
    <m/>
    <m/>
  </r>
  <r>
    <x v="8"/>
    <x v="7"/>
    <s v="C:\Users\andre\Desktop\REACTIV CEFAS\E2\E2/20201118_Cefas_Test6-Run3/Plate 1/@4/H4_02.tif "/>
    <s v=" 16957.8374 "/>
    <s v=" 34.8431 "/>
    <x v="0"/>
    <n v="590864"/>
    <m/>
    <m/>
    <m/>
  </r>
  <r>
    <x v="8"/>
    <x v="7"/>
    <s v="C:\Users\andre\Desktop\REACTIV CEFAS\E2\E2/20201118_Cefas_Test6-Run3/Plate 1/@4/H4_03.tif "/>
    <s v=" 6207.7798 "/>
    <s v=" 33.1742 "/>
    <x v="0"/>
    <n v="205938"/>
    <m/>
    <m/>
    <m/>
  </r>
  <r>
    <x v="1"/>
    <x v="8"/>
    <s v=" "/>
    <m/>
    <m/>
    <x v="1"/>
    <m/>
    <m/>
    <m/>
    <m/>
  </r>
  <r>
    <x v="1"/>
    <x v="8"/>
    <s v="group "/>
    <s v=" "/>
    <s v=" mean of mean fluo "/>
    <x v="2"/>
    <s v=" mean of total fluo "/>
    <s v=" SD total fluo "/>
    <s v=" n fluorescent "/>
    <s v=" n total"/>
  </r>
  <r>
    <x v="8"/>
    <x v="9"/>
    <s v="C:\Users\andre\Desktop\REACTIV CEFAS\E2\E2/20201118_Cefas_Test6-Run3/Plate 1/@4/ "/>
    <s v=" "/>
    <s v=" 34.3349 "/>
    <x v="10"/>
    <s v=" 817173.792 "/>
    <s v=" 615437.833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9"/>
    <x v="0"/>
    <s v="C:\Users\andre\Desktop\REACTIV CEFAS\E2\E2/20201118_Cefas_Test6-Run3/Plate 1/@5/A5_01.tif "/>
    <s v=" 23814.514 "/>
    <s v=" 34.0963 "/>
    <x v="0"/>
    <n v="811986"/>
    <m/>
    <m/>
    <m/>
  </r>
  <r>
    <x v="9"/>
    <x v="0"/>
    <s v="C:\Users\andre\Desktop\REACTIV CEFAS\E2\E2/20201118_Cefas_Test6-Run3/Plate 1/@5/A5_02.tif "/>
    <s v=" 11031.2463 "/>
    <s v=" 35.7765 "/>
    <x v="0"/>
    <n v="394659"/>
    <m/>
    <m/>
    <m/>
  </r>
  <r>
    <x v="9"/>
    <x v="0"/>
    <s v="C:\Users\andre\Desktop\REACTIV CEFAS\E2\E2/20201118_Cefas_Test6-Run3/Plate 1/@5/A5_03.tif "/>
    <s v=" 15076.0366 "/>
    <s v=" 33.6643 "/>
    <x v="0"/>
    <n v="507524"/>
    <m/>
    <m/>
    <m/>
  </r>
  <r>
    <x v="9"/>
    <x v="1"/>
    <s v="C:\Users\andre\Desktop\REACTIV CEFAS\E2\E2/20201118_Cefas_Test6-Run3/Plate 1/@5/B5_01.tif "/>
    <s v=" 59438.9504 "/>
    <s v=" 38.0073 "/>
    <x v="0"/>
    <n v="2259113"/>
    <m/>
    <m/>
    <m/>
  </r>
  <r>
    <x v="9"/>
    <x v="1"/>
    <s v="C:\Users\andre\Desktop\REACTIV CEFAS\E2\E2/20201118_Cefas_Test6-Run3/Plate 1/@5/B5_02.tif "/>
    <s v=" 52560.6439 "/>
    <s v=" 41.8815 "/>
    <x v="0"/>
    <n v="2201318"/>
    <m/>
    <m/>
    <m/>
  </r>
  <r>
    <x v="9"/>
    <x v="1"/>
    <s v="C:\Users\andre\Desktop\REACTIV CEFAS\E2\E2/20201118_Cefas_Test6-Run3/Plate 1/@5/B5_03.tif "/>
    <s v=" 59547.0999 "/>
    <s v=" 41.3985 "/>
    <x v="0"/>
    <n v="2465159"/>
    <m/>
    <m/>
    <m/>
  </r>
  <r>
    <x v="9"/>
    <x v="2"/>
    <s v="C:\Users\andre\Desktop\REACTIV CEFAS\E2\E2/20201118_Cefas_Test6-Run3/Plate 1/@5/C5_01.tif "/>
    <s v=" 59330.801 "/>
    <s v=" 40.3066 "/>
    <x v="0"/>
    <n v="2391423"/>
    <m/>
    <m/>
    <m/>
  </r>
  <r>
    <x v="9"/>
    <x v="2"/>
    <s v="C:\Users\andre\Desktop\REACTIV CEFAS\E2\E2/20201118_Cefas_Test6-Run3/Plate 1/@5/C5_02.tif "/>
    <s v=" 60022.9576 "/>
    <s v=" 40.2948 "/>
    <x v="0"/>
    <n v="2418612"/>
    <m/>
    <m/>
    <m/>
  </r>
  <r>
    <x v="9"/>
    <x v="2"/>
    <s v="C:\Users\andre\Desktop\REACTIV CEFAS\E2\E2/20201118_Cefas_Test6-Run3/Plate 1/@5/C5_03.tif "/>
    <s v=" 53425.8397 "/>
    <s v=" 39.7733 "/>
    <x v="0"/>
    <n v="2124921"/>
    <m/>
    <m/>
    <m/>
  </r>
  <r>
    <x v="9"/>
    <x v="3"/>
    <s v="C:\Users\andre\Desktop\REACTIV CEFAS\E2\E2/20201118_Cefas_Test6-Run3/Plate 1/@5/D5_01.tif "/>
    <s v=" 88747.4577 "/>
    <s v=" 41.8484 "/>
    <x v="0"/>
    <n v="3713939"/>
    <m/>
    <m/>
    <m/>
  </r>
  <r>
    <x v="9"/>
    <x v="3"/>
    <s v="C:\Users\andre\Desktop\REACTIV CEFAS\E2\E2/20201118_Cefas_Test6-Run3/Plate 1/@5/D5_02.tif "/>
    <s v=" 87168.4754 "/>
    <s v=" 47.0104 "/>
    <x v="0"/>
    <n v="4097827"/>
    <m/>
    <m/>
    <m/>
  </r>
  <r>
    <x v="9"/>
    <x v="3"/>
    <s v="C:\Users\andre\Desktop\REACTIV CEFAS\E2\E2/20201118_Cefas_Test6-Run3/Plate 1/@5/D5_03.tif "/>
    <s v=" 98156.4618 "/>
    <s v=" 46.4667 "/>
    <x v="0"/>
    <n v="4561009"/>
    <m/>
    <m/>
    <m/>
  </r>
  <r>
    <x v="9"/>
    <x v="4"/>
    <s v="C:\Users\andre\Desktop\REACTIV CEFAS\E2\E2/20201118_Cefas_Test6-Run3/Plate 1/@5/E5_01.tif "/>
    <s v=" 67506.9011 "/>
    <s v=" 37.7126 "/>
    <x v="0"/>
    <n v="2545860"/>
    <m/>
    <m/>
    <m/>
  </r>
  <r>
    <x v="9"/>
    <x v="4"/>
    <s v="C:\Users\andre\Desktop\REACTIV CEFAS\E2\E2/20201118_Cefas_Test6-Run3/Plate 1/@5/E5_02.tif "/>
    <s v=" 53339.3202 "/>
    <s v=" 35.09 "/>
    <x v="0"/>
    <n v="1871678"/>
    <m/>
    <m/>
    <m/>
  </r>
  <r>
    <x v="9"/>
    <x v="4"/>
    <s v="C:\Users\andre\Desktop\REACTIV CEFAS\E2\E2/20201118_Cefas_Test6-Run3/Plate 1/@5/E5_03.tif "/>
    <s v=" 60433.9256 "/>
    <s v=" 35.9012 "/>
    <x v="0"/>
    <n v="2169651"/>
    <m/>
    <m/>
    <m/>
  </r>
  <r>
    <x v="9"/>
    <x v="5"/>
    <s v="C:\Users\andre\Desktop\REACTIV CEFAS\E2\E2/20201118_Cefas_Test6-Run3/Plate 1/@5/F5_01.tif "/>
    <s v=" 49208.0103 "/>
    <s v=" 38.1473 "/>
    <x v="0"/>
    <n v="1877150"/>
    <m/>
    <m/>
    <m/>
  </r>
  <r>
    <x v="9"/>
    <x v="5"/>
    <s v="C:\Users\andre\Desktop\REACTIV CEFAS\E2\E2/20201118_Cefas_Test6-Run3/Plate 1/@5/F5_02.tif "/>
    <s v=" 36511.2621 "/>
    <s v=" 36.4295 "/>
    <x v="0"/>
    <n v="1330087"/>
    <m/>
    <m/>
    <m/>
  </r>
  <r>
    <x v="9"/>
    <x v="5"/>
    <s v="C:\Users\andre\Desktop\REACTIV CEFAS\E2\E2/20201118_Cefas_Test6-Run3/Plate 1/@5/F5_03.tif "/>
    <s v=" 36619.4116 "/>
    <s v=" 36.251 "/>
    <x v="0"/>
    <n v="1327492"/>
    <m/>
    <m/>
    <m/>
  </r>
  <r>
    <x v="9"/>
    <x v="6"/>
    <s v="C:\Users\andre\Desktop\REACTIV CEFAS\E2\E2/20201118_Cefas_Test6-Run3/Plate 1/@5/G5_01.tif "/>
    <s v=" 43173.2697 "/>
    <s v=" 35.8938 "/>
    <x v="0"/>
    <n v="1549652"/>
    <m/>
    <m/>
    <m/>
  </r>
  <r>
    <x v="9"/>
    <x v="6"/>
    <s v="C:\Users\andre\Desktop\REACTIV CEFAS\E2\E2/20201118_Cefas_Test6-Run3/Plate 1/@5/G5_02.tif "/>
    <s v=" 42589.2625 "/>
    <s v=" 35.7491 "/>
    <x v="0"/>
    <n v="1522528"/>
    <m/>
    <m/>
    <m/>
  </r>
  <r>
    <x v="9"/>
    <x v="6"/>
    <s v="C:\Users\andre\Desktop\REACTIV CEFAS\E2\E2/20201118_Cefas_Test6-Run3/Plate 1/@5/G5_03.tif "/>
    <s v=" 54031.4768 "/>
    <s v=" 38.2782 "/>
    <x v="0"/>
    <n v="2068229"/>
    <m/>
    <m/>
    <m/>
  </r>
  <r>
    <x v="9"/>
    <x v="7"/>
    <s v="C:\Users\andre\Desktop\REACTIV CEFAS\E2\E2/20201118_Cefas_Test6-Run3/Plate 1/@5/H5_01.tif "/>
    <s v=" 81955.6707 "/>
    <s v=" 40.9963 "/>
    <x v="0"/>
    <n v="3359880"/>
    <m/>
    <m/>
    <m/>
  </r>
  <r>
    <x v="9"/>
    <x v="7"/>
    <s v="C:\Users\andre\Desktop\REACTIV CEFAS\E2\E2/20201118_Cefas_Test6-Run3/Plate 1/@5/H5_02.tif "/>
    <s v=" 84810.8168 "/>
    <s v=" 43.0138 "/>
    <x v="0"/>
    <n v="3648033"/>
    <m/>
    <m/>
    <m/>
  </r>
  <r>
    <x v="9"/>
    <x v="7"/>
    <s v="C:\Users\andre\Desktop\REACTIV CEFAS\E2\E2/20201118_Cefas_Test6-Run3/Plate 1/@5/H5_03.tif "/>
    <s v=" 73822.8304 "/>
    <s v=" 38.482 "/>
    <x v="0"/>
    <n v="2840849"/>
    <m/>
    <m/>
    <m/>
  </r>
  <r>
    <x v="1"/>
    <x v="8"/>
    <s v=" "/>
    <m/>
    <m/>
    <x v="1"/>
    <m/>
    <m/>
    <m/>
    <m/>
  </r>
  <r>
    <x v="1"/>
    <x v="8"/>
    <s v="group "/>
    <s v=" "/>
    <s v=" mean of mean fluo "/>
    <x v="2"/>
    <s v=" mean of total fluo "/>
    <s v=" SD total fluo "/>
    <s v=" n fluorescent "/>
    <s v=" n total"/>
  </r>
  <r>
    <x v="9"/>
    <x v="9"/>
    <s v="C:\Users\andre\Desktop\REACTIV CEFAS\E2\E2/20201118_Cefas_Test6-Run3/Plate 1/@5/ "/>
    <s v=" "/>
    <s v=" 38.8529 "/>
    <x v="11"/>
    <s v=" 2252440.79 "/>
    <s v=" 1067687.28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0"/>
    <x v="0"/>
    <s v="C:\Users\andre\Desktop\REACTIV CEFAS\E2\E2/20201118_Cefas_Test6-Run3/Plate 1/@6/A6_01.tif "/>
    <s v=" 59958.0679 "/>
    <s v=" 46.2763 "/>
    <x v="0"/>
    <n v="2774640"/>
    <m/>
    <m/>
    <m/>
  </r>
  <r>
    <x v="10"/>
    <x v="0"/>
    <s v="C:\Users\andre\Desktop\REACTIV CEFAS\E2\E2/20201118_Cefas_Test6-Run3/Plate 1/@6/A6_02.tif "/>
    <s v=" 58833.3134 "/>
    <s v=" 50.2114 "/>
    <x v="0"/>
    <n v="2954103"/>
    <m/>
    <m/>
    <m/>
  </r>
  <r>
    <x v="10"/>
    <x v="0"/>
    <s v="C:\Users\andre\Desktop\REACTIV CEFAS\E2\E2/20201118_Cefas_Test6-Run3/Plate 1/@6/A6_03.tif "/>
    <s v=" 64932.9437 "/>
    <s v=" 47.3248 "/>
    <x v="0"/>
    <n v="3072938"/>
    <m/>
    <m/>
    <m/>
  </r>
  <r>
    <x v="10"/>
    <x v="1"/>
    <s v="C:\Users\andre\Desktop\REACTIV CEFAS\E2\E2/20201118_Cefas_Test6-Run3/Plate 1/@6/B6_01.tif "/>
    <s v=" 74774.5457 "/>
    <s v=" 45.7226 "/>
    <x v="0"/>
    <n v="3418886"/>
    <m/>
    <m/>
    <m/>
  </r>
  <r>
    <x v="10"/>
    <x v="1"/>
    <s v="C:\Users\andre\Desktop\REACTIV CEFAS\E2\E2/20201118_Cefas_Test6-Run3/Plate 1/@6/B6_02.tif "/>
    <s v=" 82755.9769 "/>
    <s v=" 47.1576 "/>
    <x v="0"/>
    <n v="3902574"/>
    <m/>
    <m/>
    <m/>
  </r>
  <r>
    <x v="10"/>
    <x v="1"/>
    <s v="C:\Users\andre\Desktop\REACTIV CEFAS\E2\E2/20201118_Cefas_Test6-Run3/Plate 1/@6/B6_03.tif "/>
    <s v=" 79489.8628 "/>
    <s v=" 47.2789 "/>
    <x v="0"/>
    <n v="3758194"/>
    <m/>
    <m/>
    <m/>
  </r>
  <r>
    <x v="10"/>
    <x v="2"/>
    <s v="C:\Users\andre\Desktop\REACTIV CEFAS\E2\E2/20201118_Cefas_Test6-Run3/Plate 1/@6/C6_01.tif "/>
    <s v=" 65538.5807 "/>
    <s v=" 45.7782 "/>
    <x v="0"/>
    <n v="3000239"/>
    <m/>
    <m/>
    <m/>
  </r>
  <r>
    <x v="10"/>
    <x v="2"/>
    <s v="C:\Users\andre\Desktop\REACTIV CEFAS\E2\E2/20201118_Cefas_Test6-Run3/Plate 1/@6/C6_02.tif "/>
    <s v=" 65452.0611 "/>
    <s v=" 45.7442 "/>
    <x v="0"/>
    <n v="2994053"/>
    <m/>
    <m/>
    <m/>
  </r>
  <r>
    <x v="10"/>
    <x v="2"/>
    <s v="C:\Users\andre\Desktop\REACTIV CEFAS\E2\E2/20201118_Cefas_Test6-Run3/Plate 1/@6/C6_03.tif "/>
    <s v=" 65019.4633 "/>
    <s v=" 46.3746 "/>
    <x v="0"/>
    <n v="3015251"/>
    <m/>
    <m/>
    <m/>
  </r>
  <r>
    <x v="10"/>
    <x v="3"/>
    <s v="C:\Users\andre\Desktop\REACTIV CEFAS\E2\E2/20201118_Cefas_Test6-Run3/Plate 1/@6/D6_01.tif "/>
    <s v=" 41572.6575 "/>
    <s v=" 34.3059 "/>
    <x v="0"/>
    <n v="1426189"/>
    <m/>
    <m/>
    <m/>
  </r>
  <r>
    <x v="10"/>
    <x v="3"/>
    <s v="C:\Users\andre\Desktop\REACTIV CEFAS\E2\E2/20201118_Cefas_Test6-Run3/Plate 1/@6/D6_02.tif "/>
    <s v=" 38090.2444 "/>
    <s v=" 34.2379 "/>
    <x v="0"/>
    <n v="1304131"/>
    <m/>
    <m/>
    <m/>
  </r>
  <r>
    <x v="10"/>
    <x v="3"/>
    <s v="C:\Users\andre\Desktop\REACTIV CEFAS\E2\E2/20201118_Cefas_Test6-Run3/Plate 1/@6/D6_03.tif "/>
    <s v=" 34348.2727 "/>
    <s v=" 33.1058 "/>
    <x v="0"/>
    <n v="1137127"/>
    <m/>
    <m/>
    <m/>
  </r>
  <r>
    <x v="10"/>
    <x v="4"/>
    <s v="C:\Users\andre\Desktop\REACTIV CEFAS\E2\E2/20201118_Cefas_Test6-Run3/Plate 1/@6/E6_01.tif "/>
    <s v=" 91580.9739 "/>
    <s v=" 56.8878 "/>
    <x v="0"/>
    <n v="5209841"/>
    <m/>
    <m/>
    <m/>
  </r>
  <r>
    <x v="10"/>
    <x v="4"/>
    <s v="C:\Users\andre\Desktop\REACTIV CEFAS\E2\E2/20201118_Cefas_Test6-Run3/Plate 1/@6/E6_02.tif "/>
    <s v=" 85611.1229 "/>
    <s v=" 55.9219 "/>
    <x v="0"/>
    <n v="4787539"/>
    <m/>
    <m/>
    <m/>
  </r>
  <r>
    <x v="10"/>
    <x v="4"/>
    <s v="C:\Users\andre\Desktop\REACTIV CEFAS\E2\E2/20201118_Cefas_Test6-Run3/Plate 1/@6/E6_03.tif "/>
    <s v=" 87557.8135 "/>
    <s v=" 59.1566 "/>
    <x v="0"/>
    <n v="5179624"/>
    <m/>
    <m/>
    <m/>
  </r>
  <r>
    <x v="10"/>
    <x v="5"/>
    <s v="C:\Users\andre\Desktop\REACTIV CEFAS\E2\E2/20201118_Cefas_Test6-Run3/Plate 1/@6/F6_01.tif "/>
    <s v=" 82323.379 "/>
    <s v=" 61.4616 "/>
    <x v="0"/>
    <n v="5059730"/>
    <m/>
    <m/>
    <m/>
  </r>
  <r>
    <x v="10"/>
    <x v="5"/>
    <s v="C:\Users\andre\Desktop\REACTIV CEFAS\E2\E2/20201118_Cefas_Test6-Run3/Plate 1/@6/F6_02.tif "/>
    <s v=" 82842.4964 "/>
    <s v=" 57.0099 "/>
    <x v="0"/>
    <n v="4722844"/>
    <m/>
    <m/>
    <m/>
  </r>
  <r>
    <x v="10"/>
    <x v="5"/>
    <s v="C:\Users\andre\Desktop\REACTIV CEFAS\E2\E2/20201118_Cefas_Test6-Run3/Plate 1/@6/F6_03.tif "/>
    <s v=" 81955.6707 "/>
    <s v=" 56.5611 "/>
    <x v="0"/>
    <n v="4635503"/>
    <m/>
    <m/>
    <m/>
  </r>
  <r>
    <x v="10"/>
    <x v="6"/>
    <s v="C:\Users\andre\Desktop\REACTIV CEFAS\E2\E2/20201118_Cefas_Test6-Run3/Plate 1/@6/G6_01.tif "/>
    <s v=" 50570.6936 "/>
    <s v=" 38.3875 "/>
    <x v="0"/>
    <n v="1941283"/>
    <m/>
    <m/>
    <m/>
  </r>
  <r>
    <x v="10"/>
    <x v="6"/>
    <s v="C:\Users\andre\Desktop\REACTIV CEFAS\E2\E2/20201118_Cefas_Test6-Run3/Plate 1/@6/G6_02.tif "/>
    <s v=" 56929.8827 "/>
    <s v=" 40.1687 "/>
    <x v="0"/>
    <n v="2286799"/>
    <m/>
    <m/>
    <m/>
  </r>
  <r>
    <x v="10"/>
    <x v="6"/>
    <s v="C:\Users\andre\Desktop\REACTIV CEFAS\E2\E2/20201118_Cefas_Test6-Run3/Plate 1/@6/G6_03.tif "/>
    <s v=" 54226.1458 "/>
    <s v=" 39.3674 "/>
    <x v="0"/>
    <n v="2134741"/>
    <m/>
    <m/>
    <m/>
  </r>
  <r>
    <x v="10"/>
    <x v="7"/>
    <s v="C:\Users\andre\Desktop\REACTIV CEFAS\E2\E2/20201118_Cefas_Test6-Run3/Plate 1/@6/H6_01.tif "/>
    <s v=" 76461.6775 "/>
    <s v=" 48.0379 "/>
    <x v="0"/>
    <n v="3673059"/>
    <m/>
    <m/>
    <m/>
  </r>
  <r>
    <x v="10"/>
    <x v="7"/>
    <s v="C:\Users\andre\Desktop\REACTIV CEFAS\E2\E2/20201118_Cefas_Test6-Run3/Plate 1/@6/H6_02.tif "/>
    <s v=" 78343.4783 "/>
    <s v=" 49.0519 "/>
    <x v="0"/>
    <n v="3842897"/>
    <m/>
    <m/>
    <m/>
  </r>
  <r>
    <x v="10"/>
    <x v="7"/>
    <s v="C:\Users\andre\Desktop\REACTIV CEFAS\E2\E2/20201118_Cefas_Test6-Run3/Plate 1/@6/H6_03.tif "/>
    <s v=" 79165.4143 "/>
    <s v=" 50.5044 "/>
    <x v="0"/>
    <n v="3998200"/>
    <m/>
    <m/>
    <m/>
  </r>
  <r>
    <x v="1"/>
    <x v="8"/>
    <s v=" "/>
    <m/>
    <m/>
    <x v="1"/>
    <m/>
    <m/>
    <m/>
    <m/>
  </r>
  <r>
    <x v="1"/>
    <x v="8"/>
    <s v="group "/>
    <s v=" "/>
    <s v=" mean of mean fluo "/>
    <x v="2"/>
    <s v=" mean of total fluo "/>
    <s v=" SD total fluo "/>
    <s v=" n fluorescent "/>
    <s v=" n total"/>
  </r>
  <r>
    <x v="10"/>
    <x v="9"/>
    <s v="C:\Users\andre\Desktop\REACTIV CEFAS\E2\E2/20201118_Cefas_Test6-Run3/Plate 1/@6/ "/>
    <s v=" "/>
    <s v=" 47.3348 "/>
    <x v="12"/>
    <s v=" 3342932.71 "/>
    <s v=" 1231422.4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1"/>
    <x v="0"/>
    <s v="C:\Users\andre\Desktop\REACTIV CEFAS\E2\E2/20201118_Cefas_Test6-Run3/Plate 1/@7/A7_01.tif "/>
    <s v=" 69972.7091 "/>
    <s v=" 53.8482 "/>
    <x v="0"/>
    <n v="3767906"/>
    <m/>
    <m/>
    <m/>
  </r>
  <r>
    <x v="11"/>
    <x v="0"/>
    <s v="C:\Users\andre\Desktop\REACTIV CEFAS\E2\E2/20201118_Cefas_Test6-Run3/Plate 1/@7/A7_02.tif "/>
    <s v=" 93614.184 "/>
    <s v=" 52.6296 "/>
    <x v="0"/>
    <n v="4926879"/>
    <m/>
    <m/>
    <m/>
  </r>
  <r>
    <x v="11"/>
    <x v="0"/>
    <s v="C:\Users\andre\Desktop\REACTIV CEFAS\E2\E2/20201118_Cefas_Test6-Run3/Plate 1/@7/A7_03.tif "/>
    <s v=" 83361.6139 "/>
    <s v=" 55.9442 "/>
    <x v="0"/>
    <n v="4663600"/>
    <m/>
    <m/>
    <m/>
  </r>
  <r>
    <x v="11"/>
    <x v="1"/>
    <s v="C:\Users\andre\Desktop\REACTIV CEFAS\E2\E2/20201118_Cefas_Test6-Run3/Plate 1/@7/B7_01.tif "/>
    <s v=" 75639.7415 "/>
    <s v=" 55.9371 "/>
    <x v="0"/>
    <n v="4231067"/>
    <m/>
    <m/>
    <m/>
  </r>
  <r>
    <x v="11"/>
    <x v="1"/>
    <s v="C:\Users\andre\Desktop\REACTIV CEFAS\E2\E2/20201118_Cefas_Test6-Run3/Plate 1/@7/B7_02- exclu.tif"/>
    <m/>
    <m/>
    <x v="1"/>
    <m/>
    <m/>
    <m/>
    <m/>
  </r>
  <r>
    <x v="11"/>
    <x v="1"/>
    <s v="C:\Users\andre\Desktop\REACTIV CEFAS\E2\E2/20201118_Cefas_Test6-Run3/Plate 1/@7/B7_03.tif "/>
    <s v=" 61948.0182 "/>
    <s v=" 60.6264 "/>
    <x v="0"/>
    <n v="3755685"/>
    <m/>
    <m/>
    <m/>
  </r>
  <r>
    <x v="11"/>
    <x v="2"/>
    <s v="C:\Users\andre\Desktop\REACTIV CEFAS\E2\E2/20201118_Cefas_Test6-Run3/Plate 1/@7/C7_01.tif "/>
    <s v=" 46763.8322 "/>
    <s v=" 51.5291 "/>
    <x v="0"/>
    <n v="2409700"/>
    <m/>
    <m/>
    <m/>
  </r>
  <r>
    <x v="11"/>
    <x v="2"/>
    <s v="C:\Users\andre\Desktop\REACTIV CEFAS\E2\E2/20201118_Cefas_Test6-Run3/Plate 1/@7/C7_02.tif "/>
    <s v=" 43584.2377 "/>
    <s v=" 52.0328 "/>
    <x v="0"/>
    <n v="2267808"/>
    <m/>
    <m/>
    <m/>
  </r>
  <r>
    <x v="11"/>
    <x v="2"/>
    <s v="C:\Users\andre\Desktop\REACTIV CEFAS\E2\E2/20201118_Cefas_Test6-Run3/Plate 1/@7/C7_03.tif "/>
    <s v=" 44817.1417 "/>
    <s v=" 52.7017 "/>
    <x v="0"/>
    <n v="2361941"/>
    <m/>
    <m/>
    <m/>
  </r>
  <r>
    <x v="11"/>
    <x v="3"/>
    <s v="C:\Users\andre\Desktop\REACTIV CEFAS\E2\E2/20201118_Cefas_Test6-Run3/Plate 1/@7/D7_01.tif "/>
    <s v=" 80073.8699 "/>
    <s v=" 57.4938 "/>
    <x v="0"/>
    <n v="4603750"/>
    <m/>
    <m/>
    <m/>
  </r>
  <r>
    <x v="11"/>
    <x v="3"/>
    <s v="C:\Users\andre\Desktop\REACTIV CEFAS\E2\E2/20201118_Cefas_Test6-Run3/Plate 1/@7/D7_02.tif "/>
    <s v=" 83361.6139 "/>
    <s v=" 57.2506 "/>
    <x v="0"/>
    <n v="4772506"/>
    <m/>
    <m/>
    <m/>
  </r>
  <r>
    <x v="11"/>
    <x v="3"/>
    <s v="C:\Users\andre\Desktop\REACTIV CEFAS\E2\E2/20201118_Cefas_Test6-Run3/Plate 1/@7/D7_03.tif "/>
    <s v=" 82366.6387 "/>
    <s v=" 57.8887 "/>
    <x v="0"/>
    <n v="4768094"/>
    <m/>
    <m/>
    <m/>
  </r>
  <r>
    <x v="11"/>
    <x v="4"/>
    <s v="C:\Users\andre\Desktop\REACTIV CEFAS\E2\E2/20201118_Cefas_Test6-Run3/Plate 1/@7/E7_01- exclu.tif"/>
    <m/>
    <m/>
    <x v="1"/>
    <m/>
    <m/>
    <m/>
    <m/>
  </r>
  <r>
    <x v="11"/>
    <x v="4"/>
    <s v="C:\Users\andre\Desktop\REACTIV CEFAS\E2\E2/20201118_Cefas_Test6-Run3/Plate 1/@7/E7_02- exclu.tif"/>
    <m/>
    <m/>
    <x v="1"/>
    <m/>
    <m/>
    <m/>
    <m/>
  </r>
  <r>
    <x v="11"/>
    <x v="4"/>
    <s v="C:\Users\andre\Desktop\REACTIV CEFAS\E2\E2/20201118_Cefas_Test6-Run3/Plate 1/@7/E7_03- exclu.tif"/>
    <m/>
    <m/>
    <x v="1"/>
    <m/>
    <m/>
    <m/>
    <m/>
  </r>
  <r>
    <x v="11"/>
    <x v="5"/>
    <s v="C:\Users\andre\Desktop\REACTIV CEFAS\E2\E2/20201118_Cefas_Test6-Run3/Plate 1/@7/F7_01.tif "/>
    <s v=" 69951.0792 "/>
    <s v=" 53.4879 "/>
    <x v="0"/>
    <n v="3741539"/>
    <m/>
    <m/>
    <m/>
  </r>
  <r>
    <x v="11"/>
    <x v="5"/>
    <s v="C:\Users\andre\Desktop\REACTIV CEFAS\E2\E2/20201118_Cefas_Test6-Run3/Plate 1/@7/F7_02.tif "/>
    <s v=" 55480.6797 "/>
    <s v=" 55.4476 "/>
    <x v="0"/>
    <n v="3076269"/>
    <m/>
    <m/>
    <m/>
  </r>
  <r>
    <x v="11"/>
    <x v="5"/>
    <s v="C:\Users\andre\Desktop\REACTIV CEFAS\E2\E2/20201118_Cefas_Test6-Run3/Plate 1/@7/F7_03.tif "/>
    <s v=" 55891.6477 "/>
    <s v=" 56.3514 "/>
    <x v="0"/>
    <n v="3149572"/>
    <m/>
    <m/>
    <m/>
  </r>
  <r>
    <x v="11"/>
    <x v="6"/>
    <s v="C:\Users\andre\Desktop\REACTIV CEFAS\E2\E2/20201118_Cefas_Test6-Run3/Plate 1/@7/G7_01.tif "/>
    <s v=" 84421.4787 "/>
    <s v=" 51.7963 "/>
    <x v="0"/>
    <n v="4372721"/>
    <m/>
    <m/>
    <m/>
  </r>
  <r>
    <x v="11"/>
    <x v="6"/>
    <s v="C:\Users\andre\Desktop\REACTIV CEFAS\E2\E2/20201118_Cefas_Test6-Run3/Plate 1/@7/G7_02.tif "/>
    <s v=" 87644.333 "/>
    <s v=" 55.6273 "/>
    <x v="0"/>
    <n v="4875422"/>
    <m/>
    <m/>
    <m/>
  </r>
  <r>
    <x v="11"/>
    <x v="6"/>
    <s v="C:\Users\andre\Desktop\REACTIV CEFAS\E2\E2/20201118_Cefas_Test6-Run3/Plate 1/@7/G7_03.tif "/>
    <s v=" 84421.4787 "/>
    <s v=" 54.5726 "/>
    <x v="0"/>
    <n v="4607103"/>
    <m/>
    <m/>
    <m/>
  </r>
  <r>
    <x v="11"/>
    <x v="7"/>
    <s v="C:\Users\andre\Desktop\REACTIV CEFAS\E2\E2/20201118_Cefas_Test6-Run3/Plate 1/@7/H7_01.tif "/>
    <s v=" 66490.2961 "/>
    <s v=" 50.1675 "/>
    <x v="0"/>
    <n v="3335654"/>
    <m/>
    <m/>
    <m/>
  </r>
  <r>
    <x v="11"/>
    <x v="7"/>
    <s v="C:\Users\andre\Desktop\REACTIV CEFAS\E2\E2/20201118_Cefas_Test6-Run3/Plate 1/@7/H7_02.tif "/>
    <s v=" 62942.9934 "/>
    <s v=" 49.6732 "/>
    <x v="0"/>
    <n v="3126580"/>
    <m/>
    <m/>
    <m/>
  </r>
  <r>
    <x v="11"/>
    <x v="7"/>
    <s v="C:\Users\andre\Desktop\REACTIV CEFAS\E2\E2/20201118_Cefas_Test6-Run3/Plate 1/@7/H7_03.tif "/>
    <s v=" 62705.0645 "/>
    <s v=" 48.8917 "/>
    <x v="0"/>
    <n v="3065756"/>
    <m/>
    <m/>
    <m/>
  </r>
  <r>
    <x v="1"/>
    <x v="8"/>
    <s v=" "/>
    <m/>
    <m/>
    <x v="1"/>
    <m/>
    <m/>
    <m/>
    <m/>
  </r>
  <r>
    <x v="1"/>
    <x v="8"/>
    <s v="group "/>
    <s v=" "/>
    <s v=" mean of mean fluo "/>
    <x v="2"/>
    <s v=" mean of total fluo "/>
    <s v=" SD total fluo "/>
    <s v=" n fluorescent "/>
    <s v=" n total"/>
  </r>
  <r>
    <x v="11"/>
    <x v="9"/>
    <s v="C:\Users\andre\Desktop\REACTIV CEFAS\E2\E2/20201118_Cefas_Test6-Run3/Plate 1/@7/ "/>
    <s v=" "/>
    <s v=" 55.3415 "/>
    <x v="13"/>
    <s v=" 3807723.96 "/>
    <s v=" 866063.873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2"/>
    <x v="0"/>
    <s v="C:\Users\andre\Desktop\REACTIV CEFAS\E2\E2/20201118_Cefas_Test6-Run3/Plate 4/@10/A4_01.tif "/>
    <s v=" 63851.4489 "/>
    <s v=" 38.6616 "/>
    <x v="0"/>
    <n v="2468598"/>
    <m/>
    <m/>
    <m/>
  </r>
  <r>
    <x v="12"/>
    <x v="0"/>
    <s v="C:\Users\andre\Desktop\REACTIV CEFAS\E2\E2/20201118_Cefas_Test6-Run3/Plate 4/@10/A4_02.tif "/>
    <s v=" 64067.7479 "/>
    <s v=" 37.7411 "/>
    <x v="0"/>
    <n v="2417984"/>
    <m/>
    <m/>
    <m/>
  </r>
  <r>
    <x v="12"/>
    <x v="0"/>
    <s v="C:\Users\andre\Desktop\REACTIV CEFAS\E2\E2/20201118_Cefas_Test6-Run3/Plate 4/@10/A4_03.tif "/>
    <s v=" 43735.6469 "/>
    <s v=" 38.1642 "/>
    <x v="0"/>
    <n v="1669136"/>
    <m/>
    <m/>
    <m/>
  </r>
  <r>
    <x v="12"/>
    <x v="1"/>
    <s v="C:\Users\andre\Desktop\REACTIV CEFAS\E2\E2/20201118_Cefas_Test6-Run3/Plate 4/@10/B4_01.tif "/>
    <s v=" 1773.6514 "/>
    <s v=" 31.4634 "/>
    <x v="0"/>
    <n v="55805"/>
    <m/>
    <m/>
    <m/>
  </r>
  <r>
    <x v="12"/>
    <x v="1"/>
    <s v="C:\Users\andre\Desktop\REACTIV CEFAS\E2\E2/20201118_Cefas_Test6-Run3/Plate 4/@10/B4_02.tif "/>
    <s v=" 389.3381 "/>
    <s v=" 32.5 "/>
    <x v="0"/>
    <n v="12653"/>
    <m/>
    <m/>
    <m/>
  </r>
  <r>
    <x v="12"/>
    <x v="1"/>
    <s v="C:\Users\andre\Desktop\REACTIV CEFAS\E2\E2/20201118_Cefas_Test6-Run3/Plate 4/@10/B4_03.tif "/>
    <s v=" 216.2989 "/>
    <s v=" 30.4 "/>
    <x v="0"/>
    <n v="6575"/>
    <m/>
    <m/>
    <m/>
  </r>
  <r>
    <x v="12"/>
    <x v="2"/>
    <s v="C:\Users\andre\Desktop\REACTIV CEFAS\E2\E2/20201118_Cefas_Test6-Run3/Plate 4/@10/C4_01.tif "/>
    <s v=" 3331.0038 "/>
    <s v=" 38.6364 "/>
    <x v="0"/>
    <n v="128698"/>
    <m/>
    <m/>
    <m/>
  </r>
  <r>
    <x v="12"/>
    <x v="2"/>
    <s v="C:\Users\andre\Desktop\REACTIV CEFAS\E2\E2/20201118_Cefas_Test6-Run3/Plate 4/@10/C4_02- exclu.tif"/>
    <m/>
    <m/>
    <x v="1"/>
    <m/>
    <m/>
    <m/>
    <m/>
  </r>
  <r>
    <x v="12"/>
    <x v="2"/>
    <s v="C:\Users\andre\Desktop\REACTIV CEFAS\E2\E2/20201118_Cefas_Test6-Run3/Plate 4/@10/C4_03- exclu.tif"/>
    <m/>
    <m/>
    <x v="1"/>
    <m/>
    <m/>
    <m/>
    <m/>
  </r>
  <r>
    <x v="12"/>
    <x v="3"/>
    <s v="C:\Users\andre\Desktop\REACTIV CEFAS\E2\E2/20201118_Cefas_Test6-Run3/Plate 4/@10/D4_01- exclu.tif"/>
    <m/>
    <m/>
    <x v="1"/>
    <m/>
    <m/>
    <m/>
    <m/>
  </r>
  <r>
    <x v="12"/>
    <x v="3"/>
    <s v="C:\Users\andre\Desktop\REACTIV CEFAS\E2\E2/20201118_Cefas_Test6-Run3/Plate 4/@10/D4_02.tif "/>
    <s v=" 28335.162 "/>
    <s v=" 36.5359 "/>
    <x v="0"/>
    <n v="1035250"/>
    <m/>
    <m/>
    <m/>
  </r>
  <r>
    <x v="12"/>
    <x v="3"/>
    <s v="C:\Users\andre\Desktop\REACTIV CEFAS\E2\E2/20201118_Cefas_Test6-Run3/Plate 4/@10/D4_03.tif "/>
    <s v=" 15768.1932 "/>
    <s v=" 34.5487 "/>
    <x v="0"/>
    <n v="544771"/>
    <m/>
    <m/>
    <m/>
  </r>
  <r>
    <x v="12"/>
    <x v="4"/>
    <s v="C:\Users\andre\Desktop\REACTIV CEFAS\E2\E2/20201118_Cefas_Test6-Run3/Plate 4/@10/E4_01.tif "/>
    <s v=" 24355.2614 "/>
    <s v=" 37.8233 "/>
    <x v="0"/>
    <n v="921196"/>
    <m/>
    <m/>
    <m/>
  </r>
  <r>
    <x v="12"/>
    <x v="4"/>
    <s v="C:\Users\andre\Desktop\REACTIV CEFAS\E2\E2/20201118_Cefas_Test6-Run3/Plate 4/@10/E4_02.tif "/>
    <s v=" 10923.0968 "/>
    <s v=" 35.0059 "/>
    <x v="0"/>
    <n v="382373"/>
    <m/>
    <m/>
    <m/>
  </r>
  <r>
    <x v="12"/>
    <x v="4"/>
    <s v="C:\Users\andre\Desktop\REACTIV CEFAS\E2\E2/20201118_Cefas_Test6-Run3/Plate 4/@10/E4_03.tif "/>
    <s v=" 22365.311 "/>
    <s v=" 38.3162 "/>
    <x v="0"/>
    <n v="856955"/>
    <m/>
    <m/>
    <m/>
  </r>
  <r>
    <x v="12"/>
    <x v="5"/>
    <s v="C:\Users\andre\Desktop\REACTIV CEFAS\E2\E2/20201118_Cefas_Test6-Run3/Plate 4/@10/F4_01.tif "/>
    <s v=" 53707.0284 "/>
    <s v=" 37.4716 "/>
    <x v="0"/>
    <n v="2012489"/>
    <m/>
    <m/>
    <m/>
  </r>
  <r>
    <x v="12"/>
    <x v="5"/>
    <s v="C:\Users\andre\Desktop\REACTIV CEFAS\E2\E2/20201118_Cefas_Test6-Run3/Plate 4/@10/F4_02.tif "/>
    <s v=" 44838.7716 "/>
    <s v=" 35.9387 "/>
    <x v="0"/>
    <n v="1611449"/>
    <m/>
    <m/>
    <m/>
  </r>
  <r>
    <x v="12"/>
    <x v="5"/>
    <s v="C:\Users\andre\Desktop\REACTIV CEFAS\E2\E2/20201118_Cefas_Test6-Run3/Plate 4/@10/F4_03.tif "/>
    <s v=" 51868.4873 "/>
    <s v=" 38.4299 "/>
    <x v="0"/>
    <n v="1993303"/>
    <m/>
    <m/>
    <m/>
  </r>
  <r>
    <x v="12"/>
    <x v="6"/>
    <s v="C:\Users\andre\Desktop\REACTIV CEFAS\E2\E2/20201118_Cefas_Test6-Run3/Plate 4/@10/G4_01.tif "/>
    <s v=" 75120.624 "/>
    <s v=" 40.6124 "/>
    <x v="0"/>
    <n v="3050832"/>
    <m/>
    <m/>
    <m/>
  </r>
  <r>
    <x v="12"/>
    <x v="6"/>
    <s v="C:\Users\andre\Desktop\REACTIV CEFAS\E2\E2/20201118_Cefas_Test6-Run3/Plate 4/@10/G4_02.tif "/>
    <s v=" 69237.2927 "/>
    <s v=" 41.895 "/>
    <x v="0"/>
    <n v="2900699"/>
    <m/>
    <m/>
    <m/>
  </r>
  <r>
    <x v="12"/>
    <x v="6"/>
    <s v="C:\Users\andre\Desktop\REACTIV CEFAS\E2\E2/20201118_Cefas_Test6-Run3/Plate 4/@10/G4_03.tif "/>
    <s v=" 71638.211 "/>
    <s v=" 41.9327 "/>
    <x v="0"/>
    <n v="3003981"/>
    <m/>
    <m/>
    <m/>
  </r>
  <r>
    <x v="12"/>
    <x v="7"/>
    <s v="C:\Users\andre\Desktop\REACTIV CEFAS\E2\E2/20201118_Cefas_Test6-Run3/Plate 4/@10/H4_01.tif "/>
    <s v=" 42048.5152 "/>
    <s v=" 34.9048 "/>
    <x v="0"/>
    <n v="1467697"/>
    <m/>
    <m/>
    <m/>
  </r>
  <r>
    <x v="12"/>
    <x v="7"/>
    <s v="C:\Users\andre\Desktop\REACTIV CEFAS\E2\E2/20201118_Cefas_Test6-Run3/Plate 4/@10/H4_02.tif "/>
    <s v=" 38176.764 "/>
    <s v=" 35.3479 "/>
    <x v="0"/>
    <n v="1349467"/>
    <m/>
    <m/>
    <m/>
  </r>
  <r>
    <x v="12"/>
    <x v="7"/>
    <s v="C:\Users\andre\Desktop\REACTIV CEFAS\E2\E2/20201118_Cefas_Test6-Run3/Plate 4/@10/H4_03.tif "/>
    <s v=" 29524.8062 "/>
    <s v=" 33.3912 "/>
    <x v="0"/>
    <n v="985869"/>
    <m/>
    <m/>
    <m/>
  </r>
  <r>
    <x v="1"/>
    <x v="8"/>
    <s v=" "/>
    <m/>
    <m/>
    <x v="1"/>
    <m/>
    <m/>
    <m/>
    <m/>
  </r>
  <r>
    <x v="1"/>
    <x v="8"/>
    <s v="group "/>
    <s v=" "/>
    <s v=" mean of mean fluo "/>
    <x v="2"/>
    <s v=" mean of total fluo "/>
    <s v=" SD total fluo "/>
    <s v=" n fluorescent "/>
    <s v=" n total"/>
  </r>
  <r>
    <x v="12"/>
    <x v="9"/>
    <s v="C:\Users\andre\Desktop\REACTIV CEFAS\E2\E2/20201118_Cefas_Test6-Run3/Plate 4/@10/ "/>
    <s v=" "/>
    <s v=" 36.6811 "/>
    <x v="14"/>
    <s v=" 1239502.96 "/>
    <s v=" 1011639.1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3"/>
    <x v="0"/>
    <s v="C:\Users\andre\Desktop\REACTIV CEFAS\E2\E2/20201118_Cefas_Test6-Run3/Plate 4/@11/A5_01.tif "/>
    <s v=" 86562.8383 "/>
    <s v=" 53.911 "/>
    <x v="0"/>
    <n v="4666693"/>
    <m/>
    <m/>
    <m/>
  </r>
  <r>
    <x v="13"/>
    <x v="0"/>
    <s v="C:\Users\andre\Desktop\REACTIV CEFAS\E2\E2/20201118_Cefas_Test6-Run3/Plate 4/@11/A5_02.tif "/>
    <s v=" 91256.5254 "/>
    <s v=" 47.9604 "/>
    <x v="0"/>
    <n v="4376701"/>
    <m/>
    <m/>
    <m/>
  </r>
  <r>
    <x v="13"/>
    <x v="0"/>
    <s v="C:\Users\andre\Desktop\REACTIV CEFAS\E2\E2/20201118_Cefas_Test6-Run3/Plate 4/@11/A5_03.tif "/>
    <s v=" 92121.7212 "/>
    <s v=" 51.4642 "/>
    <x v="0"/>
    <n v="4740970"/>
    <m/>
    <m/>
    <m/>
  </r>
  <r>
    <x v="13"/>
    <x v="1"/>
    <s v="C:\Users\andre\Desktop\REACTIV CEFAS\E2\E2/20201118_Cefas_Test6-Run3/Plate 4/@11/B5_01- exclu.tif"/>
    <m/>
    <m/>
    <x v="1"/>
    <m/>
    <m/>
    <m/>
    <m/>
  </r>
  <r>
    <x v="13"/>
    <x v="1"/>
    <s v="C:\Users\andre\Desktop\REACTIV CEFAS\E2\E2/20201118_Cefas_Test6-Run3/Plate 4/@11/B5_02- exclu.tif"/>
    <m/>
    <m/>
    <x v="1"/>
    <m/>
    <m/>
    <m/>
    <m/>
  </r>
  <r>
    <x v="13"/>
    <x v="1"/>
    <s v="C:\Users\andre\Desktop\REACTIV CEFAS\E2\E2/20201118_Cefas_Test6-Run3/Plate 4/@11/B5_03- exclu.tif"/>
    <m/>
    <m/>
    <x v="1"/>
    <m/>
    <m/>
    <m/>
    <m/>
  </r>
  <r>
    <x v="13"/>
    <x v="2"/>
    <s v="C:\Users\andre\Desktop\REACTIV CEFAS\E2\E2/20201118_Cefas_Test6-Run3/Plate 4/@11/C5_01.tif "/>
    <s v=" 80203.6493 "/>
    <s v=" 52.9957 "/>
    <x v="0"/>
    <n v="4250447"/>
    <m/>
    <m/>
    <m/>
  </r>
  <r>
    <x v="13"/>
    <x v="2"/>
    <s v="C:\Users\andre\Desktop\REACTIV CEFAS\E2\E2/20201118_Cefas_Test6-Run3/Plate 4/@11/C5_02.tif "/>
    <s v=" 89050.2762 "/>
    <s v=" 54.6944 "/>
    <x v="0"/>
    <n v="4870555"/>
    <m/>
    <m/>
    <m/>
  </r>
  <r>
    <x v="13"/>
    <x v="2"/>
    <s v="C:\Users\andre\Desktop\REACTIV CEFAS\E2\E2/20201118_Cefas_Test6-Run3/Plate 4/@11/C5_03.tif "/>
    <s v=" 79489.8628 "/>
    <s v=" 50.8479 "/>
    <x v="0"/>
    <n v="4041892"/>
    <m/>
    <m/>
    <m/>
  </r>
  <r>
    <x v="13"/>
    <x v="3"/>
    <s v="C:\Users\andre\Desktop\REACTIV CEFAS\E2\E2/20201118_Cefas_Test6-Run3/Plate 4/@11/D5_01.tif "/>
    <s v=" 66490.2961 "/>
    <s v=" 48.6096 "/>
    <x v="0"/>
    <n v="3232069"/>
    <m/>
    <m/>
    <m/>
  </r>
  <r>
    <x v="13"/>
    <x v="3"/>
    <s v="C:\Users\andre\Desktop\REACTIV CEFAS\E2\E2/20201118_Cefas_Test6-Run3/Plate 4/@11/D5_02.tif "/>
    <s v=" 60996.3029 "/>
    <s v=" 48.5043 "/>
    <x v="0"/>
    <n v="2958580"/>
    <m/>
    <m/>
    <m/>
  </r>
  <r>
    <x v="13"/>
    <x v="3"/>
    <s v="C:\Users\andre\Desktop\REACTIV CEFAS\E2\E2/20201118_Cefas_Test6-Run3/Plate 4/@11/D5_03.tif "/>
    <s v=" 67485.2712 "/>
    <s v=" 47.5067 "/>
    <x v="0"/>
    <n v="3206005"/>
    <m/>
    <m/>
    <m/>
  </r>
  <r>
    <x v="13"/>
    <x v="4"/>
    <s v="C:\Users\andre\Desktop\REACTIV CEFAS\E2\E2/20201118_Cefas_Test6-Run3/Plate 4/@11/E5_01.tif "/>
    <s v=" 67485.2712 "/>
    <s v=" 51.3103 "/>
    <x v="0"/>
    <n v="3462687"/>
    <m/>
    <m/>
    <m/>
  </r>
  <r>
    <x v="13"/>
    <x v="4"/>
    <s v="C:\Users\andre\Desktop\REACTIV CEFAS\E2\E2/20201118_Cefas_Test6-Run3/Plate 4/@11/E5_02.tif "/>
    <s v=" 63981.2283 "/>
    <s v=" 47.5105 "/>
    <x v="0"/>
    <n v="3039779"/>
    <m/>
    <m/>
    <m/>
  </r>
  <r>
    <x v="13"/>
    <x v="4"/>
    <s v="C:\Users\andre\Desktop\REACTIV CEFAS\E2\E2/20201118_Cefas_Test6-Run3/Plate 4/@11/E5_03.tif "/>
    <s v=" 61320.7513 "/>
    <s v=" 48.1792 "/>
    <x v="0"/>
    <n v="2954384"/>
    <m/>
    <m/>
    <m/>
  </r>
  <r>
    <x v="13"/>
    <x v="5"/>
    <s v="C:\Users\andre\Desktop\REACTIV CEFAS\E2\E2/20201118_Cefas_Test6-Run3/Plate 4/@11/F5_01.tif "/>
    <s v=" 54658.7437 "/>
    <s v=" 44.9335 "/>
    <x v="0"/>
    <n v="2456010"/>
    <m/>
    <m/>
    <m/>
  </r>
  <r>
    <x v="13"/>
    <x v="5"/>
    <s v="C:\Users\andre\Desktop\REACTIV CEFAS\E2\E2/20201118_Cefas_Test6-Run3/Plate 4/@11/F5_02.tif "/>
    <s v=" 59568.7298 "/>
    <s v=" 46.7814 "/>
    <x v="0"/>
    <n v="2786709"/>
    <m/>
    <m/>
    <m/>
  </r>
  <r>
    <x v="13"/>
    <x v="5"/>
    <s v="C:\Users\andre\Desktop\REACTIV CEFAS\E2\E2/20201118_Cefas_Test6-Run3/Plate 4/@11/F5_03.tif "/>
    <s v=" 62229.2068 "/>
    <s v=" 46.448 "/>
    <x v="0"/>
    <n v="2890424"/>
    <m/>
    <m/>
    <m/>
  </r>
  <r>
    <x v="13"/>
    <x v="6"/>
    <s v="C:\Users\andre\Desktop\REACTIV CEFAS\E2\E2/20201118_Cefas_Test6-Run3/Plate 4/@11/G5_01.tif "/>
    <s v=" 78516.5175 "/>
    <s v=" 54.6298 "/>
    <x v="0"/>
    <n v="4289338"/>
    <m/>
    <m/>
    <m/>
  </r>
  <r>
    <x v="13"/>
    <x v="6"/>
    <s v="C:\Users\andre\Desktop\REACTIV CEFAS\E2\E2/20201118_Cefas_Test6-Run3/Plate 4/@11/G5_02.tif "/>
    <s v=" 79554.7524 "/>
    <s v=" 51.2841 "/>
    <x v="0"/>
    <n v="4079896"/>
    <m/>
    <m/>
    <m/>
  </r>
  <r>
    <x v="13"/>
    <x v="6"/>
    <s v="C:\Users\andre\Desktop\REACTIV CEFAS\E2\E2/20201118_Cefas_Test6-Run3/Plate 4/@11/G5_03.tif "/>
    <s v=" 76699.6064 "/>
    <s v=" 50.0767 "/>
    <x v="0"/>
    <n v="3840864"/>
    <m/>
    <m/>
    <m/>
  </r>
  <r>
    <x v="13"/>
    <x v="7"/>
    <s v="C:\Users\andre\Desktop\REACTIV CEFAS\E2\E2/20201118_Cefas_Test6-Run3/Plate 4/@11/H5_01.tif "/>
    <s v=" 67290.6022 "/>
    <s v=" 44.9277 "/>
    <x v="0"/>
    <n v="3023210"/>
    <m/>
    <m/>
    <m/>
  </r>
  <r>
    <x v="13"/>
    <x v="7"/>
    <s v="C:\Users\andre\Desktop\REACTIV CEFAS\E2\E2/20201118_Cefas_Test6-Run3/Plate 4/@11/H5_02.tif "/>
    <s v=" 63440.4809 "/>
    <s v=" 40.1964 "/>
    <x v="0"/>
    <n v="2550078"/>
    <m/>
    <m/>
    <m/>
  </r>
  <r>
    <x v="13"/>
    <x v="7"/>
    <s v="C:\Users\andre\Desktop\REACTIV CEFAS\E2\E2/20201118_Cefas_Test6-Run3/Plate 4/@11/H5_03- exclu.tif"/>
    <m/>
    <m/>
    <x v="1"/>
    <m/>
    <m/>
    <m/>
    <m/>
  </r>
  <r>
    <x v="1"/>
    <x v="8"/>
    <s v=" "/>
    <m/>
    <m/>
    <x v="1"/>
    <m/>
    <m/>
    <m/>
    <m/>
  </r>
  <r>
    <x v="1"/>
    <x v="8"/>
    <s v="group "/>
    <s v=" "/>
    <s v=" mean of mean fluo "/>
    <x v="2"/>
    <s v=" mean of total fluo "/>
    <s v=" SD total fluo "/>
    <s v=" n fluorescent "/>
    <s v=" n total"/>
  </r>
  <r>
    <x v="13"/>
    <x v="9"/>
    <s v="C:\Users\andre\Desktop\REACTIV CEFAS\E2\E2/20201118_Cefas_Test6-Run3/Plate 4/@11/ "/>
    <s v=" "/>
    <s v=" 48.6003 "/>
    <x v="15"/>
    <s v=" 3388237.38 "/>
    <s v=" 837233.705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4"/>
    <x v="0"/>
    <s v="C:\Users\andre\Desktop\REACTIV CEFAS\E2\E2/20201118_Cefas_Test6-Run3/Plate 4/@12/A6_01.tif "/>
    <s v=" 83815.8417 "/>
    <s v=" 53.2963 "/>
    <x v="0"/>
    <n v="4467071"/>
    <m/>
    <m/>
    <m/>
  </r>
  <r>
    <x v="14"/>
    <x v="0"/>
    <s v="C:\Users\andre\Desktop\REACTIV CEFAS\E2\E2/20201118_Cefas_Test6-Run3/Plate 4/@12/A6_02.tif "/>
    <s v=" 87125.2156 "/>
    <s v=" 50.969 "/>
    <x v="0"/>
    <n v="4440682"/>
    <m/>
    <m/>
    <m/>
  </r>
  <r>
    <x v="14"/>
    <x v="0"/>
    <s v="C:\Users\andre\Desktop\REACTIV CEFAS\E2\E2/20201118_Cefas_Test6-Run3/Plate 4/@12/A6_03.tif "/>
    <s v=" 80809.2863 "/>
    <s v=" 50.9893 "/>
    <x v="0"/>
    <n v="4120408"/>
    <m/>
    <m/>
    <m/>
  </r>
  <r>
    <x v="14"/>
    <x v="1"/>
    <s v="C:\Users\andre\Desktop\REACTIV CEFAS\E2\E2/20201118_Cefas_Test6-Run3/Plate 4/@12/B6_01.tif "/>
    <s v=" 63591.8902 "/>
    <s v=" 58.3167 "/>
    <x v="0"/>
    <n v="3708467"/>
    <m/>
    <m/>
    <m/>
  </r>
  <r>
    <x v="14"/>
    <x v="1"/>
    <s v="C:\Users\andre\Desktop\REACTIV CEFAS\E2\E2/20201118_Cefas_Test6-Run3/Plate 4/@12/B6_02.tif "/>
    <s v=" 58357.4557 "/>
    <s v=" 58.6512 "/>
    <x v="0"/>
    <n v="3422736"/>
    <m/>
    <m/>
    <m/>
  </r>
  <r>
    <x v="14"/>
    <x v="1"/>
    <s v="C:\Users\andre\Desktop\REACTIV CEFAS\E2\E2/20201118_Cefas_Test6-Run3/Plate 4/@12/B6_03.tif "/>
    <s v=" 66338.8868 "/>
    <s v=" 59.6387 "/>
    <x v="0"/>
    <n v="3956367"/>
    <m/>
    <m/>
    <m/>
  </r>
  <r>
    <x v="14"/>
    <x v="2"/>
    <s v="C:\Users\andre\Desktop\REACTIV CEFAS\E2\E2/20201118_Cefas_Test6-Run3/Plate 4/@12/C6_01- exclu.tif"/>
    <m/>
    <m/>
    <x v="1"/>
    <m/>
    <m/>
    <m/>
    <m/>
  </r>
  <r>
    <x v="14"/>
    <x v="2"/>
    <s v="C:\Users\andre\Desktop\REACTIV CEFAS\E2\E2/20201118_Cefas_Test6-Run3/Plate 4/@12/C6_02.tif "/>
    <s v=" 88293.2299 "/>
    <s v=" 57.1259 "/>
    <x v="0"/>
    <n v="5043832"/>
    <m/>
    <m/>
    <m/>
  </r>
  <r>
    <x v="14"/>
    <x v="2"/>
    <s v="C:\Users\andre\Desktop\REACTIV CEFAS\E2\E2/20201118_Cefas_Test6-Run3/Plate 4/@12/C6_03.tif "/>
    <s v=" 93592.5541 "/>
    <s v=" 61.3795 "/>
    <x v="0"/>
    <n v="5744662"/>
    <m/>
    <m/>
    <m/>
  </r>
  <r>
    <x v="14"/>
    <x v="3"/>
    <s v="C:\Users\andre\Desktop\REACTIV CEFAS\E2\E2/20201118_Cefas_Test6-Run3/Plate 4/@12/D6_01- exclu.tif"/>
    <m/>
    <m/>
    <x v="1"/>
    <m/>
    <m/>
    <m/>
    <m/>
  </r>
  <r>
    <x v="14"/>
    <x v="3"/>
    <s v="C:\Users\andre\Desktop\REACTIV CEFAS\E2\E2/20201118_Cefas_Test6-Run3/Plate 4/@12/D6_02- exclu.tif"/>
    <m/>
    <m/>
    <x v="1"/>
    <m/>
    <m/>
    <m/>
    <m/>
  </r>
  <r>
    <x v="14"/>
    <x v="3"/>
    <s v="C:\Users\andre\Desktop\REACTIV CEFAS\E2\E2/20201118_Cefas_Test6-Run3/Plate 4/@12/D6_03- exclu.tif"/>
    <m/>
    <m/>
    <x v="1"/>
    <m/>
    <m/>
    <m/>
    <m/>
  </r>
  <r>
    <x v="14"/>
    <x v="4"/>
    <s v="C:\Users\andre\Desktop\REACTIV CEFAS\E2\E2/20201118_Cefas_Test6-Run3/Plate 4/@12/E6_01.tif "/>
    <s v=" 92619.2088 "/>
    <s v=" 56.6268 "/>
    <x v="0"/>
    <n v="5244730"/>
    <m/>
    <m/>
    <m/>
  </r>
  <r>
    <x v="14"/>
    <x v="4"/>
    <s v="C:\Users\andre\Desktop\REACTIV CEFAS\E2\E2/20201118_Cefas_Test6-Run3/Plate 4/@12/E6_02.tif "/>
    <s v=" 84789.1869 "/>
    <s v=" 53.0337 "/>
    <x v="0"/>
    <n v="4496682"/>
    <m/>
    <m/>
    <m/>
  </r>
  <r>
    <x v="14"/>
    <x v="4"/>
    <s v="C:\Users\andre\Desktop\REACTIV CEFAS\E2\E2/20201118_Cefas_Test6-Run3/Plate 4/@12/E6_03.tif "/>
    <s v=" 86908.9166 "/>
    <s v=" 53.8121 "/>
    <x v="0"/>
    <n v="4676751"/>
    <m/>
    <m/>
    <m/>
  </r>
  <r>
    <x v="14"/>
    <x v="5"/>
    <s v="C:\Users\andre\Desktop\REACTIV CEFAS\E2\E2/20201118_Cefas_Test6-Run3/Plate 4/@12/F6_01.tif "/>
    <s v=" 88033.6711 "/>
    <s v=" 56.5722 "/>
    <x v="0"/>
    <n v="4980262"/>
    <m/>
    <m/>
    <m/>
  </r>
  <r>
    <x v="14"/>
    <x v="5"/>
    <s v="C:\Users\andre\Desktop\REACTIV CEFAS\E2\E2/20201118_Cefas_Test6-Run3/Plate 4/@12/F6_02.tif "/>
    <s v=" 81761.0017 "/>
    <s v=" 53.5754 "/>
    <x v="0"/>
    <n v="4380378"/>
    <m/>
    <m/>
    <m/>
  </r>
  <r>
    <x v="14"/>
    <x v="5"/>
    <s v="C:\Users\andre\Desktop\REACTIV CEFAS\E2\E2/20201118_Cefas_Test6-Run3/Plate 4/@12/F6_03.tif "/>
    <s v=" 85005.4859 "/>
    <s v=" 55.5501 "/>
    <x v="0"/>
    <n v="4722066"/>
    <m/>
    <m/>
    <m/>
  </r>
  <r>
    <x v="14"/>
    <x v="6"/>
    <s v="C:\Users\andre\Desktop\REACTIV CEFAS\E2\E2/20201118_Cefas_Test6-Run3/Plate 4/@12/G6_01.tif "/>
    <s v=" 65430.4313 "/>
    <s v=" 59.1134 "/>
    <x v="0"/>
    <n v="3867814"/>
    <m/>
    <m/>
    <m/>
  </r>
  <r>
    <x v="14"/>
    <x v="6"/>
    <s v="C:\Users\andre\Desktop\REACTIV CEFAS\E2\E2/20201118_Cefas_Test6-Run3/Plate 4/@12/G6_02.tif "/>
    <s v=" 60888.1534 "/>
    <s v=" 54.06 "/>
    <x v="0"/>
    <n v="3291616"/>
    <m/>
    <m/>
    <m/>
  </r>
  <r>
    <x v="14"/>
    <x v="6"/>
    <s v="C:\Users\andre\Desktop\REACTIV CEFAS\E2\E2/20201118_Cefas_Test6-Run3/Plate 4/@12/G6_03.tif "/>
    <s v=" 62012.9079 "/>
    <s v=" 57.7084 "/>
    <x v="0"/>
    <n v="3578666"/>
    <m/>
    <m/>
    <m/>
  </r>
  <r>
    <x v="14"/>
    <x v="7"/>
    <s v="C:\Users\andre\Desktop\REACTIV CEFAS\E2\E2/20201118_Cefas_Test6-Run3/Plate 4/@12/H6_01.tif "/>
    <s v=" 110615.281 "/>
    <s v=" 55.8004 "/>
    <x v="0"/>
    <n v="6172372"/>
    <m/>
    <m/>
    <m/>
  </r>
  <r>
    <x v="14"/>
    <x v="7"/>
    <s v="C:\Users\andre\Desktop\REACTIV CEFAS\E2\E2/20201118_Cefas_Test6-Run3/Plate 4/@12/H6_02.tif "/>
    <s v=" 94803.8282 "/>
    <s v=" 57.4221 "/>
    <x v="0"/>
    <n v="5443834"/>
    <m/>
    <m/>
    <m/>
  </r>
  <r>
    <x v="14"/>
    <x v="7"/>
    <s v="C:\Users\andre\Desktop\REACTIV CEFAS\E2\E2/20201118_Cefas_Test6-Run3/Plate 4/@12/H6_03.tif "/>
    <s v=" 94090.0416 "/>
    <s v=" 58.4002 "/>
    <x v="0"/>
    <n v="5494880"/>
    <m/>
    <m/>
    <m/>
  </r>
  <r>
    <x v="1"/>
    <x v="8"/>
    <s v=" "/>
    <m/>
    <m/>
    <x v="1"/>
    <m/>
    <m/>
    <m/>
    <m/>
  </r>
  <r>
    <x v="1"/>
    <x v="8"/>
    <s v="group "/>
    <s v=" "/>
    <s v=" mean of mean fluo "/>
    <x v="2"/>
    <s v=" mean of total fluo "/>
    <s v=" SD total fluo "/>
    <s v=" n fluorescent "/>
    <s v=" n total"/>
  </r>
  <r>
    <x v="14"/>
    <x v="9"/>
    <s v="C:\Users\andre\Desktop\REACTIV CEFAS\E2\E2/20201118_Cefas_Test6-Run3/Plate 4/@12/ "/>
    <s v=" "/>
    <s v=" 56.6472 "/>
    <x v="16"/>
    <s v=" 4856157.42 "/>
    <s v=" 1028679.24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5"/>
    <x v="0"/>
    <s v="C:\Users\andre\Desktop\REACTIV CEFAS\E2\E2/20201118_Cefas_Test6-Run3/Plate 4/@17/A8_01.tif "/>
    <s v=" 37073.6394 "/>
    <s v=" 33.2275 "/>
    <x v="0"/>
    <n v="1231866"/>
    <m/>
    <m/>
    <m/>
  </r>
  <r>
    <x v="15"/>
    <x v="0"/>
    <s v="C:\Users\andre\Desktop\REACTIV CEFAS\E2\E2/20201118_Cefas_Test6-Run3/Plate 4/@17/A8_02.tif "/>
    <s v=" 32985.5893 "/>
    <s v=" 33.4951 "/>
    <x v="0"/>
    <n v="1104855"/>
    <m/>
    <m/>
    <m/>
  </r>
  <r>
    <x v="15"/>
    <x v="0"/>
    <s v="C:\Users\andre\Desktop\REACTIV CEFAS\E2\E2/20201118_Cefas_Test6-Run3/Plate 4/@17/A8_03.tif "/>
    <s v=" 35408.1375 "/>
    <s v=" 33.1185 "/>
    <x v="0"/>
    <n v="1172665"/>
    <m/>
    <m/>
    <m/>
  </r>
  <r>
    <x v="15"/>
    <x v="1"/>
    <s v="C:\Users\andre\Desktop\REACTIV CEFAS\E2\E2/20201118_Cefas_Test6-Run3/Plate 4/@17/B8_01.tif "/>
    <s v=" 47650.6579 "/>
    <s v=" 38.9696 "/>
    <x v="0"/>
    <n v="1856926"/>
    <m/>
    <m/>
    <m/>
  </r>
  <r>
    <x v="15"/>
    <x v="1"/>
    <s v="C:\Users\andre\Desktop\REACTIV CEFAS\E2\E2/20201118_Cefas_Test6-Run3/Plate 4/@17/B8_02.tif "/>
    <s v=" 42329.7038 "/>
    <s v=" 36.7149 "/>
    <x v="0"/>
    <n v="1554130"/>
    <m/>
    <m/>
    <m/>
  </r>
  <r>
    <x v="15"/>
    <x v="1"/>
    <s v="C:\Users\andre\Desktop\REACTIV CEFAS\E2\E2/20201118_Cefas_Test6-Run3/Plate 4/@17/B8_03.tif "/>
    <s v=" 51911.7471 "/>
    <s v=" 38.8329 "/>
    <x v="0"/>
    <n v="2015885"/>
    <m/>
    <m/>
    <m/>
  </r>
  <r>
    <x v="15"/>
    <x v="2"/>
    <s v="C:\Users\andre\Desktop\REACTIV CEFAS\E2\E2/20201118_Cefas_Test6-Run3/Plate 4/@17/C8_01.tif "/>
    <s v=" 40556.0524 "/>
    <s v=" 34.7851 "/>
    <x v="0"/>
    <n v="1410745"/>
    <m/>
    <m/>
    <m/>
  </r>
  <r>
    <x v="15"/>
    <x v="2"/>
    <s v="C:\Users\andre\Desktop\REACTIV CEFAS\E2\E2/20201118_Cefas_Test6-Run3/Plate 4/@17/C8_02.tif "/>
    <s v=" 34780.8706 "/>
    <s v=" 33.9409 "/>
    <x v="0"/>
    <n v="1180495"/>
    <m/>
    <m/>
    <m/>
  </r>
  <r>
    <x v="15"/>
    <x v="2"/>
    <s v="C:\Users\andre\Desktop\REACTIV CEFAS\E2\E2/20201118_Cefas_Test6-Run3/Plate 4/@17/C8_03.tif "/>
    <s v=" 29092.2083 "/>
    <s v=" 33.768 "/>
    <x v="0"/>
    <n v="982387"/>
    <m/>
    <m/>
    <m/>
  </r>
  <r>
    <x v="15"/>
    <x v="3"/>
    <s v="C:\Users\andre\Desktop\REACTIV CEFAS\E2\E2/20201118_Cefas_Test6-Run3/Plate 4/@17/D8_01.tif "/>
    <s v=" 56367.5054 "/>
    <s v=" 42.6289 "/>
    <x v="0"/>
    <n v="2402887"/>
    <m/>
    <m/>
    <m/>
  </r>
  <r>
    <x v="15"/>
    <x v="3"/>
    <s v="C:\Users\andre\Desktop\REACTIV CEFAS\E2\E2/20201118_Cefas_Test6-Run3/Plate 4/@17/D8_02.tif "/>
    <s v=" 55978.1673 "/>
    <s v=" 41.6414 "/>
    <x v="0"/>
    <n v="2331010"/>
    <m/>
    <m/>
    <m/>
  </r>
  <r>
    <x v="15"/>
    <x v="3"/>
    <s v="C:\Users\andre\Desktop\REACTIV CEFAS\E2\E2/20201118_Cefas_Test6-Run3/Plate 4/@17/D8_03.tif "/>
    <s v=" 46720.5724 "/>
    <s v=" 41.5662 "/>
    <x v="0"/>
    <n v="1941997"/>
    <m/>
    <m/>
    <m/>
  </r>
  <r>
    <x v="15"/>
    <x v="4"/>
    <s v="C:\Users\andre\Desktop\REACTIV CEFAS\E2\E2/20201118_Cefas_Test6-Run3/Plate 4/@17/E8_01.tif "/>
    <s v=" 59698.5092 "/>
    <s v=" 40.083 "/>
    <x v="0"/>
    <n v="2392894"/>
    <m/>
    <m/>
    <m/>
  </r>
  <r>
    <x v="15"/>
    <x v="4"/>
    <s v="C:\Users\andre\Desktop\REACTIV CEFAS\E2\E2/20201118_Cefas_Test6-Run3/Plate 4/@17/E8_02.tif "/>
    <s v=" 55848.3879 "/>
    <s v=" 41.0627 "/>
    <x v="0"/>
    <n v="2293288"/>
    <m/>
    <m/>
    <m/>
  </r>
  <r>
    <x v="15"/>
    <x v="4"/>
    <s v="C:\Users\andre\Desktop\REACTIV CEFAS\E2\E2/20201118_Cefas_Test6-Run3/Plate 4/@17/E8_03.tif "/>
    <s v=" 57643.6692 "/>
    <s v=" 40.839 "/>
    <x v="0"/>
    <n v="2354111"/>
    <m/>
    <m/>
    <m/>
  </r>
  <r>
    <x v="15"/>
    <x v="5"/>
    <s v="C:\Users\andre\Desktop\REACTIV CEFAS\E2\E2/20201118_Cefas_Test6-Run3/Plate 4/@17/F8_01- exclu.tif"/>
    <m/>
    <m/>
    <x v="1"/>
    <m/>
    <m/>
    <m/>
    <m/>
  </r>
  <r>
    <x v="15"/>
    <x v="5"/>
    <s v="C:\Users\andre\Desktop\REACTIV CEFAS\E2\E2/20201118_Cefas_Test6-Run3/Plate 4/@17/F8_02- exclu.tif"/>
    <m/>
    <m/>
    <x v="1"/>
    <m/>
    <m/>
    <m/>
    <m/>
  </r>
  <r>
    <x v="15"/>
    <x v="5"/>
    <s v="C:\Users\andre\Desktop\REACTIV CEFAS\E2\E2/20201118_Cefas_Test6-Run3/Plate 4/@17/F8_03- exclu.tif"/>
    <m/>
    <m/>
    <x v="1"/>
    <m/>
    <m/>
    <m/>
    <m/>
  </r>
  <r>
    <x v="15"/>
    <x v="6"/>
    <s v="C:\Users\andre\Desktop\REACTIV CEFAS\E2\E2/20201118_Cefas_Test6-Run3/Plate 4/@17/G8_01.tif "/>
    <s v=" 46547.5332 "/>
    <s v=" 37.6798 "/>
    <x v="0"/>
    <n v="1753903"/>
    <m/>
    <m/>
    <m/>
  </r>
  <r>
    <x v="15"/>
    <x v="6"/>
    <s v="C:\Users\andre\Desktop\REACTIV CEFAS\E2\E2/20201118_Cefas_Test6-Run3/Plate 4/@17/G8_02.tif "/>
    <s v=" 36705.9312 "/>
    <s v=" 35.4873 "/>
    <x v="0"/>
    <n v="1302596"/>
    <m/>
    <m/>
    <m/>
  </r>
  <r>
    <x v="15"/>
    <x v="6"/>
    <s v="C:\Users\andre\Desktop\REACTIV CEFAS\E2\E2/20201118_Cefas_Test6-Run3/Plate 4/@17/G8_03.tif "/>
    <s v=" 49078.2309 "/>
    <s v=" 39.1252 "/>
    <x v="0"/>
    <n v="1920194"/>
    <m/>
    <m/>
    <m/>
  </r>
  <r>
    <x v="15"/>
    <x v="7"/>
    <s v="C:\Users\andre\Desktop\REACTIV CEFAS\E2\E2/20201118_Cefas_Test6-Run3/Plate 4/@17/H8_01.tif "/>
    <s v=" 71811.2502 "/>
    <s v=" 38.816 "/>
    <x v="0"/>
    <n v="2787423"/>
    <m/>
    <m/>
    <m/>
  </r>
  <r>
    <x v="15"/>
    <x v="7"/>
    <s v="C:\Users\andre\Desktop\REACTIV CEFAS\E2\E2/20201118_Cefas_Test6-Run3/Plate 4/@17/H8_02.tif "/>
    <s v=" 75747.891 "/>
    <s v=" 39.2544 "/>
    <x v="0"/>
    <n v="2973440"/>
    <m/>
    <m/>
    <m/>
  </r>
  <r>
    <x v="15"/>
    <x v="7"/>
    <s v="C:\Users\andre\Desktop\REACTIV CEFAS\E2\E2/20201118_Cefas_Test6-Run3/Plate 4/@17/H8_03.tif "/>
    <s v=" 73217.1933 "/>
    <s v=" 45.0845 "/>
    <x v="0"/>
    <n v="3300960"/>
    <m/>
    <m/>
    <m/>
  </r>
  <r>
    <x v="1"/>
    <x v="8"/>
    <s v=" "/>
    <m/>
    <m/>
    <x v="1"/>
    <m/>
    <m/>
    <m/>
    <m/>
  </r>
  <r>
    <x v="1"/>
    <x v="8"/>
    <s v="group "/>
    <s v=" "/>
    <s v=" mean of mean fluo "/>
    <x v="2"/>
    <s v=" mean of total fluo "/>
    <s v=" SD total fluo "/>
    <s v=" n fluorescent "/>
    <s v=" n total"/>
  </r>
  <r>
    <x v="15"/>
    <x v="9"/>
    <s v="C:\Users\andre\Desktop\REACTIV CEFAS\E2\E2/20201118_Cefas_Test6-Run3/Plate 4/@17/ "/>
    <s v=" "/>
    <s v=" 38.1664 "/>
    <x v="17"/>
    <s v=" 1816432.71 "/>
    <s v=" 672593.726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6"/>
    <x v="0"/>
    <s v="C:\Users\andre\Desktop\REACTIV CEFAS\E2\E2/20201118_Cefas_Test6-Run3/Plate 4/@18/A9_01.tif "/>
    <s v=" 73325.3428 "/>
    <s v=" 44.9383 "/>
    <x v="0"/>
    <n v="3295120"/>
    <m/>
    <m/>
    <m/>
  </r>
  <r>
    <x v="16"/>
    <x v="0"/>
    <s v="C:\Users\andre\Desktop\REACTIV CEFAS\E2\E2/20201118_Cefas_Test6-Run3/Plate 4/@18/A9_02.tif "/>
    <s v=" 75012.4746 "/>
    <s v=" 47.7191 "/>
    <x v="0"/>
    <n v="3579531"/>
    <m/>
    <m/>
    <m/>
  </r>
  <r>
    <x v="16"/>
    <x v="0"/>
    <s v="C:\Users\andre\Desktop\REACTIV CEFAS\E2\E2/20201118_Cefas_Test6-Run3/Plate 4/@18/A9_03.tif "/>
    <s v=" 73498.3819 "/>
    <s v=" 45.5433 "/>
    <x v="0"/>
    <n v="3347356"/>
    <m/>
    <m/>
    <m/>
  </r>
  <r>
    <x v="16"/>
    <x v="1"/>
    <s v="C:\Users\andre\Desktop\REACTIV CEFAS\E2\E2/20201118_Cefas_Test6-Run3/Plate 4/@18/B9_01.tif "/>
    <s v=" 71443.542 "/>
    <s v=" 50.3887 "/>
    <x v="0"/>
    <n v="3599950"/>
    <m/>
    <m/>
    <m/>
  </r>
  <r>
    <x v="16"/>
    <x v="1"/>
    <s v="C:\Users\andre\Desktop\REACTIV CEFAS\E2\E2/20201118_Cefas_Test6-Run3/Plate 4/@18/B9_02.tif "/>
    <s v=" 74406.8375 "/>
    <s v=" 54.7587 "/>
    <x v="0"/>
    <n v="4074423"/>
    <m/>
    <m/>
    <m/>
  </r>
  <r>
    <x v="16"/>
    <x v="1"/>
    <s v="C:\Users\andre\Desktop\REACTIV CEFAS\E2\E2/20201118_Cefas_Test6-Run3/Plate 4/@18/B9_03.tif "/>
    <s v=" 78538.1474 "/>
    <s v=" 54.6191 "/>
    <x v="0"/>
    <n v="4289684"/>
    <m/>
    <m/>
    <m/>
  </r>
  <r>
    <x v="16"/>
    <x v="2"/>
    <s v="C:\Users\andre\Desktop\REACTIV CEFAS\E2\E2/20201118_Cefas_Test6-Run3/Plate 4/@18/C9_01.tif "/>
    <s v=" 62012.9079 "/>
    <s v=" 42.3432 "/>
    <x v="0"/>
    <n v="2625826"/>
    <m/>
    <m/>
    <m/>
  </r>
  <r>
    <x v="16"/>
    <x v="2"/>
    <s v="C:\Users\andre\Desktop\REACTIV CEFAS\E2\E2/20201118_Cefas_Test6-Run3/Plate 4/@18/C9_02.tif "/>
    <s v=" 57859.9681 "/>
    <s v=" 42.8101 "/>
    <x v="0"/>
    <n v="2476991"/>
    <m/>
    <m/>
    <m/>
  </r>
  <r>
    <x v="16"/>
    <x v="2"/>
    <s v="C:\Users\andre\Desktop\REACTIV CEFAS\E2\E2/20201118_Cefas_Test6-Run3/Plate 4/@18/C9_03.tif "/>
    <s v=" 60239.2565 "/>
    <s v=" 45.3476 "/>
    <x v="0"/>
    <n v="2731704"/>
    <m/>
    <m/>
    <m/>
  </r>
  <r>
    <x v="16"/>
    <x v="3"/>
    <s v="C:\Users\andre\Desktop\REACTIV CEFAS\E2\E2/20201118_Cefas_Test6-Run3/Plate 4/@18/D9_01.tif "/>
    <s v=" 31363.3472 "/>
    <s v=" 41.0717 "/>
    <x v="0"/>
    <n v="1288147"/>
    <m/>
    <m/>
    <m/>
  </r>
  <r>
    <x v="16"/>
    <x v="3"/>
    <s v="C:\Users\andre\Desktop\REACTIV CEFAS\E2\E2/20201118_Cefas_Test6-Run3/Plate 4/@18/D9_02.tif "/>
    <s v=" 31536.3864 "/>
    <s v=" 40.0898 "/>
    <x v="0"/>
    <n v="1264289"/>
    <m/>
    <m/>
    <m/>
  </r>
  <r>
    <x v="16"/>
    <x v="3"/>
    <s v="C:\Users\andre\Desktop\REACTIV CEFAS\E2\E2/20201118_Cefas_Test6-Run3/Plate 4/@18/D9_03.tif "/>
    <s v=" 38436.3228 "/>
    <s v=" 44.3894 "/>
    <x v="0"/>
    <n v="1706166"/>
    <m/>
    <m/>
    <m/>
  </r>
  <r>
    <x v="16"/>
    <x v="4"/>
    <s v="C:\Users\andre\Desktop\REACTIV CEFAS\E2\E2/20201118_Cefas_Test6-Run3/Plate 4/@18/E9_01.tif "/>
    <s v=" 51457.5193 "/>
    <s v=" 46.9681 "/>
    <x v="0"/>
    <n v="2416860"/>
    <m/>
    <m/>
    <m/>
  </r>
  <r>
    <x v="16"/>
    <x v="4"/>
    <s v="C:\Users\andre\Desktop\REACTIV CEFAS\E2\E2/20201118_Cefas_Test6-Run3/Plate 4/@18/E9_02.tif "/>
    <s v=" 54377.5551 "/>
    <s v=" 45.9443 "/>
    <x v="0"/>
    <n v="2498339"/>
    <m/>
    <m/>
    <m/>
  </r>
  <r>
    <x v="16"/>
    <x v="4"/>
    <s v="C:\Users\andre\Desktop\REACTIV CEFAS\E2\E2/20201118_Cefas_Test6-Run3/Plate 4/@18/E9_03.tif "/>
    <s v=" 53642.1387 "/>
    <s v=" 48.4641 "/>
    <x v="0"/>
    <n v="2599719"/>
    <m/>
    <m/>
    <m/>
  </r>
  <r>
    <x v="16"/>
    <x v="5"/>
    <s v="C:\Users\andre\Desktop\REACTIV CEFAS\E2\E2/20201118_Cefas_Test6-Run3/Plate 4/@18/F9_01.tif "/>
    <s v=" 59849.9184 "/>
    <s v=" 39.8139 "/>
    <x v="0"/>
    <n v="2382857"/>
    <m/>
    <m/>
    <m/>
  </r>
  <r>
    <x v="16"/>
    <x v="5"/>
    <s v="C:\Users\andre\Desktop\REACTIV CEFAS\E2\E2/20201118_Cefas_Test6-Run3/Plate 4/@18/F9_02.tif "/>
    <s v=" 52885.0924 "/>
    <s v=" 39.816 "/>
    <x v="0"/>
    <n v="2105670"/>
    <m/>
    <m/>
    <m/>
  </r>
  <r>
    <x v="16"/>
    <x v="5"/>
    <s v="C:\Users\andre\Desktop\REACTIV CEFAS\E2\E2/20201118_Cefas_Test6-Run3/Plate 4/@18/F9_03.tif "/>
    <s v=" 49597.3484 "/>
    <s v=" 42.3846 "/>
    <x v="0"/>
    <n v="2102166"/>
    <m/>
    <m/>
    <m/>
  </r>
  <r>
    <x v="16"/>
    <x v="6"/>
    <s v="C:\Users\andre\Desktop\REACTIV CEFAS\E2\E2/20201118_Cefas_Test6-Run3/Plate 4/@18/G9_01.tif "/>
    <s v=" 86324.9095 "/>
    <s v=" 45.6054 "/>
    <x v="0"/>
    <n v="3936879"/>
    <m/>
    <m/>
    <m/>
  </r>
  <r>
    <x v="16"/>
    <x v="6"/>
    <s v="C:\Users\andre\Desktop\REACTIV CEFAS\E2\E2/20201118_Cefas_Test6-Run3/Plate 4/@18/G9_02.tif "/>
    <s v=" 85113.6354 "/>
    <s v=" 45.722 "/>
    <x v="0"/>
    <n v="3891564"/>
    <m/>
    <m/>
    <m/>
  </r>
  <r>
    <x v="16"/>
    <x v="6"/>
    <s v="C:\Users\andre\Desktop\REACTIV CEFAS\E2\E2/20201118_Cefas_Test6-Run3/Plate 4/@18/G9_03.tif "/>
    <s v=" 87190.1052 "/>
    <s v=" 46.6383 "/>
    <x v="0"/>
    <n v="4066399"/>
    <m/>
    <m/>
    <m/>
  </r>
  <r>
    <x v="16"/>
    <x v="7"/>
    <s v="C:\Users\andre\Desktop\REACTIV CEFAS\E2\E2/20201118_Cefas_Test6-Run3/Plate 4/@18/H9_01.tif "/>
    <s v=" 69453.5917 "/>
    <s v=" 45.9411 "/>
    <x v="0"/>
    <n v="3190777"/>
    <m/>
    <m/>
    <m/>
  </r>
  <r>
    <x v="16"/>
    <x v="7"/>
    <s v="C:\Users\andre\Desktop\REACTIV CEFAS\E2\E2/20201118_Cefas_Test6-Run3/Plate 4/@18/H9_02.tif "/>
    <s v=" 69648.2607 "/>
    <s v=" 46.9739 "/>
    <x v="0"/>
    <n v="3271651"/>
    <m/>
    <m/>
    <m/>
  </r>
  <r>
    <x v="16"/>
    <x v="7"/>
    <s v="C:\Users\andre\Desktop\REACTIV CEFAS\E2\E2/20201118_Cefas_Test6-Run3/Plate 4/@18/H9_03.tif "/>
    <s v=" 66555.1858 "/>
    <s v=" 45.0504 "/>
    <x v="0"/>
    <n v="2998336"/>
    <m/>
    <m/>
    <m/>
  </r>
  <r>
    <x v="1"/>
    <x v="8"/>
    <s v=" "/>
    <m/>
    <m/>
    <x v="1"/>
    <m/>
    <m/>
    <m/>
    <m/>
  </r>
  <r>
    <x v="1"/>
    <x v="8"/>
    <s v="group "/>
    <s v=" "/>
    <s v=" mean of mean fluo "/>
    <x v="2"/>
    <s v=" mean of total fluo "/>
    <s v=" SD total fluo "/>
    <s v=" n fluorescent "/>
    <s v=" n total"/>
  </r>
  <r>
    <x v="16"/>
    <x v="9"/>
    <s v="C:\Users\andre\Desktop\REACTIV CEFAS\E2\E2/20201118_Cefas_Test6-Run3/Plate 4/@18/ "/>
    <s v=" "/>
    <s v=" 45.5559 "/>
    <x v="18"/>
    <s v=" 2905850.17 "/>
    <s v=" 866525.072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7"/>
    <x v="0"/>
    <s v="C:\Users\andre\Desktop\REACTIV CEFAS\E2\E2/20201118_Cefas_Test6-Run3/Plate 4/@19/A10_01.tif "/>
    <s v=" 88682.568 "/>
    <s v=" 48.4415 "/>
    <x v="0"/>
    <n v="4295913"/>
    <m/>
    <m/>
    <m/>
  </r>
  <r>
    <x v="17"/>
    <x v="0"/>
    <s v="C:\Users\andre\Desktop\REACTIV CEFAS\E2\E2/20201118_Cefas_Test6-Run3/Plate 4/@19/A10_02.tif "/>
    <s v=" 89028.6463 "/>
    <s v=" 47.2505 "/>
    <x v="0"/>
    <n v="4206647"/>
    <m/>
    <m/>
    <m/>
  </r>
  <r>
    <x v="17"/>
    <x v="0"/>
    <s v="C:\Users\andre\Desktop\REACTIV CEFAS\E2\E2/20201118_Cefas_Test6-Run3/Plate 4/@19/A10_03.tif "/>
    <s v=" 82864.1263 "/>
    <s v=" 44.7486 "/>
    <x v="0"/>
    <n v="3708056"/>
    <m/>
    <m/>
    <m/>
  </r>
  <r>
    <x v="17"/>
    <x v="1"/>
    <s v="C:\Users\andre\Desktop\REACTIV CEFAS\E2\E2/20201118_Cefas_Test6-Run3/Plate 4/@19/B10_01.tif "/>
    <s v=" 66014.4384 "/>
    <s v=" 47.598 "/>
    <x v="0"/>
    <n v="3142153"/>
    <m/>
    <m/>
    <m/>
  </r>
  <r>
    <x v="17"/>
    <x v="1"/>
    <s v="C:\Users\andre\Desktop\REACTIV CEFAS\E2\E2/20201118_Cefas_Test6-Run3/Plate 4/@19/B10_02.tif "/>
    <s v=" 58357.4557 "/>
    <s v=" 47.3684 "/>
    <x v="0"/>
    <n v="2764301"/>
    <m/>
    <m/>
    <m/>
  </r>
  <r>
    <x v="17"/>
    <x v="1"/>
    <s v="C:\Users\andre\Desktop\REACTIV CEFAS\E2\E2/20201118_Cefas_Test6-Run3/Plate 4/@19/B10_03.tif "/>
    <s v=" 61082.8224 "/>
    <s v=" 47.3017 "/>
    <x v="0"/>
    <n v="2889321"/>
    <m/>
    <m/>
    <m/>
  </r>
  <r>
    <x v="17"/>
    <x v="2"/>
    <s v="C:\Users\andre\Desktop\REACTIV CEFAS\E2\E2/20201118_Cefas_Test6-Run3/Plate 4/@19/C10_01.tif "/>
    <s v=" 28140.4929 "/>
    <s v=" 39.5488 "/>
    <x v="0"/>
    <n v="1112923"/>
    <m/>
    <m/>
    <m/>
  </r>
  <r>
    <x v="17"/>
    <x v="2"/>
    <s v="C:\Users\andre\Desktop\REACTIV CEFAS\E2\E2/20201118_Cefas_Test6-Run3/Plate 4/@19/C10_02.tif "/>
    <s v=" 36100.2941 "/>
    <s v=" 43.2007 "/>
    <x v="0"/>
    <n v="1559559"/>
    <m/>
    <m/>
    <m/>
  </r>
  <r>
    <x v="17"/>
    <x v="2"/>
    <s v="C:\Users\andre\Desktop\REACTIV CEFAS\E2\E2/20201118_Cefas_Test6-Run3/Plate 4/@19/C10_03.tif "/>
    <s v=" 34542.9417 "/>
    <s v=" 39.3106 "/>
    <x v="0"/>
    <n v="1357903"/>
    <m/>
    <m/>
    <m/>
  </r>
  <r>
    <x v="17"/>
    <x v="3"/>
    <s v="C:\Users\andre\Desktop\REACTIV CEFAS\E2\E2/20201118_Cefas_Test6-Run3/Plate 4/@19/D10_01.tif "/>
    <s v=" 65841.3993 "/>
    <s v=" 49.298 "/>
    <x v="0"/>
    <n v="3245847"/>
    <m/>
    <m/>
    <m/>
  </r>
  <r>
    <x v="17"/>
    <x v="3"/>
    <s v="C:\Users\andre\Desktop\REACTIV CEFAS\E2\E2/20201118_Cefas_Test6-Run3/Plate 4/@19/D10_02- exclu.tif"/>
    <m/>
    <m/>
    <x v="1"/>
    <m/>
    <m/>
    <m/>
    <m/>
  </r>
  <r>
    <x v="17"/>
    <x v="3"/>
    <s v="C:\Users\andre\Desktop\REACTIV CEFAS\E2\E2/20201118_Cefas_Test6-Run3/Plate 4/@19/D10_03- exclu.tif"/>
    <m/>
    <m/>
    <x v="1"/>
    <m/>
    <m/>
    <m/>
    <m/>
  </r>
  <r>
    <x v="17"/>
    <x v="4"/>
    <s v="C:\Users\andre\Desktop\REACTIV CEFAS\E2\E2/20201118_Cefas_Test6-Run3/Plate 4/@19/E10_01.tif "/>
    <s v=" 79014.0051 "/>
    <s v=" 50.7408 "/>
    <x v="0"/>
    <n v="4009231"/>
    <m/>
    <m/>
    <m/>
  </r>
  <r>
    <x v="17"/>
    <x v="4"/>
    <s v="C:\Users\andre\Desktop\REACTIV CEFAS\E2\E2/20201118_Cefas_Test6-Run3/Plate 4/@19/E10_02.tif "/>
    <s v=" 82171.9697 "/>
    <s v=" 54.1374 "/>
    <x v="0"/>
    <n v="4448577"/>
    <m/>
    <m/>
    <m/>
  </r>
  <r>
    <x v="17"/>
    <x v="4"/>
    <s v="C:\Users\andre\Desktop\REACTIV CEFAS\E2\E2/20201118_Cefas_Test6-Run3/Plate 4/@19/E10_03.tif "/>
    <s v=" 77997.4 "/>
    <s v=" 51.0915 "/>
    <x v="0"/>
    <n v="3985005"/>
    <m/>
    <m/>
    <m/>
  </r>
  <r>
    <x v="17"/>
    <x v="5"/>
    <s v="C:\Users\andre\Desktop\REACTIV CEFAS\E2\E2/20201118_Cefas_Test6-Run3/Plate 4/@19/F10_01- exclu.tif"/>
    <m/>
    <m/>
    <x v="1"/>
    <m/>
    <m/>
    <m/>
    <m/>
  </r>
  <r>
    <x v="17"/>
    <x v="5"/>
    <s v="C:\Users\andre\Desktop\REACTIV CEFAS\E2\E2/20201118_Cefas_Test6-Run3/Plate 4/@19/F10_02.tif "/>
    <s v=" 79187.0442 "/>
    <s v=" 50.2475 "/>
    <x v="0"/>
    <n v="3978949"/>
    <m/>
    <m/>
    <m/>
  </r>
  <r>
    <x v="17"/>
    <x v="5"/>
    <s v="C:\Users\andre\Desktop\REACTIV CEFAS\E2\E2/20201118_Cefas_Test6-Run3/Plate 4/@19/F10_03.tif "/>
    <s v=" 70297.1575 "/>
    <s v=" 58.0351 "/>
    <x v="0"/>
    <n v="4079701"/>
    <m/>
    <m/>
    <m/>
  </r>
  <r>
    <x v="17"/>
    <x v="6"/>
    <s v="C:\Users\andre\Desktop\REACTIV CEFAS\E2\E2/20201118_Cefas_Test6-Run3/Plate 4/@19/G10_01.tif "/>
    <s v=" 28313.5321 "/>
    <s v=" 34.9664 "/>
    <x v="0"/>
    <n v="990022"/>
    <m/>
    <m/>
    <m/>
  </r>
  <r>
    <x v="17"/>
    <x v="6"/>
    <s v="C:\Users\andre\Desktop\REACTIV CEFAS\E2\E2/20201118_Cefas_Test6-Run3/Plate 4/@19/G10_02.tif "/>
    <s v=" 38284.9135 "/>
    <s v=" 37.7017 "/>
    <x v="0"/>
    <n v="1443406"/>
    <m/>
    <m/>
    <m/>
  </r>
  <r>
    <x v="17"/>
    <x v="6"/>
    <s v="C:\Users\andre\Desktop\REACTIV CEFAS\E2\E2/20201118_Cefas_Test6-Run3/Plate 4/@19/G10_03.tif "/>
    <s v=" 32617.8811 "/>
    <s v=" 35.9562 "/>
    <x v="0"/>
    <n v="1172816"/>
    <m/>
    <m/>
    <m/>
  </r>
  <r>
    <x v="17"/>
    <x v="7"/>
    <s v="C:\Users\andre\Desktop\REACTIV CEFAS\E2\E2/20201118_Cefas_Test6-Run3/Plate 4/@19/H10_01.tif "/>
    <s v=" 75207.1436 "/>
    <s v=" 48.4783 "/>
    <x v="0"/>
    <n v="3645913"/>
    <m/>
    <m/>
    <m/>
  </r>
  <r>
    <x v="17"/>
    <x v="7"/>
    <s v="C:\Users\andre\Desktop\REACTIV CEFAS\E2\E2/20201118_Cefas_Test6-Run3/Plate 4/@19/H10_02.tif "/>
    <s v=" 69064.2535 "/>
    <s v=" 50.1625 "/>
    <x v="0"/>
    <n v="3464439"/>
    <m/>
    <m/>
    <m/>
  </r>
  <r>
    <x v="17"/>
    <x v="7"/>
    <s v="C:\Users\andre\Desktop\REACTIV CEFAS\E2\E2/20201118_Cefas_Test6-Run3/Plate 4/@19/H10_03.tif "/>
    <s v=" 80225.2792 "/>
    <s v=" 48.7646 "/>
    <x v="0"/>
    <n v="3912156"/>
    <m/>
    <m/>
    <m/>
  </r>
  <r>
    <x v="1"/>
    <x v="8"/>
    <s v=" "/>
    <m/>
    <m/>
    <x v="1"/>
    <m/>
    <m/>
    <m/>
    <m/>
  </r>
  <r>
    <x v="1"/>
    <x v="8"/>
    <s v="group "/>
    <s v=" "/>
    <s v=" mean of mean fluo "/>
    <x v="2"/>
    <s v=" mean of total fluo "/>
    <s v=" SD total fluo "/>
    <s v=" n fluorescent "/>
    <s v=" n total"/>
  </r>
  <r>
    <x v="17"/>
    <x v="9"/>
    <s v="C:\Users\andre\Desktop\REACTIV CEFAS\E2\E2/20201118_Cefas_Test6-Run3/Plate 4/@19/ "/>
    <s v=" "/>
    <s v=" 47.1811 "/>
    <x v="19"/>
    <s v=" 2972673.92 "/>
    <s v=" 1175581.31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8"/>
    <x v="0"/>
    <s v="C:\Users\andre\Desktop\REACTIV CEFAS\E2\E2/20201118_Cefas_Test6-Run3/Plate 4/@20/A11_01.tif "/>
    <s v=" 57665.2991 "/>
    <s v=" 56.0371 "/>
    <x v="0"/>
    <n v="3231398"/>
    <m/>
    <m/>
    <m/>
  </r>
  <r>
    <x v="18"/>
    <x v="0"/>
    <s v="C:\Users\andre\Desktop\REACTIV CEFAS\E2\E2/20201118_Cefas_Test6-Run3/Plate 4/@20/A11_02.tif "/>
    <s v=" 61493.7904 "/>
    <s v=" 56.4763 "/>
    <x v="0"/>
    <n v="3472939"/>
    <m/>
    <m/>
    <m/>
  </r>
  <r>
    <x v="18"/>
    <x v="0"/>
    <s v="C:\Users\andre\Desktop\REACTIV CEFAS\E2\E2/20201118_Cefas_Test6-Run3/Plate 4/@20/A11_03.tif "/>
    <s v=" 57016.4022 "/>
    <s v=" 51.4814 "/>
    <x v="0"/>
    <n v="2935285"/>
    <m/>
    <m/>
    <m/>
  </r>
  <r>
    <x v="18"/>
    <x v="1"/>
    <s v="C:\Users\andre\Desktop\REACTIV CEFAS\E2\E2/20201118_Cefas_Test6-Run3/Plate 4/@20/B11_01.tif "/>
    <s v=" 56735.2136 "/>
    <s v=" 51.8437 "/>
    <x v="0"/>
    <n v="2941363"/>
    <m/>
    <m/>
    <m/>
  </r>
  <r>
    <x v="18"/>
    <x v="1"/>
    <s v="C:\Users\andre\Desktop\REACTIV CEFAS\E2\E2/20201118_Cefas_Test6-Run3/Plate 4/@20/B11_02.tif "/>
    <s v=" 62834.8439 "/>
    <s v=" 50.116 "/>
    <x v="0"/>
    <n v="3149031"/>
    <m/>
    <m/>
    <m/>
  </r>
  <r>
    <x v="18"/>
    <x v="1"/>
    <s v="C:\Users\andre\Desktop\REACTIV CEFAS\E2\E2/20201118_Cefas_Test6-Run3/Plate 4/@20/B11_03.tif "/>
    <s v=" 56973.1425 "/>
    <s v=" 55.1382 "/>
    <x v="0"/>
    <n v="3141396"/>
    <m/>
    <m/>
    <m/>
  </r>
  <r>
    <x v="18"/>
    <x v="2"/>
    <s v="C:\Users\andre\Desktop\REACTIV CEFAS\E2\E2/20201118_Cefas_Test6-Run3/Plate 4/@20/C11_01.tif "/>
    <s v=" 83058.7954 "/>
    <s v=" 53.6081 "/>
    <x v="0"/>
    <n v="4452622"/>
    <m/>
    <m/>
    <m/>
  </r>
  <r>
    <x v="18"/>
    <x v="2"/>
    <s v="C:\Users\andre\Desktop\REACTIV CEFAS\E2\E2/20201118_Cefas_Test6-Run3/Plate 4/@20/C11_02.tif "/>
    <s v=" 82647.8274 "/>
    <s v=" 51.0775 "/>
    <x v="0"/>
    <n v="4221442"/>
    <m/>
    <m/>
    <m/>
  </r>
  <r>
    <x v="18"/>
    <x v="2"/>
    <s v="C:\Users\andre\Desktop\REACTIV CEFAS\E2\E2/20201118_Cefas_Test6-Run3/Plate 4/@20/C11_03.tif "/>
    <s v=" 84897.3364 "/>
    <s v=" 51.4132 "/>
    <x v="0"/>
    <n v="4364848"/>
    <m/>
    <m/>
    <m/>
  </r>
  <r>
    <x v="18"/>
    <x v="3"/>
    <s v="C:\Users\andre\Desktop\REACTIV CEFAS\E2\E2/20201118_Cefas_Test6-Run3/Plate 4/@20/D11_01.tif "/>
    <s v=" 61234.2317 "/>
    <s v=" 45.3741 "/>
    <x v="0"/>
    <n v="2778446"/>
    <m/>
    <m/>
    <m/>
  </r>
  <r>
    <x v="18"/>
    <x v="3"/>
    <s v="C:\Users\andre\Desktop\REACTIV CEFAS\E2\E2/20201118_Cefas_Test6-Run3/Plate 4/@20/D11_02.tif "/>
    <s v=" 61299.1214 "/>
    <s v=" 45.0907 "/>
    <x v="0"/>
    <n v="2764019"/>
    <m/>
    <m/>
    <m/>
  </r>
  <r>
    <x v="18"/>
    <x v="3"/>
    <s v="C:\Users\andre\Desktop\REACTIV CEFAS\E2\E2/20201118_Cefas_Test6-Run3/Plate 4/@20/D11_03.tif "/>
    <s v=" 69799.67 "/>
    <s v=" 51.0394 "/>
    <x v="0"/>
    <n v="3562530"/>
    <m/>
    <m/>
    <m/>
  </r>
  <r>
    <x v="18"/>
    <x v="4"/>
    <s v="C:\Users\andre\Desktop\REACTIV CEFAS\E2\E2/20201118_Cefas_Test6-Run3/Plate 4/@20/E11_01.tif "/>
    <s v=" 81479.8131 "/>
    <s v=" 52.2158 "/>
    <x v="0"/>
    <n v="4254535"/>
    <m/>
    <m/>
    <m/>
  </r>
  <r>
    <x v="18"/>
    <x v="4"/>
    <s v="C:\Users\andre\Desktop\REACTIV CEFAS\E2\E2/20201118_Cefas_Test6-Run3/Plate 4/@20/E11_02.tif "/>
    <s v=" 82366.6387 "/>
    <s v=" 51.8193 "/>
    <x v="0"/>
    <n v="4268184"/>
    <m/>
    <m/>
    <m/>
  </r>
  <r>
    <x v="18"/>
    <x v="4"/>
    <s v="C:\Users\andre\Desktop\REACTIV CEFAS\E2\E2/20201118_Cefas_Test6-Run3/Plate 4/@20/E11_03.tif "/>
    <s v=" 81587.9625 "/>
    <s v=" 49.267 "/>
    <x v="0"/>
    <n v="4019591"/>
    <m/>
    <m/>
    <m/>
  </r>
  <r>
    <x v="18"/>
    <x v="5"/>
    <s v="C:\Users\andre\Desktop\REACTIV CEFAS\E2\E2/20201118_Cefas_Test6-Run3/Plate 4/@20/F11_01.tif "/>
    <s v=" 34326.6428 "/>
    <s v=" 36.9282 "/>
    <x v="0"/>
    <n v="1267620"/>
    <m/>
    <m/>
    <m/>
  </r>
  <r>
    <x v="18"/>
    <x v="5"/>
    <s v="C:\Users\andre\Desktop\REACTIV CEFAS\E2\E2/20201118_Cefas_Test6-Run3/Plate 4/@20/F11_02.tif "/>
    <s v=" 38284.9135 "/>
    <s v=" 37.4282 "/>
    <x v="0"/>
    <n v="1432937"/>
    <m/>
    <m/>
    <m/>
  </r>
  <r>
    <x v="18"/>
    <x v="5"/>
    <s v="C:\Users\andre\Desktop\REACTIV CEFAS\E2\E2/20201118_Cefas_Test6-Run3/Plate 4/@20/F11_03.tif "/>
    <s v=" 35819.1055 "/>
    <s v=" 37.1377 "/>
    <x v="0"/>
    <n v="1330239"/>
    <m/>
    <m/>
    <m/>
  </r>
  <r>
    <x v="18"/>
    <x v="6"/>
    <s v="C:\Users\andre\Desktop\REACTIV CEFAS\E2\E2/20201118_Cefas_Test6-Run3/Plate 4/@20/G11_01.tif "/>
    <s v=" 84053.7705 "/>
    <s v=" 55.3991 "/>
    <x v="0"/>
    <n v="4656505"/>
    <m/>
    <m/>
    <m/>
  </r>
  <r>
    <x v="18"/>
    <x v="6"/>
    <s v="C:\Users\andre\Desktop\REACTIV CEFAS\E2\E2/20201118_Cefas_Test6-Run3/Plate 4/@20/G11_02.tif "/>
    <s v=" 83123.6851 "/>
    <s v=" 58.4879 "/>
    <x v="0"/>
    <n v="4861730"/>
    <m/>
    <m/>
    <m/>
  </r>
  <r>
    <x v="18"/>
    <x v="6"/>
    <s v="C:\Users\andre\Desktop\REACTIV CEFAS\E2\E2/20201118_Cefas_Test6-Run3/Plate 4/@20/G11_03.tif "/>
    <s v=" 72676.446 "/>
    <s v=" 55.261 "/>
    <x v="0"/>
    <n v="4016174"/>
    <m/>
    <m/>
    <m/>
  </r>
  <r>
    <x v="18"/>
    <x v="7"/>
    <s v="C:\Users\andre\Desktop\REACTIV CEFAS\E2\E2/20201118_Cefas_Test6-Run3/Plate 4/@20/H11_01.tif "/>
    <s v=" 80333.4287 "/>
    <s v=" 50.3277 "/>
    <x v="0"/>
    <n v="4042995"/>
    <m/>
    <m/>
    <m/>
  </r>
  <r>
    <x v="18"/>
    <x v="7"/>
    <s v="C:\Users\andre\Desktop\REACTIV CEFAS\E2\E2/20201118_Cefas_Test6-Run3/Plate 4/@20/H11_02.tif "/>
    <s v=" 78970.7453 "/>
    <s v=" 53.5029 "/>
    <x v="0"/>
    <n v="4225162"/>
    <m/>
    <m/>
    <m/>
  </r>
  <r>
    <x v="18"/>
    <x v="7"/>
    <s v="C:\Users\andre\Desktop\REACTIV CEFAS\E2\E2/20201118_Cefas_Test6-Run3/Plate 4/@20/H11_03.tif "/>
    <s v=" 82582.9377 "/>
    <s v=" 53.8049 "/>
    <x v="0"/>
    <n v="4443364"/>
    <m/>
    <m/>
    <m/>
  </r>
  <r>
    <x v="1"/>
    <x v="8"/>
    <s v=" "/>
    <m/>
    <m/>
    <x v="1"/>
    <m/>
    <m/>
    <m/>
    <m/>
  </r>
  <r>
    <x v="1"/>
    <x v="8"/>
    <s v="group "/>
    <s v=" "/>
    <s v=" mean of mean fluo "/>
    <x v="2"/>
    <s v=" mean of total fluo "/>
    <s v=" SD total fluo "/>
    <s v=" n fluorescent "/>
    <s v=" n total"/>
  </r>
  <r>
    <x v="18"/>
    <x v="9"/>
    <s v="C:\Users\andre\Desktop\REACTIV CEFAS\E2\E2/20201118_Cefas_Test6-Run3/Plate 4/@20/ "/>
    <s v=" "/>
    <s v=" 50.4281 "/>
    <x v="20"/>
    <s v=" 3493098.12 "/>
    <s v=" 1037536.01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9"/>
    <x v="0"/>
    <s v="C:\Users\andre\Desktop\REACTIV CEFAS\E2\E2/20201118_Cefas_Test6-Run3/Plate 4/@21/A12_01.tif "/>
    <s v=" 61277.4915 "/>
    <s v=" 58.0205 "/>
    <x v="0"/>
    <n v="3555349"/>
    <m/>
    <m/>
    <m/>
  </r>
  <r>
    <x v="19"/>
    <x v="0"/>
    <s v="C:\Users\andre\Desktop\REACTIV CEFAS\E2\E2/20201118_Cefas_Test6-Run3/Plate 4/@21/A12_02.tif "/>
    <s v=" 54269.4056 "/>
    <s v=" 63.9183 "/>
    <x v="0"/>
    <n v="3468808"/>
    <m/>
    <m/>
    <m/>
  </r>
  <r>
    <x v="19"/>
    <x v="0"/>
    <s v="C:\Users\andre\Desktop\REACTIV CEFAS\E2\E2/20201118_Cefas_Test6-Run3/Plate 4/@21/A12_03.tif "/>
    <s v=" 56670.3239 "/>
    <s v=" 61.3195 "/>
    <x v="0"/>
    <n v="3474994"/>
    <m/>
    <m/>
    <m/>
  </r>
  <r>
    <x v="19"/>
    <x v="1"/>
    <s v="C:\Users\andre\Desktop\REACTIV CEFAS\E2\E2/20201118_Cefas_Test6-Run3/Plate 4/@21/B12_01.tif "/>
    <s v=" 55805.1281 "/>
    <s v=" 40.9089 "/>
    <x v="0"/>
    <n v="2282927"/>
    <m/>
    <m/>
    <m/>
  </r>
  <r>
    <x v="19"/>
    <x v="1"/>
    <s v="C:\Users\andre\Desktop\REACTIV CEFAS\E2\E2/20201118_Cefas_Test6-Run3/Plate 4/@21/B12_02.tif "/>
    <s v=" 55848.3879 "/>
    <s v=" 50.5449 "/>
    <x v="0"/>
    <n v="2822853"/>
    <m/>
    <m/>
    <m/>
  </r>
  <r>
    <x v="19"/>
    <x v="1"/>
    <s v="C:\Users\andre\Desktop\REACTIV CEFAS\E2\E2/20201118_Cefas_Test6-Run3/Plate 4/@21/B12_03.tif "/>
    <s v=" 52517.3842 "/>
    <s v=" 45.6808 "/>
    <x v="0"/>
    <n v="2399037"/>
    <m/>
    <m/>
    <m/>
  </r>
  <r>
    <x v="19"/>
    <x v="2"/>
    <s v="C:\Users\andre\Desktop\REACTIV CEFAS\E2\E2/20201118_Cefas_Test6-Run3/Plate 4/@21/C12_01.tif "/>
    <s v=" 58011.3774 "/>
    <s v=" 58.9691 "/>
    <x v="0"/>
    <n v="3420876"/>
    <m/>
    <m/>
    <m/>
  </r>
  <r>
    <x v="19"/>
    <x v="2"/>
    <s v="C:\Users\andre\Desktop\REACTIV CEFAS\E2\E2/20201118_Cefas_Test6-Run3/Plate 4/@21/C12_02.tif "/>
    <s v=" 71767.9904 "/>
    <s v=" 52.456 "/>
    <x v="0"/>
    <n v="3764662"/>
    <m/>
    <m/>
    <m/>
  </r>
  <r>
    <x v="19"/>
    <x v="2"/>
    <s v="C:\Users\andre\Desktop\REACTIV CEFAS\E2\E2/20201118_Cefas_Test6-Run3/Plate 4/@21/C12_03.tif "/>
    <s v=" 55329.2705 "/>
    <s v=" 61.3026 "/>
    <x v="0"/>
    <n v="3391827"/>
    <m/>
    <m/>
    <m/>
  </r>
  <r>
    <x v="19"/>
    <x v="3"/>
    <s v="C:\Users\andre\Desktop\REACTIV CEFAS\E2\E2/20201118_Cefas_Test6-Run3/Plate 4/@21/D12_01.tif "/>
    <s v=" 91321.4151 "/>
    <s v=" 47.3614 "/>
    <x v="0"/>
    <n v="4325114"/>
    <m/>
    <m/>
    <m/>
  </r>
  <r>
    <x v="19"/>
    <x v="3"/>
    <s v="C:\Users\andre\Desktop\REACTIV CEFAS\E2\E2/20201118_Cefas_Test6-Run3/Plate 4/@21/D12_02.tif "/>
    <s v=" 83166.9448 "/>
    <s v=" 52.7664 "/>
    <x v="0"/>
    <n v="4388424"/>
    <m/>
    <m/>
    <m/>
  </r>
  <r>
    <x v="19"/>
    <x v="3"/>
    <s v="C:\Users\andre\Desktop\REACTIV CEFAS\E2\E2/20201118_Cefas_Test6-Run3/Plate 4/@21/D12_03.tif "/>
    <s v=" 86973.8063 "/>
    <s v=" 57.2328 "/>
    <x v="0"/>
    <n v="4977753"/>
    <m/>
    <m/>
    <m/>
  </r>
  <r>
    <x v="19"/>
    <x v="4"/>
    <s v="C:\Users\andre\Desktop\REACTIV CEFAS\E2\E2/20201118_Cefas_Test6-Run3/Plate 4/@21/E12_01.tif "/>
    <s v=" 64435.4561 "/>
    <s v=" 52.8506 "/>
    <x v="0"/>
    <n v="3405454"/>
    <m/>
    <m/>
    <m/>
  </r>
  <r>
    <x v="19"/>
    <x v="4"/>
    <s v="C:\Users\andre\Desktop\REACTIV CEFAS\E2\E2/20201118_Cefas_Test6-Run3/Plate 4/@21/E12_02.tif "/>
    <s v=" 68545.1361 "/>
    <s v=" 53.5021 "/>
    <x v="0"/>
    <n v="3667305"/>
    <m/>
    <m/>
    <m/>
  </r>
  <r>
    <x v="19"/>
    <x v="4"/>
    <s v="C:\Users\andre\Desktop\REACTIV CEFAS\E2\E2/20201118_Cefas_Test6-Run3/Plate 4/@21/E12_03.tif "/>
    <s v=" 68696.5453 "/>
    <s v=" 55.2415 "/>
    <x v="0"/>
    <n v="3794900"/>
    <m/>
    <m/>
    <m/>
  </r>
  <r>
    <x v="19"/>
    <x v="5"/>
    <s v="C:\Users\andre\Desktop\REACTIV CEFAS\E2\E2/20201118_Cefas_Test6-Run3/Plate 4/@21/F12_01.tif "/>
    <s v=" 54939.9324 "/>
    <s v=" 52.5854 "/>
    <x v="0"/>
    <n v="2889040"/>
    <m/>
    <m/>
    <m/>
  </r>
  <r>
    <x v="19"/>
    <x v="5"/>
    <s v="C:\Users\andre\Desktop\REACTIV CEFAS\E2\E2/20201118_Cefas_Test6-Run3/Plate 4/@21/F12_02.tif "/>
    <s v=" 67961.1289 "/>
    <s v=" 52.1346 "/>
    <x v="0"/>
    <n v="3543128"/>
    <m/>
    <m/>
    <m/>
  </r>
  <r>
    <x v="19"/>
    <x v="5"/>
    <s v="C:\Users\andre\Desktop\REACTIV CEFAS\E2\E2/20201118_Cefas_Test6-Run3/Plate 4/@21/F12_03.tif "/>
    <s v=" 69799.67 "/>
    <s v=" 56.489 "/>
    <x v="0"/>
    <n v="3942913"/>
    <m/>
    <m/>
    <m/>
  </r>
  <r>
    <x v="19"/>
    <x v="6"/>
    <s v="C:\Users\andre\Desktop\REACTIV CEFAS\E2\E2/20201118_Cefas_Test6-Run3/Plate 4/@21/G12_01.tif "/>
    <s v=" 57189.4414 "/>
    <s v=" 48.8491 "/>
    <x v="0"/>
    <n v="2793652"/>
    <m/>
    <m/>
    <m/>
  </r>
  <r>
    <x v="19"/>
    <x v="6"/>
    <s v="C:\Users\andre\Desktop\REACTIV CEFAS\E2\E2/20201118_Cefas_Test6-Run3/Plate 4/@21/G12_02.tif "/>
    <s v=" 56864.993 "/>
    <s v=" 45.7927 "/>
    <x v="0"/>
    <n v="2604001"/>
    <m/>
    <m/>
    <m/>
  </r>
  <r>
    <x v="19"/>
    <x v="6"/>
    <s v="C:\Users\andre\Desktop\REACTIV CEFAS\E2\E2/20201118_Cefas_Test6-Run3/Plate 4/@21/G12_03.tif "/>
    <s v=" 59611.9896 "/>
    <s v=" 48.549 "/>
    <x v="0"/>
    <n v="2894102"/>
    <m/>
    <m/>
    <m/>
  </r>
  <r>
    <x v="19"/>
    <x v="7"/>
    <s v="C:\Users\andre\Desktop\REACTIV CEFAS\E2\E2/20201118_Cefas_Test6-Run3/Plate 4/@21/H12_01.tif "/>
    <s v=" 71659.8409 "/>
    <s v=" 60.1675 "/>
    <x v="0"/>
    <n v="4311595"/>
    <m/>
    <m/>
    <m/>
  </r>
  <r>
    <x v="19"/>
    <x v="7"/>
    <s v="C:\Users\andre\Desktop\REACTIV CEFAS\E2\E2/20201118_Cefas_Test6-Run3/Plate 4/@21/H12_02- exclu.tif"/>
    <m/>
    <m/>
    <x v="1"/>
    <m/>
    <m/>
    <m/>
    <m/>
  </r>
  <r>
    <x v="19"/>
    <x v="7"/>
    <s v="C:\Users\andre\Desktop\REACTIV CEFAS\E2\E2/20201118_Cefas_Test6-Run3/Plate 4/@21/H12_03.tif "/>
    <s v=" 75315.2931 "/>
    <s v=" 62.6289 "/>
    <x v="0"/>
    <n v="4716918"/>
    <m/>
    <m/>
    <m/>
  </r>
  <r>
    <x v="1"/>
    <x v="8"/>
    <s v=" "/>
    <m/>
    <m/>
    <x v="1"/>
    <m/>
    <m/>
    <m/>
    <m/>
  </r>
  <r>
    <x v="1"/>
    <x v="8"/>
    <s v="group "/>
    <s v=" "/>
    <s v=" mean of mean fluo "/>
    <x v="2"/>
    <s v=" mean of total fluo "/>
    <s v=" SD total fluo "/>
    <s v=" n fluorescent "/>
    <s v=" n total"/>
  </r>
  <r>
    <x v="19"/>
    <x v="9"/>
    <s v="C:\Users\andre\Desktop\REACTIV CEFAS\E2\E2/20201118_Cefas_Test6-Run3/Plate 4/@21/ "/>
    <s v=" "/>
    <s v=" 53.6924 "/>
    <x v="21"/>
    <s v=" 3590289.46 "/>
    <s v=" 795644.129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0"/>
    <x v="0"/>
    <s v="C:\Users\andre\Desktop\REACTIV CEFAS\E2\E2/20201118_Cefas_Test6-Run3/Plate 4/@8/A2_01.tif "/>
    <s v=" 4758.5768 "/>
    <s v=" 34.2136 "/>
    <x v="0"/>
    <n v="162808"/>
    <m/>
    <m/>
    <m/>
  </r>
  <r>
    <x v="20"/>
    <x v="0"/>
    <s v="C:\Users\andre\Desktop\REACTIV CEFAS\E2\E2/20201118_Cefas_Test6-Run3/Plate 4/@8/A2_02.tif "/>
    <s v=" 4217.8295 "/>
    <s v=" 34.3385 "/>
    <x v="0"/>
    <n v="144834"/>
    <m/>
    <m/>
    <m/>
  </r>
  <r>
    <x v="20"/>
    <x v="0"/>
    <s v="C:\Users\andre\Desktop\REACTIV CEFAS\E2\E2/20201118_Cefas_Test6-Run3/Plate 4/@8/A2_03.tif "/>
    <s v=" 7548.8332 "/>
    <s v=" 37.2808 "/>
    <x v="0"/>
    <n v="281427"/>
    <m/>
    <m/>
    <m/>
  </r>
  <r>
    <x v="20"/>
    <x v="1"/>
    <s v="C:\Users\andre\Desktop\REACTIV CEFAS\E2\E2/20201118_Cefas_Test6-Run3/Plate 4/@8/B2_01.tif "/>
    <s v=" 6121.2602 "/>
    <s v=" 34.5901 "/>
    <x v="0"/>
    <n v="211735"/>
    <m/>
    <m/>
    <m/>
  </r>
  <r>
    <x v="20"/>
    <x v="1"/>
    <s v="C:\Users\andre\Desktop\REACTIV CEFAS\E2\E2/20201118_Cefas_Test6-Run3/Plate 4/@8/B2_02.tif "/>
    <s v=" 8240.9899 "/>
    <s v=" 34.3333 "/>
    <x v="0"/>
    <n v="282941"/>
    <m/>
    <m/>
    <m/>
  </r>
  <r>
    <x v="20"/>
    <x v="1"/>
    <s v="C:\Users\andre\Desktop\REACTIV CEFAS\E2\E2/20201118_Cefas_Test6-Run3/Plate 4/@8/B2_03.tif "/>
    <s v=" 8349.1393 "/>
    <s v=" 37.8601 "/>
    <x v="0"/>
    <n v="316099"/>
    <m/>
    <m/>
    <m/>
  </r>
  <r>
    <x v="20"/>
    <x v="2"/>
    <s v="C:\Users\andre\Desktop\REACTIV CEFAS\E2\E2/20201118_Cefas_Test6-Run3/Plate 4/@8/C2_01.tif "/>
    <s v=" 4974.8758 "/>
    <s v=" 35.8 "/>
    <x v="0"/>
    <n v="178101"/>
    <m/>
    <m/>
    <m/>
  </r>
  <r>
    <x v="20"/>
    <x v="2"/>
    <s v="C:\Users\andre\Desktop\REACTIV CEFAS\E2\E2/20201118_Cefas_Test6-Run3/Plate 4/@8/C2_02.tif "/>
    <s v=" 6251.0395 "/>
    <s v=" 35.9931 "/>
    <x v="0"/>
    <n v="224994"/>
    <m/>
    <m/>
    <m/>
  </r>
  <r>
    <x v="20"/>
    <x v="2"/>
    <s v="C:\Users\andre\Desktop\REACTIV CEFAS\E2\E2/20201118_Cefas_Test6-Run3/Plate 4/@8/C2_03.tif "/>
    <s v=" 5710.2922 "/>
    <s v=" 40.1174 "/>
    <x v="0"/>
    <n v="229082"/>
    <m/>
    <m/>
    <m/>
  </r>
  <r>
    <x v="20"/>
    <x v="3"/>
    <s v="C:\Users\andre\Desktop\REACTIV CEFAS\E2\E2/20201118_Cefas_Test6-Run3/Plate 4/@8/D2_01.tif "/>
    <s v=" 1319.4236 "/>
    <s v=" 32.9836 "/>
    <x v="0"/>
    <n v="43519"/>
    <m/>
    <m/>
    <m/>
  </r>
  <r>
    <x v="20"/>
    <x v="3"/>
    <s v="C:\Users\andre\Desktop\REACTIV CEFAS\E2\E2/20201118_Cefas_Test6-Run3/Plate 4/@8/D2_02.tif "/>
    <s v=" 2530.6977 "/>
    <s v=" 34.9231 "/>
    <x v="0"/>
    <n v="88380"/>
    <m/>
    <m/>
    <m/>
  </r>
  <r>
    <x v="20"/>
    <x v="3"/>
    <s v="C:\Users\andre\Desktop\REACTIV CEFAS\E2\E2/20201118_Cefas_Test6-Run3/Plate 4/@8/D2_03.tif "/>
    <s v=" 21.6299 "/>
    <n v="30"/>
    <x v="0"/>
    <n v="649"/>
    <m/>
    <m/>
    <m/>
  </r>
  <r>
    <x v="20"/>
    <x v="4"/>
    <s v="C:\Users\andre\Desktop\REACTIV CEFAS\E2\E2/20201118_Cefas_Test6-Run3/Plate 4/@8/E2_01.tif "/>
    <s v=" 10641.9082 "/>
    <s v=" 42.0772 "/>
    <x v="0"/>
    <n v="447782"/>
    <m/>
    <m/>
    <m/>
  </r>
  <r>
    <x v="20"/>
    <x v="4"/>
    <s v="C:\Users\andre\Desktop\REACTIV CEFAS\E2\E2/20201118_Cefas_Test6-Run3/Plate 4/@8/E2_02.tif "/>
    <s v=" 12329.0399 "/>
    <s v=" 41.9351 "/>
    <x v="0"/>
    <n v="517019"/>
    <m/>
    <m/>
    <m/>
  </r>
  <r>
    <x v="20"/>
    <x v="4"/>
    <s v="C:\Users\andre\Desktop\REACTIV CEFAS\E2\E2/20201118_Cefas_Test6-Run3/Plate 4/@8/E2_03.tif "/>
    <s v=" 11009.6164 "/>
    <s v=" 39.2908 "/>
    <x v="0"/>
    <n v="432576"/>
    <m/>
    <m/>
    <m/>
  </r>
  <r>
    <x v="20"/>
    <x v="5"/>
    <s v="C:\Users\andre\Desktop\REACTIV CEFAS\E2\E2/20201118_Cefas_Test6-Run3/Plate 4/@8/F2_01.tif "/>
    <s v=" 8262.6197 "/>
    <s v=" 38.4503 "/>
    <x v="0"/>
    <n v="317700"/>
    <m/>
    <m/>
    <m/>
  </r>
  <r>
    <x v="20"/>
    <x v="5"/>
    <s v="C:\Users\andre\Desktop\REACTIV CEFAS\E2\E2/20201118_Cefas_Test6-Run3/Plate 4/@8/F2_02.tif "/>
    <s v=" 6294.2993 "/>
    <s v=" 36.8694 "/>
    <x v="0"/>
    <n v="232067"/>
    <m/>
    <m/>
    <m/>
  </r>
  <r>
    <x v="20"/>
    <x v="5"/>
    <s v="C:\Users\andre\Desktop\REACTIV CEFAS\E2\E2/20201118_Cefas_Test6-Run3/Plate 4/@8/F2_03.tif "/>
    <s v=" 4261.0892 "/>
    <s v=" 35.2589 "/>
    <x v="0"/>
    <n v="150241"/>
    <m/>
    <m/>
    <m/>
  </r>
  <r>
    <x v="20"/>
    <x v="6"/>
    <s v="C:\Users\andre\Desktop\REACTIV CEFAS\E2\E2/20201118_Cefas_Test6-Run3/Plate 4/@8/G2_01- exclu.tif"/>
    <m/>
    <m/>
    <x v="1"/>
    <m/>
    <m/>
    <m/>
    <m/>
  </r>
  <r>
    <x v="20"/>
    <x v="6"/>
    <s v="C:\Users\andre\Desktop\REACTIV CEFAS\E2\E2/20201118_Cefas_Test6-Run3/Plate 4/@8/G2_02- exclu.tif"/>
    <m/>
    <m/>
    <x v="1"/>
    <m/>
    <m/>
    <m/>
    <m/>
  </r>
  <r>
    <x v="20"/>
    <x v="6"/>
    <s v="C:\Users\andre\Desktop\REACTIV CEFAS\E2\E2/20201118_Cefas_Test6-Run3/Plate 4/@8/G2_03- exclu.tif"/>
    <m/>
    <m/>
    <x v="1"/>
    <m/>
    <m/>
    <m/>
    <m/>
  </r>
  <r>
    <x v="20"/>
    <x v="7"/>
    <s v="C:\Users\andre\Desktop\REACTIV CEFAS\E2\E2/20201118_Cefas_Test6-Run3/Plate 4/@8/H2_01.tif "/>
    <s v=" 5515.6231 "/>
    <s v=" 34.4588 "/>
    <x v="0"/>
    <n v="190062"/>
    <m/>
    <m/>
    <m/>
  </r>
  <r>
    <x v="20"/>
    <x v="7"/>
    <s v="C:\Users\andre\Desktop\REACTIV CEFAS\E2\E2/20201118_Cefas_Test6-Run3/Plate 4/@8/H2_02.tif "/>
    <n v="0"/>
    <n v="0"/>
    <x v="0"/>
    <n v="0"/>
    <m/>
    <m/>
    <m/>
  </r>
  <r>
    <x v="20"/>
    <x v="7"/>
    <s v="C:\Users\andre\Desktop\REACTIV CEFAS\E2\E2/20201118_Cefas_Test6-Run3/Plate 4/@8/H2_03.tif "/>
    <s v=" 6424.0787 "/>
    <s v=" 35.5286 "/>
    <x v="0"/>
    <n v="228239"/>
    <m/>
    <m/>
    <m/>
  </r>
  <r>
    <x v="1"/>
    <x v="8"/>
    <s v=" "/>
    <m/>
    <m/>
    <x v="1"/>
    <m/>
    <m/>
    <m/>
    <m/>
  </r>
  <r>
    <x v="1"/>
    <x v="8"/>
    <s v="group "/>
    <s v=" "/>
    <s v=" mean of mean fluo "/>
    <x v="2"/>
    <s v=" mean of total fluo "/>
    <s v=" SD total fluo "/>
    <s v=" n fluorescent "/>
    <s v=" n total"/>
  </r>
  <r>
    <x v="20"/>
    <x v="9"/>
    <s v="C:\Users\andre\Desktop\REACTIV CEFAS\E2\E2/20201118_Cefas_Test6-Run3/Plate 4/@8/ "/>
    <s v=" "/>
    <s v=" 35.9817 "/>
    <x v="22"/>
    <s v=" 255960.083 "/>
    <s v=" 160076.784 "/>
    <n v="23"/>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1"/>
    <x v="0"/>
    <s v="C:\Users\andre\Desktop\REACTIV CEFAS\E2\E2/20201118_Cefas_Test6-Run3/Plate 4/@9/A3_01.tif "/>
    <s v=" 2725.3667 "/>
    <s v=" 33.8492 "/>
    <x v="0"/>
    <n v="92252"/>
    <m/>
    <m/>
    <m/>
  </r>
  <r>
    <x v="21"/>
    <x v="0"/>
    <s v="C:\Users\andre\Desktop\REACTIV CEFAS\E2\E2/20201118_Cefas_Test6-Run3/Plate 4/@9/A3_02.tif "/>
    <s v=" 108.1495 "/>
    <s v=" 32.2 "/>
    <x v="0"/>
    <n v="3482"/>
    <m/>
    <m/>
    <m/>
  </r>
  <r>
    <x v="21"/>
    <x v="0"/>
    <s v="C:\Users\andre\Desktop\REACTIV CEFAS\E2\E2/20201118_Cefas_Test6-Run3/Plate 4/@9/A3_03.tif "/>
    <s v=" 2400.9183 "/>
    <s v=" 34.0541 "/>
    <x v="0"/>
    <n v="81761"/>
    <m/>
    <m/>
    <m/>
  </r>
  <r>
    <x v="21"/>
    <x v="1"/>
    <s v="C:\Users\andre\Desktop\REACTIV CEFAS\E2\E2/20201118_Cefas_Test6-Run3/Plate 4/@9/B3_01.tif "/>
    <s v=" 4304.349 "/>
    <s v=" 37.2764 "/>
    <x v="0"/>
    <n v="160451"/>
    <m/>
    <m/>
    <m/>
  </r>
  <r>
    <x v="21"/>
    <x v="1"/>
    <s v="C:\Users\andre\Desktop\REACTIV CEFAS\E2\E2/20201118_Cefas_Test6-Run3/Plate 4/@9/B3_02.tif "/>
    <s v=" 4736.9469 "/>
    <s v=" 35.379 "/>
    <x v="0"/>
    <n v="167588"/>
    <m/>
    <m/>
    <m/>
  </r>
  <r>
    <x v="21"/>
    <x v="1"/>
    <s v="C:\Users\andre\Desktop\REACTIV CEFAS\E2\E2/20201118_Cefas_Test6-Run3/Plate 4/@9/B3_03- exclu.tif"/>
    <m/>
    <m/>
    <x v="1"/>
    <m/>
    <m/>
    <m/>
    <m/>
  </r>
  <r>
    <x v="21"/>
    <x v="2"/>
    <s v="C:\Users\andre\Desktop\REACTIV CEFAS\E2\E2/20201118_Cefas_Test6-Run3/Plate 4/@9/C3_01.tif "/>
    <s v=" 9495.5237 "/>
    <s v=" 37.5057 "/>
    <x v="0"/>
    <n v="356136"/>
    <m/>
    <m/>
    <m/>
  </r>
  <r>
    <x v="21"/>
    <x v="2"/>
    <s v="C:\Users\andre\Desktop\REACTIV CEFAS\E2\E2/20201118_Cefas_Test6-Run3/Plate 4/@9/C3_02.tif "/>
    <s v=" 7959.8012 "/>
    <s v=" 34.5353 "/>
    <x v="0"/>
    <n v="274894"/>
    <m/>
    <m/>
    <m/>
  </r>
  <r>
    <x v="21"/>
    <x v="2"/>
    <s v="C:\Users\andre\Desktop\REACTIV CEFAS\E2\E2/20201118_Cefas_Test6-Run3/Plate 4/@9/C3_03- exclu.tif"/>
    <m/>
    <m/>
    <x v="1"/>
    <m/>
    <m/>
    <m/>
    <m/>
  </r>
  <r>
    <x v="21"/>
    <x v="3"/>
    <s v="C:\Users\andre\Desktop\REACTIV CEFAS\E2\E2/20201118_Cefas_Test6-Run3/Plate 4/@9/D3_01.tif "/>
    <s v=" 4239.4593 "/>
    <s v=" 34.9388 "/>
    <x v="0"/>
    <n v="148122"/>
    <m/>
    <m/>
    <m/>
  </r>
  <r>
    <x v="21"/>
    <x v="3"/>
    <s v="C:\Users\andre\Desktop\REACTIV CEFAS\E2\E2/20201118_Cefas_Test6-Run3/Plate 4/@9/D3_02.tif "/>
    <s v=" 3093.0749 "/>
    <s v=" 33.7063 "/>
    <x v="0"/>
    <n v="104256"/>
    <m/>
    <m/>
    <m/>
  </r>
  <r>
    <x v="21"/>
    <x v="3"/>
    <s v="C:\Users\andre\Desktop\REACTIV CEFAS\E2\E2/20201118_Cefas_Test6-Run3/Plate 4/@9/D3_03.tif "/>
    <s v=" 7786.7621 "/>
    <s v=" 35.6639 "/>
    <x v="0"/>
    <n v="277706"/>
    <m/>
    <m/>
    <m/>
  </r>
  <r>
    <x v="21"/>
    <x v="4"/>
    <s v="C:\Users\andre\Desktop\REACTIV CEFAS\E2\E2/20201118_Cefas_Test6-Run3/Plate 4/@9/E3_01.tif "/>
    <n v="0"/>
    <n v="0"/>
    <x v="0"/>
    <n v="0"/>
    <m/>
    <m/>
    <m/>
  </r>
  <r>
    <x v="21"/>
    <x v="4"/>
    <s v="C:\Users\andre\Desktop\REACTIV CEFAS\E2\E2/20201118_Cefas_Test6-Run3/Plate 4/@9/E3_02.tif "/>
    <s v=" 9149.4454 "/>
    <s v=" 36.5106 "/>
    <x v="0"/>
    <n v="334052"/>
    <m/>
    <m/>
    <m/>
  </r>
  <r>
    <x v="21"/>
    <x v="4"/>
    <s v="C:\Users\andre\Desktop\REACTIV CEFAS\E2\E2/20201118_Cefas_Test6-Run3/Plate 4/@9/E3_03.tif "/>
    <s v=" 12047.8513 "/>
    <s v=" 41.772 "/>
    <x v="0"/>
    <n v="503263"/>
    <m/>
    <m/>
    <m/>
  </r>
  <r>
    <x v="21"/>
    <x v="5"/>
    <s v="C:\Users\andre\Desktop\REACTIV CEFAS\E2\E2/20201118_Cefas_Test6-Run3/Plate 4/@9/F3_01.tif "/>
    <s v=" 4585.5377 "/>
    <s v=" 36.1368 "/>
    <x v="0"/>
    <n v="165707"/>
    <m/>
    <m/>
    <m/>
  </r>
  <r>
    <x v="21"/>
    <x v="5"/>
    <s v="C:\Users\andre\Desktop\REACTIV CEFAS\E2\E2/20201118_Cefas_Test6-Run3/Plate 4/@9/F3_02.tif "/>
    <s v=" 7181.125 "/>
    <s v=" 38.0934 "/>
    <x v="0"/>
    <n v="273553"/>
    <m/>
    <m/>
    <m/>
  </r>
  <r>
    <x v="21"/>
    <x v="5"/>
    <s v="C:\Users\andre\Desktop\REACTIV CEFAS\E2\E2/20201118_Cefas_Test6-Run3/Plate 4/@9/F3_03.tif "/>
    <s v=" 5645.4025 "/>
    <s v=" 36.4904 "/>
    <x v="0"/>
    <n v="206003"/>
    <m/>
    <m/>
    <m/>
  </r>
  <r>
    <x v="21"/>
    <x v="6"/>
    <s v="C:\Users\andre\Desktop\REACTIV CEFAS\E2\E2/20201118_Cefas_Test6-Run3/Plate 4/@9/G3_01.tif "/>
    <s v=" 11225.9153 "/>
    <s v=" 37.7592 "/>
    <x v="0"/>
    <n v="423881"/>
    <m/>
    <m/>
    <m/>
  </r>
  <r>
    <x v="21"/>
    <x v="6"/>
    <s v="C:\Users\andre\Desktop\REACTIV CEFAS\E2\E2/20201118_Cefas_Test6-Run3/Plate 4/@9/G3_02.tif "/>
    <s v=" 173.0392 "/>
    <n v="33"/>
    <x v="0"/>
    <n v="5710"/>
    <m/>
    <m/>
    <m/>
  </r>
  <r>
    <x v="21"/>
    <x v="6"/>
    <s v="C:\Users\andre\Desktop\REACTIV CEFAS\E2\E2/20201118_Cefas_Test6-Run3/Plate 4/@9/G3_03.tif "/>
    <s v=" 8716.8475 "/>
    <s v=" 40.2854 "/>
    <x v="0"/>
    <n v="351161"/>
    <m/>
    <m/>
    <m/>
  </r>
  <r>
    <x v="21"/>
    <x v="7"/>
    <s v="C:\Users\andre\Desktop\REACTIV CEFAS\E2\E2/20201118_Cefas_Test6-Run3/Plate 4/@9/H3_01.tif "/>
    <s v=" 5126.285 "/>
    <s v=" 40.6709 "/>
    <x v="0"/>
    <n v="208491"/>
    <m/>
    <m/>
    <m/>
  </r>
  <r>
    <x v="21"/>
    <x v="7"/>
    <s v="C:\Users\andre\Desktop\REACTIV CEFAS\E2\E2/20201118_Cefas_Test6-Run3/Plate 4/@9/H3_02.tif "/>
    <s v=" 7505.5734 "/>
    <s v=" 39.1614 "/>
    <x v="0"/>
    <n v="293929"/>
    <m/>
    <m/>
    <m/>
  </r>
  <r>
    <x v="21"/>
    <x v="7"/>
    <s v="C:\Users\andre\Desktop\REACTIV CEFAS\E2\E2/20201118_Cefas_Test6-Run3/Plate 4/@9/H3_03.tif "/>
    <s v=" 1925.0606 "/>
    <s v=" 33.7528 "/>
    <x v="0"/>
    <n v="64976"/>
    <m/>
    <m/>
    <m/>
  </r>
  <r>
    <x v="1"/>
    <x v="8"/>
    <s v=" "/>
    <m/>
    <m/>
    <x v="1"/>
    <m/>
    <m/>
    <m/>
    <m/>
  </r>
  <r>
    <x v="1"/>
    <x v="8"/>
    <s v="group "/>
    <s v=" "/>
    <s v=" mean of mean fluo "/>
    <x v="2"/>
    <s v=" mean of total fluo "/>
    <s v=" SD total fluo "/>
    <s v=" n fluorescent "/>
    <s v=" n total"/>
  </r>
  <r>
    <x v="21"/>
    <x v="9"/>
    <s v="C:\Users\andre\Desktop\REACTIV CEFAS\E2\E2/20201118_Cefas_Test6-Run3/Plate 4/@9/ "/>
    <s v=" "/>
    <s v=" 33.0984 "/>
    <x v="23"/>
    <s v=" 188587.458 "/>
    <s v=" 143757.795 "/>
    <n v="22"/>
    <n v="24"/>
  </r>
  <r>
    <x v="1"/>
    <x v="8"/>
    <s v=" "/>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
  <r>
    <x v="0"/>
    <x v="0"/>
    <m/>
    <m/>
    <s v="Témoin solvant"/>
    <x v="0"/>
  </r>
  <r>
    <x v="1"/>
    <x v="0"/>
    <n v="22.5"/>
    <s v="ng/L"/>
    <s v="EE2"/>
    <x v="0"/>
  </r>
  <r>
    <x v="2"/>
    <x v="0"/>
    <n v="33.799999999999997"/>
    <s v="ng/L"/>
    <s v="EE2"/>
    <x v="0"/>
  </r>
  <r>
    <x v="3"/>
    <x v="0"/>
    <n v="50.6"/>
    <s v="ng/L"/>
    <s v="EE2"/>
    <x v="0"/>
  </r>
  <r>
    <x v="4"/>
    <x v="0"/>
    <n v="76"/>
    <s v="ng/L"/>
    <s v="EE2"/>
    <x v="0"/>
  </r>
  <r>
    <x v="5"/>
    <x v="0"/>
    <n v="114"/>
    <s v="ng/L"/>
    <s v="EE2"/>
    <x v="0"/>
  </r>
  <r>
    <x v="6"/>
    <x v="0"/>
    <n v="170.9"/>
    <s v="ng/L"/>
    <s v="EE2"/>
    <x v="0"/>
  </r>
  <r>
    <x v="7"/>
    <x v="0"/>
    <n v="488"/>
    <s v="ng/L"/>
    <s v="EE2"/>
    <x v="0"/>
  </r>
  <r>
    <x v="8"/>
    <x v="1"/>
    <n v="34"/>
    <s v="ng/L"/>
    <s v="17ß estradiol"/>
    <x v="0"/>
  </r>
  <r>
    <x v="9"/>
    <x v="1"/>
    <n v="68"/>
    <s v="ng/L"/>
    <s v="17ß estradiol"/>
    <x v="0"/>
  </r>
  <r>
    <x v="10"/>
    <x v="1"/>
    <n v="135"/>
    <s v="ng/L"/>
    <s v="17ß estradiol"/>
    <x v="0"/>
  </r>
  <r>
    <x v="11"/>
    <x v="1"/>
    <n v="270"/>
    <s v="ng/L"/>
    <s v="17ß estradiol"/>
    <x v="0"/>
  </r>
  <r>
    <x v="12"/>
    <x v="1"/>
    <n v="540"/>
    <s v="ng/L"/>
    <s v="17ß estradiol"/>
    <x v="0"/>
  </r>
  <r>
    <x v="13"/>
    <x v="1"/>
    <m/>
    <m/>
    <m/>
    <x v="0"/>
  </r>
  <r>
    <x v="13"/>
    <x v="1"/>
    <m/>
    <m/>
    <m/>
    <x v="0"/>
  </r>
  <r>
    <x v="13"/>
    <x v="1"/>
    <m/>
    <m/>
    <m/>
    <x v="0"/>
  </r>
  <r>
    <x v="13"/>
    <x v="1"/>
    <m/>
    <m/>
    <m/>
    <x v="0"/>
  </r>
  <r>
    <x v="13"/>
    <x v="1"/>
    <m/>
    <m/>
    <m/>
    <x v="0"/>
  </r>
  <r>
    <x v="13"/>
    <x v="1"/>
    <m/>
    <m/>
    <m/>
    <x v="0"/>
  </r>
  <r>
    <x v="13"/>
    <x v="1"/>
    <m/>
    <m/>
    <m/>
    <x v="0"/>
  </r>
  <r>
    <x v="13"/>
    <x v="1"/>
    <m/>
    <m/>
    <m/>
    <x v="0"/>
  </r>
  <r>
    <x v="13"/>
    <x v="1"/>
    <m/>
    <m/>
    <m/>
    <x v="0"/>
  </r>
  <r>
    <x v="13"/>
    <x v="1"/>
    <m/>
    <m/>
    <m/>
    <x v="0"/>
  </r>
  <r>
    <x v="13"/>
    <x v="1"/>
    <m/>
    <m/>
    <m/>
    <x v="0"/>
  </r>
  <r>
    <x v="13"/>
    <x v="1"/>
    <m/>
    <m/>
    <m/>
    <x v="0"/>
  </r>
  <r>
    <x v="13"/>
    <x v="1"/>
    <m/>
    <m/>
    <m/>
    <x v="0"/>
  </r>
  <r>
    <x v="13"/>
    <x v="1"/>
    <m/>
    <m/>
    <m/>
    <x v="0"/>
  </r>
  <r>
    <x v="13"/>
    <x v="1"/>
    <m/>
    <m/>
    <m/>
    <x v="0"/>
  </r>
  <r>
    <x v="13"/>
    <x v="1"/>
    <m/>
    <m/>
    <m/>
    <x v="0"/>
  </r>
  <r>
    <x v="14"/>
    <x v="0"/>
    <n v="30"/>
    <s v="µg/L"/>
    <s v="Testo "/>
    <x v="0"/>
  </r>
  <r>
    <x v="15"/>
    <x v="0"/>
    <n v="64"/>
    <s v="ng/L"/>
    <s v="Testo 30µg/L + EE2 "/>
    <x v="0"/>
  </r>
  <r>
    <x v="16"/>
    <x v="0"/>
    <n v="10"/>
    <s v="mg/L"/>
    <s v="Testo 30µg/L + FAD"/>
    <x v="0"/>
  </r>
  <r>
    <x v="17"/>
    <x v="2"/>
    <n v="34"/>
    <s v="ng/L"/>
    <s v="17ß estradiol"/>
    <x v="1"/>
  </r>
  <r>
    <x v="18"/>
    <x v="2"/>
    <n v="68"/>
    <s v="ng/L"/>
    <s v="17ß estradiol"/>
    <x v="1"/>
  </r>
  <r>
    <x v="19"/>
    <x v="2"/>
    <n v="135"/>
    <s v="ng/L"/>
    <s v="17ß estradiol"/>
    <x v="1"/>
  </r>
  <r>
    <x v="20"/>
    <x v="2"/>
    <n v="270"/>
    <s v="ng/L"/>
    <s v="17ß estradiol"/>
    <x v="1"/>
  </r>
  <r>
    <x v="21"/>
    <x v="2"/>
    <n v="540"/>
    <s v="ng/L"/>
    <s v="17ß estradiol"/>
    <x v="1"/>
  </r>
  <r>
    <x v="22"/>
    <x v="2"/>
    <n v="0"/>
    <n v="0"/>
    <n v="0"/>
    <x v="1"/>
  </r>
  <r>
    <x v="22"/>
    <x v="2"/>
    <n v="0"/>
    <n v="0"/>
    <n v="0"/>
    <x v="1"/>
  </r>
  <r>
    <x v="22"/>
    <x v="2"/>
    <n v="0"/>
    <n v="0"/>
    <n v="0"/>
    <x v="1"/>
  </r>
  <r>
    <x v="22"/>
    <x v="2"/>
    <n v="0"/>
    <n v="0"/>
    <n v="0"/>
    <x v="1"/>
  </r>
  <r>
    <x v="22"/>
    <x v="2"/>
    <n v="0"/>
    <n v="0"/>
    <n v="0"/>
    <x v="1"/>
  </r>
  <r>
    <x v="22"/>
    <x v="2"/>
    <n v="0"/>
    <n v="0"/>
    <n v="0"/>
    <x v="1"/>
  </r>
  <r>
    <x v="22"/>
    <x v="2"/>
    <n v="0"/>
    <n v="0"/>
    <n v="0"/>
    <x v="1"/>
  </r>
  <r>
    <x v="22"/>
    <x v="2"/>
    <n v="0"/>
    <n v="0"/>
    <n v="0"/>
    <x v="1"/>
  </r>
  <r>
    <x v="22"/>
    <x v="2"/>
    <n v="0"/>
    <n v="0"/>
    <n v="0"/>
    <x v="1"/>
  </r>
  <r>
    <x v="22"/>
    <x v="2"/>
    <n v="0"/>
    <n v="0"/>
    <n v="0"/>
    <x v="1"/>
  </r>
  <r>
    <x v="22"/>
    <x v="2"/>
    <n v="0"/>
    <n v="0"/>
    <n v="0"/>
    <x v="1"/>
  </r>
  <r>
    <x v="22"/>
    <x v="2"/>
    <n v="0"/>
    <n v="0"/>
    <n v="0"/>
    <x v="1"/>
  </r>
  <r>
    <x v="22"/>
    <x v="2"/>
    <n v="0"/>
    <n v="0"/>
    <n v="0"/>
    <x v="1"/>
  </r>
  <r>
    <x v="22"/>
    <x v="2"/>
    <n v="0"/>
    <n v="0"/>
    <n v="0"/>
    <x v="1"/>
  </r>
  <r>
    <x v="22"/>
    <x v="2"/>
    <n v="0"/>
    <n v="0"/>
    <n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Tableau croisé dynamique3" cacheId="0"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K3:AF12" firstHeaderRow="1" firstDataRow="2" firstDataCol="1" rowPageCount="1" colPageCount="1"/>
  <pivotFields count="10">
    <pivotField axis="axisCol" subtotalTop="0" showAll="0">
      <items count="24">
        <item m="1" x="22"/>
        <item x="1"/>
        <item x="0"/>
        <item x="2"/>
        <item x="3"/>
        <item x="4"/>
        <item x="5"/>
        <item x="6"/>
        <item x="7"/>
        <item x="8"/>
        <item x="9"/>
        <item x="10"/>
        <item x="11"/>
        <item x="12"/>
        <item x="13"/>
        <item x="14"/>
        <item x="15"/>
        <item x="16"/>
        <item x="17"/>
        <item x="18"/>
        <item x="19"/>
        <item x="20"/>
        <item x="21"/>
        <item t="default"/>
      </items>
    </pivotField>
    <pivotField axis="axisRow" subtotalTop="0" showAll="0" sortType="ascending">
      <items count="11">
        <item h="1" x="9"/>
        <item x="0"/>
        <item x="1"/>
        <item x="2"/>
        <item x="3"/>
        <item x="4"/>
        <item x="5"/>
        <item x="6"/>
        <item x="7"/>
        <item h="1" x="8"/>
        <item t="default"/>
      </items>
    </pivotField>
    <pivotField subtotalTop="0" showAll="0"/>
    <pivotField subtotalTop="0" showAll="0"/>
    <pivotField subtotalTop="0" showAll="0"/>
    <pivotField axis="axisPage" subtotalTop="0" showAll="0">
      <items count="25">
        <item x="1"/>
        <item x="0"/>
        <item x="2"/>
        <item x="3"/>
        <item x="4"/>
        <item x="5"/>
        <item x="6"/>
        <item x="7"/>
        <item x="8"/>
        <item x="9"/>
        <item x="10"/>
        <item x="11"/>
        <item x="12"/>
        <item x="13"/>
        <item x="14"/>
        <item x="15"/>
        <item x="16"/>
        <item x="17"/>
        <item x="18"/>
        <item x="19"/>
        <item x="20"/>
        <item x="21"/>
        <item x="22"/>
        <item x="23"/>
        <item t="default"/>
      </items>
    </pivotField>
    <pivotField dataField="1" subtotalTop="0" showAll="0"/>
    <pivotField subtotalTop="0" showAll="0"/>
    <pivotField subtotalTop="0" showAll="0"/>
    <pivotField showAll="0"/>
  </pivotFields>
  <rowFields count="1">
    <field x="1"/>
  </rowFields>
  <rowItems count="8">
    <i>
      <x v="1"/>
    </i>
    <i>
      <x v="2"/>
    </i>
    <i>
      <x v="3"/>
    </i>
    <i>
      <x v="4"/>
    </i>
    <i>
      <x v="5"/>
    </i>
    <i>
      <x v="6"/>
    </i>
    <i>
      <x v="7"/>
    </i>
    <i>
      <x v="8"/>
    </i>
  </rowItems>
  <colFields count="1">
    <field x="0"/>
  </colFields>
  <colItems count="21">
    <i>
      <x v="2"/>
    </i>
    <i>
      <x v="3"/>
    </i>
    <i>
      <x v="4"/>
    </i>
    <i>
      <x v="5"/>
    </i>
    <i>
      <x v="6"/>
    </i>
    <i>
      <x v="7"/>
    </i>
    <i>
      <x v="8"/>
    </i>
    <i>
      <x v="9"/>
    </i>
    <i>
      <x v="10"/>
    </i>
    <i>
      <x v="11"/>
    </i>
    <i>
      <x v="12"/>
    </i>
    <i>
      <x v="13"/>
    </i>
    <i>
      <x v="14"/>
    </i>
    <i>
      <x v="15"/>
    </i>
    <i>
      <x v="16"/>
    </i>
    <i>
      <x v="17"/>
    </i>
    <i>
      <x v="18"/>
    </i>
    <i>
      <x v="19"/>
    </i>
    <i>
      <x v="20"/>
    </i>
    <i>
      <x v="21"/>
    </i>
    <i>
      <x v="22"/>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Tableau croisé dynamique3" cacheId="1"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K3:AF12" firstHeaderRow="1" firstDataRow="2" firstDataCol="1" rowPageCount="1" colPageCount="1"/>
  <pivotFields count="10">
    <pivotField axis="axisCol" subtotalTop="0" showAll="0">
      <items count="23">
        <item x="1"/>
        <item x="0"/>
        <item x="2"/>
        <item x="3"/>
        <item x="4"/>
        <item x="5"/>
        <item x="6"/>
        <item x="7"/>
        <item x="8"/>
        <item x="9"/>
        <item x="10"/>
        <item x="11"/>
        <item x="12"/>
        <item x="13"/>
        <item x="14"/>
        <item x="15"/>
        <item x="16"/>
        <item x="17"/>
        <item x="18"/>
        <item x="19"/>
        <item x="20"/>
        <item x="21"/>
        <item t="default"/>
      </items>
    </pivotField>
    <pivotField axis="axisRow" subtotalTop="0" showAll="0">
      <items count="11">
        <item h="1" x="8"/>
        <item x="0"/>
        <item x="1"/>
        <item x="2"/>
        <item x="3"/>
        <item x="4"/>
        <item x="5"/>
        <item x="6"/>
        <item x="7"/>
        <item h="1" x="9"/>
        <item t="default"/>
      </items>
    </pivotField>
    <pivotField subtotalTop="0" showAll="0"/>
    <pivotField subtotalTop="0" showAll="0"/>
    <pivotField subtotalTop="0" showAll="0"/>
    <pivotField axis="axisPage" subtotalTop="0" showAll="0">
      <items count="25">
        <item x="1"/>
        <item x="0"/>
        <item x="2"/>
        <item x="3"/>
        <item x="4"/>
        <item x="5"/>
        <item x="6"/>
        <item x="7"/>
        <item x="8"/>
        <item x="9"/>
        <item x="10"/>
        <item x="11"/>
        <item x="12"/>
        <item x="13"/>
        <item x="14"/>
        <item x="15"/>
        <item x="16"/>
        <item x="17"/>
        <item x="18"/>
        <item x="19"/>
        <item x="20"/>
        <item x="21"/>
        <item x="22"/>
        <item x="23"/>
        <item t="default"/>
      </items>
    </pivotField>
    <pivotField dataField="1" subtotalTop="0" showAll="0"/>
    <pivotField subtotalTop="0" showAll="0"/>
    <pivotField subtotalTop="0" showAll="0"/>
    <pivotField showAll="0"/>
  </pivotFields>
  <rowFields count="1">
    <field x="1"/>
  </rowFields>
  <rowItems count="8">
    <i>
      <x v="1"/>
    </i>
    <i>
      <x v="2"/>
    </i>
    <i>
      <x v="3"/>
    </i>
    <i>
      <x v="4"/>
    </i>
    <i>
      <x v="5"/>
    </i>
    <i>
      <x v="6"/>
    </i>
    <i>
      <x v="7"/>
    </i>
    <i>
      <x v="8"/>
    </i>
  </rowItems>
  <colFields count="1">
    <field x="0"/>
  </colFields>
  <colItems count="21">
    <i>
      <x v="1"/>
    </i>
    <i>
      <x v="2"/>
    </i>
    <i>
      <x v="3"/>
    </i>
    <i>
      <x v="4"/>
    </i>
    <i>
      <x v="5"/>
    </i>
    <i>
      <x v="6"/>
    </i>
    <i>
      <x v="7"/>
    </i>
    <i>
      <x v="8"/>
    </i>
    <i>
      <x v="9"/>
    </i>
    <i>
      <x v="10"/>
    </i>
    <i>
      <x v="11"/>
    </i>
    <i>
      <x v="12"/>
    </i>
    <i>
      <x v="13"/>
    </i>
    <i>
      <x v="14"/>
    </i>
    <i>
      <x v="15"/>
    </i>
    <i>
      <x v="16"/>
    </i>
    <i>
      <x v="17"/>
    </i>
    <i>
      <x v="18"/>
    </i>
    <i>
      <x v="19"/>
    </i>
    <i>
      <x v="20"/>
    </i>
    <i>
      <x v="21"/>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Tableau croisé dynamique3" cacheId="2"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K3:AF12" firstHeaderRow="1" firstDataRow="2" firstDataCol="1" rowPageCount="1" colPageCount="1"/>
  <pivotFields count="10">
    <pivotField axis="axisCol" subtotalTop="0" showAll="0">
      <items count="23">
        <item x="1"/>
        <item x="0"/>
        <item x="2"/>
        <item x="3"/>
        <item x="4"/>
        <item x="5"/>
        <item x="6"/>
        <item x="7"/>
        <item x="8"/>
        <item x="9"/>
        <item x="10"/>
        <item x="11"/>
        <item x="12"/>
        <item x="13"/>
        <item x="14"/>
        <item x="15"/>
        <item x="16"/>
        <item x="17"/>
        <item x="18"/>
        <item x="19"/>
        <item x="20"/>
        <item x="21"/>
        <item t="default"/>
      </items>
    </pivotField>
    <pivotField axis="axisRow" subtotalTop="0" showAll="0">
      <items count="11">
        <item h="1" x="8"/>
        <item x="0"/>
        <item x="1"/>
        <item x="2"/>
        <item x="3"/>
        <item x="4"/>
        <item x="5"/>
        <item x="6"/>
        <item x="7"/>
        <item h="1" x="9"/>
        <item t="default"/>
      </items>
    </pivotField>
    <pivotField subtotalTop="0" showAll="0"/>
    <pivotField subtotalTop="0" showAll="0"/>
    <pivotField subtotalTop="0" showAll="0"/>
    <pivotField axis="axisPage" subtotalTop="0" showAll="0">
      <items count="25">
        <item x="1"/>
        <item x="0"/>
        <item x="2"/>
        <item x="3"/>
        <item x="4"/>
        <item x="5"/>
        <item x="6"/>
        <item x="7"/>
        <item x="8"/>
        <item x="9"/>
        <item x="10"/>
        <item x="11"/>
        <item x="12"/>
        <item x="13"/>
        <item x="14"/>
        <item x="15"/>
        <item x="16"/>
        <item x="17"/>
        <item x="18"/>
        <item x="19"/>
        <item x="20"/>
        <item x="21"/>
        <item x="22"/>
        <item x="23"/>
        <item t="default"/>
      </items>
    </pivotField>
    <pivotField dataField="1" subtotalTop="0" showAll="0"/>
    <pivotField subtotalTop="0" showAll="0"/>
    <pivotField subtotalTop="0" showAll="0"/>
    <pivotField showAll="0"/>
  </pivotFields>
  <rowFields count="1">
    <field x="1"/>
  </rowFields>
  <rowItems count="8">
    <i>
      <x v="1"/>
    </i>
    <i>
      <x v="2"/>
    </i>
    <i>
      <x v="3"/>
    </i>
    <i>
      <x v="4"/>
    </i>
    <i>
      <x v="5"/>
    </i>
    <i>
      <x v="6"/>
    </i>
    <i>
      <x v="7"/>
    </i>
    <i>
      <x v="8"/>
    </i>
  </rowItems>
  <colFields count="1">
    <field x="0"/>
  </colFields>
  <colItems count="21">
    <i>
      <x v="1"/>
    </i>
    <i>
      <x v="2"/>
    </i>
    <i>
      <x v="3"/>
    </i>
    <i>
      <x v="4"/>
    </i>
    <i>
      <x v="5"/>
    </i>
    <i>
      <x v="6"/>
    </i>
    <i>
      <x v="7"/>
    </i>
    <i>
      <x v="8"/>
    </i>
    <i>
      <x v="9"/>
    </i>
    <i>
      <x v="10"/>
    </i>
    <i>
      <x v="11"/>
    </i>
    <i>
      <x v="12"/>
    </i>
    <i>
      <x v="13"/>
    </i>
    <i>
      <x v="14"/>
    </i>
    <i>
      <x v="15"/>
    </i>
    <i>
      <x v="16"/>
    </i>
    <i>
      <x v="17"/>
    </i>
    <i>
      <x v="18"/>
    </i>
    <i>
      <x v="19"/>
    </i>
    <i>
      <x v="20"/>
    </i>
    <i>
      <x v="21"/>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BEAF9C9-0BF8-4385-8AFD-DA7A17EBEF6D}" name="Tableau croisé dynamique3" cacheId="3"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U5:U11" firstHeaderRow="1" firstDataRow="1" firstDataCol="1" rowPageCount="2" colPageCount="1"/>
  <pivotFields count="6">
    <pivotField axis="axisRow" showAll="0" defaultSubtotal="0">
      <items count="23">
        <item x="22"/>
        <item x="13"/>
        <item x="1"/>
        <item x="2"/>
        <item x="3"/>
        <item x="4"/>
        <item x="5"/>
        <item x="6"/>
        <item x="7"/>
        <item x="15"/>
        <item x="16"/>
        <item x="14"/>
        <item x="0"/>
        <item x="8"/>
        <item x="9"/>
        <item x="10"/>
        <item x="11"/>
        <item x="12"/>
        <item x="17"/>
        <item x="18"/>
        <item x="19"/>
        <item x="20"/>
        <item x="21"/>
      </items>
    </pivotField>
    <pivotField axis="axisPage" multipleItemSelectionAllowed="1" showAll="0" defaultSubtotal="0">
      <items count="3">
        <item x="2"/>
        <item h="1" x="0"/>
        <item x="1"/>
      </items>
    </pivotField>
    <pivotField showAll="0" defaultSubtotal="0"/>
    <pivotField showAll="0" defaultSubtotal="0"/>
    <pivotField showAll="0" defaultSubtotal="0"/>
    <pivotField axis="axisPage" showAll="0" defaultSubtotal="0">
      <items count="2">
        <item x="1"/>
        <item x="0"/>
      </items>
    </pivotField>
  </pivotFields>
  <rowFields count="1">
    <field x="0"/>
  </rowFields>
  <rowItems count="6">
    <i>
      <x/>
    </i>
    <i>
      <x v="18"/>
    </i>
    <i>
      <x v="19"/>
    </i>
    <i>
      <x v="20"/>
    </i>
    <i>
      <x v="21"/>
    </i>
    <i>
      <x v="22"/>
    </i>
  </rowItems>
  <colItems count="1">
    <i/>
  </colItems>
  <pageFields count="2">
    <pageField fld="1" hier="-1"/>
    <pageField fld="5" item="0" hier="-1"/>
  </page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B7EBC52-00CD-4364-A425-54249E53BA82}" name="Tableau croisé dynamique2" cacheId="3"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Q5:Q11" firstHeaderRow="1" firstDataRow="1" firstDataCol="1" rowPageCount="2" colPageCount="1"/>
  <pivotFields count="6">
    <pivotField axis="axisRow" showAll="0" defaultSubtotal="0">
      <items count="23">
        <item x="22"/>
        <item x="13"/>
        <item x="1"/>
        <item x="2"/>
        <item x="3"/>
        <item x="4"/>
        <item x="5"/>
        <item x="6"/>
        <item x="7"/>
        <item x="15"/>
        <item x="16"/>
        <item x="14"/>
        <item x="0"/>
        <item x="8"/>
        <item x="9"/>
        <item x="10"/>
        <item x="11"/>
        <item x="12"/>
        <item x="17"/>
        <item x="18"/>
        <item x="19"/>
        <item x="20"/>
        <item x="21"/>
      </items>
    </pivotField>
    <pivotField axis="axisPage" multipleItemSelectionAllowed="1" showAll="0" defaultSubtotal="0">
      <items count="3">
        <item x="2"/>
        <item x="1"/>
        <item h="1" x="0"/>
      </items>
    </pivotField>
    <pivotField showAll="0" defaultSubtotal="0"/>
    <pivotField showAll="0" defaultSubtotal="0"/>
    <pivotField showAll="0" defaultSubtotal="0"/>
    <pivotField axis="axisPage" showAll="0" defaultSubtotal="0">
      <items count="2">
        <item x="1"/>
        <item x="0"/>
      </items>
    </pivotField>
  </pivotFields>
  <rowFields count="1">
    <field x="0"/>
  </rowFields>
  <rowItems count="6">
    <i>
      <x v="1"/>
    </i>
    <i>
      <x v="13"/>
    </i>
    <i>
      <x v="14"/>
    </i>
    <i>
      <x v="15"/>
    </i>
    <i>
      <x v="16"/>
    </i>
    <i>
      <x v="17"/>
    </i>
  </rowItems>
  <colItems count="1">
    <i/>
  </colItems>
  <pageFields count="2">
    <pageField fld="1" hier="-1"/>
    <pageField fld="5" item="1" hier="-1"/>
  </page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iste_groupe" displayName="liste_groupe" ref="A6:F58" totalsRowShown="0" headerRowDxfId="41" dataDxfId="40" tableBorderDxfId="39">
  <autoFilter ref="A6:F58" xr:uid="{00000000-0009-0000-0100-000001000000}"/>
  <tableColumns count="6">
    <tableColumn id="4" xr3:uid="{00000000-0010-0000-0000-000004000000}" name="Nom sur le graphique" dataDxfId="38">
      <calculatedColumnFormula>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calculatedColumnFormula>
    </tableColumn>
    <tableColumn id="1" xr3:uid="{00000000-0010-0000-0000-000001000000}" name="Code WF" dataDxfId="37">
      <calculatedColumnFormula>A2</calculatedColumnFormula>
    </tableColumn>
    <tableColumn id="2" xr3:uid="{00000000-0010-0000-0000-000002000000}" name="Concentration" dataDxfId="36">
      <calculatedColumnFormula>B2</calculatedColumnFormula>
    </tableColumn>
    <tableColumn id="10" xr3:uid="{00000000-0010-0000-0000-00000A000000}" name="Unité" dataDxfId="35"/>
    <tableColumn id="3" xr3:uid="{00000000-0010-0000-0000-000003000000}" name="Nom de l'échantillon donné par le client" dataDxfId="34">
      <calculatedColumnFormula>C2</calculatedColumnFormula>
    </tableColumn>
    <tableColumn id="9" xr3:uid="{00000000-0010-0000-0000-000009000000}" name="Dopage (+Testostérone / + EE2, ….)" dataDxfId="33"/>
  </tableColumns>
  <tableStyleInfo name="TableStyleLight15"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1000000}" name="Tableau7" displayName="Tableau7" ref="A1:I7" totalsRowShown="0">
  <autoFilter ref="A1:I7" xr:uid="{00000000-0009-0000-0100-000007000000}"/>
  <tableColumns count="9">
    <tableColumn id="1" xr3:uid="{00000000-0010-0000-0100-000001000000}" name="Nom groupe"/>
    <tableColumn id="2" xr3:uid="{00000000-0010-0000-0100-000002000000}" name="N° de valeur"/>
    <tableColumn id="3" xr3:uid="{00000000-0010-0000-0100-000003000000}" name="file name"/>
    <tableColumn id="4" xr3:uid="{00000000-0010-0000-0100-000004000000}" name=" total area "/>
    <tableColumn id="5" xr3:uid="{00000000-0010-0000-0100-000005000000}" name=" mean intensity "/>
    <tableColumn id="6" xr3:uid="{00000000-0010-0000-0100-000006000000}" name=" "/>
    <tableColumn id="7" xr3:uid="{00000000-0010-0000-0100-000007000000}" name=" total fluorescence"/>
    <tableColumn id="8" xr3:uid="{00000000-0010-0000-0100-000008000000}" name="         "/>
    <tableColumn id="9" xr3:uid="{00000000-0010-0000-0100-000009000000}" name="nbre de larv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au4" displayName="Tableau4" ref="A1:J1557" totalsRowShown="0">
  <autoFilter ref="A1:J1557" xr:uid="{00000000-0009-0000-0100-000004000000}"/>
  <tableColumns count="10">
    <tableColumn id="1" xr3:uid="{00000000-0010-0000-0200-000001000000}" name="Nom groupe" dataDxfId="32">
      <calculatedColumnFormula>IFERROR(LEFT(RIGHT(C2,LEN(C2)-SEARCH("@",C2)),SEARCH("/",RIGHT(C2,LEN(C2)-SEARCH("@",C2)-1))),"")</calculatedColumnFormula>
    </tableColumn>
    <tableColumn id="2" xr3:uid="{00000000-0010-0000-0200-000002000000}" name="N° de valeur" dataDxfId="31">
      <calculatedColumnFormula>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calculatedColumnFormula>
    </tableColumn>
    <tableColumn id="3" xr3:uid="{00000000-0010-0000-0200-000003000000}" name="file name"/>
    <tableColumn id="4" xr3:uid="{00000000-0010-0000-0200-000004000000}" name=" total area "/>
    <tableColumn id="5" xr3:uid="{00000000-0010-0000-0200-000005000000}" name=" mean intensity "/>
    <tableColumn id="6" xr3:uid="{00000000-0010-0000-0200-000006000000}" name=" "/>
    <tableColumn id="7" xr3:uid="{00000000-0010-0000-0200-000007000000}" name=" total fluorescence"/>
    <tableColumn id="8" xr3:uid="{00000000-0010-0000-0200-000008000000}" name="         "/>
    <tableColumn id="9" xr3:uid="{00000000-0010-0000-0200-000009000000}" name="nbre de larves"/>
    <tableColumn id="10" xr3:uid="{895237E2-8ABD-4D1D-91B7-AFB55160E39F}" name="Colonne1"/>
  </tableColumns>
  <tableStyleInfo name="TableStyleLight16"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ableau46" displayName="Tableau46" ref="A1:J1531" totalsRowShown="0">
  <autoFilter ref="A1:J1531" xr:uid="{00000000-0009-0000-0100-000005000000}"/>
  <tableColumns count="10">
    <tableColumn id="1" xr3:uid="{00000000-0010-0000-0300-000001000000}" name="Nom groupe" dataDxfId="30">
      <calculatedColumnFormula>IFERROR(LEFT(RIGHT(C2,LEN(C2)-SEARCH("@",C2)),SEARCH("/",RIGHT(C2,LEN(C2)-SEARCH("@",C2)-1))),"")</calculatedColumnFormula>
    </tableColumn>
    <tableColumn id="2" xr3:uid="{00000000-0010-0000-0300-000002000000}" name="N° de valeur" dataDxfId="29">
      <calculatedColumnFormula>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calculatedColumnFormula>
    </tableColumn>
    <tableColumn id="3" xr3:uid="{00000000-0010-0000-0300-000003000000}" name="file name"/>
    <tableColumn id="4" xr3:uid="{00000000-0010-0000-0300-000004000000}" name=" total area "/>
    <tableColumn id="5" xr3:uid="{00000000-0010-0000-0300-000005000000}" name=" mean intensity "/>
    <tableColumn id="6" xr3:uid="{00000000-0010-0000-0300-000006000000}" name=" "/>
    <tableColumn id="7" xr3:uid="{00000000-0010-0000-0300-000007000000}" name=" total fluorescence"/>
    <tableColumn id="8" xr3:uid="{00000000-0010-0000-0300-000008000000}" name="         "/>
    <tableColumn id="9" xr3:uid="{00000000-0010-0000-0300-000009000000}" name="nbre de larves"/>
    <tableColumn id="10" xr3:uid="{4F316DB5-9ED6-4CAD-BECD-82DAF693CE5F}" name="Colonne1"/>
  </tableColumns>
  <tableStyleInfo name="TableStyleLight16"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4000000}" name="Tableau467" displayName="Tableau467" ref="A1:J1711" totalsRowShown="0">
  <autoFilter ref="A1:J1711" xr:uid="{00000000-0009-0000-0100-000006000000}"/>
  <tableColumns count="10">
    <tableColumn id="1" xr3:uid="{00000000-0010-0000-0400-000001000000}" name="Nom groupe" dataDxfId="28">
      <calculatedColumnFormula>IFERROR(LEFT(RIGHT(C2,LEN(C2)-SEARCH("@",C2)),SEARCH("/",RIGHT(C2,LEN(C2)-SEARCH("@",C2)-1))),"")</calculatedColumnFormula>
    </tableColumn>
    <tableColumn id="2" xr3:uid="{00000000-0010-0000-0400-000002000000}" name="N° de valeur" dataDxfId="27">
      <calculatedColumnFormula>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calculatedColumnFormula>
    </tableColumn>
    <tableColumn id="3" xr3:uid="{00000000-0010-0000-0400-000003000000}" name="file name"/>
    <tableColumn id="4" xr3:uid="{00000000-0010-0000-0400-000004000000}" name=" total area "/>
    <tableColumn id="5" xr3:uid="{00000000-0010-0000-0400-000005000000}" name=" mean intensity "/>
    <tableColumn id="6" xr3:uid="{00000000-0010-0000-0400-000006000000}" name=" "/>
    <tableColumn id="7" xr3:uid="{00000000-0010-0000-0400-000007000000}" name=" total fluorescence"/>
    <tableColumn id="8" xr3:uid="{00000000-0010-0000-0400-000008000000}" name="         "/>
    <tableColumn id="9" xr3:uid="{00000000-0010-0000-0400-000009000000}" name="nbre de larves"/>
    <tableColumn id="10" xr3:uid="{CDD20709-12E1-4965-8CF7-38B89DB762B0}" name="Colonne1"/>
  </tableColumns>
  <tableStyleInfo name="TableStyleLight16"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5000000}" name="Tableau2" displayName="Tableau2" ref="A1:G2" totalsRowShown="0" headerRowDxfId="26" dataDxfId="25" tableBorderDxfId="24">
  <autoFilter ref="A1:G2" xr:uid="{00000000-0009-0000-0100-000002000000}"/>
  <tableColumns count="7">
    <tableColumn id="1" xr3:uid="{00000000-0010-0000-0500-000001000000}" name="Description" dataDxfId="23"/>
    <tableColumn id="2" xr3:uid="{00000000-0010-0000-0500-000002000000}" name="Problème" dataDxfId="22"/>
    <tableColumn id="3" xr3:uid="{00000000-0010-0000-0500-000003000000}" name="EqH RAPPORT" dataDxfId="21"/>
    <tableColumn id="4" xr3:uid="{00000000-0010-0000-0500-000004000000}" name="% atteinte du seuil RAPPORT" dataDxfId="20"/>
    <tableColumn id="5" xr3:uid="{00000000-0010-0000-0500-000005000000}" name="Valeur échelle sur graphique RAPPORT" dataDxfId="19"/>
    <tableColumn id="6" xr3:uid="{00000000-0010-0000-0500-000006000000}" name="EqH BASE DE DONNEES" dataDxfId="18"/>
    <tableColumn id="7" xr3:uid="{00000000-0010-0000-0500-000007000000}" name="% BASE DE DONNEES" dataDxfId="17"/>
  </tableColumns>
  <tableStyleInfo name="TableStyleLight15"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6000000}" name="Tableau3" displayName="Tableau3" ref="A1:N15" totalsRowShown="0" headerRowDxfId="16">
  <autoFilter ref="A1:N15" xr:uid="{00000000-0009-0000-0100-000003000000}"/>
  <tableColumns count="14">
    <tableColumn id="1" xr3:uid="{00000000-0010-0000-0600-000001000000}" name="Nom ND">
      <calculatedColumnFormula>Q6</calculatedColumnFormula>
    </tableColumn>
    <tableColumn id="2" xr3:uid="{00000000-0010-0000-0600-000002000000}" name="Nom D" dataDxfId="15">
      <calculatedColumnFormula>U6</calculatedColumnFormula>
    </tableColumn>
    <tableColumn id="3" xr3:uid="{00000000-0010-0000-0600-000003000000}" name="CHG-protocole"/>
    <tableColumn id="4" xr3:uid="{00000000-0010-0000-0600-000004000000}" name="CHG-dilution" dataDxfId="14">
      <calculatedColumnFormula>CONCATENATE(VLOOKUP(Tableau3[[#This Row],[Nom ND]],liste_groupe[],3,FALSE),VLOOKUP(Tableau3[[#This Row],[Nom ND]],liste_groupe[],4,FALSE))</calculatedColumnFormula>
    </tableColumn>
    <tableColumn id="5" xr3:uid="{00000000-0010-0000-0600-000005000000}" name="CHG-induction ND" dataDxfId="13">
      <calculatedColumnFormula>HLOOKUP(Tableau3[[#This Row],[Nom ND]],'pooled normalised values'!$B$74:$AK$83,4,FALSE)</calculatedColumnFormula>
    </tableColumn>
    <tableColumn id="6" xr3:uid="{00000000-0010-0000-0600-000006000000}" name="CHG-test ND" dataDxfId="12">
      <calculatedColumnFormula>HLOOKUP(Tableau3[[#This Row],[Nom ND]],'pooled normalised values'!$B$74:$AK$83,8,FALSE)</calculatedColumnFormula>
    </tableColumn>
    <tableColumn id="8" xr3:uid="{00000000-0010-0000-0600-000008000000}" name="CHG-EQH ND" dataDxfId="11">
      <calculatedColumnFormula>VLOOKUP(Tableau3[[#This Row],[Nom ND]],'summary results'!$A$6:$N$26,9,FALSE)</calculatedColumnFormula>
    </tableColumn>
    <tableColumn id="9" xr3:uid="{00000000-0010-0000-0600-000009000000}" name="CHG-% atteinte du seuil ND" dataDxfId="10">
      <calculatedColumnFormula>VLOOKUP(Tableau3[[#This Row],[Nom ND]],'summary results'!$A$6:$N$26,11,FALSE)</calculatedColumnFormula>
    </tableColumn>
    <tableColumn id="10" xr3:uid="{00000000-0010-0000-0600-00000A000000}" name="CHG-induction D" dataDxfId="9">
      <calculatedColumnFormula>HLOOKUP(Tableau3[[#This Row],[Nom D]],'pooled normalised values'!$B$74:$AK$83,4,FALSE)</calculatedColumnFormula>
    </tableColumn>
    <tableColumn id="11" xr3:uid="{00000000-0010-0000-0600-00000B000000}" name="CHG-test D" dataDxfId="8">
      <calculatedColumnFormula>HLOOKUP(Tableau3[[#This Row],[Nom D]],'pooled normalised values'!$B$74:$AK$83,8,FALSE)</calculatedColumnFormula>
    </tableColumn>
    <tableColumn id="13" xr3:uid="{00000000-0010-0000-0600-00000D000000}" name="CHG-EQH D" dataDxfId="7">
      <calculatedColumnFormula>VLOOKUP(Tableau3[[#This Row],[Nom D]],'summary results'!$A$29:$N$51,9,FALSE)</calculatedColumnFormula>
    </tableColumn>
    <tableColumn id="14" xr3:uid="{00000000-0010-0000-0600-00000E000000}" name="CHG-% atteinte seuil D" dataDxfId="6">
      <calculatedColumnFormula>VLOOKUP(Tableau3[[#This Row],[Nom D]],'summary results'!$A$29:$N$51,11,FALSE)</calculatedColumnFormula>
    </tableColumn>
    <tableColumn id="15" xr3:uid="{00000000-0010-0000-0600-00000F000000}" name="CHG-Testo+EE2">
      <calculatedColumnFormula>'summary results'!$G$30</calculatedColumnFormula>
    </tableColumn>
    <tableColumn id="16" xr3:uid="{00000000-0010-0000-0600-000010000000}" name="CHG-Testo+Fad">
      <calculatedColumnFormula>'summary results'!$G$31</calculatedColumnFormula>
    </tableColumn>
  </tableColumns>
  <tableStyleInfo name="TableStyleLight15"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printerSettings" Target="../printerSettings/printerSettings6.bin"/><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printerSettings" Target="../printerSettings/printerSettings9.bin"/><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2.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4.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15.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6.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7.bin"/></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18.bin"/><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58"/>
  <sheetViews>
    <sheetView showGridLines="0" zoomScale="55" zoomScaleNormal="55" workbookViewId="0">
      <selection activeCell="A43" sqref="A43"/>
    </sheetView>
  </sheetViews>
  <sheetFormatPr defaultColWidth="11.42578125" defaultRowHeight="39" customHeight="1" x14ac:dyDescent="0.25"/>
  <cols>
    <col min="1" max="1" width="42" bestFit="1" customWidth="1"/>
    <col min="2" max="2" width="33.85546875" style="44" bestFit="1" customWidth="1"/>
    <col min="3" max="3" width="21.28515625" customWidth="1"/>
    <col min="4" max="4" width="30.42578125" customWidth="1"/>
    <col min="5" max="5" width="62.28515625" style="165" bestFit="1" customWidth="1"/>
    <col min="6" max="6" width="56.7109375" bestFit="1" customWidth="1"/>
    <col min="7" max="7" width="19.42578125" customWidth="1"/>
    <col min="8" max="8" width="15.28515625" customWidth="1"/>
    <col min="9" max="9" width="18" customWidth="1"/>
    <col min="10" max="10" width="19.5703125" bestFit="1" customWidth="1"/>
  </cols>
  <sheetData>
    <row r="1" spans="1:9" ht="39" customHeight="1" thickBot="1" x14ac:dyDescent="0.3">
      <c r="A1" s="203" t="s">
        <v>36</v>
      </c>
      <c r="B1" s="204"/>
      <c r="C1" s="204"/>
      <c r="D1" s="204"/>
      <c r="E1" s="204"/>
      <c r="F1" s="204"/>
      <c r="G1" s="204"/>
      <c r="H1" s="204"/>
      <c r="I1" s="205"/>
    </row>
    <row r="2" spans="1:9" ht="21" x14ac:dyDescent="0.35">
      <c r="A2" s="194" t="s">
        <v>17</v>
      </c>
      <c r="B2" s="42" t="s">
        <v>115</v>
      </c>
      <c r="C2" s="206"/>
      <c r="D2" s="207"/>
      <c r="E2" s="42" t="s">
        <v>21</v>
      </c>
      <c r="F2" s="218"/>
      <c r="G2" s="219"/>
      <c r="H2" s="219"/>
      <c r="I2" s="220"/>
    </row>
    <row r="3" spans="1:9" ht="21" x14ac:dyDescent="0.35">
      <c r="A3" s="195" t="s">
        <v>18</v>
      </c>
      <c r="B3" s="43" t="s">
        <v>115</v>
      </c>
      <c r="C3" s="208"/>
      <c r="D3" s="209"/>
      <c r="E3" s="43" t="s">
        <v>21</v>
      </c>
      <c r="F3" s="215"/>
      <c r="G3" s="216"/>
      <c r="H3" s="216"/>
      <c r="I3" s="217"/>
    </row>
    <row r="4" spans="1:9" ht="21.75" thickBot="1" x14ac:dyDescent="0.4">
      <c r="A4" s="196" t="s">
        <v>22</v>
      </c>
      <c r="B4" s="184" t="s">
        <v>115</v>
      </c>
      <c r="C4" s="210"/>
      <c r="D4" s="211"/>
      <c r="E4" s="184" t="s">
        <v>21</v>
      </c>
      <c r="F4" s="212"/>
      <c r="G4" s="213"/>
      <c r="H4" s="213"/>
      <c r="I4" s="214"/>
    </row>
    <row r="5" spans="1:9" s="1" customFormat="1" ht="65.25" customHeight="1" thickBot="1" x14ac:dyDescent="0.3">
      <c r="A5" s="203" t="s">
        <v>37</v>
      </c>
      <c r="B5" s="204"/>
      <c r="C5" s="204"/>
      <c r="D5" s="204"/>
      <c r="E5" s="204"/>
      <c r="F5" s="204"/>
      <c r="G5" s="204"/>
      <c r="H5" s="204"/>
      <c r="I5" s="205"/>
    </row>
    <row r="6" spans="1:9" s="113" customFormat="1" ht="39" customHeight="1" x14ac:dyDescent="0.35">
      <c r="A6" s="79" t="s">
        <v>35</v>
      </c>
      <c r="B6" s="104" t="s">
        <v>7</v>
      </c>
      <c r="C6" s="67" t="s">
        <v>19</v>
      </c>
      <c r="D6" s="67" t="s">
        <v>75</v>
      </c>
      <c r="E6" s="162" t="s">
        <v>51</v>
      </c>
      <c r="F6" s="112" t="s">
        <v>78</v>
      </c>
    </row>
    <row r="7" spans="1:9" s="171" customFormat="1" ht="39" customHeight="1" x14ac:dyDescent="0.35">
      <c r="A7" s="166"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Témoin solvant</v>
      </c>
      <c r="B7" s="167" t="s">
        <v>123</v>
      </c>
      <c r="C7" s="168"/>
      <c r="D7" s="169"/>
      <c r="E7" s="170" t="s">
        <v>125</v>
      </c>
      <c r="F7" s="114"/>
    </row>
    <row r="8" spans="1:9" s="171" customFormat="1" ht="39" customHeight="1" x14ac:dyDescent="0.35">
      <c r="A8" s="166"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EE2-22.5ng/L</v>
      </c>
      <c r="B8" s="167" t="s">
        <v>123</v>
      </c>
      <c r="C8" s="168">
        <v>22.5</v>
      </c>
      <c r="D8" s="169" t="s">
        <v>124</v>
      </c>
      <c r="E8" s="170" t="s">
        <v>126</v>
      </c>
      <c r="F8" s="114"/>
    </row>
    <row r="9" spans="1:9" s="171" customFormat="1" ht="39" customHeight="1" x14ac:dyDescent="0.35">
      <c r="A9" s="166"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EE2-33.8ng/L</v>
      </c>
      <c r="B9" s="167" t="s">
        <v>123</v>
      </c>
      <c r="C9" s="168">
        <v>33.799999999999997</v>
      </c>
      <c r="D9" s="169" t="s">
        <v>124</v>
      </c>
      <c r="E9" s="170" t="s">
        <v>126</v>
      </c>
      <c r="F9" s="114"/>
    </row>
    <row r="10" spans="1:9" s="171" customFormat="1" ht="39" customHeight="1" x14ac:dyDescent="0.35">
      <c r="A10" s="166"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EE2-50.6ng/L</v>
      </c>
      <c r="B10" s="167" t="s">
        <v>123</v>
      </c>
      <c r="C10" s="168">
        <v>50.6</v>
      </c>
      <c r="D10" s="169" t="s">
        <v>124</v>
      </c>
      <c r="E10" s="170" t="s">
        <v>126</v>
      </c>
      <c r="F10" s="114"/>
    </row>
    <row r="11" spans="1:9" s="171" customFormat="1" ht="39" customHeight="1" x14ac:dyDescent="0.35">
      <c r="A11" s="166"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EE2-76ng/L</v>
      </c>
      <c r="B11" s="167" t="s">
        <v>123</v>
      </c>
      <c r="C11" s="168">
        <v>76</v>
      </c>
      <c r="D11" s="169" t="s">
        <v>124</v>
      </c>
      <c r="E11" s="170" t="s">
        <v>126</v>
      </c>
      <c r="F11" s="114"/>
    </row>
    <row r="12" spans="1:9" s="171" customFormat="1" ht="39" customHeight="1" x14ac:dyDescent="0.35">
      <c r="A12" s="166"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EE2-114ng/L</v>
      </c>
      <c r="B12" s="167" t="s">
        <v>123</v>
      </c>
      <c r="C12" s="168">
        <v>114</v>
      </c>
      <c r="D12" s="169" t="s">
        <v>124</v>
      </c>
      <c r="E12" s="170" t="s">
        <v>126</v>
      </c>
      <c r="F12" s="114"/>
    </row>
    <row r="13" spans="1:9" s="171" customFormat="1" ht="39" customHeight="1" x14ac:dyDescent="0.35">
      <c r="A13" s="166"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EE2-170.9ng/L</v>
      </c>
      <c r="B13" s="167" t="s">
        <v>123</v>
      </c>
      <c r="C13" s="168">
        <v>170.9</v>
      </c>
      <c r="D13" s="169" t="s">
        <v>124</v>
      </c>
      <c r="E13" s="170" t="s">
        <v>126</v>
      </c>
      <c r="F13" s="114"/>
    </row>
    <row r="14" spans="1:9" s="171" customFormat="1" ht="39" customHeight="1" x14ac:dyDescent="0.35">
      <c r="A14" s="166"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EE2-488ng/L</v>
      </c>
      <c r="B14" s="167" t="s">
        <v>123</v>
      </c>
      <c r="C14" s="168">
        <v>488</v>
      </c>
      <c r="D14" s="169" t="s">
        <v>124</v>
      </c>
      <c r="E14" s="170" t="s">
        <v>126</v>
      </c>
      <c r="F14" s="114"/>
    </row>
    <row r="15" spans="1:9" s="171" customFormat="1" ht="39" customHeight="1" x14ac:dyDescent="0.35">
      <c r="A15" s="35" t="s">
        <v>4444</v>
      </c>
      <c r="B15" s="35"/>
      <c r="C15" s="35">
        <v>34</v>
      </c>
      <c r="D15" s="35" t="s">
        <v>124</v>
      </c>
      <c r="E15" s="35" t="s">
        <v>4449</v>
      </c>
      <c r="F15" s="114"/>
    </row>
    <row r="16" spans="1:9" s="115" customFormat="1" ht="39" customHeight="1" x14ac:dyDescent="0.25">
      <c r="A16" s="35" t="s">
        <v>4445</v>
      </c>
      <c r="B16" s="40"/>
      <c r="C16" s="109">
        <v>68</v>
      </c>
      <c r="D16" s="35" t="s">
        <v>124</v>
      </c>
      <c r="E16" s="35" t="s">
        <v>4449</v>
      </c>
      <c r="F16" s="114"/>
    </row>
    <row r="17" spans="1:6" s="115" customFormat="1" ht="39" customHeight="1" x14ac:dyDescent="0.25">
      <c r="A17" s="35" t="s">
        <v>4446</v>
      </c>
      <c r="B17" s="105"/>
      <c r="C17" s="109">
        <v>135</v>
      </c>
      <c r="D17" s="35" t="s">
        <v>124</v>
      </c>
      <c r="E17" s="35" t="s">
        <v>4449</v>
      </c>
      <c r="F17" s="114"/>
    </row>
    <row r="18" spans="1:6" s="115" customFormat="1" ht="39" customHeight="1" x14ac:dyDescent="0.25">
      <c r="A18" s="35" t="s">
        <v>4448</v>
      </c>
      <c r="B18" s="40"/>
      <c r="C18" s="109">
        <v>270</v>
      </c>
      <c r="D18" s="35" t="s">
        <v>124</v>
      </c>
      <c r="E18" s="35" t="s">
        <v>4449</v>
      </c>
      <c r="F18" s="114"/>
    </row>
    <row r="19" spans="1:6" s="115" customFormat="1" ht="39" customHeight="1" x14ac:dyDescent="0.25">
      <c r="A19" s="35" t="s">
        <v>4447</v>
      </c>
      <c r="B19" s="105"/>
      <c r="C19" s="109">
        <v>540</v>
      </c>
      <c r="D19" s="35" t="s">
        <v>124</v>
      </c>
      <c r="E19" s="35" t="s">
        <v>4449</v>
      </c>
      <c r="F19" s="114"/>
    </row>
    <row r="20" spans="1:6" s="115" customFormat="1" ht="39" customHeight="1" x14ac:dyDescent="0.25">
      <c r="A20" s="68"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0" s="40"/>
      <c r="C20" s="109"/>
      <c r="D20" s="109"/>
      <c r="E20" s="40"/>
      <c r="F20" s="114"/>
    </row>
    <row r="21" spans="1:6" s="115" customFormat="1" ht="39" customHeight="1" x14ac:dyDescent="0.25">
      <c r="A21" s="68"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1" s="105"/>
      <c r="C21" s="109"/>
      <c r="D21" s="109"/>
      <c r="E21" s="105"/>
      <c r="F21" s="114"/>
    </row>
    <row r="22" spans="1:6" s="115" customFormat="1" ht="39" customHeight="1" x14ac:dyDescent="0.25">
      <c r="A22" s="68"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2" s="40"/>
      <c r="C22" s="109"/>
      <c r="D22" s="109"/>
      <c r="E22" s="40"/>
      <c r="F22" s="114"/>
    </row>
    <row r="23" spans="1:6" s="115" customFormat="1" ht="39" customHeight="1" x14ac:dyDescent="0.25">
      <c r="A23" s="68"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3" s="105"/>
      <c r="C23" s="109"/>
      <c r="D23" s="109"/>
      <c r="E23" s="105"/>
      <c r="F23" s="114"/>
    </row>
    <row r="24" spans="1:6" s="115" customFormat="1" ht="39" customHeight="1" x14ac:dyDescent="0.25">
      <c r="A24" s="68"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4" s="40"/>
      <c r="C24" s="109"/>
      <c r="D24" s="109"/>
      <c r="E24" s="40"/>
      <c r="F24" s="114"/>
    </row>
    <row r="25" spans="1:6" s="115" customFormat="1" ht="39" customHeight="1" x14ac:dyDescent="0.25">
      <c r="A25" s="68"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5" s="105"/>
      <c r="C25" s="109"/>
      <c r="D25" s="109"/>
      <c r="E25" s="105"/>
      <c r="F25" s="114"/>
    </row>
    <row r="26" spans="1:6" s="115" customFormat="1" ht="39" customHeight="1" x14ac:dyDescent="0.25">
      <c r="A26" s="68"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6" s="40"/>
      <c r="C26" s="109"/>
      <c r="D26" s="109"/>
      <c r="E26" s="40"/>
      <c r="F26" s="114"/>
    </row>
    <row r="27" spans="1:6" s="115" customFormat="1" ht="39" customHeight="1" x14ac:dyDescent="0.25">
      <c r="A27" s="68"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7" s="105"/>
      <c r="C27" s="109"/>
      <c r="D27" s="109"/>
      <c r="E27" s="105"/>
      <c r="F27" s="114"/>
    </row>
    <row r="28" spans="1:6" s="115" customFormat="1" ht="39" customHeight="1" x14ac:dyDescent="0.25">
      <c r="A28" s="68"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8" s="40"/>
      <c r="C28" s="109"/>
      <c r="D28" s="109"/>
      <c r="E28" s="40"/>
      <c r="F28" s="114"/>
    </row>
    <row r="29" spans="1:6" s="115" customFormat="1" ht="39" customHeight="1" x14ac:dyDescent="0.25">
      <c r="A29" s="68"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9" s="105"/>
      <c r="C29" s="109"/>
      <c r="D29" s="109"/>
      <c r="E29" s="105"/>
      <c r="F29" s="114"/>
    </row>
    <row r="30" spans="1:6" s="115" customFormat="1" ht="39" customHeight="1" x14ac:dyDescent="0.25">
      <c r="A30" s="68"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0" s="40"/>
      <c r="C30" s="109"/>
      <c r="D30" s="118"/>
      <c r="E30" s="40"/>
      <c r="F30" s="114"/>
    </row>
    <row r="31" spans="1:6" s="115" customFormat="1" ht="39" customHeight="1" x14ac:dyDescent="0.25">
      <c r="A31" s="68"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1" s="105"/>
      <c r="C31" s="109"/>
      <c r="D31" s="118"/>
      <c r="E31" s="105"/>
      <c r="F31" s="114"/>
    </row>
    <row r="32" spans="1:6" s="115" customFormat="1" ht="39" customHeight="1" x14ac:dyDescent="0.25">
      <c r="A32" s="68"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2" s="40"/>
      <c r="C32" s="109"/>
      <c r="D32" s="118"/>
      <c r="E32" s="40"/>
      <c r="F32" s="114"/>
    </row>
    <row r="33" spans="1:6" s="115" customFormat="1" ht="39" customHeight="1" x14ac:dyDescent="0.25">
      <c r="A33" s="68"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3" s="105"/>
      <c r="C33" s="109"/>
      <c r="D33" s="118"/>
      <c r="E33" s="105"/>
      <c r="F33" s="114"/>
    </row>
    <row r="34" spans="1:6" s="115" customFormat="1" ht="39" customHeight="1" x14ac:dyDescent="0.25">
      <c r="A34" s="68"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4" s="40"/>
      <c r="C34" s="109"/>
      <c r="D34" s="118"/>
      <c r="E34" s="40"/>
      <c r="F34" s="114"/>
    </row>
    <row r="35" spans="1:6" s="115" customFormat="1" ht="39" customHeight="1" thickBot="1" x14ac:dyDescent="0.3">
      <c r="A35" s="76"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5" s="172"/>
      <c r="C35" s="173"/>
      <c r="D35" s="119"/>
      <c r="E35" s="172"/>
      <c r="F35" s="114"/>
    </row>
    <row r="36" spans="1:6" s="115" customFormat="1" ht="39" customHeight="1" x14ac:dyDescent="0.25">
      <c r="A36" s="1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v>
      </c>
      <c r="B36" s="106" t="s">
        <v>123</v>
      </c>
      <c r="C36" s="110">
        <v>30</v>
      </c>
      <c r="D36" s="120" t="s">
        <v>127</v>
      </c>
      <c r="E36" s="163" t="s">
        <v>20</v>
      </c>
      <c r="F36" s="175"/>
    </row>
    <row r="37" spans="1:6" s="115" customFormat="1" ht="39" customHeight="1" x14ac:dyDescent="0.25">
      <c r="A37" s="176"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 + EE2 -64ng/L</v>
      </c>
      <c r="B37" s="107" t="s">
        <v>123</v>
      </c>
      <c r="C37" s="111">
        <v>64</v>
      </c>
      <c r="D37" s="121" t="s">
        <v>124</v>
      </c>
      <c r="E37" s="164" t="s">
        <v>128</v>
      </c>
      <c r="F37" s="177"/>
    </row>
    <row r="38" spans="1:6" s="115" customFormat="1" ht="39" customHeight="1" thickBot="1" x14ac:dyDescent="0.3">
      <c r="A38" s="178"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 + FAD-10mg/L</v>
      </c>
      <c r="B38" s="179" t="s">
        <v>123</v>
      </c>
      <c r="C38" s="180">
        <v>10</v>
      </c>
      <c r="D38" s="181" t="s">
        <v>129</v>
      </c>
      <c r="E38" s="182" t="s">
        <v>130</v>
      </c>
      <c r="F38" s="183"/>
    </row>
    <row r="39" spans="1:6" s="115" customFormat="1" ht="39" customHeight="1" x14ac:dyDescent="0.25">
      <c r="A39" s="5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estradiol-34ng/L + Testostérone</v>
      </c>
      <c r="B39" s="197">
        <f>B15</f>
        <v>0</v>
      </c>
      <c r="C39" s="197">
        <f t="shared" ref="C39:E39" si="0">C15</f>
        <v>34</v>
      </c>
      <c r="D39" s="197" t="str">
        <f t="shared" si="0"/>
        <v>ng/L</v>
      </c>
      <c r="E39" s="197" t="str">
        <f t="shared" si="0"/>
        <v>estradiol</v>
      </c>
      <c r="F39" s="116" t="s">
        <v>50</v>
      </c>
    </row>
    <row r="40" spans="1:6" s="115" customFormat="1" ht="39" customHeight="1" x14ac:dyDescent="0.25">
      <c r="A40" s="77"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estradiol-68ng/L + Testostérone</v>
      </c>
      <c r="B40" s="199">
        <f t="shared" ref="B40:E40" si="1">B16</f>
        <v>0</v>
      </c>
      <c r="C40" s="199">
        <f t="shared" si="1"/>
        <v>68</v>
      </c>
      <c r="D40" s="199" t="str">
        <f t="shared" si="1"/>
        <v>ng/L</v>
      </c>
      <c r="E40" s="199" t="str">
        <f t="shared" si="1"/>
        <v>estradiol</v>
      </c>
      <c r="F40" s="117" t="s">
        <v>50</v>
      </c>
    </row>
    <row r="41" spans="1:6" s="115" customFormat="1" ht="39" customHeight="1" x14ac:dyDescent="0.25">
      <c r="A41" s="77"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estradiol-135ng/L + Testostérone</v>
      </c>
      <c r="B41" s="199">
        <f t="shared" ref="B41:E41" si="2">B17</f>
        <v>0</v>
      </c>
      <c r="C41" s="199">
        <f t="shared" si="2"/>
        <v>135</v>
      </c>
      <c r="D41" s="199" t="str">
        <f t="shared" si="2"/>
        <v>ng/L</v>
      </c>
      <c r="E41" s="199" t="str">
        <f t="shared" si="2"/>
        <v>estradiol</v>
      </c>
      <c r="F41" s="117" t="s">
        <v>50</v>
      </c>
    </row>
    <row r="42" spans="1:6" s="115" customFormat="1" ht="39" customHeight="1" x14ac:dyDescent="0.25">
      <c r="A42" s="77"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estradiol-270ng/L + Testostérone</v>
      </c>
      <c r="B42" s="199">
        <f t="shared" ref="B42:E42" si="3">B18</f>
        <v>0</v>
      </c>
      <c r="C42" s="199">
        <f t="shared" si="3"/>
        <v>270</v>
      </c>
      <c r="D42" s="199" t="str">
        <f t="shared" si="3"/>
        <v>ng/L</v>
      </c>
      <c r="E42" s="199" t="str">
        <f t="shared" si="3"/>
        <v>estradiol</v>
      </c>
      <c r="F42" s="117" t="s">
        <v>50</v>
      </c>
    </row>
    <row r="43" spans="1:6" s="115" customFormat="1" ht="39" customHeight="1" x14ac:dyDescent="0.25">
      <c r="A43" s="77"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estradiol-540ng/L + Testostérone</v>
      </c>
      <c r="B43" s="199">
        <f t="shared" ref="B43:E43" si="4">B19</f>
        <v>0</v>
      </c>
      <c r="C43" s="199">
        <f t="shared" si="4"/>
        <v>540</v>
      </c>
      <c r="D43" s="199" t="str">
        <f t="shared" si="4"/>
        <v>ng/L</v>
      </c>
      <c r="E43" s="199" t="str">
        <f t="shared" si="4"/>
        <v>estradiol</v>
      </c>
      <c r="F43" s="117" t="s">
        <v>50</v>
      </c>
    </row>
    <row r="44" spans="1:6" s="115" customFormat="1" ht="39" customHeight="1" x14ac:dyDescent="0.25">
      <c r="A44" s="77"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4" s="199">
        <f t="shared" ref="B44:E44" si="5">B20</f>
        <v>0</v>
      </c>
      <c r="C44" s="199">
        <f t="shared" si="5"/>
        <v>0</v>
      </c>
      <c r="D44" s="199">
        <f t="shared" si="5"/>
        <v>0</v>
      </c>
      <c r="E44" s="199">
        <f t="shared" si="5"/>
        <v>0</v>
      </c>
      <c r="F44" s="117" t="s">
        <v>50</v>
      </c>
    </row>
    <row r="45" spans="1:6" s="115" customFormat="1" ht="39" customHeight="1" x14ac:dyDescent="0.25">
      <c r="A45" s="77"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5" s="199">
        <f t="shared" ref="B45:E45" si="6">B21</f>
        <v>0</v>
      </c>
      <c r="C45" s="199">
        <f t="shared" si="6"/>
        <v>0</v>
      </c>
      <c r="D45" s="199">
        <f t="shared" si="6"/>
        <v>0</v>
      </c>
      <c r="E45" s="199">
        <f t="shared" si="6"/>
        <v>0</v>
      </c>
      <c r="F45" s="117" t="s">
        <v>50</v>
      </c>
    </row>
    <row r="46" spans="1:6" s="115" customFormat="1" ht="39" customHeight="1" x14ac:dyDescent="0.25">
      <c r="A46" s="77"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6" s="199">
        <f t="shared" ref="B46:E46" si="7">B22</f>
        <v>0</v>
      </c>
      <c r="C46" s="199">
        <f t="shared" si="7"/>
        <v>0</v>
      </c>
      <c r="D46" s="199">
        <f t="shared" si="7"/>
        <v>0</v>
      </c>
      <c r="E46" s="199">
        <f t="shared" si="7"/>
        <v>0</v>
      </c>
      <c r="F46" s="117" t="s">
        <v>50</v>
      </c>
    </row>
    <row r="47" spans="1:6" s="115" customFormat="1" ht="39" customHeight="1" x14ac:dyDescent="0.25">
      <c r="A47" s="77"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7" s="199">
        <f t="shared" ref="B47:E47" si="8">B23</f>
        <v>0</v>
      </c>
      <c r="C47" s="199">
        <f t="shared" si="8"/>
        <v>0</v>
      </c>
      <c r="D47" s="199">
        <f t="shared" si="8"/>
        <v>0</v>
      </c>
      <c r="E47" s="199">
        <f t="shared" si="8"/>
        <v>0</v>
      </c>
      <c r="F47" s="117" t="s">
        <v>50</v>
      </c>
    </row>
    <row r="48" spans="1:6" s="115" customFormat="1" ht="39" customHeight="1" x14ac:dyDescent="0.25">
      <c r="A48" s="77"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8" s="199">
        <f t="shared" ref="B48:E48" si="9">B24</f>
        <v>0</v>
      </c>
      <c r="C48" s="199">
        <f t="shared" si="9"/>
        <v>0</v>
      </c>
      <c r="D48" s="199">
        <f t="shared" si="9"/>
        <v>0</v>
      </c>
      <c r="E48" s="199">
        <f t="shared" si="9"/>
        <v>0</v>
      </c>
      <c r="F48" s="117" t="s">
        <v>50</v>
      </c>
    </row>
    <row r="49" spans="1:6" s="115" customFormat="1" ht="39" customHeight="1" x14ac:dyDescent="0.25">
      <c r="A49" s="77"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9" s="199">
        <f t="shared" ref="B49:E49" si="10">B25</f>
        <v>0</v>
      </c>
      <c r="C49" s="199">
        <f t="shared" si="10"/>
        <v>0</v>
      </c>
      <c r="D49" s="199">
        <f t="shared" si="10"/>
        <v>0</v>
      </c>
      <c r="E49" s="199">
        <f t="shared" si="10"/>
        <v>0</v>
      </c>
      <c r="F49" s="117" t="s">
        <v>50</v>
      </c>
    </row>
    <row r="50" spans="1:6" s="115" customFormat="1" ht="39" customHeight="1" x14ac:dyDescent="0.25">
      <c r="A50" s="77"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0" s="199">
        <f t="shared" ref="B50:E50" si="11">B26</f>
        <v>0</v>
      </c>
      <c r="C50" s="199">
        <f t="shared" si="11"/>
        <v>0</v>
      </c>
      <c r="D50" s="199">
        <f t="shared" si="11"/>
        <v>0</v>
      </c>
      <c r="E50" s="199">
        <f t="shared" si="11"/>
        <v>0</v>
      </c>
      <c r="F50" s="117" t="s">
        <v>50</v>
      </c>
    </row>
    <row r="51" spans="1:6" s="115" customFormat="1" ht="39" customHeight="1" x14ac:dyDescent="0.25">
      <c r="A51" s="77"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1" s="199">
        <f t="shared" ref="B51:E51" si="12">B27</f>
        <v>0</v>
      </c>
      <c r="C51" s="199">
        <f t="shared" si="12"/>
        <v>0</v>
      </c>
      <c r="D51" s="199">
        <f t="shared" si="12"/>
        <v>0</v>
      </c>
      <c r="E51" s="199">
        <f t="shared" si="12"/>
        <v>0</v>
      </c>
      <c r="F51" s="117" t="s">
        <v>50</v>
      </c>
    </row>
    <row r="52" spans="1:6" s="115" customFormat="1" ht="39" customHeight="1" x14ac:dyDescent="0.25">
      <c r="A52" s="77"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2" s="199">
        <f t="shared" ref="B52:E52" si="13">B28</f>
        <v>0</v>
      </c>
      <c r="C52" s="199">
        <f t="shared" si="13"/>
        <v>0</v>
      </c>
      <c r="D52" s="199">
        <f t="shared" si="13"/>
        <v>0</v>
      </c>
      <c r="E52" s="199">
        <f t="shared" si="13"/>
        <v>0</v>
      </c>
      <c r="F52" s="117" t="s">
        <v>50</v>
      </c>
    </row>
    <row r="53" spans="1:6" s="115" customFormat="1" ht="39" customHeight="1" x14ac:dyDescent="0.25">
      <c r="A53" s="77"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3" s="199">
        <f t="shared" ref="B53:E53" si="14">B29</f>
        <v>0</v>
      </c>
      <c r="C53" s="199">
        <f t="shared" si="14"/>
        <v>0</v>
      </c>
      <c r="D53" s="199">
        <f t="shared" si="14"/>
        <v>0</v>
      </c>
      <c r="E53" s="199">
        <f t="shared" si="14"/>
        <v>0</v>
      </c>
      <c r="F53" s="117" t="s">
        <v>50</v>
      </c>
    </row>
    <row r="54" spans="1:6" s="115" customFormat="1" ht="39" customHeight="1" x14ac:dyDescent="0.25">
      <c r="A54" s="77"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4" s="199">
        <f t="shared" ref="B54:E54" si="15">B30</f>
        <v>0</v>
      </c>
      <c r="C54" s="199">
        <f t="shared" si="15"/>
        <v>0</v>
      </c>
      <c r="D54" s="199">
        <f t="shared" si="15"/>
        <v>0</v>
      </c>
      <c r="E54" s="199">
        <f t="shared" si="15"/>
        <v>0</v>
      </c>
      <c r="F54" s="117" t="s">
        <v>50</v>
      </c>
    </row>
    <row r="55" spans="1:6" s="115" customFormat="1" ht="39" customHeight="1" x14ac:dyDescent="0.25">
      <c r="A55" s="77"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5" s="199">
        <f t="shared" ref="B55:E55" si="16">B31</f>
        <v>0</v>
      </c>
      <c r="C55" s="199">
        <f t="shared" si="16"/>
        <v>0</v>
      </c>
      <c r="D55" s="199">
        <f t="shared" si="16"/>
        <v>0</v>
      </c>
      <c r="E55" s="199">
        <f t="shared" si="16"/>
        <v>0</v>
      </c>
      <c r="F55" s="117" t="s">
        <v>50</v>
      </c>
    </row>
    <row r="56" spans="1:6" s="115" customFormat="1" ht="39" customHeight="1" x14ac:dyDescent="0.25">
      <c r="A56" s="77"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6" s="199">
        <f t="shared" ref="B56:E56" si="17">B32</f>
        <v>0</v>
      </c>
      <c r="C56" s="199">
        <f t="shared" si="17"/>
        <v>0</v>
      </c>
      <c r="D56" s="199">
        <f t="shared" si="17"/>
        <v>0</v>
      </c>
      <c r="E56" s="199">
        <f t="shared" si="17"/>
        <v>0</v>
      </c>
      <c r="F56" s="117" t="s">
        <v>50</v>
      </c>
    </row>
    <row r="57" spans="1:6" s="115" customFormat="1" ht="39" customHeight="1" x14ac:dyDescent="0.25">
      <c r="A57" s="77"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7" s="199">
        <f t="shared" ref="B57:E57" si="18">B33</f>
        <v>0</v>
      </c>
      <c r="C57" s="199">
        <f t="shared" si="18"/>
        <v>0</v>
      </c>
      <c r="D57" s="199">
        <f t="shared" si="18"/>
        <v>0</v>
      </c>
      <c r="E57" s="199">
        <f t="shared" si="18"/>
        <v>0</v>
      </c>
      <c r="F57" s="117" t="s">
        <v>50</v>
      </c>
    </row>
    <row r="58" spans="1:6" s="115" customFormat="1" ht="39" customHeight="1" x14ac:dyDescent="0.25">
      <c r="A58" s="108"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8" s="198">
        <f t="shared" ref="B58:E58" si="19">B34</f>
        <v>0</v>
      </c>
      <c r="C58" s="198">
        <f t="shared" si="19"/>
        <v>0</v>
      </c>
      <c r="D58" s="198">
        <f t="shared" si="19"/>
        <v>0</v>
      </c>
      <c r="E58" s="198">
        <f t="shared" si="19"/>
        <v>0</v>
      </c>
      <c r="F58" s="117" t="s">
        <v>50</v>
      </c>
    </row>
  </sheetData>
  <protectedRanges>
    <protectedRange sqref="C20:D38 A20:A52 C16:C19" name="Plage1_1"/>
  </protectedRanges>
  <mergeCells count="8">
    <mergeCell ref="A5:I5"/>
    <mergeCell ref="A1:I1"/>
    <mergeCell ref="C2:D2"/>
    <mergeCell ref="C3:D3"/>
    <mergeCell ref="C4:D4"/>
    <mergeCell ref="F4:I4"/>
    <mergeCell ref="F3:I3"/>
    <mergeCell ref="F2:I2"/>
  </mergeCells>
  <dataValidations count="1">
    <dataValidation type="custom" allowBlank="1" showInputMessage="1" showErrorMessage="1" sqref="A19 E7:E38" xr:uid="{E0A8F951-ED76-4488-98E3-F13AD7875916}">
      <formula1>ISERROR(SEARCH("-",A7))=TRUE</formula1>
    </dataValidation>
  </dataValidations>
  <pageMargins left="0.7" right="0.7" top="0.75" bottom="0.75" header="0.3" footer="0.3"/>
  <pageSetup paperSize="9" scale="25" orientation="landscape" r:id="rId1"/>
  <headerFooter>
    <oddHeader>&amp;C&amp;"-,Gras"&amp;20Résultats&amp;R&amp;"-,Gras"&amp;20Page : &amp;P/&amp;P</oddHeader>
    <oddFooter>&amp;C&amp;1#&amp;"Arial"&amp;10&amp;K000000Internal</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
  <sheetViews>
    <sheetView workbookViewId="0">
      <selection activeCell="D12" sqref="D12"/>
    </sheetView>
  </sheetViews>
  <sheetFormatPr defaultColWidth="11.42578125" defaultRowHeight="15" x14ac:dyDescent="0.25"/>
  <cols>
    <col min="1" max="1" width="14.140625" customWidth="1"/>
    <col min="2" max="2" width="14" customWidth="1"/>
    <col min="3" max="3" width="11.5703125" customWidth="1"/>
    <col min="4" max="4" width="12.42578125" customWidth="1"/>
    <col min="5" max="5" width="17.28515625" customWidth="1"/>
    <col min="7" max="7" width="19.5703125" customWidth="1"/>
    <col min="9" max="9" width="15.7109375" customWidth="1"/>
  </cols>
  <sheetData>
    <row r="1" spans="1:9" x14ac:dyDescent="0.25">
      <c r="A1" t="s">
        <v>107</v>
      </c>
      <c r="B1" t="s">
        <v>108</v>
      </c>
      <c r="C1" t="s">
        <v>109</v>
      </c>
      <c r="D1" t="s">
        <v>110</v>
      </c>
      <c r="E1" t="s">
        <v>111</v>
      </c>
      <c r="F1" t="s">
        <v>112</v>
      </c>
      <c r="G1" t="s">
        <v>113</v>
      </c>
      <c r="H1" t="s">
        <v>117</v>
      </c>
      <c r="I1" t="s">
        <v>118</v>
      </c>
    </row>
    <row r="2" spans="1:9" x14ac:dyDescent="0.25">
      <c r="A2" t="s">
        <v>153</v>
      </c>
      <c r="B2" t="s">
        <v>164</v>
      </c>
      <c r="C2" t="s">
        <v>144</v>
      </c>
      <c r="D2" t="s">
        <v>147</v>
      </c>
      <c r="E2" t="s">
        <v>148</v>
      </c>
      <c r="F2" t="s">
        <v>112</v>
      </c>
      <c r="G2">
        <v>360268</v>
      </c>
    </row>
    <row r="3" spans="1:9" x14ac:dyDescent="0.25">
      <c r="A3" t="s">
        <v>153</v>
      </c>
      <c r="B3" t="s">
        <v>164</v>
      </c>
      <c r="C3" t="s">
        <v>145</v>
      </c>
      <c r="D3" t="s">
        <v>149</v>
      </c>
      <c r="E3" t="s">
        <v>150</v>
      </c>
      <c r="F3" t="s">
        <v>112</v>
      </c>
      <c r="G3">
        <v>372315</v>
      </c>
    </row>
    <row r="4" spans="1:9" x14ac:dyDescent="0.25">
      <c r="A4" t="s">
        <v>153</v>
      </c>
      <c r="B4" t="s">
        <v>164</v>
      </c>
      <c r="C4" t="s">
        <v>146</v>
      </c>
      <c r="D4" t="s">
        <v>151</v>
      </c>
      <c r="E4" t="s">
        <v>152</v>
      </c>
      <c r="F4" t="s">
        <v>112</v>
      </c>
      <c r="G4">
        <v>237626</v>
      </c>
    </row>
    <row r="5" spans="1:9" x14ac:dyDescent="0.25">
      <c r="A5" t="s">
        <v>153</v>
      </c>
      <c r="B5" t="s">
        <v>164</v>
      </c>
      <c r="C5" t="s">
        <v>161</v>
      </c>
      <c r="D5" t="s">
        <v>162</v>
      </c>
      <c r="E5" t="s">
        <v>163</v>
      </c>
      <c r="F5" t="s">
        <v>112</v>
      </c>
      <c r="G5">
        <v>1439015</v>
      </c>
    </row>
    <row r="6" spans="1:9" x14ac:dyDescent="0.25">
      <c r="A6" t="s">
        <v>153</v>
      </c>
      <c r="B6" t="s">
        <v>164</v>
      </c>
      <c r="C6" t="s">
        <v>158</v>
      </c>
      <c r="D6" t="s">
        <v>159</v>
      </c>
      <c r="E6" t="s">
        <v>160</v>
      </c>
      <c r="F6" t="s">
        <v>112</v>
      </c>
      <c r="G6">
        <v>1433586</v>
      </c>
    </row>
    <row r="7" spans="1:9" x14ac:dyDescent="0.25">
      <c r="A7" t="s">
        <v>153</v>
      </c>
      <c r="B7" t="s">
        <v>164</v>
      </c>
      <c r="C7" t="s">
        <v>155</v>
      </c>
      <c r="D7" t="s">
        <v>156</v>
      </c>
      <c r="E7" t="s">
        <v>157</v>
      </c>
      <c r="F7" t="s">
        <v>112</v>
      </c>
      <c r="G7">
        <v>1115346</v>
      </c>
    </row>
  </sheetData>
  <pageMargins left="0.7" right="0.7" top="0.75" bottom="0.75" header="0.3" footer="0.3"/>
  <pageSetup paperSize="9" orientation="portrait" horizontalDpi="300" verticalDpi="300" r:id="rId1"/>
  <headerFooter>
    <oddFooter>&amp;C&amp;1#&amp;"Arial"&amp;10&amp;K000000Internal</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N1557"/>
  <sheetViews>
    <sheetView showGridLines="0" zoomScale="70" zoomScaleNormal="70" workbookViewId="0">
      <selection activeCell="Z5" sqref="Z5:AD12"/>
    </sheetView>
  </sheetViews>
  <sheetFormatPr defaultColWidth="11.42578125" defaultRowHeight="15" x14ac:dyDescent="0.25"/>
  <cols>
    <col min="1" max="1" width="15" style="1" customWidth="1"/>
    <col min="2" max="2" width="26.5703125" style="1" customWidth="1"/>
    <col min="3" max="3" width="87.140625" style="1" bestFit="1" customWidth="1"/>
    <col min="4" max="4" width="14" style="1" customWidth="1"/>
    <col min="5" max="5" width="21.140625" style="1" customWidth="1"/>
    <col min="6" max="6" width="11.42578125" style="1"/>
    <col min="7" max="7" width="21.42578125" style="1" customWidth="1"/>
    <col min="8" max="8" width="12.28515625" style="1" customWidth="1"/>
    <col min="9" max="9" width="17.140625" style="1" customWidth="1"/>
    <col min="10" max="10" width="11.42578125" style="1"/>
    <col min="11" max="11" width="5.42578125" style="1" customWidth="1"/>
    <col min="12" max="12" width="15.42578125" style="1" customWidth="1"/>
    <col min="13" max="14" width="12.85546875" style="1" customWidth="1"/>
    <col min="15" max="20" width="12.28515625" style="1" customWidth="1"/>
    <col min="21" max="21" width="17.42578125" style="1" customWidth="1"/>
    <col min="22" max="25" width="12.28515625" style="1" customWidth="1"/>
    <col min="26" max="27" width="15.5703125" style="1" customWidth="1"/>
    <col min="28" max="28" width="14.28515625" style="1" customWidth="1"/>
    <col min="29" max="16384" width="11.42578125" style="1"/>
  </cols>
  <sheetData>
    <row r="1" spans="1:144" x14ac:dyDescent="0.25">
      <c r="A1" s="1" t="s">
        <v>107</v>
      </c>
      <c r="B1" s="1" t="s">
        <v>108</v>
      </c>
      <c r="C1" s="1" t="s">
        <v>109</v>
      </c>
      <c r="D1" s="1" t="s">
        <v>110</v>
      </c>
      <c r="E1" s="1" t="s">
        <v>111</v>
      </c>
      <c r="F1" s="1" t="s">
        <v>112</v>
      </c>
      <c r="G1" s="1" t="s">
        <v>113</v>
      </c>
      <c r="H1" s="1" t="s">
        <v>117</v>
      </c>
      <c r="I1" s="1" t="s">
        <v>118</v>
      </c>
      <c r="J1" s="1" t="s">
        <v>1677</v>
      </c>
      <c r="K1" s="122"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25">
      <c r="A2" s="1" t="str">
        <f t="shared" ref="A2:A65" si="0">IFERROR(LEFT(RIGHT(C2,LEN(C2)-SEARCH("@",C2)),SEARCH("/",RIGHT(C2,LEN(C2)-SEARCH("@",C2)-1))),"")</f>
        <v>1</v>
      </c>
      <c r="B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 s="1" t="s">
        <v>166</v>
      </c>
      <c r="D2" s="1" t="s">
        <v>167</v>
      </c>
      <c r="E2" s="1" t="s">
        <v>168</v>
      </c>
      <c r="F2" s="1" t="s">
        <v>112</v>
      </c>
      <c r="G2" s="1">
        <v>368660</v>
      </c>
      <c r="K2" s="161" t="s">
        <v>120</v>
      </c>
      <c r="L2" s="161"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25">
      <c r="A3" s="1" t="str">
        <f t="shared" si="0"/>
        <v>1</v>
      </c>
      <c r="B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 s="1" t="s">
        <v>169</v>
      </c>
      <c r="D3" s="1" t="s">
        <v>170</v>
      </c>
      <c r="E3" s="1" t="s">
        <v>171</v>
      </c>
      <c r="F3" s="1" t="s">
        <v>112</v>
      </c>
      <c r="G3" s="1">
        <v>106808</v>
      </c>
      <c r="K3" s="122" t="s">
        <v>154</v>
      </c>
      <c r="L3" s="122"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25">
      <c r="A4" s="1" t="str">
        <f t="shared" si="0"/>
        <v>1</v>
      </c>
      <c r="B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 s="1" t="s">
        <v>172</v>
      </c>
      <c r="D4" s="1" t="s">
        <v>173</v>
      </c>
      <c r="E4" s="1" t="s">
        <v>174</v>
      </c>
      <c r="F4" s="1" t="s">
        <v>112</v>
      </c>
      <c r="G4" s="1">
        <v>154026</v>
      </c>
      <c r="K4" s="122" t="s">
        <v>100</v>
      </c>
      <c r="L4" s="1" t="s">
        <v>1678</v>
      </c>
      <c r="M4" s="1" t="s">
        <v>1679</v>
      </c>
      <c r="N4" s="1" t="s">
        <v>1680</v>
      </c>
      <c r="O4" s="1" t="s">
        <v>1681</v>
      </c>
      <c r="P4" s="1" t="s">
        <v>1682</v>
      </c>
      <c r="Q4" s="1" t="s">
        <v>1683</v>
      </c>
      <c r="R4" s="1" t="s">
        <v>1684</v>
      </c>
      <c r="S4" s="1" t="s">
        <v>1685</v>
      </c>
      <c r="T4" s="1" t="s">
        <v>1686</v>
      </c>
      <c r="U4" s="1" t="s">
        <v>1687</v>
      </c>
      <c r="V4" s="1" t="s">
        <v>1688</v>
      </c>
      <c r="W4" s="1" t="s">
        <v>1689</v>
      </c>
      <c r="X4" s="1" t="s">
        <v>1690</v>
      </c>
      <c r="Y4" s="1" t="s">
        <v>1691</v>
      </c>
      <c r="Z4" s="1" t="s">
        <v>1692</v>
      </c>
      <c r="AA4" s="1" t="s">
        <v>1693</v>
      </c>
      <c r="AB4" s="1" t="s">
        <v>1694</v>
      </c>
      <c r="AC4" s="1" t="s">
        <v>1695</v>
      </c>
      <c r="AD4" s="1" t="s">
        <v>1696</v>
      </c>
      <c r="AE4" s="1" t="s">
        <v>1697</v>
      </c>
      <c r="AF4" s="1" t="s">
        <v>1698</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25">
      <c r="A5" s="1" t="str">
        <f t="shared" si="0"/>
        <v>1</v>
      </c>
      <c r="B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 s="1" t="s">
        <v>175</v>
      </c>
      <c r="D5" s="1" t="s">
        <v>176</v>
      </c>
      <c r="E5" s="1" t="s">
        <v>177</v>
      </c>
      <c r="F5" s="1" t="s">
        <v>112</v>
      </c>
      <c r="G5" s="1">
        <v>147646</v>
      </c>
      <c r="K5" s="149" t="s">
        <v>164</v>
      </c>
      <c r="L5" s="44">
        <v>209831.33333333334</v>
      </c>
      <c r="M5" s="44">
        <v>1690989</v>
      </c>
      <c r="N5" s="44">
        <v>69677</v>
      </c>
      <c r="O5" s="44">
        <v>5102852.333333333</v>
      </c>
      <c r="P5" s="44">
        <v>50181.333333333336</v>
      </c>
      <c r="Q5" s="44">
        <v>249277.33333333334</v>
      </c>
      <c r="R5" s="44">
        <v>151596.66666666666</v>
      </c>
      <c r="S5" s="44">
        <v>575607.33333333337</v>
      </c>
      <c r="T5" s="44">
        <v>2841245.6666666665</v>
      </c>
      <c r="U5" s="44">
        <v>3057292</v>
      </c>
      <c r="V5" s="44">
        <v>4148181</v>
      </c>
      <c r="W5" s="44">
        <v>531028.33333333337</v>
      </c>
      <c r="X5" s="44">
        <v>2635033.3333333335</v>
      </c>
      <c r="Y5" s="44">
        <v>3446053.3333333335</v>
      </c>
      <c r="Z5" s="44">
        <v>3529126.3333333335</v>
      </c>
      <c r="AA5" s="44">
        <v>2898362.6666666665</v>
      </c>
      <c r="AB5" s="44">
        <v>3659389</v>
      </c>
      <c r="AC5" s="44">
        <v>4697248.666666667</v>
      </c>
      <c r="AD5" s="44">
        <v>6149141.333333333</v>
      </c>
      <c r="AE5" s="44">
        <v>273380</v>
      </c>
      <c r="AF5" s="44">
        <v>134869.33333333334</v>
      </c>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25">
      <c r="A6" s="1" t="str">
        <f t="shared" si="0"/>
        <v>1</v>
      </c>
      <c r="B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 s="1" t="s">
        <v>178</v>
      </c>
      <c r="D6" s="1" t="s">
        <v>179</v>
      </c>
      <c r="E6" s="1" t="s">
        <v>180</v>
      </c>
      <c r="F6" s="1" t="s">
        <v>112</v>
      </c>
      <c r="G6" s="1">
        <v>231159</v>
      </c>
      <c r="K6" s="149" t="s">
        <v>1699</v>
      </c>
      <c r="L6" s="44">
        <v>216753.33333333334</v>
      </c>
      <c r="M6" s="44">
        <v>72424</v>
      </c>
      <c r="N6" s="44">
        <v>67434.666666666672</v>
      </c>
      <c r="O6" s="44">
        <v>4121381.3333333335</v>
      </c>
      <c r="P6" s="44">
        <v>133059.66666666666</v>
      </c>
      <c r="Q6" s="44">
        <v>39035</v>
      </c>
      <c r="R6" s="44">
        <v>98070</v>
      </c>
      <c r="S6" s="44">
        <v>1837502.5</v>
      </c>
      <c r="T6" s="44">
        <v>1625371</v>
      </c>
      <c r="U6" s="44">
        <v>458013.33333333331</v>
      </c>
      <c r="V6" s="44">
        <v>3753572.6666666665</v>
      </c>
      <c r="W6" s="44">
        <v>2517229.3333333335</v>
      </c>
      <c r="X6" s="44">
        <v>2034263</v>
      </c>
      <c r="Y6" s="44">
        <v>4096781.3333333335</v>
      </c>
      <c r="Z6" s="44">
        <v>2876328.6666666665</v>
      </c>
      <c r="AA6" s="44">
        <v>1725957</v>
      </c>
      <c r="AB6" s="44">
        <v>729057</v>
      </c>
      <c r="AC6" s="44">
        <v>3198037.6666666665</v>
      </c>
      <c r="AD6" s="44">
        <v>5061720</v>
      </c>
      <c r="AE6" s="44">
        <v>122079.33333333333</v>
      </c>
      <c r="AF6" s="44">
        <v>167026</v>
      </c>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25">
      <c r="A7" s="1" t="str">
        <f t="shared" si="0"/>
        <v>1</v>
      </c>
      <c r="B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 s="1" t="s">
        <v>181</v>
      </c>
      <c r="D7" s="1" t="s">
        <v>182</v>
      </c>
      <c r="E7" s="1" t="s">
        <v>183</v>
      </c>
      <c r="F7" s="1" t="s">
        <v>112</v>
      </c>
      <c r="G7" s="1">
        <v>271455</v>
      </c>
      <c r="K7" s="149" t="s">
        <v>1700</v>
      </c>
      <c r="L7" s="44">
        <v>419093.66666666669</v>
      </c>
      <c r="M7" s="44">
        <v>1480696</v>
      </c>
      <c r="N7" s="44">
        <v>1772274.3333333333</v>
      </c>
      <c r="O7" s="44">
        <v>3965228.6666666665</v>
      </c>
      <c r="P7" s="44">
        <v>87741.5</v>
      </c>
      <c r="Q7" s="44">
        <v>158482.33333333334</v>
      </c>
      <c r="R7" s="44">
        <v>200970.66666666666</v>
      </c>
      <c r="S7" s="44">
        <v>283315.66666666669</v>
      </c>
      <c r="T7" s="44">
        <v>2885074.6666666665</v>
      </c>
      <c r="U7" s="44">
        <v>3176144.5</v>
      </c>
      <c r="V7" s="44">
        <v>5196171.333333333</v>
      </c>
      <c r="W7" s="44">
        <v>2018920</v>
      </c>
      <c r="X7" s="44">
        <v>2383145.6666666665</v>
      </c>
      <c r="Y7" s="44">
        <v>4508996.666666667</v>
      </c>
      <c r="Z7" s="44">
        <v>899104.33333333337</v>
      </c>
      <c r="AA7" s="44">
        <v>2073095.3333333333</v>
      </c>
      <c r="AB7" s="44">
        <v>1953432</v>
      </c>
      <c r="AC7" s="44">
        <v>2766672.3333333335</v>
      </c>
      <c r="AD7" s="44">
        <v>1226927</v>
      </c>
      <c r="AE7" s="44">
        <v>240337</v>
      </c>
      <c r="AF7" s="44">
        <v>307339.33333333331</v>
      </c>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25">
      <c r="A8" s="1" t="str">
        <f t="shared" si="0"/>
        <v>1</v>
      </c>
      <c r="B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8" s="1" t="s">
        <v>184</v>
      </c>
      <c r="D8" s="1" t="s">
        <v>185</v>
      </c>
      <c r="E8" s="1" t="s">
        <v>186</v>
      </c>
      <c r="F8" s="1" t="s">
        <v>112</v>
      </c>
      <c r="G8" s="1">
        <v>623741</v>
      </c>
      <c r="K8" s="149" t="s">
        <v>1701</v>
      </c>
      <c r="L8" s="44">
        <v>213660.33333333334</v>
      </c>
      <c r="M8" s="44">
        <v>1059713.5</v>
      </c>
      <c r="N8" s="44"/>
      <c r="O8" s="44">
        <v>3489421.3333333335</v>
      </c>
      <c r="P8" s="44">
        <v>55019.333333333336</v>
      </c>
      <c r="Q8" s="44">
        <v>170876</v>
      </c>
      <c r="R8" s="44">
        <v>196478.66666666666</v>
      </c>
      <c r="S8" s="44">
        <v>2692467.3333333335</v>
      </c>
      <c r="T8" s="44">
        <v>2233452.3333333335</v>
      </c>
      <c r="U8" s="44">
        <v>3915479.6666666665</v>
      </c>
      <c r="V8" s="44">
        <v>4267585.333333333</v>
      </c>
      <c r="W8" s="44">
        <v>2602256.6666666665</v>
      </c>
      <c r="X8" s="44">
        <v>250056</v>
      </c>
      <c r="Y8" s="44">
        <v>4014047</v>
      </c>
      <c r="Z8" s="44"/>
      <c r="AA8" s="44">
        <v>920903.5</v>
      </c>
      <c r="AB8" s="44">
        <v>3635142</v>
      </c>
      <c r="AC8" s="44">
        <v>4731863.666666667</v>
      </c>
      <c r="AD8" s="44">
        <v>2948890</v>
      </c>
      <c r="AE8" s="44">
        <v>245030.66666666666</v>
      </c>
      <c r="AF8" s="44">
        <v>278485</v>
      </c>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25">
      <c r="A9" s="1" t="str">
        <f t="shared" si="0"/>
        <v>1</v>
      </c>
      <c r="B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9" s="1" t="s">
        <v>187</v>
      </c>
      <c r="D9" s="1" t="s">
        <v>188</v>
      </c>
      <c r="E9" s="1" t="s">
        <v>189</v>
      </c>
      <c r="F9" s="1" t="s">
        <v>112</v>
      </c>
      <c r="G9" s="1">
        <v>488533</v>
      </c>
      <c r="K9" s="149" t="s">
        <v>1702</v>
      </c>
      <c r="L9" s="44">
        <v>297079.33333333331</v>
      </c>
      <c r="M9" s="44">
        <v>337325.33333333331</v>
      </c>
      <c r="N9" s="44">
        <v>378660.33333333331</v>
      </c>
      <c r="O9" s="44">
        <v>1875780.6666666667</v>
      </c>
      <c r="P9" s="44">
        <v>277677</v>
      </c>
      <c r="Q9" s="44"/>
      <c r="R9" s="44">
        <v>122757</v>
      </c>
      <c r="S9" s="44">
        <v>217106.33333333334</v>
      </c>
      <c r="T9" s="44">
        <v>3019374.6666666665</v>
      </c>
      <c r="U9" s="44">
        <v>4671148.666666667</v>
      </c>
      <c r="V9" s="44">
        <v>4224059</v>
      </c>
      <c r="W9" s="44">
        <v>90232.666666666672</v>
      </c>
      <c r="X9" s="44">
        <v>3007925.3333333335</v>
      </c>
      <c r="Y9" s="44">
        <v>3949856.6666666665</v>
      </c>
      <c r="Z9" s="44">
        <v>40851.666666666664</v>
      </c>
      <c r="AA9" s="44">
        <v>3075475.3333333335</v>
      </c>
      <c r="AB9" s="44">
        <v>2769095.3333333335</v>
      </c>
      <c r="AC9" s="44">
        <v>4052123</v>
      </c>
      <c r="AD9" s="44">
        <v>3956756.6666666665</v>
      </c>
      <c r="AE9" s="44">
        <v>177451.66666666666</v>
      </c>
      <c r="AF9" s="44">
        <v>266379.33333333331</v>
      </c>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25">
      <c r="A10" s="1" t="str">
        <f t="shared" si="0"/>
        <v>1</v>
      </c>
      <c r="B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0" s="1" t="s">
        <v>190</v>
      </c>
      <c r="D10" s="1" t="s">
        <v>191</v>
      </c>
      <c r="E10" s="1" t="s">
        <v>192</v>
      </c>
      <c r="F10" s="1" t="s">
        <v>112</v>
      </c>
      <c r="G10" s="1">
        <v>145007</v>
      </c>
      <c r="K10" s="149" t="s">
        <v>1703</v>
      </c>
      <c r="L10" s="44">
        <v>125057</v>
      </c>
      <c r="M10" s="44">
        <v>2049014</v>
      </c>
      <c r="N10" s="44">
        <v>530365</v>
      </c>
      <c r="O10" s="44">
        <v>2992027.3333333335</v>
      </c>
      <c r="P10" s="44">
        <v>32127.666666666668</v>
      </c>
      <c r="Q10" s="44">
        <v>548231.33333333337</v>
      </c>
      <c r="R10" s="44">
        <v>128229.33333333333</v>
      </c>
      <c r="S10" s="44">
        <v>129245.66666666667</v>
      </c>
      <c r="T10" s="44">
        <v>1470371.3333333333</v>
      </c>
      <c r="U10" s="44">
        <v>3020247</v>
      </c>
      <c r="V10" s="44">
        <v>4025316.3333333335</v>
      </c>
      <c r="W10" s="44">
        <v>638763.5</v>
      </c>
      <c r="X10" s="44">
        <v>146312</v>
      </c>
      <c r="Y10" s="44">
        <v>5109125.333333333</v>
      </c>
      <c r="Z10" s="44">
        <v>72676.333333333328</v>
      </c>
      <c r="AA10" s="44">
        <v>2294694</v>
      </c>
      <c r="AB10" s="44">
        <v>2726506</v>
      </c>
      <c r="AC10" s="44">
        <v>4228586.666666667</v>
      </c>
      <c r="AD10" s="44">
        <v>5107261.5</v>
      </c>
      <c r="AE10" s="44">
        <v>61443.333333333336</v>
      </c>
      <c r="AF10" s="44">
        <v>202773</v>
      </c>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25">
      <c r="A11" s="1" t="str">
        <f t="shared" si="0"/>
        <v>1</v>
      </c>
      <c r="B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1" s="1" t="s">
        <v>193</v>
      </c>
      <c r="D11" s="1" t="s">
        <v>194</v>
      </c>
      <c r="E11" s="1" t="s">
        <v>195</v>
      </c>
      <c r="F11" s="1" t="s">
        <v>112</v>
      </c>
      <c r="G11" s="1">
        <v>421675</v>
      </c>
      <c r="K11" s="149" t="s">
        <v>1704</v>
      </c>
      <c r="L11" s="44">
        <v>104083.33333333333</v>
      </c>
      <c r="M11" s="44">
        <v>24824</v>
      </c>
      <c r="N11" s="44">
        <v>185483.66666666666</v>
      </c>
      <c r="O11" s="44">
        <v>3668877</v>
      </c>
      <c r="P11" s="44">
        <v>85200</v>
      </c>
      <c r="Q11" s="44">
        <v>184849.33333333334</v>
      </c>
      <c r="R11" s="44">
        <v>666510.66666666663</v>
      </c>
      <c r="S11" s="44">
        <v>1235312.3333333333</v>
      </c>
      <c r="T11" s="44">
        <v>2724429.6666666665</v>
      </c>
      <c r="U11" s="44"/>
      <c r="V11" s="44">
        <v>5225458</v>
      </c>
      <c r="W11" s="44">
        <v>929862</v>
      </c>
      <c r="X11" s="44">
        <v>1432649</v>
      </c>
      <c r="Y11" s="44">
        <v>3205255</v>
      </c>
      <c r="Z11" s="44">
        <v>1097479</v>
      </c>
      <c r="AA11" s="44">
        <v>3880749</v>
      </c>
      <c r="AB11" s="44">
        <v>2735785</v>
      </c>
      <c r="AC11" s="44">
        <v>3339093.3333333335</v>
      </c>
      <c r="AD11" s="44">
        <v>2742144.3333333335</v>
      </c>
      <c r="AE11" s="44">
        <v>284368</v>
      </c>
      <c r="AF11" s="44">
        <v>130817.5</v>
      </c>
      <c r="AG11"/>
    </row>
    <row r="12" spans="1:144" x14ac:dyDescent="0.25">
      <c r="A12" s="1" t="str">
        <f t="shared" si="0"/>
        <v>1</v>
      </c>
      <c r="B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2" s="1" t="s">
        <v>196</v>
      </c>
      <c r="D12" s="1" t="s">
        <v>197</v>
      </c>
      <c r="E12" s="1" t="s">
        <v>198</v>
      </c>
      <c r="F12" s="1" t="s">
        <v>112</v>
      </c>
      <c r="G12" s="1">
        <v>203732</v>
      </c>
      <c r="K12" s="149" t="s">
        <v>1705</v>
      </c>
      <c r="L12" s="44">
        <v>83080.333333333328</v>
      </c>
      <c r="M12" s="44">
        <v>484726</v>
      </c>
      <c r="N12" s="44">
        <v>693533.33333333337</v>
      </c>
      <c r="O12" s="44">
        <v>3375410</v>
      </c>
      <c r="P12" s="44">
        <v>197726</v>
      </c>
      <c r="Q12" s="44">
        <v>67319.333333333328</v>
      </c>
      <c r="R12" s="44">
        <v>154502.33333333334</v>
      </c>
      <c r="S12" s="44">
        <v>2268053</v>
      </c>
      <c r="T12" s="44">
        <v>2656165.6666666665</v>
      </c>
      <c r="U12" s="44">
        <v>1460508.3333333333</v>
      </c>
      <c r="V12" s="44">
        <v>3912307.3333333335</v>
      </c>
      <c r="W12" s="44">
        <v>236069</v>
      </c>
      <c r="X12" s="44">
        <v>320209</v>
      </c>
      <c r="Y12" s="44">
        <v>3302842</v>
      </c>
      <c r="Z12" s="44">
        <v>2244959.6666666665</v>
      </c>
      <c r="AA12" s="44">
        <v>2151042.6666666665</v>
      </c>
      <c r="AB12" s="44">
        <v>1490227.6666666667</v>
      </c>
      <c r="AC12" s="44">
        <v>1306186</v>
      </c>
      <c r="AD12" s="44">
        <v>3412418.6666666665</v>
      </c>
      <c r="AE12" s="44">
        <v>174236</v>
      </c>
      <c r="AF12" s="44">
        <v>228389.66666666666</v>
      </c>
      <c r="AG12"/>
    </row>
    <row r="13" spans="1:144" x14ac:dyDescent="0.25">
      <c r="A13" s="1" t="str">
        <f t="shared" si="0"/>
        <v>1</v>
      </c>
      <c r="B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3" s="1" t="s">
        <v>199</v>
      </c>
      <c r="D13" s="1" t="s">
        <v>200</v>
      </c>
      <c r="E13" s="1" t="s">
        <v>201</v>
      </c>
      <c r="F13" s="1" t="s">
        <v>112</v>
      </c>
      <c r="G13" s="1">
        <v>15574</v>
      </c>
      <c r="K13"/>
      <c r="L13"/>
      <c r="M13"/>
      <c r="N13"/>
      <c r="O13"/>
      <c r="P13"/>
      <c r="Q13"/>
      <c r="R13"/>
      <c r="S13"/>
      <c r="T13"/>
      <c r="U13"/>
      <c r="V13"/>
      <c r="W13"/>
      <c r="X13"/>
      <c r="Y13"/>
      <c r="Z13"/>
      <c r="AA13"/>
      <c r="AB13"/>
      <c r="AC13"/>
      <c r="AD13"/>
      <c r="AE13"/>
      <c r="AF13"/>
      <c r="AG13"/>
    </row>
    <row r="14" spans="1:144" x14ac:dyDescent="0.25">
      <c r="A14" s="1" t="str">
        <f t="shared" si="0"/>
        <v>1</v>
      </c>
      <c r="B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 s="1" t="s">
        <v>202</v>
      </c>
      <c r="D14" s="1" t="s">
        <v>203</v>
      </c>
      <c r="E14" s="1" t="s">
        <v>204</v>
      </c>
      <c r="F14" s="1" t="s">
        <v>112</v>
      </c>
      <c r="G14" s="1">
        <v>277641</v>
      </c>
      <c r="K14"/>
      <c r="L14"/>
      <c r="M14"/>
      <c r="N14"/>
      <c r="O14"/>
      <c r="P14"/>
      <c r="Q14"/>
      <c r="R14"/>
      <c r="S14"/>
      <c r="T14"/>
      <c r="U14"/>
      <c r="V14"/>
      <c r="W14"/>
      <c r="X14"/>
      <c r="Y14"/>
      <c r="Z14"/>
      <c r="AA14"/>
      <c r="AB14"/>
      <c r="AC14"/>
      <c r="AD14"/>
      <c r="AE14"/>
      <c r="AF14"/>
      <c r="AG14"/>
    </row>
    <row r="15" spans="1:144" x14ac:dyDescent="0.25">
      <c r="A15" s="1" t="str">
        <f t="shared" si="0"/>
        <v>1</v>
      </c>
      <c r="B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5" s="1" t="s">
        <v>205</v>
      </c>
      <c r="D15" s="1" t="s">
        <v>206</v>
      </c>
      <c r="E15" s="1" t="s">
        <v>207</v>
      </c>
      <c r="F15" s="1" t="s">
        <v>112</v>
      </c>
      <c r="G15" s="1">
        <v>245456</v>
      </c>
    </row>
    <row r="16" spans="1:144" x14ac:dyDescent="0.25">
      <c r="A16" s="1" t="str">
        <f t="shared" si="0"/>
        <v>1</v>
      </c>
      <c r="B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6" s="1" t="s">
        <v>208</v>
      </c>
      <c r="D16" s="1" t="s">
        <v>209</v>
      </c>
      <c r="E16" s="1" t="s">
        <v>210</v>
      </c>
      <c r="F16" s="1" t="s">
        <v>112</v>
      </c>
      <c r="G16" s="1">
        <v>368141</v>
      </c>
      <c r="M16"/>
      <c r="N16"/>
      <c r="O16"/>
      <c r="P16"/>
      <c r="Q16"/>
      <c r="R16"/>
      <c r="S16"/>
      <c r="T16"/>
      <c r="U16"/>
      <c r="V16"/>
      <c r="W16"/>
      <c r="X16"/>
      <c r="Y16"/>
      <c r="Z16"/>
      <c r="AA16"/>
      <c r="AB16"/>
      <c r="AC16"/>
      <c r="AD16"/>
      <c r="AE16"/>
      <c r="AF16"/>
      <c r="AG16"/>
      <c r="AH16"/>
    </row>
    <row r="17" spans="1:34" x14ac:dyDescent="0.25">
      <c r="A17" s="1" t="str">
        <f t="shared" si="0"/>
        <v>1</v>
      </c>
      <c r="B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7" s="1" t="s">
        <v>211</v>
      </c>
      <c r="D17" s="1" t="s">
        <v>212</v>
      </c>
      <c r="E17" s="1" t="s">
        <v>213</v>
      </c>
      <c r="F17" s="1" t="s">
        <v>112</v>
      </c>
      <c r="G17" s="1">
        <v>182232</v>
      </c>
      <c r="M17"/>
      <c r="N17"/>
      <c r="O17"/>
      <c r="P17"/>
      <c r="Q17"/>
      <c r="R17"/>
      <c r="S17"/>
      <c r="T17"/>
      <c r="U17"/>
      <c r="V17"/>
      <c r="W17"/>
      <c r="X17"/>
      <c r="Y17"/>
      <c r="Z17"/>
      <c r="AA17"/>
      <c r="AB17"/>
      <c r="AC17"/>
      <c r="AD17"/>
      <c r="AE17"/>
      <c r="AF17"/>
      <c r="AG17"/>
      <c r="AH17"/>
    </row>
    <row r="18" spans="1:34" x14ac:dyDescent="0.25">
      <c r="A18" s="1" t="str">
        <f t="shared" si="0"/>
        <v>1</v>
      </c>
      <c r="B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 s="1" t="s">
        <v>214</v>
      </c>
      <c r="D18" s="1" t="s">
        <v>215</v>
      </c>
      <c r="E18" s="1" t="s">
        <v>216</v>
      </c>
      <c r="F18" s="1" t="s">
        <v>112</v>
      </c>
      <c r="G18" s="1">
        <v>103586</v>
      </c>
      <c r="M18"/>
      <c r="N18"/>
      <c r="O18"/>
      <c r="P18"/>
      <c r="Q18"/>
      <c r="R18"/>
      <c r="S18"/>
      <c r="T18"/>
      <c r="U18"/>
      <c r="V18"/>
      <c r="W18"/>
      <c r="X18"/>
      <c r="Y18"/>
      <c r="Z18"/>
      <c r="AA18"/>
      <c r="AB18"/>
      <c r="AC18"/>
      <c r="AD18"/>
      <c r="AE18"/>
      <c r="AF18"/>
      <c r="AG18"/>
      <c r="AH18"/>
    </row>
    <row r="19" spans="1:34" x14ac:dyDescent="0.25">
      <c r="A19" s="1" t="str">
        <f t="shared" si="0"/>
        <v>1</v>
      </c>
      <c r="B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9" s="1" t="s">
        <v>217</v>
      </c>
      <c r="D19" s="1" t="s">
        <v>218</v>
      </c>
      <c r="E19" s="1" t="s">
        <v>219</v>
      </c>
      <c r="F19" s="1" t="s">
        <v>112</v>
      </c>
      <c r="G19" s="1">
        <v>89353</v>
      </c>
      <c r="K19"/>
      <c r="L19"/>
      <c r="M19"/>
      <c r="N19"/>
      <c r="O19"/>
      <c r="P19"/>
      <c r="Q19"/>
      <c r="R19"/>
      <c r="S19"/>
      <c r="T19"/>
      <c r="U19"/>
      <c r="V19"/>
      <c r="W19"/>
      <c r="X19"/>
      <c r="Y19"/>
      <c r="Z19"/>
      <c r="AA19"/>
      <c r="AB19"/>
      <c r="AC19"/>
      <c r="AD19"/>
      <c r="AE19"/>
      <c r="AF19"/>
      <c r="AG19"/>
      <c r="AH19"/>
    </row>
    <row r="20" spans="1:34" x14ac:dyDescent="0.25">
      <c r="A20" s="1" t="str">
        <f t="shared" si="0"/>
        <v>1</v>
      </c>
      <c r="B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0" s="1" t="s">
        <v>220</v>
      </c>
      <c r="D20" s="1" t="s">
        <v>221</v>
      </c>
      <c r="E20" s="1" t="s">
        <v>222</v>
      </c>
      <c r="F20" s="1" t="s">
        <v>112</v>
      </c>
      <c r="G20" s="1">
        <v>163414</v>
      </c>
      <c r="K20"/>
      <c r="L20"/>
      <c r="M20"/>
      <c r="N20"/>
      <c r="O20"/>
      <c r="P20"/>
      <c r="Q20"/>
      <c r="R20"/>
      <c r="S20"/>
      <c r="T20"/>
      <c r="U20"/>
      <c r="V20"/>
      <c r="W20"/>
      <c r="X20"/>
      <c r="Y20"/>
      <c r="Z20"/>
      <c r="AA20"/>
      <c r="AB20"/>
      <c r="AC20"/>
      <c r="AD20"/>
      <c r="AE20"/>
      <c r="AF20"/>
      <c r="AG20"/>
      <c r="AH20"/>
    </row>
    <row r="21" spans="1:34" x14ac:dyDescent="0.25">
      <c r="A21" s="1" t="str">
        <f t="shared" si="0"/>
        <v>1</v>
      </c>
      <c r="B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1" s="1" t="s">
        <v>223</v>
      </c>
      <c r="D21" s="1" t="s">
        <v>224</v>
      </c>
      <c r="E21" s="1" t="s">
        <v>225</v>
      </c>
      <c r="F21" s="1" t="s">
        <v>112</v>
      </c>
      <c r="G21" s="1">
        <v>147538</v>
      </c>
      <c r="K21"/>
      <c r="L21"/>
      <c r="M21"/>
      <c r="N21"/>
      <c r="O21"/>
      <c r="P21"/>
      <c r="Q21"/>
      <c r="R21"/>
      <c r="S21"/>
      <c r="T21"/>
      <c r="U21"/>
      <c r="V21"/>
      <c r="W21"/>
      <c r="X21"/>
      <c r="Y21"/>
      <c r="Z21"/>
      <c r="AA21"/>
      <c r="AB21"/>
      <c r="AC21"/>
      <c r="AD21"/>
      <c r="AE21"/>
      <c r="AF21"/>
      <c r="AG21"/>
      <c r="AH21"/>
    </row>
    <row r="22" spans="1:34" x14ac:dyDescent="0.25">
      <c r="A22" s="1" t="str">
        <f t="shared" si="0"/>
        <v>1</v>
      </c>
      <c r="B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2" s="1" t="s">
        <v>226</v>
      </c>
      <c r="D22" s="1" t="s">
        <v>227</v>
      </c>
      <c r="E22" s="1">
        <v>30</v>
      </c>
      <c r="F22" s="1" t="s">
        <v>112</v>
      </c>
      <c r="G22" s="1">
        <v>1298</v>
      </c>
      <c r="K22"/>
      <c r="L22"/>
      <c r="M22"/>
      <c r="N22"/>
      <c r="O22"/>
      <c r="P22"/>
      <c r="Q22"/>
      <c r="R22"/>
      <c r="S22"/>
      <c r="T22"/>
      <c r="U22"/>
      <c r="V22"/>
      <c r="W22"/>
      <c r="X22"/>
      <c r="Y22"/>
      <c r="Z22"/>
      <c r="AA22"/>
      <c r="AB22"/>
      <c r="AC22"/>
      <c r="AD22"/>
      <c r="AE22"/>
      <c r="AF22"/>
      <c r="AG22"/>
      <c r="AH22"/>
    </row>
    <row r="23" spans="1:34" x14ac:dyDescent="0.25">
      <c r="A23" s="1" t="str">
        <f t="shared" si="0"/>
        <v>1</v>
      </c>
      <c r="B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3" s="1" t="s">
        <v>228</v>
      </c>
      <c r="D23" s="1" t="s">
        <v>229</v>
      </c>
      <c r="E23" s="1" t="s">
        <v>230</v>
      </c>
      <c r="F23" s="1" t="s">
        <v>112</v>
      </c>
      <c r="G23" s="1">
        <v>36922</v>
      </c>
      <c r="K23"/>
      <c r="L23"/>
      <c r="M23"/>
      <c r="N23"/>
      <c r="O23"/>
      <c r="P23"/>
      <c r="Q23"/>
      <c r="R23"/>
      <c r="S23"/>
      <c r="T23"/>
      <c r="U23"/>
      <c r="V23"/>
      <c r="W23"/>
      <c r="X23"/>
      <c r="Y23"/>
      <c r="Z23"/>
      <c r="AA23"/>
      <c r="AB23"/>
      <c r="AC23"/>
      <c r="AD23"/>
      <c r="AE23"/>
      <c r="AF23"/>
      <c r="AG23"/>
      <c r="AH23"/>
    </row>
    <row r="24" spans="1:34" x14ac:dyDescent="0.25">
      <c r="A24" s="1" t="str">
        <f t="shared" si="0"/>
        <v>1</v>
      </c>
      <c r="B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4" s="1" t="s">
        <v>231</v>
      </c>
      <c r="D24" s="1" t="s">
        <v>232</v>
      </c>
      <c r="E24" s="1" t="s">
        <v>233</v>
      </c>
      <c r="F24" s="1" t="s">
        <v>112</v>
      </c>
      <c r="G24" s="1">
        <v>111221</v>
      </c>
      <c r="K24"/>
      <c r="L24"/>
      <c r="M24"/>
      <c r="N24"/>
      <c r="O24"/>
      <c r="P24"/>
      <c r="Q24"/>
      <c r="R24"/>
      <c r="S24"/>
      <c r="T24"/>
      <c r="U24"/>
      <c r="V24"/>
      <c r="W24"/>
      <c r="X24"/>
      <c r="Y24"/>
      <c r="Z24"/>
      <c r="AA24"/>
      <c r="AB24"/>
      <c r="AC24"/>
      <c r="AD24"/>
      <c r="AE24"/>
      <c r="AF24"/>
      <c r="AG24"/>
      <c r="AH24"/>
    </row>
    <row r="25" spans="1:34" x14ac:dyDescent="0.25">
      <c r="A25" s="1" t="str">
        <f t="shared" si="0"/>
        <v>1</v>
      </c>
      <c r="B2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 s="1" t="s">
        <v>234</v>
      </c>
      <c r="D25" s="1" t="s">
        <v>235</v>
      </c>
      <c r="E25" s="1" t="s">
        <v>236</v>
      </c>
      <c r="F25" s="1" t="s">
        <v>112</v>
      </c>
      <c r="G25" s="1">
        <v>101098</v>
      </c>
      <c r="K25"/>
      <c r="L25"/>
      <c r="M25"/>
      <c r="N25"/>
      <c r="O25"/>
      <c r="P25"/>
      <c r="Q25"/>
      <c r="R25"/>
      <c r="S25"/>
      <c r="T25"/>
      <c r="U25"/>
      <c r="V25"/>
      <c r="W25"/>
      <c r="X25"/>
      <c r="Y25"/>
      <c r="Z25"/>
      <c r="AA25"/>
      <c r="AB25"/>
      <c r="AC25"/>
      <c r="AD25"/>
      <c r="AE25"/>
      <c r="AF25"/>
      <c r="AG25"/>
      <c r="AH25"/>
    </row>
    <row r="26" spans="1:34" x14ac:dyDescent="0.25">
      <c r="A26" s="1" t="str">
        <f t="shared" si="0"/>
        <v/>
      </c>
      <c r="B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 s="1" t="s">
        <v>112</v>
      </c>
      <c r="K26"/>
      <c r="L26"/>
      <c r="M26"/>
      <c r="N26"/>
      <c r="O26"/>
      <c r="P26"/>
      <c r="Q26"/>
      <c r="R26"/>
      <c r="S26"/>
      <c r="T26"/>
      <c r="U26"/>
      <c r="V26"/>
      <c r="W26"/>
      <c r="X26"/>
      <c r="Y26"/>
      <c r="Z26"/>
      <c r="AA26"/>
      <c r="AB26"/>
      <c r="AC26"/>
      <c r="AD26"/>
      <c r="AE26"/>
      <c r="AF26"/>
      <c r="AG26"/>
      <c r="AH26"/>
    </row>
    <row r="27" spans="1:34" x14ac:dyDescent="0.25">
      <c r="A27" s="1" t="str">
        <f t="shared" si="0"/>
        <v/>
      </c>
      <c r="B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7" s="1" t="s">
        <v>237</v>
      </c>
      <c r="D27" s="1" t="s">
        <v>112</v>
      </c>
      <c r="E27" s="1" t="s">
        <v>238</v>
      </c>
      <c r="F27" s="1" t="s">
        <v>239</v>
      </c>
      <c r="G27" s="1" t="s">
        <v>240</v>
      </c>
      <c r="H27" s="1" t="s">
        <v>241</v>
      </c>
      <c r="I27" s="1" t="s">
        <v>242</v>
      </c>
      <c r="J27" s="1" t="s">
        <v>243</v>
      </c>
      <c r="K27"/>
      <c r="L27"/>
      <c r="M27"/>
      <c r="N27"/>
      <c r="O27"/>
      <c r="P27"/>
      <c r="Q27"/>
      <c r="R27"/>
      <c r="S27"/>
      <c r="T27"/>
      <c r="U27"/>
      <c r="V27"/>
      <c r="W27"/>
      <c r="X27"/>
      <c r="Y27"/>
      <c r="Z27"/>
      <c r="AA27"/>
      <c r="AB27"/>
      <c r="AC27"/>
      <c r="AD27"/>
      <c r="AE27"/>
      <c r="AF27"/>
      <c r="AG27"/>
      <c r="AH27"/>
    </row>
    <row r="28" spans="1:34" x14ac:dyDescent="0.25">
      <c r="A28" s="1" t="str">
        <f t="shared" si="0"/>
        <v>1</v>
      </c>
      <c r="B2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8" s="1" t="s">
        <v>244</v>
      </c>
      <c r="D28" s="1" t="s">
        <v>112</v>
      </c>
      <c r="E28" s="1" t="s">
        <v>245</v>
      </c>
      <c r="F28" s="1" t="s">
        <v>246</v>
      </c>
      <c r="G28" s="1" t="s">
        <v>247</v>
      </c>
      <c r="H28" s="1" t="s">
        <v>248</v>
      </c>
      <c r="I28" s="1">
        <v>24</v>
      </c>
      <c r="J28" s="1">
        <v>24</v>
      </c>
      <c r="K28"/>
      <c r="L28"/>
      <c r="M28"/>
      <c r="N28"/>
      <c r="O28"/>
      <c r="P28"/>
      <c r="Q28"/>
      <c r="R28"/>
      <c r="S28"/>
      <c r="T28"/>
      <c r="U28"/>
      <c r="V28"/>
      <c r="W28"/>
      <c r="X28"/>
      <c r="Y28"/>
      <c r="Z28"/>
      <c r="AA28"/>
      <c r="AB28"/>
      <c r="AC28"/>
      <c r="AD28"/>
      <c r="AE28"/>
      <c r="AF28"/>
      <c r="AG28"/>
      <c r="AH28"/>
    </row>
    <row r="29" spans="1:34" x14ac:dyDescent="0.25">
      <c r="A29" s="1" t="str">
        <f t="shared" si="0"/>
        <v/>
      </c>
      <c r="B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 s="1" t="s">
        <v>112</v>
      </c>
      <c r="K29"/>
      <c r="L29"/>
      <c r="M29"/>
      <c r="N29"/>
      <c r="O29"/>
      <c r="P29"/>
      <c r="Q29"/>
      <c r="R29"/>
      <c r="S29"/>
      <c r="T29"/>
      <c r="U29"/>
      <c r="V29"/>
      <c r="W29"/>
      <c r="X29"/>
      <c r="Y29"/>
      <c r="Z29"/>
      <c r="AA29"/>
      <c r="AB29"/>
      <c r="AC29"/>
      <c r="AD29"/>
      <c r="AE29"/>
      <c r="AF29"/>
      <c r="AG29"/>
      <c r="AH29"/>
    </row>
    <row r="30" spans="1:34" x14ac:dyDescent="0.25">
      <c r="A30" s="1" t="str">
        <f t="shared" si="0"/>
        <v/>
      </c>
      <c r="B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0" s="1" t="s">
        <v>112</v>
      </c>
      <c r="K30"/>
      <c r="L30"/>
      <c r="M30"/>
      <c r="N30"/>
      <c r="O30"/>
      <c r="P30"/>
      <c r="Q30"/>
      <c r="R30"/>
      <c r="S30"/>
      <c r="T30"/>
      <c r="U30"/>
      <c r="V30"/>
      <c r="W30"/>
      <c r="X30"/>
      <c r="Y30"/>
      <c r="Z30"/>
      <c r="AA30"/>
      <c r="AB30"/>
      <c r="AC30"/>
      <c r="AD30"/>
      <c r="AE30"/>
      <c r="AF30"/>
      <c r="AG30"/>
      <c r="AH30"/>
    </row>
    <row r="31" spans="1:34" x14ac:dyDescent="0.25">
      <c r="A31" s="1" t="str">
        <f t="shared" si="0"/>
        <v/>
      </c>
      <c r="B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1" s="1" t="s">
        <v>112</v>
      </c>
      <c r="K31"/>
      <c r="L31"/>
      <c r="M31"/>
      <c r="N31"/>
      <c r="O31"/>
      <c r="P31"/>
      <c r="Q31"/>
      <c r="R31"/>
      <c r="S31"/>
      <c r="T31"/>
      <c r="U31"/>
      <c r="V31"/>
      <c r="W31"/>
      <c r="X31"/>
      <c r="Y31"/>
      <c r="Z31"/>
      <c r="AA31"/>
      <c r="AB31"/>
      <c r="AC31"/>
      <c r="AD31"/>
      <c r="AE31"/>
      <c r="AF31"/>
      <c r="AG31"/>
      <c r="AH31"/>
    </row>
    <row r="32" spans="1:34" x14ac:dyDescent="0.25">
      <c r="A32" s="1" t="str">
        <f t="shared" si="0"/>
        <v/>
      </c>
      <c r="B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 s="1" t="s">
        <v>112</v>
      </c>
      <c r="K32"/>
      <c r="L32"/>
      <c r="M32"/>
      <c r="N32"/>
      <c r="O32"/>
      <c r="P32"/>
      <c r="Q32"/>
      <c r="R32"/>
      <c r="S32"/>
      <c r="T32"/>
      <c r="U32"/>
      <c r="V32"/>
      <c r="W32"/>
      <c r="X32"/>
      <c r="Y32"/>
      <c r="Z32"/>
      <c r="AA32"/>
      <c r="AB32"/>
      <c r="AC32"/>
      <c r="AD32"/>
      <c r="AE32"/>
      <c r="AF32"/>
      <c r="AG32"/>
      <c r="AH32"/>
    </row>
    <row r="33" spans="1:34" x14ac:dyDescent="0.25">
      <c r="A33" s="1" t="str">
        <f t="shared" si="0"/>
        <v/>
      </c>
      <c r="B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3" s="1" t="s">
        <v>112</v>
      </c>
      <c r="K33"/>
      <c r="L33"/>
      <c r="M33"/>
      <c r="N33"/>
      <c r="O33"/>
      <c r="P33"/>
      <c r="Q33"/>
      <c r="R33"/>
      <c r="S33"/>
      <c r="T33"/>
      <c r="U33"/>
      <c r="V33"/>
      <c r="W33"/>
      <c r="X33"/>
      <c r="Y33"/>
      <c r="Z33"/>
      <c r="AA33"/>
      <c r="AB33"/>
      <c r="AC33"/>
      <c r="AD33"/>
      <c r="AE33"/>
      <c r="AF33"/>
      <c r="AG33"/>
      <c r="AH33"/>
    </row>
    <row r="34" spans="1:34" x14ac:dyDescent="0.25">
      <c r="A34" s="1" t="str">
        <f t="shared" si="0"/>
        <v/>
      </c>
      <c r="B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4" s="1" t="s">
        <v>249</v>
      </c>
      <c r="D34" s="1" t="s">
        <v>110</v>
      </c>
      <c r="E34" s="1" t="s">
        <v>111</v>
      </c>
      <c r="F34" s="1" t="s">
        <v>112</v>
      </c>
      <c r="G34" s="1" t="s">
        <v>113</v>
      </c>
      <c r="K34"/>
      <c r="L34"/>
      <c r="M34"/>
      <c r="N34"/>
      <c r="O34"/>
      <c r="P34"/>
      <c r="Q34"/>
      <c r="R34"/>
      <c r="S34"/>
      <c r="T34"/>
      <c r="U34"/>
      <c r="V34"/>
      <c r="W34"/>
      <c r="X34"/>
      <c r="Y34"/>
      <c r="Z34"/>
      <c r="AA34"/>
      <c r="AB34"/>
      <c r="AC34"/>
      <c r="AD34"/>
      <c r="AE34"/>
      <c r="AF34"/>
      <c r="AG34"/>
      <c r="AH34"/>
    </row>
    <row r="35" spans="1:34" x14ac:dyDescent="0.25">
      <c r="A35" s="1" t="str">
        <f t="shared" si="0"/>
        <v>13</v>
      </c>
      <c r="B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5" s="1" t="s">
        <v>250</v>
      </c>
      <c r="D35" s="1" t="s">
        <v>251</v>
      </c>
      <c r="E35" s="1" t="s">
        <v>252</v>
      </c>
      <c r="F35" s="1" t="s">
        <v>112</v>
      </c>
      <c r="G35" s="1">
        <v>2020059</v>
      </c>
      <c r="K35"/>
      <c r="L35"/>
      <c r="M35"/>
      <c r="N35"/>
      <c r="O35"/>
      <c r="P35"/>
      <c r="Q35"/>
      <c r="R35"/>
      <c r="S35"/>
      <c r="T35"/>
      <c r="U35"/>
      <c r="V35"/>
      <c r="W35"/>
      <c r="X35"/>
      <c r="Y35"/>
      <c r="Z35"/>
      <c r="AA35"/>
      <c r="AB35"/>
      <c r="AC35"/>
      <c r="AD35"/>
      <c r="AE35"/>
      <c r="AF35"/>
      <c r="AG35"/>
      <c r="AH35"/>
    </row>
    <row r="36" spans="1:34" x14ac:dyDescent="0.25">
      <c r="A36" s="1" t="str">
        <f t="shared" si="0"/>
        <v>13</v>
      </c>
      <c r="B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 s="1" t="s">
        <v>253</v>
      </c>
      <c r="D36" s="1" t="s">
        <v>254</v>
      </c>
      <c r="E36" s="1" t="s">
        <v>255</v>
      </c>
      <c r="F36" s="1" t="s">
        <v>112</v>
      </c>
      <c r="G36" s="1">
        <v>1357103</v>
      </c>
      <c r="K36"/>
      <c r="L36"/>
      <c r="M36"/>
      <c r="N36"/>
      <c r="O36"/>
      <c r="P36"/>
      <c r="Q36"/>
      <c r="R36"/>
      <c r="S36"/>
      <c r="T36"/>
      <c r="U36"/>
      <c r="V36"/>
      <c r="W36"/>
      <c r="X36"/>
      <c r="Y36"/>
      <c r="Z36"/>
      <c r="AA36"/>
      <c r="AB36"/>
      <c r="AC36"/>
      <c r="AD36"/>
      <c r="AE36"/>
      <c r="AF36"/>
      <c r="AG36"/>
      <c r="AH36"/>
    </row>
    <row r="37" spans="1:34" x14ac:dyDescent="0.25">
      <c r="A37" s="1" t="str">
        <f t="shared" si="0"/>
        <v>13</v>
      </c>
      <c r="B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7" s="1" t="s">
        <v>256</v>
      </c>
      <c r="D37" s="1" t="s">
        <v>257</v>
      </c>
      <c r="E37" s="1" t="s">
        <v>258</v>
      </c>
      <c r="F37" s="1" t="s">
        <v>112</v>
      </c>
      <c r="G37" s="1">
        <v>1695805</v>
      </c>
      <c r="K37"/>
      <c r="L37"/>
      <c r="M37"/>
      <c r="N37"/>
      <c r="O37"/>
      <c r="P37"/>
      <c r="Q37"/>
      <c r="R37"/>
      <c r="S37"/>
      <c r="T37"/>
      <c r="U37"/>
      <c r="V37"/>
      <c r="W37"/>
      <c r="X37"/>
      <c r="Y37"/>
      <c r="Z37"/>
      <c r="AA37"/>
      <c r="AB37"/>
      <c r="AC37"/>
      <c r="AD37"/>
      <c r="AE37"/>
      <c r="AF37"/>
      <c r="AG37"/>
      <c r="AH37"/>
    </row>
    <row r="38" spans="1:34" x14ac:dyDescent="0.25">
      <c r="A38" s="1" t="str">
        <f t="shared" si="0"/>
        <v>13</v>
      </c>
      <c r="B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8" s="1" t="s">
        <v>259</v>
      </c>
      <c r="D38" s="1" t="s">
        <v>260</v>
      </c>
      <c r="E38" s="1" t="s">
        <v>261</v>
      </c>
      <c r="F38" s="1" t="s">
        <v>112</v>
      </c>
      <c r="G38" s="1">
        <v>31536</v>
      </c>
      <c r="K38"/>
      <c r="L38"/>
      <c r="M38"/>
      <c r="N38"/>
      <c r="O38"/>
      <c r="P38"/>
      <c r="Q38"/>
      <c r="R38"/>
      <c r="S38"/>
      <c r="T38"/>
      <c r="U38"/>
      <c r="V38"/>
      <c r="W38"/>
      <c r="X38"/>
      <c r="Y38"/>
      <c r="Z38"/>
      <c r="AA38"/>
      <c r="AB38"/>
      <c r="AC38"/>
      <c r="AD38"/>
      <c r="AE38"/>
      <c r="AF38"/>
      <c r="AG38"/>
      <c r="AH38"/>
    </row>
    <row r="39" spans="1:34" x14ac:dyDescent="0.25">
      <c r="A39" s="1" t="str">
        <f t="shared" si="0"/>
        <v>13</v>
      </c>
      <c r="B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9" s="1" t="s">
        <v>262</v>
      </c>
      <c r="D39" s="1" t="s">
        <v>263</v>
      </c>
      <c r="E39" s="1" t="s">
        <v>264</v>
      </c>
      <c r="F39" s="1" t="s">
        <v>112</v>
      </c>
      <c r="G39" s="1">
        <v>44406</v>
      </c>
    </row>
    <row r="40" spans="1:34" x14ac:dyDescent="0.25">
      <c r="A40" s="1" t="str">
        <f t="shared" si="0"/>
        <v>13</v>
      </c>
      <c r="B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 s="1" t="s">
        <v>265</v>
      </c>
      <c r="D40" s="1" t="s">
        <v>266</v>
      </c>
      <c r="E40" s="1" t="s">
        <v>267</v>
      </c>
      <c r="F40" s="1" t="s">
        <v>112</v>
      </c>
      <c r="G40" s="1">
        <v>141330</v>
      </c>
    </row>
    <row r="41" spans="1:34" x14ac:dyDescent="0.25">
      <c r="A41" s="1" t="str">
        <f t="shared" si="0"/>
        <v>13</v>
      </c>
      <c r="B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1" s="1" t="s">
        <v>268</v>
      </c>
      <c r="D41" s="1" t="s">
        <v>269</v>
      </c>
      <c r="E41" s="1" t="s">
        <v>270</v>
      </c>
      <c r="F41" s="1" t="s">
        <v>112</v>
      </c>
      <c r="G41" s="1">
        <v>1743521</v>
      </c>
    </row>
    <row r="42" spans="1:34" x14ac:dyDescent="0.25">
      <c r="A42" s="1" t="str">
        <f t="shared" si="0"/>
        <v>13</v>
      </c>
      <c r="B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2" s="1" t="s">
        <v>271</v>
      </c>
      <c r="D42" s="1" t="s">
        <v>272</v>
      </c>
      <c r="E42" s="1" t="s">
        <v>273</v>
      </c>
      <c r="F42" s="1" t="s">
        <v>112</v>
      </c>
      <c r="G42" s="1">
        <v>1179673</v>
      </c>
    </row>
    <row r="43" spans="1:34" x14ac:dyDescent="0.25">
      <c r="A43" s="1" t="str">
        <f t="shared" si="0"/>
        <v>13</v>
      </c>
      <c r="B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3" s="1" t="s">
        <v>274</v>
      </c>
      <c r="D43" s="1" t="s">
        <v>275</v>
      </c>
      <c r="E43" s="1" t="s">
        <v>276</v>
      </c>
      <c r="F43" s="1" t="s">
        <v>112</v>
      </c>
      <c r="G43" s="1">
        <v>1518894</v>
      </c>
    </row>
    <row r="44" spans="1:34" x14ac:dyDescent="0.25">
      <c r="A44" s="1" t="str">
        <f t="shared" si="0"/>
        <v>13</v>
      </c>
      <c r="B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4" s="1" t="s">
        <v>277</v>
      </c>
      <c r="D44" s="1" t="s">
        <v>278</v>
      </c>
      <c r="E44" s="1" t="s">
        <v>279</v>
      </c>
      <c r="F44" s="1" t="s">
        <v>112</v>
      </c>
      <c r="G44" s="1">
        <v>810580</v>
      </c>
    </row>
    <row r="45" spans="1:34" x14ac:dyDescent="0.25">
      <c r="A45" s="1" t="str">
        <f t="shared" si="0"/>
        <v>13</v>
      </c>
      <c r="B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5" s="1" t="s">
        <v>280</v>
      </c>
    </row>
    <row r="46" spans="1:34" x14ac:dyDescent="0.25">
      <c r="A46" s="1" t="str">
        <f t="shared" si="0"/>
        <v>13</v>
      </c>
      <c r="B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6" s="1" t="s">
        <v>281</v>
      </c>
      <c r="D46" s="1" t="s">
        <v>282</v>
      </c>
      <c r="E46" s="1" t="s">
        <v>283</v>
      </c>
      <c r="F46" s="1" t="s">
        <v>112</v>
      </c>
      <c r="G46" s="1">
        <v>1308847</v>
      </c>
    </row>
    <row r="47" spans="1:34" x14ac:dyDescent="0.25">
      <c r="A47" s="1" t="str">
        <f t="shared" si="0"/>
        <v>13</v>
      </c>
      <c r="B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 s="1" t="s">
        <v>284</v>
      </c>
      <c r="D47" s="1" t="s">
        <v>285</v>
      </c>
      <c r="E47" s="1" t="s">
        <v>286</v>
      </c>
      <c r="F47" s="1" t="s">
        <v>112</v>
      </c>
      <c r="G47" s="1">
        <v>488057</v>
      </c>
    </row>
    <row r="48" spans="1:34" x14ac:dyDescent="0.25">
      <c r="A48" s="1" t="str">
        <f t="shared" si="0"/>
        <v>13</v>
      </c>
      <c r="B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8" s="1" t="s">
        <v>287</v>
      </c>
      <c r="D48" s="1" t="s">
        <v>288</v>
      </c>
      <c r="E48" s="1" t="s">
        <v>289</v>
      </c>
      <c r="F48" s="1" t="s">
        <v>112</v>
      </c>
      <c r="G48" s="1">
        <v>305219</v>
      </c>
    </row>
    <row r="49" spans="1:10" x14ac:dyDescent="0.25">
      <c r="A49" s="1" t="str">
        <f t="shared" si="0"/>
        <v>13</v>
      </c>
      <c r="B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9" s="1" t="s">
        <v>290</v>
      </c>
      <c r="D49" s="1" t="s">
        <v>291</v>
      </c>
      <c r="E49" s="1" t="s">
        <v>292</v>
      </c>
      <c r="F49" s="1" t="s">
        <v>112</v>
      </c>
      <c r="G49" s="1">
        <v>218700</v>
      </c>
    </row>
    <row r="50" spans="1:10" x14ac:dyDescent="0.25">
      <c r="A50" s="1" t="str">
        <f t="shared" si="0"/>
        <v>13</v>
      </c>
      <c r="B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0" s="1" t="s">
        <v>293</v>
      </c>
      <c r="D50" s="1" t="s">
        <v>294</v>
      </c>
      <c r="E50" s="1" t="s">
        <v>295</v>
      </c>
      <c r="F50" s="1" t="s">
        <v>112</v>
      </c>
      <c r="G50" s="1">
        <v>2287188</v>
      </c>
    </row>
    <row r="51" spans="1:10" x14ac:dyDescent="0.25">
      <c r="A51" s="1" t="str">
        <f t="shared" si="0"/>
        <v>13</v>
      </c>
      <c r="B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 s="1" t="s">
        <v>296</v>
      </c>
      <c r="D51" s="1" t="s">
        <v>297</v>
      </c>
      <c r="E51" s="1" t="s">
        <v>298</v>
      </c>
      <c r="F51" s="1" t="s">
        <v>112</v>
      </c>
      <c r="G51" s="1">
        <v>1609372</v>
      </c>
    </row>
    <row r="52" spans="1:10" x14ac:dyDescent="0.25">
      <c r="A52" s="1" t="str">
        <f t="shared" si="0"/>
        <v>13</v>
      </c>
      <c r="B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2" s="1" t="s">
        <v>299</v>
      </c>
      <c r="D52" s="1" t="s">
        <v>300</v>
      </c>
      <c r="E52" s="1" t="s">
        <v>301</v>
      </c>
      <c r="F52" s="1" t="s">
        <v>112</v>
      </c>
      <c r="G52" s="1">
        <v>2250482</v>
      </c>
    </row>
    <row r="53" spans="1:10" x14ac:dyDescent="0.25">
      <c r="A53" s="1" t="str">
        <f t="shared" si="0"/>
        <v>13</v>
      </c>
      <c r="B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3" s="1" t="s">
        <v>302</v>
      </c>
      <c r="D53" s="1" t="s">
        <v>303</v>
      </c>
      <c r="E53" s="1" t="s">
        <v>304</v>
      </c>
      <c r="F53" s="1" t="s">
        <v>112</v>
      </c>
      <c r="G53" s="1">
        <v>4066</v>
      </c>
    </row>
    <row r="54" spans="1:10" x14ac:dyDescent="0.25">
      <c r="A54" s="1" t="str">
        <f t="shared" si="0"/>
        <v>13</v>
      </c>
      <c r="B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4" s="1" t="s">
        <v>305</v>
      </c>
      <c r="D54" s="1" t="s">
        <v>306</v>
      </c>
      <c r="E54" s="1" t="s">
        <v>307</v>
      </c>
      <c r="F54" s="1" t="s">
        <v>112</v>
      </c>
      <c r="G54" s="1">
        <v>63614</v>
      </c>
    </row>
    <row r="55" spans="1:10" x14ac:dyDescent="0.25">
      <c r="A55" s="1" t="str">
        <f t="shared" si="0"/>
        <v>13</v>
      </c>
      <c r="B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5" s="1" t="s">
        <v>308</v>
      </c>
      <c r="D55" s="1" t="s">
        <v>309</v>
      </c>
      <c r="E55" s="1" t="s">
        <v>310</v>
      </c>
      <c r="F55" s="1" t="s">
        <v>112</v>
      </c>
      <c r="G55" s="1">
        <v>6792</v>
      </c>
    </row>
    <row r="56" spans="1:10" x14ac:dyDescent="0.25">
      <c r="A56" s="1" t="str">
        <f t="shared" si="0"/>
        <v>13</v>
      </c>
      <c r="B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6" s="1" t="s">
        <v>311</v>
      </c>
      <c r="D56" s="1" t="s">
        <v>312</v>
      </c>
      <c r="E56" s="1" t="s">
        <v>313</v>
      </c>
      <c r="F56" s="1" t="s">
        <v>112</v>
      </c>
      <c r="G56" s="1">
        <v>484726</v>
      </c>
    </row>
    <row r="57" spans="1:10" x14ac:dyDescent="0.25">
      <c r="A57" s="1" t="str">
        <f t="shared" si="0"/>
        <v>13</v>
      </c>
      <c r="B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7" s="1" t="s">
        <v>314</v>
      </c>
    </row>
    <row r="58" spans="1:10" x14ac:dyDescent="0.25">
      <c r="A58" s="1" t="str">
        <f t="shared" si="0"/>
        <v>13</v>
      </c>
      <c r="B5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 s="1" t="s">
        <v>315</v>
      </c>
    </row>
    <row r="59" spans="1:10" x14ac:dyDescent="0.25">
      <c r="A59" s="1" t="str">
        <f t="shared" si="0"/>
        <v/>
      </c>
      <c r="B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 s="1" t="s">
        <v>112</v>
      </c>
    </row>
    <row r="60" spans="1:10" x14ac:dyDescent="0.25">
      <c r="A60" s="1" t="str">
        <f t="shared" si="0"/>
        <v/>
      </c>
      <c r="B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0" s="1" t="s">
        <v>237</v>
      </c>
      <c r="D60" s="1" t="s">
        <v>112</v>
      </c>
      <c r="E60" s="1" t="s">
        <v>238</v>
      </c>
      <c r="F60" s="1" t="s">
        <v>239</v>
      </c>
      <c r="G60" s="1" t="s">
        <v>240</v>
      </c>
      <c r="H60" s="1" t="s">
        <v>241</v>
      </c>
      <c r="I60" s="1" t="s">
        <v>242</v>
      </c>
      <c r="J60" s="1" t="s">
        <v>243</v>
      </c>
    </row>
    <row r="61" spans="1:10" x14ac:dyDescent="0.25">
      <c r="A61" s="1" t="str">
        <f t="shared" si="0"/>
        <v>13</v>
      </c>
      <c r="B6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1" s="1" t="s">
        <v>316</v>
      </c>
      <c r="D61" s="1" t="s">
        <v>112</v>
      </c>
      <c r="E61" s="1" t="s">
        <v>317</v>
      </c>
      <c r="F61" s="1" t="s">
        <v>318</v>
      </c>
      <c r="G61" s="1" t="s">
        <v>319</v>
      </c>
      <c r="H61" s="1" t="s">
        <v>320</v>
      </c>
      <c r="I61" s="1">
        <v>24</v>
      </c>
      <c r="J61" s="1">
        <v>24</v>
      </c>
    </row>
    <row r="62" spans="1:10" x14ac:dyDescent="0.25">
      <c r="A62" s="1" t="str">
        <f t="shared" si="0"/>
        <v/>
      </c>
      <c r="B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 s="1" t="s">
        <v>112</v>
      </c>
    </row>
    <row r="63" spans="1:10" x14ac:dyDescent="0.25">
      <c r="A63" s="1" t="str">
        <f t="shared" si="0"/>
        <v/>
      </c>
      <c r="B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3" s="1" t="s">
        <v>112</v>
      </c>
    </row>
    <row r="64" spans="1:10" x14ac:dyDescent="0.25">
      <c r="A64" s="1" t="str">
        <f t="shared" si="0"/>
        <v/>
      </c>
      <c r="B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4" s="1" t="s">
        <v>112</v>
      </c>
    </row>
    <row r="65" spans="1:7" x14ac:dyDescent="0.25">
      <c r="A65" s="1" t="str">
        <f t="shared" si="0"/>
        <v/>
      </c>
      <c r="B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 s="1" t="s">
        <v>112</v>
      </c>
    </row>
    <row r="66" spans="1:7" x14ac:dyDescent="0.25">
      <c r="A66" s="1" t="str">
        <f t="shared" ref="A66:A129" si="1">IFERROR(LEFT(RIGHT(C66,LEN(C66)-SEARCH("@",C66)),SEARCH("/",RIGHT(C66,LEN(C66)-SEARCH("@",C66)-1))),"")</f>
        <v/>
      </c>
      <c r="B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6" s="1" t="s">
        <v>112</v>
      </c>
    </row>
    <row r="67" spans="1:7" x14ac:dyDescent="0.25">
      <c r="A67" s="1" t="str">
        <f t="shared" si="1"/>
        <v/>
      </c>
      <c r="B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7" s="1" t="s">
        <v>249</v>
      </c>
      <c r="D67" s="1" t="s">
        <v>110</v>
      </c>
      <c r="E67" s="1" t="s">
        <v>111</v>
      </c>
      <c r="F67" s="1" t="s">
        <v>112</v>
      </c>
      <c r="G67" s="1" t="s">
        <v>113</v>
      </c>
    </row>
    <row r="68" spans="1:7" x14ac:dyDescent="0.25">
      <c r="A68" s="1" t="str">
        <f t="shared" si="1"/>
        <v>14</v>
      </c>
      <c r="B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8" s="1" t="s">
        <v>321</v>
      </c>
      <c r="D68" s="1" t="s">
        <v>322</v>
      </c>
      <c r="E68" s="1" t="s">
        <v>323</v>
      </c>
      <c r="F68" s="1" t="s">
        <v>112</v>
      </c>
      <c r="G68" s="1">
        <v>83621</v>
      </c>
    </row>
    <row r="69" spans="1:7" x14ac:dyDescent="0.25">
      <c r="A69" s="1" t="str">
        <f t="shared" si="1"/>
        <v>14</v>
      </c>
      <c r="B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9" s="1" t="s">
        <v>324</v>
      </c>
      <c r="D69" s="1" t="s">
        <v>325</v>
      </c>
      <c r="E69" s="1" t="s">
        <v>326</v>
      </c>
      <c r="F69" s="1" t="s">
        <v>112</v>
      </c>
      <c r="G69" s="1">
        <v>120738</v>
      </c>
    </row>
    <row r="70" spans="1:7" x14ac:dyDescent="0.25">
      <c r="A70" s="1" t="str">
        <f t="shared" si="1"/>
        <v>14</v>
      </c>
      <c r="B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70" s="1" t="s">
        <v>327</v>
      </c>
      <c r="D70" s="1" t="s">
        <v>328</v>
      </c>
      <c r="E70" s="1" t="s">
        <v>329</v>
      </c>
      <c r="F70" s="1" t="s">
        <v>112</v>
      </c>
      <c r="G70" s="1">
        <v>4672</v>
      </c>
    </row>
    <row r="71" spans="1:7" x14ac:dyDescent="0.25">
      <c r="A71" s="1" t="str">
        <f t="shared" si="1"/>
        <v>14</v>
      </c>
      <c r="B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1" s="1" t="s">
        <v>330</v>
      </c>
      <c r="D71" s="1" t="s">
        <v>325</v>
      </c>
      <c r="E71" s="1" t="s">
        <v>331</v>
      </c>
      <c r="F71" s="1" t="s">
        <v>112</v>
      </c>
      <c r="G71" s="1">
        <v>102958</v>
      </c>
    </row>
    <row r="72" spans="1:7" x14ac:dyDescent="0.25">
      <c r="A72" s="1" t="str">
        <f t="shared" si="1"/>
        <v>14</v>
      </c>
      <c r="B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2" s="1" t="s">
        <v>332</v>
      </c>
      <c r="D72" s="1" t="s">
        <v>333</v>
      </c>
      <c r="E72" s="1" t="s">
        <v>334</v>
      </c>
      <c r="F72" s="1" t="s">
        <v>112</v>
      </c>
      <c r="G72" s="1">
        <v>43541</v>
      </c>
    </row>
    <row r="73" spans="1:7" x14ac:dyDescent="0.25">
      <c r="A73" s="1" t="str">
        <f t="shared" si="1"/>
        <v>14</v>
      </c>
      <c r="B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3" s="1" t="s">
        <v>335</v>
      </c>
      <c r="D73" s="1" t="s">
        <v>336</v>
      </c>
      <c r="E73" s="1" t="s">
        <v>337</v>
      </c>
      <c r="F73" s="1" t="s">
        <v>112</v>
      </c>
      <c r="G73" s="1">
        <v>55805</v>
      </c>
    </row>
    <row r="74" spans="1:7" x14ac:dyDescent="0.25">
      <c r="A74" s="1" t="str">
        <f t="shared" si="1"/>
        <v>14</v>
      </c>
      <c r="B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4" s="1" t="s">
        <v>338</v>
      </c>
      <c r="D74" s="1" t="s">
        <v>339</v>
      </c>
      <c r="E74" s="1" t="s">
        <v>340</v>
      </c>
      <c r="F74" s="1" t="s">
        <v>112</v>
      </c>
      <c r="G74" s="1">
        <v>1682287</v>
      </c>
    </row>
    <row r="75" spans="1:7" x14ac:dyDescent="0.25">
      <c r="A75" s="1" t="str">
        <f t="shared" si="1"/>
        <v>14</v>
      </c>
      <c r="B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5" s="1" t="s">
        <v>341</v>
      </c>
      <c r="D75" s="1" t="s">
        <v>342</v>
      </c>
      <c r="E75" s="1" t="s">
        <v>343</v>
      </c>
      <c r="F75" s="1" t="s">
        <v>112</v>
      </c>
      <c r="G75" s="1">
        <v>1771164</v>
      </c>
    </row>
    <row r="76" spans="1:7" x14ac:dyDescent="0.25">
      <c r="A76" s="1" t="str">
        <f t="shared" si="1"/>
        <v>14</v>
      </c>
      <c r="B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6" s="1" t="s">
        <v>344</v>
      </c>
      <c r="D76" s="1" t="s">
        <v>345</v>
      </c>
      <c r="E76" s="1" t="s">
        <v>346</v>
      </c>
      <c r="F76" s="1" t="s">
        <v>112</v>
      </c>
      <c r="G76" s="1">
        <v>1863372</v>
      </c>
    </row>
    <row r="77" spans="1:7" x14ac:dyDescent="0.25">
      <c r="A77" s="1" t="str">
        <f t="shared" si="1"/>
        <v>14</v>
      </c>
      <c r="B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77" s="1" t="s">
        <v>347</v>
      </c>
    </row>
    <row r="78" spans="1:7" x14ac:dyDescent="0.25">
      <c r="A78" s="1" t="str">
        <f t="shared" si="1"/>
        <v>14</v>
      </c>
      <c r="B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78" s="1" t="s">
        <v>348</v>
      </c>
    </row>
    <row r="79" spans="1:7" x14ac:dyDescent="0.25">
      <c r="A79" s="1" t="str">
        <f t="shared" si="1"/>
        <v>14</v>
      </c>
      <c r="B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79" s="1" t="s">
        <v>349</v>
      </c>
    </row>
    <row r="80" spans="1:7" x14ac:dyDescent="0.25">
      <c r="A80" s="1" t="str">
        <f t="shared" si="1"/>
        <v>14</v>
      </c>
      <c r="B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80" s="1" t="s">
        <v>350</v>
      </c>
      <c r="D80" s="1" t="s">
        <v>351</v>
      </c>
      <c r="E80" s="1" t="s">
        <v>352</v>
      </c>
      <c r="F80" s="1" t="s">
        <v>112</v>
      </c>
      <c r="G80" s="1">
        <v>524893</v>
      </c>
    </row>
    <row r="81" spans="1:10" x14ac:dyDescent="0.25">
      <c r="A81" s="1" t="str">
        <f t="shared" si="1"/>
        <v>14</v>
      </c>
      <c r="B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81" s="1" t="s">
        <v>353</v>
      </c>
      <c r="D81" s="1" t="s">
        <v>354</v>
      </c>
      <c r="E81" s="1" t="s">
        <v>355</v>
      </c>
      <c r="F81" s="1" t="s">
        <v>112</v>
      </c>
      <c r="G81" s="1">
        <v>277425</v>
      </c>
    </row>
    <row r="82" spans="1:10" x14ac:dyDescent="0.25">
      <c r="A82" s="1" t="str">
        <f t="shared" si="1"/>
        <v>14</v>
      </c>
      <c r="B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82" s="1" t="s">
        <v>356</v>
      </c>
      <c r="D82" s="1" t="s">
        <v>357</v>
      </c>
      <c r="E82" s="1" t="s">
        <v>358</v>
      </c>
      <c r="F82" s="1" t="s">
        <v>112</v>
      </c>
      <c r="G82" s="1">
        <v>333663</v>
      </c>
    </row>
    <row r="83" spans="1:10" x14ac:dyDescent="0.25">
      <c r="A83" s="1" t="str">
        <f t="shared" si="1"/>
        <v>14</v>
      </c>
      <c r="B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83" s="1" t="s">
        <v>359</v>
      </c>
      <c r="D83" s="1" t="s">
        <v>360</v>
      </c>
      <c r="E83" s="1" t="s">
        <v>361</v>
      </c>
      <c r="F83" s="1" t="s">
        <v>112</v>
      </c>
      <c r="G83" s="1">
        <v>442959</v>
      </c>
    </row>
    <row r="84" spans="1:10" x14ac:dyDescent="0.25">
      <c r="A84" s="1" t="str">
        <f t="shared" si="1"/>
        <v>14</v>
      </c>
      <c r="B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84" s="1" t="s">
        <v>362</v>
      </c>
      <c r="D84" s="1" t="s">
        <v>363</v>
      </c>
      <c r="E84" s="1" t="s">
        <v>364</v>
      </c>
      <c r="F84" s="1" t="s">
        <v>112</v>
      </c>
      <c r="G84" s="1">
        <v>509946</v>
      </c>
    </row>
    <row r="85" spans="1:10" x14ac:dyDescent="0.25">
      <c r="A85" s="1" t="str">
        <f t="shared" si="1"/>
        <v>14</v>
      </c>
      <c r="B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85" s="1" t="s">
        <v>365</v>
      </c>
      <c r="D85" s="1" t="s">
        <v>366</v>
      </c>
      <c r="E85" s="1" t="s">
        <v>367</v>
      </c>
      <c r="F85" s="1" t="s">
        <v>112</v>
      </c>
      <c r="G85" s="1">
        <v>638190</v>
      </c>
    </row>
    <row r="86" spans="1:10" x14ac:dyDescent="0.25">
      <c r="A86" s="1" t="str">
        <f t="shared" si="1"/>
        <v>14</v>
      </c>
      <c r="B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86" s="1" t="s">
        <v>368</v>
      </c>
      <c r="D86" s="1" t="s">
        <v>369</v>
      </c>
      <c r="E86" s="1" t="s">
        <v>370</v>
      </c>
      <c r="F86" s="1" t="s">
        <v>112</v>
      </c>
      <c r="G86" s="1">
        <v>237669</v>
      </c>
    </row>
    <row r="87" spans="1:10" x14ac:dyDescent="0.25">
      <c r="A87" s="1" t="str">
        <f t="shared" si="1"/>
        <v>14</v>
      </c>
      <c r="B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87" s="1" t="s">
        <v>371</v>
      </c>
      <c r="D87" s="1" t="s">
        <v>372</v>
      </c>
      <c r="E87" s="1" t="s">
        <v>373</v>
      </c>
      <c r="F87" s="1" t="s">
        <v>112</v>
      </c>
      <c r="G87" s="1">
        <v>143796</v>
      </c>
    </row>
    <row r="88" spans="1:10" x14ac:dyDescent="0.25">
      <c r="A88" s="1" t="str">
        <f t="shared" si="1"/>
        <v>14</v>
      </c>
      <c r="B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88" s="1" t="s">
        <v>374</v>
      </c>
      <c r="D88" s="1" t="s">
        <v>375</v>
      </c>
      <c r="E88" s="1" t="s">
        <v>376</v>
      </c>
      <c r="F88" s="1" t="s">
        <v>112</v>
      </c>
      <c r="G88" s="1">
        <v>174986</v>
      </c>
    </row>
    <row r="89" spans="1:10" x14ac:dyDescent="0.25">
      <c r="A89" s="1" t="str">
        <f t="shared" si="1"/>
        <v>14</v>
      </c>
      <c r="B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89" s="1" t="s">
        <v>377</v>
      </c>
      <c r="D89" s="1" t="s">
        <v>378</v>
      </c>
      <c r="E89" s="1" t="s">
        <v>379</v>
      </c>
      <c r="F89" s="1" t="s">
        <v>112</v>
      </c>
      <c r="G89" s="1">
        <v>620756</v>
      </c>
    </row>
    <row r="90" spans="1:10" x14ac:dyDescent="0.25">
      <c r="A90" s="1" t="str">
        <f t="shared" si="1"/>
        <v>14</v>
      </c>
      <c r="B9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90" s="1" t="s">
        <v>380</v>
      </c>
      <c r="D90" s="1" t="s">
        <v>381</v>
      </c>
      <c r="E90" s="1" t="s">
        <v>382</v>
      </c>
      <c r="F90" s="1" t="s">
        <v>112</v>
      </c>
      <c r="G90" s="1">
        <v>889702</v>
      </c>
    </row>
    <row r="91" spans="1:10" x14ac:dyDescent="0.25">
      <c r="A91" s="1" t="str">
        <f t="shared" si="1"/>
        <v>14</v>
      </c>
      <c r="B9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91" s="1" t="s">
        <v>383</v>
      </c>
      <c r="D91" s="1" t="s">
        <v>384</v>
      </c>
      <c r="E91" s="1" t="s">
        <v>385</v>
      </c>
      <c r="F91" s="1" t="s">
        <v>112</v>
      </c>
      <c r="G91" s="1">
        <v>570142</v>
      </c>
    </row>
    <row r="92" spans="1:10" x14ac:dyDescent="0.25">
      <c r="A92" s="1" t="str">
        <f t="shared" si="1"/>
        <v/>
      </c>
      <c r="B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2" s="1" t="s">
        <v>112</v>
      </c>
    </row>
    <row r="93" spans="1:10" x14ac:dyDescent="0.25">
      <c r="A93" s="1" t="str">
        <f t="shared" si="1"/>
        <v/>
      </c>
      <c r="B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3" s="1" t="s">
        <v>237</v>
      </c>
      <c r="D93" s="1" t="s">
        <v>112</v>
      </c>
      <c r="E93" s="1" t="s">
        <v>238</v>
      </c>
      <c r="F93" s="1" t="s">
        <v>239</v>
      </c>
      <c r="G93" s="1" t="s">
        <v>240</v>
      </c>
      <c r="H93" s="1" t="s">
        <v>241</v>
      </c>
      <c r="I93" s="1" t="s">
        <v>242</v>
      </c>
      <c r="J93" s="1" t="s">
        <v>243</v>
      </c>
    </row>
    <row r="94" spans="1:10" x14ac:dyDescent="0.25">
      <c r="A94" s="1" t="str">
        <f t="shared" si="1"/>
        <v>14</v>
      </c>
      <c r="B9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94" s="1" t="s">
        <v>386</v>
      </c>
      <c r="D94" s="1" t="s">
        <v>112</v>
      </c>
      <c r="E94" s="1" t="s">
        <v>387</v>
      </c>
      <c r="F94" s="1" t="s">
        <v>388</v>
      </c>
      <c r="G94" s="1" t="s">
        <v>389</v>
      </c>
      <c r="H94" s="1" t="s">
        <v>390</v>
      </c>
      <c r="I94" s="1">
        <v>24</v>
      </c>
      <c r="J94" s="1">
        <v>24</v>
      </c>
    </row>
    <row r="95" spans="1:10" x14ac:dyDescent="0.25">
      <c r="A95" s="1" t="str">
        <f t="shared" si="1"/>
        <v/>
      </c>
      <c r="B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5" s="1" t="s">
        <v>112</v>
      </c>
    </row>
    <row r="96" spans="1:10" x14ac:dyDescent="0.25">
      <c r="A96" s="1" t="str">
        <f t="shared" si="1"/>
        <v/>
      </c>
      <c r="B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6" s="1" t="s">
        <v>112</v>
      </c>
    </row>
    <row r="97" spans="1:7" x14ac:dyDescent="0.25">
      <c r="A97" s="1" t="str">
        <f t="shared" si="1"/>
        <v/>
      </c>
      <c r="B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7" s="1" t="s">
        <v>112</v>
      </c>
    </row>
    <row r="98" spans="1:7" x14ac:dyDescent="0.25">
      <c r="A98" s="1" t="str">
        <f t="shared" si="1"/>
        <v/>
      </c>
      <c r="B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8" s="1" t="s">
        <v>112</v>
      </c>
    </row>
    <row r="99" spans="1:7" x14ac:dyDescent="0.25">
      <c r="A99" s="1" t="str">
        <f t="shared" si="1"/>
        <v/>
      </c>
      <c r="B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9" s="1" t="s">
        <v>112</v>
      </c>
    </row>
    <row r="100" spans="1:7" x14ac:dyDescent="0.25">
      <c r="A100" s="1" t="str">
        <f t="shared" si="1"/>
        <v/>
      </c>
      <c r="B1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00" s="1" t="s">
        <v>249</v>
      </c>
      <c r="D100" s="1" t="s">
        <v>110</v>
      </c>
      <c r="E100" s="1" t="s">
        <v>111</v>
      </c>
      <c r="F100" s="1" t="s">
        <v>112</v>
      </c>
      <c r="G100" s="1" t="s">
        <v>113</v>
      </c>
    </row>
    <row r="101" spans="1:7" x14ac:dyDescent="0.25">
      <c r="A101" s="1" t="str">
        <f t="shared" si="1"/>
        <v>15</v>
      </c>
      <c r="B1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01" s="1" t="s">
        <v>391</v>
      </c>
      <c r="D101" s="1" t="s">
        <v>392</v>
      </c>
      <c r="E101" s="1" t="s">
        <v>393</v>
      </c>
      <c r="F101" s="1" t="s">
        <v>112</v>
      </c>
      <c r="G101" s="1">
        <v>5108332</v>
      </c>
    </row>
    <row r="102" spans="1:7" x14ac:dyDescent="0.25">
      <c r="A102" s="1" t="str">
        <f t="shared" si="1"/>
        <v>15</v>
      </c>
      <c r="B1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02" s="1" t="s">
        <v>394</v>
      </c>
      <c r="D102" s="1" t="s">
        <v>395</v>
      </c>
      <c r="E102" s="1" t="s">
        <v>396</v>
      </c>
      <c r="F102" s="1" t="s">
        <v>112</v>
      </c>
      <c r="G102" s="1">
        <v>5036910</v>
      </c>
    </row>
    <row r="103" spans="1:7" x14ac:dyDescent="0.25">
      <c r="A103" s="1" t="str">
        <f t="shared" si="1"/>
        <v>15</v>
      </c>
      <c r="B1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03" s="1" t="s">
        <v>397</v>
      </c>
      <c r="D103" s="1" t="s">
        <v>398</v>
      </c>
      <c r="E103" s="1" t="s">
        <v>399</v>
      </c>
      <c r="F103" s="1" t="s">
        <v>112</v>
      </c>
      <c r="G103" s="1">
        <v>5163315</v>
      </c>
    </row>
    <row r="104" spans="1:7" x14ac:dyDescent="0.25">
      <c r="A104" s="1" t="str">
        <f t="shared" si="1"/>
        <v>15</v>
      </c>
      <c r="B1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04" s="1" t="s">
        <v>400</v>
      </c>
      <c r="D104" s="1" t="s">
        <v>401</v>
      </c>
      <c r="E104" s="1" t="s">
        <v>402</v>
      </c>
      <c r="F104" s="1" t="s">
        <v>112</v>
      </c>
      <c r="G104" s="1">
        <v>4331970</v>
      </c>
    </row>
    <row r="105" spans="1:7" x14ac:dyDescent="0.25">
      <c r="A105" s="1" t="str">
        <f t="shared" si="1"/>
        <v>15</v>
      </c>
      <c r="B1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05" s="1" t="s">
        <v>403</v>
      </c>
      <c r="D105" s="1" t="s">
        <v>404</v>
      </c>
      <c r="E105" s="1" t="s">
        <v>405</v>
      </c>
      <c r="F105" s="1" t="s">
        <v>112</v>
      </c>
      <c r="G105" s="1">
        <v>3959633</v>
      </c>
    </row>
    <row r="106" spans="1:7" x14ac:dyDescent="0.25">
      <c r="A106" s="1" t="str">
        <f t="shared" si="1"/>
        <v>15</v>
      </c>
      <c r="B1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06" s="1" t="s">
        <v>406</v>
      </c>
      <c r="D106" s="1" t="s">
        <v>407</v>
      </c>
      <c r="E106" s="1" t="s">
        <v>408</v>
      </c>
      <c r="F106" s="1" t="s">
        <v>112</v>
      </c>
      <c r="G106" s="1">
        <v>4072541</v>
      </c>
    </row>
    <row r="107" spans="1:7" x14ac:dyDescent="0.25">
      <c r="A107" s="1" t="str">
        <f t="shared" si="1"/>
        <v>15</v>
      </c>
      <c r="B1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07" s="1" t="s">
        <v>409</v>
      </c>
      <c r="D107" s="1" t="s">
        <v>410</v>
      </c>
      <c r="E107" s="1" t="s">
        <v>411</v>
      </c>
      <c r="F107" s="1" t="s">
        <v>112</v>
      </c>
      <c r="G107" s="1">
        <v>3780949</v>
      </c>
    </row>
    <row r="108" spans="1:7" x14ac:dyDescent="0.25">
      <c r="A108" s="1" t="str">
        <f t="shared" si="1"/>
        <v>15</v>
      </c>
      <c r="B1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08" s="1" t="s">
        <v>412</v>
      </c>
      <c r="D108" s="1" t="s">
        <v>413</v>
      </c>
      <c r="E108" s="1" t="s">
        <v>414</v>
      </c>
      <c r="F108" s="1" t="s">
        <v>112</v>
      </c>
      <c r="G108" s="1">
        <v>3981480</v>
      </c>
    </row>
    <row r="109" spans="1:7" x14ac:dyDescent="0.25">
      <c r="A109" s="1" t="str">
        <f t="shared" si="1"/>
        <v>15</v>
      </c>
      <c r="B1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09" s="1" t="s">
        <v>415</v>
      </c>
      <c r="D109" s="1" t="s">
        <v>416</v>
      </c>
      <c r="E109" s="1" t="s">
        <v>417</v>
      </c>
      <c r="F109" s="1" t="s">
        <v>112</v>
      </c>
      <c r="G109" s="1">
        <v>4133257</v>
      </c>
    </row>
    <row r="110" spans="1:7" x14ac:dyDescent="0.25">
      <c r="A110" s="1" t="str">
        <f t="shared" si="1"/>
        <v>15</v>
      </c>
      <c r="B1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10" s="1" t="s">
        <v>418</v>
      </c>
      <c r="D110" s="1" t="s">
        <v>419</v>
      </c>
      <c r="E110" s="1" t="s">
        <v>420</v>
      </c>
      <c r="F110" s="1" t="s">
        <v>112</v>
      </c>
      <c r="G110" s="1">
        <v>3381315</v>
      </c>
    </row>
    <row r="111" spans="1:7" x14ac:dyDescent="0.25">
      <c r="A111" s="1" t="str">
        <f t="shared" si="1"/>
        <v>15</v>
      </c>
      <c r="B1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11" s="1" t="s">
        <v>421</v>
      </c>
      <c r="D111" s="1" t="s">
        <v>422</v>
      </c>
      <c r="E111" s="1" t="s">
        <v>423</v>
      </c>
      <c r="F111" s="1" t="s">
        <v>112</v>
      </c>
      <c r="G111" s="1">
        <v>3259712</v>
      </c>
    </row>
    <row r="112" spans="1:7" x14ac:dyDescent="0.25">
      <c r="A112" s="1" t="str">
        <f t="shared" si="1"/>
        <v>15</v>
      </c>
      <c r="B1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12" s="1" t="s">
        <v>424</v>
      </c>
      <c r="D112" s="1" t="s">
        <v>425</v>
      </c>
      <c r="E112" s="1" t="s">
        <v>426</v>
      </c>
      <c r="F112" s="1" t="s">
        <v>112</v>
      </c>
      <c r="G112" s="1">
        <v>3827237</v>
      </c>
    </row>
    <row r="113" spans="1:10" x14ac:dyDescent="0.25">
      <c r="A113" s="1" t="str">
        <f t="shared" si="1"/>
        <v>15</v>
      </c>
      <c r="B1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13" s="1" t="s">
        <v>427</v>
      </c>
      <c r="D113" s="1" t="s">
        <v>428</v>
      </c>
      <c r="E113" s="1" t="s">
        <v>429</v>
      </c>
      <c r="F113" s="1" t="s">
        <v>112</v>
      </c>
      <c r="G113" s="1">
        <v>2035287</v>
      </c>
    </row>
    <row r="114" spans="1:10" x14ac:dyDescent="0.25">
      <c r="A114" s="1" t="str">
        <f t="shared" si="1"/>
        <v>15</v>
      </c>
      <c r="B1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14" s="1" t="s">
        <v>430</v>
      </c>
      <c r="D114" s="1" t="s">
        <v>431</v>
      </c>
      <c r="E114" s="1" t="s">
        <v>432</v>
      </c>
      <c r="F114" s="1" t="s">
        <v>112</v>
      </c>
      <c r="G114" s="1">
        <v>1706469</v>
      </c>
    </row>
    <row r="115" spans="1:10" x14ac:dyDescent="0.25">
      <c r="A115" s="1" t="str">
        <f t="shared" si="1"/>
        <v>15</v>
      </c>
      <c r="B1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15" s="1" t="s">
        <v>433</v>
      </c>
      <c r="D115" s="1" t="s">
        <v>434</v>
      </c>
      <c r="E115" s="1" t="s">
        <v>435</v>
      </c>
      <c r="F115" s="1" t="s">
        <v>112</v>
      </c>
      <c r="G115" s="1">
        <v>1885586</v>
      </c>
    </row>
    <row r="116" spans="1:10" x14ac:dyDescent="0.25">
      <c r="A116" s="1" t="str">
        <f t="shared" si="1"/>
        <v>15</v>
      </c>
      <c r="B1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16" s="1" t="s">
        <v>436</v>
      </c>
      <c r="D116" s="1" t="s">
        <v>437</v>
      </c>
      <c r="E116" s="1" t="s">
        <v>438</v>
      </c>
      <c r="F116" s="1" t="s">
        <v>112</v>
      </c>
      <c r="G116" s="1">
        <v>2957282</v>
      </c>
    </row>
    <row r="117" spans="1:10" x14ac:dyDescent="0.25">
      <c r="A117" s="1" t="str">
        <f t="shared" si="1"/>
        <v>15</v>
      </c>
      <c r="B1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17" s="1" t="s">
        <v>439</v>
      </c>
      <c r="D117" s="1" t="s">
        <v>440</v>
      </c>
      <c r="E117" s="1" t="s">
        <v>441</v>
      </c>
      <c r="F117" s="1" t="s">
        <v>112</v>
      </c>
      <c r="G117" s="1">
        <v>3105707</v>
      </c>
    </row>
    <row r="118" spans="1:10" x14ac:dyDescent="0.25">
      <c r="A118" s="1" t="str">
        <f t="shared" si="1"/>
        <v>15</v>
      </c>
      <c r="B1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18" s="1" t="s">
        <v>442</v>
      </c>
      <c r="D118" s="1" t="s">
        <v>443</v>
      </c>
      <c r="E118" s="1" t="s">
        <v>444</v>
      </c>
      <c r="F118" s="1" t="s">
        <v>112</v>
      </c>
      <c r="G118" s="1">
        <v>2913093</v>
      </c>
    </row>
    <row r="119" spans="1:10" x14ac:dyDescent="0.25">
      <c r="A119" s="1" t="str">
        <f t="shared" si="1"/>
        <v>15</v>
      </c>
      <c r="B1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19" s="1" t="s">
        <v>445</v>
      </c>
      <c r="D119" s="1" t="s">
        <v>446</v>
      </c>
      <c r="E119" s="1" t="s">
        <v>447</v>
      </c>
      <c r="F119" s="1" t="s">
        <v>112</v>
      </c>
      <c r="G119" s="1">
        <v>3378633</v>
      </c>
    </row>
    <row r="120" spans="1:10" x14ac:dyDescent="0.25">
      <c r="A120" s="1" t="str">
        <f t="shared" si="1"/>
        <v>15</v>
      </c>
      <c r="B1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20" s="1" t="s">
        <v>448</v>
      </c>
      <c r="D120" s="1" t="s">
        <v>449</v>
      </c>
      <c r="E120" s="1" t="s">
        <v>450</v>
      </c>
      <c r="F120" s="1" t="s">
        <v>112</v>
      </c>
      <c r="G120" s="1">
        <v>3757134</v>
      </c>
    </row>
    <row r="121" spans="1:10" x14ac:dyDescent="0.25">
      <c r="A121" s="1" t="str">
        <f t="shared" si="1"/>
        <v>15</v>
      </c>
      <c r="B1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21" s="1" t="s">
        <v>451</v>
      </c>
      <c r="D121" s="1" t="s">
        <v>452</v>
      </c>
      <c r="E121" s="1" t="s">
        <v>453</v>
      </c>
      <c r="F121" s="1" t="s">
        <v>112</v>
      </c>
      <c r="G121" s="1">
        <v>3870864</v>
      </c>
    </row>
    <row r="122" spans="1:10" x14ac:dyDescent="0.25">
      <c r="A122" s="1" t="str">
        <f t="shared" si="1"/>
        <v>15</v>
      </c>
      <c r="B1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22" s="1" t="s">
        <v>454</v>
      </c>
      <c r="D122" s="1" t="s">
        <v>455</v>
      </c>
      <c r="E122" s="1" t="s">
        <v>456</v>
      </c>
      <c r="F122" s="1" t="s">
        <v>112</v>
      </c>
      <c r="G122" s="1">
        <v>3403723</v>
      </c>
    </row>
    <row r="123" spans="1:10" x14ac:dyDescent="0.25">
      <c r="A123" s="1" t="str">
        <f t="shared" si="1"/>
        <v>15</v>
      </c>
      <c r="B1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23" s="1" t="s">
        <v>457</v>
      </c>
      <c r="D123" s="1" t="s">
        <v>458</v>
      </c>
      <c r="E123" s="1" t="s">
        <v>459</v>
      </c>
      <c r="F123" s="1" t="s">
        <v>112</v>
      </c>
      <c r="G123" s="1">
        <v>3745065</v>
      </c>
    </row>
    <row r="124" spans="1:10" x14ac:dyDescent="0.25">
      <c r="A124" s="1" t="str">
        <f t="shared" si="1"/>
        <v>15</v>
      </c>
      <c r="B1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24" s="1" t="s">
        <v>460</v>
      </c>
      <c r="D124" s="1" t="s">
        <v>461</v>
      </c>
      <c r="E124" s="1" t="s">
        <v>462</v>
      </c>
      <c r="F124" s="1" t="s">
        <v>112</v>
      </c>
      <c r="G124" s="1">
        <v>2977442</v>
      </c>
    </row>
    <row r="125" spans="1:10" x14ac:dyDescent="0.25">
      <c r="A125" s="1" t="str">
        <f t="shared" si="1"/>
        <v/>
      </c>
      <c r="B1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5" s="1" t="s">
        <v>112</v>
      </c>
    </row>
    <row r="126" spans="1:10" x14ac:dyDescent="0.25">
      <c r="A126" s="1" t="str">
        <f t="shared" si="1"/>
        <v/>
      </c>
      <c r="B1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6" s="1" t="s">
        <v>237</v>
      </c>
      <c r="D126" s="1" t="s">
        <v>112</v>
      </c>
      <c r="E126" s="1" t="s">
        <v>238</v>
      </c>
      <c r="F126" s="1" t="s">
        <v>239</v>
      </c>
      <c r="G126" s="1" t="s">
        <v>240</v>
      </c>
      <c r="H126" s="1" t="s">
        <v>241</v>
      </c>
      <c r="I126" s="1" t="s">
        <v>242</v>
      </c>
      <c r="J126" s="1" t="s">
        <v>243</v>
      </c>
    </row>
    <row r="127" spans="1:10" x14ac:dyDescent="0.25">
      <c r="A127" s="1" t="str">
        <f t="shared" si="1"/>
        <v>15</v>
      </c>
      <c r="B12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127" s="1" t="s">
        <v>463</v>
      </c>
      <c r="D127" s="1" t="s">
        <v>112</v>
      </c>
      <c r="E127" s="1" t="s">
        <v>464</v>
      </c>
      <c r="F127" s="1" t="s">
        <v>465</v>
      </c>
      <c r="G127" s="1" t="s">
        <v>466</v>
      </c>
      <c r="H127" s="1" t="s">
        <v>467</v>
      </c>
      <c r="I127" s="1">
        <v>24</v>
      </c>
      <c r="J127" s="1">
        <v>24</v>
      </c>
    </row>
    <row r="128" spans="1:10" x14ac:dyDescent="0.25">
      <c r="A128" s="1" t="str">
        <f t="shared" si="1"/>
        <v/>
      </c>
      <c r="B1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8" s="1" t="s">
        <v>112</v>
      </c>
    </row>
    <row r="129" spans="1:7" x14ac:dyDescent="0.25">
      <c r="A129" s="1" t="str">
        <f t="shared" si="1"/>
        <v/>
      </c>
      <c r="B1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9" s="1" t="s">
        <v>112</v>
      </c>
    </row>
    <row r="130" spans="1:7" x14ac:dyDescent="0.25">
      <c r="A130" s="1" t="str">
        <f t="shared" ref="A130:A193" si="2">IFERROR(LEFT(RIGHT(C130,LEN(C130)-SEARCH("@",C130)),SEARCH("/",RIGHT(C130,LEN(C130)-SEARCH("@",C130)-1))),"")</f>
        <v/>
      </c>
      <c r="B1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0" s="1" t="s">
        <v>112</v>
      </c>
    </row>
    <row r="131" spans="1:7" x14ac:dyDescent="0.25">
      <c r="A131" s="1" t="str">
        <f t="shared" si="2"/>
        <v/>
      </c>
      <c r="B1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1" s="1" t="s">
        <v>112</v>
      </c>
    </row>
    <row r="132" spans="1:7" x14ac:dyDescent="0.25">
      <c r="A132" s="1" t="str">
        <f t="shared" si="2"/>
        <v/>
      </c>
      <c r="B1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2" s="1" t="s">
        <v>112</v>
      </c>
    </row>
    <row r="133" spans="1:7" x14ac:dyDescent="0.25">
      <c r="A133" s="1" t="str">
        <f t="shared" si="2"/>
        <v/>
      </c>
      <c r="B1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3" s="1" t="s">
        <v>249</v>
      </c>
      <c r="D133" s="1" t="s">
        <v>110</v>
      </c>
      <c r="E133" s="1" t="s">
        <v>111</v>
      </c>
      <c r="F133" s="1" t="s">
        <v>112</v>
      </c>
      <c r="G133" s="1" t="s">
        <v>113</v>
      </c>
    </row>
    <row r="134" spans="1:7" x14ac:dyDescent="0.25">
      <c r="A134" s="1" t="str">
        <f t="shared" si="2"/>
        <v>16</v>
      </c>
      <c r="B1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34" s="1" t="s">
        <v>468</v>
      </c>
      <c r="D134" s="1" t="s">
        <v>469</v>
      </c>
      <c r="E134" s="1" t="s">
        <v>470</v>
      </c>
      <c r="F134" s="1" t="s">
        <v>112</v>
      </c>
      <c r="G134" s="1">
        <v>38847</v>
      </c>
    </row>
    <row r="135" spans="1:7" x14ac:dyDescent="0.25">
      <c r="A135" s="1" t="str">
        <f t="shared" si="2"/>
        <v>16</v>
      </c>
      <c r="B1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35" s="1" t="s">
        <v>471</v>
      </c>
      <c r="D135" s="1" t="s">
        <v>472</v>
      </c>
      <c r="E135" s="1" t="s">
        <v>473</v>
      </c>
      <c r="F135" s="1" t="s">
        <v>112</v>
      </c>
      <c r="G135" s="1">
        <v>72763</v>
      </c>
    </row>
    <row r="136" spans="1:7" x14ac:dyDescent="0.25">
      <c r="A136" s="1" t="str">
        <f t="shared" si="2"/>
        <v>16</v>
      </c>
      <c r="B1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36" s="1" t="s">
        <v>474</v>
      </c>
      <c r="D136" s="1" t="s">
        <v>475</v>
      </c>
      <c r="E136" s="1" t="s">
        <v>476</v>
      </c>
      <c r="F136" s="1" t="s">
        <v>112</v>
      </c>
      <c r="G136" s="1">
        <v>38934</v>
      </c>
    </row>
    <row r="137" spans="1:7" x14ac:dyDescent="0.25">
      <c r="A137" s="1" t="str">
        <f t="shared" si="2"/>
        <v>16</v>
      </c>
      <c r="B1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37" s="1" t="s">
        <v>477</v>
      </c>
      <c r="D137" s="1" t="s">
        <v>215</v>
      </c>
      <c r="E137" s="1" t="s">
        <v>478</v>
      </c>
      <c r="F137" s="1" t="s">
        <v>112</v>
      </c>
      <c r="G137" s="1">
        <v>106484</v>
      </c>
    </row>
    <row r="138" spans="1:7" x14ac:dyDescent="0.25">
      <c r="A138" s="1" t="str">
        <f t="shared" si="2"/>
        <v>16</v>
      </c>
      <c r="B1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38" s="1" t="s">
        <v>479</v>
      </c>
      <c r="D138" s="1" t="s">
        <v>480</v>
      </c>
      <c r="E138" s="1" t="s">
        <v>481</v>
      </c>
      <c r="F138" s="1" t="s">
        <v>112</v>
      </c>
      <c r="G138" s="1">
        <v>71335</v>
      </c>
    </row>
    <row r="139" spans="1:7" x14ac:dyDescent="0.25">
      <c r="A139" s="1" t="str">
        <f t="shared" si="2"/>
        <v>16</v>
      </c>
      <c r="B1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39" s="1" t="s">
        <v>482</v>
      </c>
      <c r="D139" s="1" t="s">
        <v>483</v>
      </c>
      <c r="E139" s="1" t="s">
        <v>484</v>
      </c>
      <c r="F139" s="1" t="s">
        <v>112</v>
      </c>
      <c r="G139" s="1">
        <v>221360</v>
      </c>
    </row>
    <row r="140" spans="1:7" x14ac:dyDescent="0.25">
      <c r="A140" s="1" t="str">
        <f t="shared" si="2"/>
        <v>16</v>
      </c>
      <c r="B1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40" s="1" t="s">
        <v>485</v>
      </c>
      <c r="D140" s="1" t="s">
        <v>486</v>
      </c>
      <c r="E140" s="1" t="s">
        <v>487</v>
      </c>
      <c r="F140" s="1" t="s">
        <v>112</v>
      </c>
      <c r="G140" s="1">
        <v>44190</v>
      </c>
    </row>
    <row r="141" spans="1:7" x14ac:dyDescent="0.25">
      <c r="A141" s="1" t="str">
        <f t="shared" si="2"/>
        <v>16</v>
      </c>
      <c r="B1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41" s="1" t="s">
        <v>488</v>
      </c>
    </row>
    <row r="142" spans="1:7" x14ac:dyDescent="0.25">
      <c r="A142" s="1" t="str">
        <f t="shared" si="2"/>
        <v>16</v>
      </c>
      <c r="B1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42" s="1" t="s">
        <v>489</v>
      </c>
      <c r="D142" s="1" t="s">
        <v>490</v>
      </c>
      <c r="E142" s="1" t="s">
        <v>491</v>
      </c>
      <c r="F142" s="1" t="s">
        <v>112</v>
      </c>
      <c r="G142" s="1">
        <v>131293</v>
      </c>
    </row>
    <row r="143" spans="1:7" x14ac:dyDescent="0.25">
      <c r="A143" s="1" t="str">
        <f t="shared" si="2"/>
        <v>16</v>
      </c>
      <c r="B1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43" s="1" t="s">
        <v>492</v>
      </c>
      <c r="D143" s="1" t="s">
        <v>493</v>
      </c>
      <c r="E143" s="1" t="s">
        <v>494</v>
      </c>
      <c r="F143" s="1" t="s">
        <v>112</v>
      </c>
      <c r="G143" s="1">
        <v>105251</v>
      </c>
    </row>
    <row r="144" spans="1:7" x14ac:dyDescent="0.25">
      <c r="A144" s="1" t="str">
        <f t="shared" si="2"/>
        <v>16</v>
      </c>
      <c r="B1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44" s="1" t="s">
        <v>495</v>
      </c>
      <c r="D144" s="1" t="s">
        <v>496</v>
      </c>
      <c r="E144" s="1" t="s">
        <v>497</v>
      </c>
      <c r="F144" s="1" t="s">
        <v>112</v>
      </c>
      <c r="G144" s="1">
        <v>52366</v>
      </c>
    </row>
    <row r="145" spans="1:10" x14ac:dyDescent="0.25">
      <c r="A145" s="1" t="str">
        <f t="shared" si="2"/>
        <v>16</v>
      </c>
      <c r="B1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45" s="1" t="s">
        <v>498</v>
      </c>
      <c r="D145" s="1" t="s">
        <v>499</v>
      </c>
      <c r="E145" s="1" t="s">
        <v>500</v>
      </c>
      <c r="F145" s="1" t="s">
        <v>112</v>
      </c>
      <c r="G145" s="1">
        <v>7441</v>
      </c>
    </row>
    <row r="146" spans="1:10" x14ac:dyDescent="0.25">
      <c r="A146" s="1" t="str">
        <f t="shared" si="2"/>
        <v>16</v>
      </c>
      <c r="B1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6" s="1" t="s">
        <v>501</v>
      </c>
      <c r="D146" s="1" t="s">
        <v>502</v>
      </c>
      <c r="E146" s="1" t="s">
        <v>503</v>
      </c>
      <c r="F146" s="1" t="s">
        <v>112</v>
      </c>
      <c r="G146" s="1">
        <v>75834</v>
      </c>
    </row>
    <row r="147" spans="1:10" x14ac:dyDescent="0.25">
      <c r="A147" s="1" t="str">
        <f t="shared" si="2"/>
        <v>16</v>
      </c>
      <c r="B1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7" s="1" t="s">
        <v>504</v>
      </c>
      <c r="D147" s="1" t="s">
        <v>505</v>
      </c>
      <c r="E147" s="1" t="s">
        <v>506</v>
      </c>
      <c r="F147" s="1" t="s">
        <v>112</v>
      </c>
      <c r="G147" s="1">
        <v>354081</v>
      </c>
    </row>
    <row r="148" spans="1:10" x14ac:dyDescent="0.25">
      <c r="A148" s="1" t="str">
        <f t="shared" si="2"/>
        <v>16</v>
      </c>
      <c r="B1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8" s="1" t="s">
        <v>507</v>
      </c>
      <c r="D148" s="1" t="s">
        <v>508</v>
      </c>
      <c r="E148" s="1" t="s">
        <v>509</v>
      </c>
      <c r="F148" s="1" t="s">
        <v>112</v>
      </c>
      <c r="G148" s="1">
        <v>403116</v>
      </c>
    </row>
    <row r="149" spans="1:10" x14ac:dyDescent="0.25">
      <c r="A149" s="1" t="str">
        <f t="shared" si="2"/>
        <v>16</v>
      </c>
      <c r="B1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49" s="1" t="s">
        <v>510</v>
      </c>
      <c r="D149" s="1" t="s">
        <v>511</v>
      </c>
      <c r="E149" s="1" t="s">
        <v>512</v>
      </c>
      <c r="F149" s="1" t="s">
        <v>112</v>
      </c>
      <c r="G149" s="1">
        <v>46310</v>
      </c>
    </row>
    <row r="150" spans="1:10" x14ac:dyDescent="0.25">
      <c r="A150" s="1" t="str">
        <f t="shared" si="2"/>
        <v>16</v>
      </c>
      <c r="B1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50" s="1" t="s">
        <v>513</v>
      </c>
      <c r="D150" s="1" t="s">
        <v>514</v>
      </c>
      <c r="E150" s="1" t="s">
        <v>515</v>
      </c>
      <c r="F150" s="1" t="s">
        <v>112</v>
      </c>
      <c r="G150" s="1">
        <v>50073</v>
      </c>
    </row>
    <row r="151" spans="1:10" x14ac:dyDescent="0.25">
      <c r="A151" s="1" t="str">
        <f t="shared" si="2"/>
        <v>16</v>
      </c>
      <c r="B1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51" s="1" t="s">
        <v>516</v>
      </c>
      <c r="D151" s="1">
        <v>0</v>
      </c>
      <c r="E151" s="1">
        <v>0</v>
      </c>
      <c r="F151" s="1" t="s">
        <v>112</v>
      </c>
      <c r="G151" s="1">
        <v>0</v>
      </c>
    </row>
    <row r="152" spans="1:10" x14ac:dyDescent="0.25">
      <c r="A152" s="1" t="str">
        <f t="shared" si="2"/>
        <v>16</v>
      </c>
      <c r="B1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52" s="1" t="s">
        <v>517</v>
      </c>
      <c r="D152" s="1" t="s">
        <v>221</v>
      </c>
      <c r="E152" s="1" t="s">
        <v>518</v>
      </c>
      <c r="F152" s="1" t="s">
        <v>112</v>
      </c>
      <c r="G152" s="1">
        <v>182967</v>
      </c>
    </row>
    <row r="153" spans="1:10" x14ac:dyDescent="0.25">
      <c r="A153" s="1" t="str">
        <f t="shared" si="2"/>
        <v>16</v>
      </c>
      <c r="B1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53" s="1" t="s">
        <v>519</v>
      </c>
      <c r="D153" s="1" t="s">
        <v>520</v>
      </c>
      <c r="E153" s="1" t="s">
        <v>521</v>
      </c>
      <c r="F153" s="1" t="s">
        <v>112</v>
      </c>
      <c r="G153" s="1">
        <v>18602</v>
      </c>
    </row>
    <row r="154" spans="1:10" x14ac:dyDescent="0.25">
      <c r="A154" s="1" t="str">
        <f t="shared" si="2"/>
        <v>16</v>
      </c>
      <c r="B1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54" s="1" t="s">
        <v>522</v>
      </c>
      <c r="D154" s="1" t="s">
        <v>523</v>
      </c>
      <c r="E154" s="1" t="s">
        <v>524</v>
      </c>
      <c r="F154" s="1" t="s">
        <v>112</v>
      </c>
      <c r="G154" s="1">
        <v>54031</v>
      </c>
    </row>
    <row r="155" spans="1:10" x14ac:dyDescent="0.25">
      <c r="A155" s="1" t="str">
        <f t="shared" si="2"/>
        <v>16</v>
      </c>
      <c r="B1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55" s="1" t="s">
        <v>525</v>
      </c>
      <c r="D155" s="1" t="s">
        <v>526</v>
      </c>
      <c r="E155" s="1" t="s">
        <v>527</v>
      </c>
      <c r="F155" s="1" t="s">
        <v>112</v>
      </c>
      <c r="G155" s="1">
        <v>279696</v>
      </c>
    </row>
    <row r="156" spans="1:10" x14ac:dyDescent="0.25">
      <c r="A156" s="1" t="str">
        <f t="shared" si="2"/>
        <v>16</v>
      </c>
      <c r="B1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56" s="1" t="s">
        <v>528</v>
      </c>
      <c r="D156" s="1" t="s">
        <v>529</v>
      </c>
      <c r="E156" s="1" t="s">
        <v>530</v>
      </c>
      <c r="F156" s="1" t="s">
        <v>112</v>
      </c>
      <c r="G156" s="1">
        <v>214763</v>
      </c>
    </row>
    <row r="157" spans="1:10" x14ac:dyDescent="0.25">
      <c r="A157" s="1" t="str">
        <f t="shared" si="2"/>
        <v>16</v>
      </c>
      <c r="B1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57" s="1" t="s">
        <v>531</v>
      </c>
      <c r="D157" s="1" t="s">
        <v>532</v>
      </c>
      <c r="E157" s="1" t="s">
        <v>533</v>
      </c>
      <c r="F157" s="1" t="s">
        <v>112</v>
      </c>
      <c r="G157" s="1">
        <v>98719</v>
      </c>
    </row>
    <row r="158" spans="1:10" x14ac:dyDescent="0.25">
      <c r="A158" s="1" t="str">
        <f t="shared" si="2"/>
        <v/>
      </c>
      <c r="B1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58" s="1" t="s">
        <v>112</v>
      </c>
    </row>
    <row r="159" spans="1:10" x14ac:dyDescent="0.25">
      <c r="A159" s="1" t="str">
        <f t="shared" si="2"/>
        <v/>
      </c>
      <c r="B1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59" s="1" t="s">
        <v>237</v>
      </c>
      <c r="D159" s="1" t="s">
        <v>112</v>
      </c>
      <c r="E159" s="1" t="s">
        <v>238</v>
      </c>
      <c r="F159" s="1" t="s">
        <v>239</v>
      </c>
      <c r="G159" s="1" t="s">
        <v>240</v>
      </c>
      <c r="H159" s="1" t="s">
        <v>241</v>
      </c>
      <c r="I159" s="1" t="s">
        <v>242</v>
      </c>
      <c r="J159" s="1" t="s">
        <v>243</v>
      </c>
    </row>
    <row r="160" spans="1:10" x14ac:dyDescent="0.25">
      <c r="A160" s="1" t="str">
        <f t="shared" si="2"/>
        <v>16</v>
      </c>
      <c r="B16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160" s="1" t="s">
        <v>534</v>
      </c>
      <c r="D160" s="1" t="s">
        <v>112</v>
      </c>
      <c r="E160" s="1" t="s">
        <v>535</v>
      </c>
      <c r="F160" s="1" t="s">
        <v>536</v>
      </c>
      <c r="G160" s="1" t="s">
        <v>537</v>
      </c>
      <c r="H160" s="1" t="s">
        <v>538</v>
      </c>
      <c r="I160" s="1">
        <v>23</v>
      </c>
      <c r="J160" s="1">
        <v>24</v>
      </c>
    </row>
    <row r="161" spans="1:7" x14ac:dyDescent="0.25">
      <c r="A161" s="1" t="str">
        <f t="shared" si="2"/>
        <v/>
      </c>
      <c r="B1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1" s="1" t="s">
        <v>112</v>
      </c>
    </row>
    <row r="162" spans="1:7" x14ac:dyDescent="0.25">
      <c r="A162" s="1" t="str">
        <f t="shared" si="2"/>
        <v/>
      </c>
      <c r="B1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2" s="1" t="s">
        <v>112</v>
      </c>
    </row>
    <row r="163" spans="1:7" x14ac:dyDescent="0.25">
      <c r="A163" s="1" t="str">
        <f t="shared" si="2"/>
        <v/>
      </c>
      <c r="B1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3" s="1" t="s">
        <v>112</v>
      </c>
    </row>
    <row r="164" spans="1:7" x14ac:dyDescent="0.25">
      <c r="A164" s="1" t="str">
        <f t="shared" si="2"/>
        <v/>
      </c>
      <c r="B1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4" s="1" t="s">
        <v>112</v>
      </c>
    </row>
    <row r="165" spans="1:7" x14ac:dyDescent="0.25">
      <c r="A165" s="1" t="str">
        <f t="shared" si="2"/>
        <v/>
      </c>
      <c r="B1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5" s="1" t="s">
        <v>112</v>
      </c>
    </row>
    <row r="166" spans="1:7" x14ac:dyDescent="0.25">
      <c r="A166" s="1" t="str">
        <f t="shared" si="2"/>
        <v/>
      </c>
      <c r="B1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6" s="1" t="s">
        <v>249</v>
      </c>
      <c r="D166" s="1" t="s">
        <v>110</v>
      </c>
      <c r="E166" s="1" t="s">
        <v>111</v>
      </c>
      <c r="F166" s="1" t="s">
        <v>112</v>
      </c>
      <c r="G166" s="1" t="s">
        <v>113</v>
      </c>
    </row>
    <row r="167" spans="1:7" x14ac:dyDescent="0.25">
      <c r="A167" s="1" t="str">
        <f t="shared" si="2"/>
        <v>2</v>
      </c>
      <c r="B1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67" s="1" t="s">
        <v>539</v>
      </c>
      <c r="D167" s="1" t="s">
        <v>540</v>
      </c>
      <c r="E167" s="1" t="s">
        <v>541</v>
      </c>
      <c r="F167" s="1" t="s">
        <v>112</v>
      </c>
      <c r="G167" s="1">
        <v>269984</v>
      </c>
    </row>
    <row r="168" spans="1:7" x14ac:dyDescent="0.25">
      <c r="A168" s="1" t="str">
        <f t="shared" si="2"/>
        <v>2</v>
      </c>
      <c r="B1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68" s="1" t="s">
        <v>542</v>
      </c>
      <c r="D168" s="1" t="s">
        <v>543</v>
      </c>
      <c r="E168" s="1" t="s">
        <v>544</v>
      </c>
      <c r="F168" s="1" t="s">
        <v>112</v>
      </c>
      <c r="G168" s="1">
        <v>370066</v>
      </c>
    </row>
    <row r="169" spans="1:7" x14ac:dyDescent="0.25">
      <c r="A169" s="1" t="str">
        <f t="shared" si="2"/>
        <v>2</v>
      </c>
      <c r="B1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69" s="1" t="s">
        <v>545</v>
      </c>
      <c r="D169" s="1" t="s">
        <v>546</v>
      </c>
      <c r="E169" s="1" t="s">
        <v>547</v>
      </c>
      <c r="F169" s="1" t="s">
        <v>112</v>
      </c>
      <c r="G169" s="1">
        <v>107782</v>
      </c>
    </row>
    <row r="170" spans="1:7" x14ac:dyDescent="0.25">
      <c r="A170" s="1" t="str">
        <f t="shared" si="2"/>
        <v>2</v>
      </c>
      <c r="B1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70" s="1" t="s">
        <v>548</v>
      </c>
      <c r="D170" s="1" t="s">
        <v>549</v>
      </c>
      <c r="E170" s="1">
        <v>30</v>
      </c>
      <c r="F170" s="1" t="s">
        <v>112</v>
      </c>
      <c r="G170" s="1">
        <v>649</v>
      </c>
    </row>
    <row r="171" spans="1:7" x14ac:dyDescent="0.25">
      <c r="A171" s="1" t="str">
        <f t="shared" si="2"/>
        <v>2</v>
      </c>
      <c r="B1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71" s="1" t="s">
        <v>550</v>
      </c>
      <c r="D171" s="1" t="s">
        <v>551</v>
      </c>
      <c r="E171" s="1" t="s">
        <v>552</v>
      </c>
      <c r="F171" s="1" t="s">
        <v>112</v>
      </c>
      <c r="G171" s="1">
        <v>2704</v>
      </c>
    </row>
    <row r="172" spans="1:7" x14ac:dyDescent="0.25">
      <c r="A172" s="1" t="str">
        <f t="shared" si="2"/>
        <v>2</v>
      </c>
      <c r="B1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72" s="1" t="s">
        <v>553</v>
      </c>
      <c r="D172" s="1" t="s">
        <v>554</v>
      </c>
      <c r="E172" s="1" t="s">
        <v>555</v>
      </c>
      <c r="F172" s="1" t="s">
        <v>112</v>
      </c>
      <c r="G172" s="1">
        <v>113752</v>
      </c>
    </row>
    <row r="173" spans="1:7" x14ac:dyDescent="0.25">
      <c r="A173" s="1" t="str">
        <f t="shared" si="2"/>
        <v>2</v>
      </c>
      <c r="B1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73" s="1" t="s">
        <v>556</v>
      </c>
      <c r="D173" s="1" t="s">
        <v>557</v>
      </c>
      <c r="E173" s="1" t="s">
        <v>558</v>
      </c>
      <c r="F173" s="1" t="s">
        <v>112</v>
      </c>
      <c r="G173" s="1">
        <v>193566</v>
      </c>
    </row>
    <row r="174" spans="1:7" x14ac:dyDescent="0.25">
      <c r="A174" s="1" t="str">
        <f t="shared" si="2"/>
        <v>2</v>
      </c>
      <c r="B1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74" s="1" t="s">
        <v>559</v>
      </c>
      <c r="D174" s="1" t="s">
        <v>215</v>
      </c>
      <c r="E174" s="1" t="s">
        <v>560</v>
      </c>
      <c r="F174" s="1" t="s">
        <v>112</v>
      </c>
      <c r="G174" s="1">
        <v>101033</v>
      </c>
    </row>
    <row r="175" spans="1:7" x14ac:dyDescent="0.25">
      <c r="A175" s="1" t="str">
        <f t="shared" si="2"/>
        <v>2</v>
      </c>
      <c r="B1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75" s="1" t="s">
        <v>561</v>
      </c>
      <c r="D175" s="1" t="s">
        <v>562</v>
      </c>
      <c r="E175" s="1" t="s">
        <v>563</v>
      </c>
      <c r="F175" s="1" t="s">
        <v>112</v>
      </c>
      <c r="G175" s="1">
        <v>180848</v>
      </c>
    </row>
    <row r="176" spans="1:7" x14ac:dyDescent="0.25">
      <c r="A176" s="1" t="str">
        <f t="shared" si="2"/>
        <v>2</v>
      </c>
      <c r="B1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76" s="1" t="s">
        <v>564</v>
      </c>
      <c r="D176" s="1" t="s">
        <v>565</v>
      </c>
      <c r="E176" s="1" t="s">
        <v>566</v>
      </c>
      <c r="F176" s="1" t="s">
        <v>112</v>
      </c>
      <c r="G176" s="1">
        <v>241000</v>
      </c>
    </row>
    <row r="177" spans="1:10" x14ac:dyDescent="0.25">
      <c r="A177" s="1" t="str">
        <f t="shared" si="2"/>
        <v>2</v>
      </c>
      <c r="B1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77" s="1" t="s">
        <v>567</v>
      </c>
      <c r="D177" s="1" t="s">
        <v>568</v>
      </c>
      <c r="E177" s="1" t="s">
        <v>569</v>
      </c>
      <c r="F177" s="1" t="s">
        <v>112</v>
      </c>
      <c r="G177" s="1">
        <v>150263</v>
      </c>
    </row>
    <row r="178" spans="1:10" x14ac:dyDescent="0.25">
      <c r="A178" s="1" t="str">
        <f t="shared" si="2"/>
        <v>2</v>
      </c>
      <c r="B1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78" s="1" t="s">
        <v>570</v>
      </c>
      <c r="D178" s="1" t="s">
        <v>571</v>
      </c>
      <c r="E178" s="1" t="s">
        <v>572</v>
      </c>
      <c r="F178" s="1" t="s">
        <v>112</v>
      </c>
      <c r="G178" s="1">
        <v>121365</v>
      </c>
    </row>
    <row r="179" spans="1:10" x14ac:dyDescent="0.25">
      <c r="A179" s="1" t="str">
        <f t="shared" si="2"/>
        <v>2</v>
      </c>
      <c r="B1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79" s="1" t="s">
        <v>573</v>
      </c>
    </row>
    <row r="180" spans="1:10" x14ac:dyDescent="0.25">
      <c r="A180" s="1" t="str">
        <f t="shared" si="2"/>
        <v>2</v>
      </c>
      <c r="B1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80" s="1" t="s">
        <v>574</v>
      </c>
    </row>
    <row r="181" spans="1:10" x14ac:dyDescent="0.25">
      <c r="A181" s="1" t="str">
        <f t="shared" si="2"/>
        <v>2</v>
      </c>
      <c r="B1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81" s="1" t="s">
        <v>575</v>
      </c>
    </row>
    <row r="182" spans="1:10" x14ac:dyDescent="0.25">
      <c r="A182" s="1" t="str">
        <f t="shared" si="2"/>
        <v>2</v>
      </c>
      <c r="B1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2" s="1" t="s">
        <v>576</v>
      </c>
      <c r="D182" s="1" t="s">
        <v>577</v>
      </c>
      <c r="E182" s="1" t="s">
        <v>578</v>
      </c>
      <c r="F182" s="1" t="s">
        <v>112</v>
      </c>
      <c r="G182" s="1">
        <v>583380</v>
      </c>
    </row>
    <row r="183" spans="1:10" x14ac:dyDescent="0.25">
      <c r="A183" s="1" t="str">
        <f t="shared" si="2"/>
        <v>2</v>
      </c>
      <c r="B1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3" s="1" t="s">
        <v>579</v>
      </c>
      <c r="D183" s="1" t="s">
        <v>580</v>
      </c>
      <c r="E183" s="1" t="s">
        <v>581</v>
      </c>
      <c r="F183" s="1" t="s">
        <v>112</v>
      </c>
      <c r="G183" s="1">
        <v>434350</v>
      </c>
    </row>
    <row r="184" spans="1:10" x14ac:dyDescent="0.25">
      <c r="A184" s="1" t="str">
        <f t="shared" si="2"/>
        <v>2</v>
      </c>
      <c r="B1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4" s="1" t="s">
        <v>582</v>
      </c>
      <c r="D184" s="1" t="s">
        <v>583</v>
      </c>
      <c r="E184" s="1" t="s">
        <v>584</v>
      </c>
      <c r="F184" s="1" t="s">
        <v>112</v>
      </c>
      <c r="G184" s="1">
        <v>626964</v>
      </c>
    </row>
    <row r="185" spans="1:10" x14ac:dyDescent="0.25">
      <c r="A185" s="1" t="str">
        <f t="shared" si="2"/>
        <v>2</v>
      </c>
      <c r="B1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85" s="1" t="s">
        <v>585</v>
      </c>
      <c r="D185" s="1" t="s">
        <v>586</v>
      </c>
      <c r="E185" s="1" t="s">
        <v>587</v>
      </c>
      <c r="F185" s="1" t="s">
        <v>112</v>
      </c>
      <c r="G185" s="1">
        <v>255341</v>
      </c>
    </row>
    <row r="186" spans="1:10" x14ac:dyDescent="0.25">
      <c r="A186" s="1" t="str">
        <f t="shared" si="2"/>
        <v>2</v>
      </c>
      <c r="B1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86" s="1" t="s">
        <v>588</v>
      </c>
      <c r="D186" s="1" t="s">
        <v>589</v>
      </c>
      <c r="E186" s="1" t="s">
        <v>590</v>
      </c>
      <c r="F186" s="1" t="s">
        <v>112</v>
      </c>
      <c r="G186" s="1">
        <v>183184</v>
      </c>
    </row>
    <row r="187" spans="1:10" x14ac:dyDescent="0.25">
      <c r="A187" s="1" t="str">
        <f t="shared" si="2"/>
        <v>2</v>
      </c>
      <c r="B1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87" s="1" t="s">
        <v>591</v>
      </c>
      <c r="D187" s="1" t="s">
        <v>592</v>
      </c>
      <c r="E187" s="1" t="s">
        <v>593</v>
      </c>
      <c r="F187" s="1" t="s">
        <v>112</v>
      </c>
      <c r="G187" s="1">
        <v>116023</v>
      </c>
    </row>
    <row r="188" spans="1:10" x14ac:dyDescent="0.25">
      <c r="A188" s="1" t="str">
        <f t="shared" si="2"/>
        <v>2</v>
      </c>
      <c r="B1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88" s="1" t="s">
        <v>594</v>
      </c>
      <c r="D188" s="1" t="s">
        <v>595</v>
      </c>
      <c r="E188" s="1" t="s">
        <v>596</v>
      </c>
      <c r="F188" s="1" t="s">
        <v>112</v>
      </c>
      <c r="G188" s="1">
        <v>113254</v>
      </c>
    </row>
    <row r="189" spans="1:10" x14ac:dyDescent="0.25">
      <c r="A189" s="1" t="str">
        <f t="shared" si="2"/>
        <v>2</v>
      </c>
      <c r="B1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89" s="1" t="s">
        <v>597</v>
      </c>
      <c r="D189" s="1">
        <v>0</v>
      </c>
      <c r="E189" s="1">
        <v>0</v>
      </c>
      <c r="F189" s="1" t="s">
        <v>112</v>
      </c>
      <c r="G189" s="1">
        <v>0</v>
      </c>
    </row>
    <row r="190" spans="1:10" x14ac:dyDescent="0.25">
      <c r="A190" s="1" t="str">
        <f t="shared" si="2"/>
        <v>2</v>
      </c>
      <c r="B19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90" s="1" t="s">
        <v>598</v>
      </c>
      <c r="D190" s="1" t="s">
        <v>599</v>
      </c>
      <c r="E190" s="1" t="s">
        <v>600</v>
      </c>
      <c r="F190" s="1" t="s">
        <v>112</v>
      </c>
      <c r="G190" s="1">
        <v>88704</v>
      </c>
    </row>
    <row r="191" spans="1:10" x14ac:dyDescent="0.25">
      <c r="A191" s="1" t="str">
        <f t="shared" si="2"/>
        <v/>
      </c>
      <c r="B1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1" s="1" t="s">
        <v>112</v>
      </c>
    </row>
    <row r="192" spans="1:10" x14ac:dyDescent="0.25">
      <c r="A192" s="1" t="str">
        <f t="shared" si="2"/>
        <v/>
      </c>
      <c r="B1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2" s="1" t="s">
        <v>237</v>
      </c>
      <c r="D192" s="1" t="s">
        <v>112</v>
      </c>
      <c r="E192" s="1" t="s">
        <v>238</v>
      </c>
      <c r="F192" s="1" t="s">
        <v>239</v>
      </c>
      <c r="G192" s="1" t="s">
        <v>240</v>
      </c>
      <c r="H192" s="1" t="s">
        <v>241</v>
      </c>
      <c r="I192" s="1" t="s">
        <v>242</v>
      </c>
      <c r="J192" s="1" t="s">
        <v>243</v>
      </c>
    </row>
    <row r="193" spans="1:10" x14ac:dyDescent="0.25">
      <c r="A193" s="1" t="str">
        <f t="shared" si="2"/>
        <v>2</v>
      </c>
      <c r="B19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193" s="1" t="s">
        <v>601</v>
      </c>
      <c r="D193" s="1" t="s">
        <v>112</v>
      </c>
      <c r="E193" s="1" t="s">
        <v>602</v>
      </c>
      <c r="F193" s="1" t="s">
        <v>603</v>
      </c>
      <c r="G193" s="1" t="s">
        <v>604</v>
      </c>
      <c r="H193" s="1" t="s">
        <v>605</v>
      </c>
      <c r="I193" s="1">
        <v>22</v>
      </c>
      <c r="J193" s="1">
        <v>24</v>
      </c>
    </row>
    <row r="194" spans="1:10" x14ac:dyDescent="0.25">
      <c r="A194" s="1" t="str">
        <f t="shared" ref="A194:A257" si="3">IFERROR(LEFT(RIGHT(C194,LEN(C194)-SEARCH("@",C194)),SEARCH("/",RIGHT(C194,LEN(C194)-SEARCH("@",C194)-1))),"")</f>
        <v/>
      </c>
      <c r="B1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4" s="1" t="s">
        <v>112</v>
      </c>
    </row>
    <row r="195" spans="1:10" x14ac:dyDescent="0.25">
      <c r="A195" s="1" t="str">
        <f t="shared" si="3"/>
        <v/>
      </c>
      <c r="B1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5" s="1" t="s">
        <v>112</v>
      </c>
    </row>
    <row r="196" spans="1:10" x14ac:dyDescent="0.25">
      <c r="A196" s="1" t="str">
        <f t="shared" si="3"/>
        <v/>
      </c>
      <c r="B1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6" s="1" t="s">
        <v>112</v>
      </c>
    </row>
    <row r="197" spans="1:10" x14ac:dyDescent="0.25">
      <c r="A197" s="1" t="str">
        <f t="shared" si="3"/>
        <v/>
      </c>
      <c r="B1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7" s="1" t="s">
        <v>112</v>
      </c>
    </row>
    <row r="198" spans="1:10" x14ac:dyDescent="0.25">
      <c r="A198" s="1" t="str">
        <f t="shared" si="3"/>
        <v/>
      </c>
      <c r="B1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8" s="1" t="s">
        <v>112</v>
      </c>
    </row>
    <row r="199" spans="1:10" x14ac:dyDescent="0.25">
      <c r="A199" s="1" t="str">
        <f t="shared" si="3"/>
        <v/>
      </c>
      <c r="B1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9" s="1" t="s">
        <v>249</v>
      </c>
      <c r="D199" s="1" t="s">
        <v>110</v>
      </c>
      <c r="E199" s="1" t="s">
        <v>111</v>
      </c>
      <c r="F199" s="1" t="s">
        <v>112</v>
      </c>
      <c r="G199" s="1" t="s">
        <v>113</v>
      </c>
    </row>
    <row r="200" spans="1:10" x14ac:dyDescent="0.25">
      <c r="A200" s="1" t="str">
        <f t="shared" si="3"/>
        <v>3</v>
      </c>
      <c r="B2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00" s="1" t="s">
        <v>606</v>
      </c>
      <c r="D200" s="1" t="s">
        <v>607</v>
      </c>
      <c r="E200" s="1" t="s">
        <v>608</v>
      </c>
      <c r="F200" s="1" t="s">
        <v>112</v>
      </c>
      <c r="G200" s="1">
        <v>301542</v>
      </c>
    </row>
    <row r="201" spans="1:10" x14ac:dyDescent="0.25">
      <c r="A201" s="1" t="str">
        <f t="shared" si="3"/>
        <v>3</v>
      </c>
      <c r="B2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01" s="1" t="s">
        <v>609</v>
      </c>
      <c r="D201" s="1" t="s">
        <v>610</v>
      </c>
      <c r="E201" s="1" t="s">
        <v>611</v>
      </c>
      <c r="F201" s="1" t="s">
        <v>112</v>
      </c>
      <c r="G201" s="1">
        <v>120868</v>
      </c>
    </row>
    <row r="202" spans="1:10" x14ac:dyDescent="0.25">
      <c r="A202" s="1" t="str">
        <f t="shared" si="3"/>
        <v>3</v>
      </c>
      <c r="B2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02" s="1" t="s">
        <v>612</v>
      </c>
      <c r="D202" s="1" t="s">
        <v>613</v>
      </c>
      <c r="E202" s="1" t="s">
        <v>614</v>
      </c>
      <c r="F202" s="1" t="s">
        <v>112</v>
      </c>
      <c r="G202" s="1">
        <v>32380</v>
      </c>
    </row>
    <row r="203" spans="1:10" x14ac:dyDescent="0.25">
      <c r="A203" s="1" t="str">
        <f t="shared" si="3"/>
        <v>3</v>
      </c>
      <c r="B2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03" s="1" t="s">
        <v>615</v>
      </c>
      <c r="D203" s="1" t="s">
        <v>571</v>
      </c>
      <c r="E203" s="1" t="s">
        <v>616</v>
      </c>
      <c r="F203" s="1" t="s">
        <v>112</v>
      </c>
      <c r="G203" s="1">
        <v>109426</v>
      </c>
    </row>
    <row r="204" spans="1:10" x14ac:dyDescent="0.25">
      <c r="A204" s="1" t="str">
        <f t="shared" si="3"/>
        <v>3</v>
      </c>
      <c r="B2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04" s="1" t="s">
        <v>617</v>
      </c>
    </row>
    <row r="205" spans="1:10" x14ac:dyDescent="0.25">
      <c r="A205" s="1" t="str">
        <f t="shared" si="3"/>
        <v>3</v>
      </c>
      <c r="B2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05" s="1" t="s">
        <v>618</v>
      </c>
      <c r="D205" s="1" t="s">
        <v>619</v>
      </c>
      <c r="E205" s="1" t="s">
        <v>620</v>
      </c>
      <c r="F205" s="1" t="s">
        <v>112</v>
      </c>
      <c r="G205" s="1">
        <v>86714</v>
      </c>
    </row>
    <row r="206" spans="1:10" x14ac:dyDescent="0.25">
      <c r="A206" s="1" t="str">
        <f t="shared" si="3"/>
        <v>3</v>
      </c>
      <c r="B2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06" s="1" t="s">
        <v>621</v>
      </c>
      <c r="D206" s="1" t="s">
        <v>622</v>
      </c>
      <c r="E206" s="1" t="s">
        <v>623</v>
      </c>
      <c r="F206" s="1" t="s">
        <v>112</v>
      </c>
      <c r="G206" s="1">
        <v>322199</v>
      </c>
    </row>
    <row r="207" spans="1:10" x14ac:dyDescent="0.25">
      <c r="A207" s="1" t="str">
        <f t="shared" si="3"/>
        <v>3</v>
      </c>
      <c r="B2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07" s="1" t="s">
        <v>624</v>
      </c>
      <c r="D207" s="1" t="s">
        <v>625</v>
      </c>
      <c r="E207" s="1" t="s">
        <v>626</v>
      </c>
      <c r="F207" s="1" t="s">
        <v>112</v>
      </c>
      <c r="G207" s="1">
        <v>172650</v>
      </c>
    </row>
    <row r="208" spans="1:10" x14ac:dyDescent="0.25">
      <c r="A208" s="1" t="str">
        <f t="shared" si="3"/>
        <v>3</v>
      </c>
      <c r="B2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08" s="1" t="s">
        <v>627</v>
      </c>
      <c r="D208" s="1" t="s">
        <v>592</v>
      </c>
      <c r="E208" s="1" t="s">
        <v>628</v>
      </c>
      <c r="F208" s="1" t="s">
        <v>112</v>
      </c>
      <c r="G208" s="1">
        <v>108063</v>
      </c>
    </row>
    <row r="209" spans="1:7" x14ac:dyDescent="0.25">
      <c r="A209" s="1" t="str">
        <f t="shared" si="3"/>
        <v>3</v>
      </c>
      <c r="B2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09" s="1" t="s">
        <v>629</v>
      </c>
      <c r="D209" s="1" t="s">
        <v>630</v>
      </c>
      <c r="E209" s="1" t="s">
        <v>631</v>
      </c>
      <c r="F209" s="1" t="s">
        <v>112</v>
      </c>
      <c r="G209" s="1">
        <v>218765</v>
      </c>
    </row>
    <row r="210" spans="1:7" x14ac:dyDescent="0.25">
      <c r="A210" s="1" t="str">
        <f t="shared" si="3"/>
        <v>3</v>
      </c>
      <c r="B2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10" s="1" t="s">
        <v>632</v>
      </c>
      <c r="D210" s="1" t="s">
        <v>496</v>
      </c>
      <c r="E210" s="1" t="s">
        <v>633</v>
      </c>
      <c r="F210" s="1" t="s">
        <v>112</v>
      </c>
      <c r="G210" s="1">
        <v>49186</v>
      </c>
    </row>
    <row r="211" spans="1:7" x14ac:dyDescent="0.25">
      <c r="A211" s="1" t="str">
        <f t="shared" si="3"/>
        <v>3</v>
      </c>
      <c r="B2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11" s="1" t="s">
        <v>634</v>
      </c>
      <c r="D211" s="1" t="s">
        <v>635</v>
      </c>
      <c r="E211" s="1" t="s">
        <v>636</v>
      </c>
      <c r="F211" s="1" t="s">
        <v>112</v>
      </c>
      <c r="G211" s="1">
        <v>321485</v>
      </c>
    </row>
    <row r="212" spans="1:7" x14ac:dyDescent="0.25">
      <c r="A212" s="1" t="str">
        <f t="shared" si="3"/>
        <v>3</v>
      </c>
      <c r="B2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12" s="1" t="s">
        <v>637</v>
      </c>
      <c r="D212" s="1" t="s">
        <v>372</v>
      </c>
      <c r="E212" s="1" t="s">
        <v>638</v>
      </c>
      <c r="F212" s="1" t="s">
        <v>112</v>
      </c>
      <c r="G212" s="1">
        <v>134646</v>
      </c>
    </row>
    <row r="213" spans="1:7" x14ac:dyDescent="0.25">
      <c r="A213" s="1" t="str">
        <f t="shared" si="3"/>
        <v>3</v>
      </c>
      <c r="B2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13" s="1" t="s">
        <v>639</v>
      </c>
      <c r="D213" s="1" t="s">
        <v>640</v>
      </c>
      <c r="E213" s="1" t="s">
        <v>641</v>
      </c>
      <c r="F213" s="1" t="s">
        <v>112</v>
      </c>
      <c r="G213" s="1">
        <v>110226</v>
      </c>
    </row>
    <row r="214" spans="1:7" x14ac:dyDescent="0.25">
      <c r="A214" s="1" t="str">
        <f t="shared" si="3"/>
        <v>3</v>
      </c>
      <c r="B2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14" s="1" t="s">
        <v>642</v>
      </c>
      <c r="D214" s="1" t="s">
        <v>643</v>
      </c>
      <c r="E214" s="1">
        <v>35</v>
      </c>
      <c r="F214" s="1" t="s">
        <v>112</v>
      </c>
      <c r="G214" s="1">
        <v>123399</v>
      </c>
    </row>
    <row r="215" spans="1:7" x14ac:dyDescent="0.25">
      <c r="A215" s="1" t="str">
        <f t="shared" si="3"/>
        <v>3</v>
      </c>
      <c r="B2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15" s="1" t="s">
        <v>644</v>
      </c>
      <c r="D215" s="1" t="s">
        <v>645</v>
      </c>
      <c r="E215" s="1" t="s">
        <v>646</v>
      </c>
      <c r="F215" s="1" t="s">
        <v>112</v>
      </c>
      <c r="G215" s="1">
        <v>167415</v>
      </c>
    </row>
    <row r="216" spans="1:7" x14ac:dyDescent="0.25">
      <c r="A216" s="1" t="str">
        <f t="shared" si="3"/>
        <v>3</v>
      </c>
      <c r="B2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16" s="1" t="s">
        <v>647</v>
      </c>
      <c r="D216" s="1" t="s">
        <v>648</v>
      </c>
      <c r="E216" s="1" t="s">
        <v>649</v>
      </c>
      <c r="F216" s="1" t="s">
        <v>112</v>
      </c>
      <c r="G216" s="1">
        <v>94285</v>
      </c>
    </row>
    <row r="217" spans="1:7" x14ac:dyDescent="0.25">
      <c r="A217" s="1" t="str">
        <f t="shared" si="3"/>
        <v>3</v>
      </c>
      <c r="B2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17" s="1" t="s">
        <v>650</v>
      </c>
      <c r="D217" s="1" t="s">
        <v>595</v>
      </c>
      <c r="E217" s="1" t="s">
        <v>651</v>
      </c>
      <c r="F217" s="1" t="s">
        <v>112</v>
      </c>
      <c r="G217" s="1">
        <v>122988</v>
      </c>
    </row>
    <row r="218" spans="1:7" x14ac:dyDescent="0.25">
      <c r="A218" s="1" t="str">
        <f t="shared" si="3"/>
        <v>3</v>
      </c>
      <c r="B2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18" s="1" t="s">
        <v>652</v>
      </c>
      <c r="D218" s="1" t="s">
        <v>653</v>
      </c>
      <c r="E218" s="1" t="s">
        <v>654</v>
      </c>
      <c r="F218" s="1" t="s">
        <v>112</v>
      </c>
      <c r="G218" s="1">
        <v>746253</v>
      </c>
    </row>
    <row r="219" spans="1:7" x14ac:dyDescent="0.25">
      <c r="A219" s="1" t="str">
        <f t="shared" si="3"/>
        <v>3</v>
      </c>
      <c r="B2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19" s="1" t="s">
        <v>655</v>
      </c>
      <c r="D219" s="1" t="s">
        <v>656</v>
      </c>
      <c r="E219" s="1" t="s">
        <v>657</v>
      </c>
      <c r="F219" s="1" t="s">
        <v>112</v>
      </c>
      <c r="G219" s="1">
        <v>1211793</v>
      </c>
    </row>
    <row r="220" spans="1:7" x14ac:dyDescent="0.25">
      <c r="A220" s="1" t="str">
        <f t="shared" si="3"/>
        <v>3</v>
      </c>
      <c r="B2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20" s="1" t="s">
        <v>658</v>
      </c>
      <c r="D220" s="1" t="s">
        <v>659</v>
      </c>
      <c r="E220" s="1" t="s">
        <v>660</v>
      </c>
      <c r="F220" s="1" t="s">
        <v>112</v>
      </c>
      <c r="G220" s="1">
        <v>41486</v>
      </c>
    </row>
    <row r="221" spans="1:7" x14ac:dyDescent="0.25">
      <c r="A221" s="1" t="str">
        <f t="shared" si="3"/>
        <v>3</v>
      </c>
      <c r="B2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21" s="1" t="s">
        <v>661</v>
      </c>
      <c r="D221" s="1" t="s">
        <v>662</v>
      </c>
      <c r="E221" s="1" t="s">
        <v>663</v>
      </c>
      <c r="F221" s="1" t="s">
        <v>112</v>
      </c>
      <c r="G221" s="1">
        <v>109512</v>
      </c>
    </row>
    <row r="222" spans="1:7" x14ac:dyDescent="0.25">
      <c r="A222" s="1" t="str">
        <f t="shared" si="3"/>
        <v>3</v>
      </c>
      <c r="B2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22" s="1" t="s">
        <v>664</v>
      </c>
      <c r="D222" s="1" t="s">
        <v>665</v>
      </c>
      <c r="E222" s="1" t="s">
        <v>666</v>
      </c>
      <c r="F222" s="1" t="s">
        <v>112</v>
      </c>
      <c r="G222" s="1">
        <v>118229</v>
      </c>
    </row>
    <row r="223" spans="1:7" x14ac:dyDescent="0.25">
      <c r="A223" s="1" t="str">
        <f t="shared" si="3"/>
        <v>3</v>
      </c>
      <c r="B2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23" s="1" t="s">
        <v>667</v>
      </c>
      <c r="D223" s="1" t="s">
        <v>668</v>
      </c>
      <c r="E223" s="1" t="s">
        <v>669</v>
      </c>
      <c r="F223" s="1" t="s">
        <v>112</v>
      </c>
      <c r="G223" s="1">
        <v>235766</v>
      </c>
    </row>
    <row r="224" spans="1:7" x14ac:dyDescent="0.25">
      <c r="A224" s="1" t="str">
        <f t="shared" si="3"/>
        <v/>
      </c>
      <c r="B2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4" s="1" t="s">
        <v>112</v>
      </c>
    </row>
    <row r="225" spans="1:10" x14ac:dyDescent="0.25">
      <c r="A225" s="1" t="str">
        <f t="shared" si="3"/>
        <v/>
      </c>
      <c r="B2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5" s="1" t="s">
        <v>237</v>
      </c>
      <c r="D225" s="1" t="s">
        <v>112</v>
      </c>
      <c r="E225" s="1" t="s">
        <v>238</v>
      </c>
      <c r="F225" s="1" t="s">
        <v>239</v>
      </c>
      <c r="G225" s="1" t="s">
        <v>240</v>
      </c>
      <c r="H225" s="1" t="s">
        <v>241</v>
      </c>
      <c r="I225" s="1" t="s">
        <v>242</v>
      </c>
      <c r="J225" s="1" t="s">
        <v>243</v>
      </c>
    </row>
    <row r="226" spans="1:10" x14ac:dyDescent="0.25">
      <c r="A226" s="1" t="str">
        <f t="shared" si="3"/>
        <v>3</v>
      </c>
      <c r="B22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26" s="1" t="s">
        <v>670</v>
      </c>
      <c r="D226" s="1" t="s">
        <v>112</v>
      </c>
      <c r="E226" s="1" t="s">
        <v>671</v>
      </c>
      <c r="F226" s="1" t="s">
        <v>672</v>
      </c>
      <c r="G226" s="1" t="s">
        <v>673</v>
      </c>
      <c r="H226" s="1" t="s">
        <v>674</v>
      </c>
      <c r="I226" s="1">
        <v>23</v>
      </c>
      <c r="J226" s="1">
        <v>24</v>
      </c>
    </row>
    <row r="227" spans="1:10" x14ac:dyDescent="0.25">
      <c r="A227" s="1" t="str">
        <f t="shared" si="3"/>
        <v/>
      </c>
      <c r="B2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7" s="1" t="s">
        <v>112</v>
      </c>
    </row>
    <row r="228" spans="1:10" x14ac:dyDescent="0.25">
      <c r="A228" s="1" t="str">
        <f t="shared" si="3"/>
        <v/>
      </c>
      <c r="B2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8" s="1" t="s">
        <v>112</v>
      </c>
    </row>
    <row r="229" spans="1:10" x14ac:dyDescent="0.25">
      <c r="A229" s="1" t="str">
        <f t="shared" si="3"/>
        <v/>
      </c>
      <c r="B2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9" s="1" t="s">
        <v>112</v>
      </c>
    </row>
    <row r="230" spans="1:10" x14ac:dyDescent="0.25">
      <c r="A230" s="1" t="str">
        <f t="shared" si="3"/>
        <v/>
      </c>
      <c r="B2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30" s="1" t="s">
        <v>112</v>
      </c>
    </row>
    <row r="231" spans="1:10" x14ac:dyDescent="0.25">
      <c r="A231" s="1" t="str">
        <f t="shared" si="3"/>
        <v/>
      </c>
      <c r="B2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31" s="1" t="s">
        <v>112</v>
      </c>
    </row>
    <row r="232" spans="1:10" x14ac:dyDescent="0.25">
      <c r="A232" s="1" t="str">
        <f t="shared" si="3"/>
        <v/>
      </c>
      <c r="B2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32" s="1" t="s">
        <v>249</v>
      </c>
      <c r="D232" s="1" t="s">
        <v>110</v>
      </c>
      <c r="E232" s="1" t="s">
        <v>111</v>
      </c>
      <c r="F232" s="1" t="s">
        <v>112</v>
      </c>
      <c r="G232" s="1" t="s">
        <v>113</v>
      </c>
    </row>
    <row r="233" spans="1:10" x14ac:dyDescent="0.25">
      <c r="A233" s="1" t="str">
        <f t="shared" si="3"/>
        <v>4</v>
      </c>
      <c r="B2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33" s="1" t="s">
        <v>675</v>
      </c>
      <c r="D233" s="1" t="s">
        <v>676</v>
      </c>
      <c r="E233" s="1" t="s">
        <v>677</v>
      </c>
      <c r="F233" s="1" t="s">
        <v>112</v>
      </c>
      <c r="G233" s="1">
        <v>707968</v>
      </c>
    </row>
    <row r="234" spans="1:10" x14ac:dyDescent="0.25">
      <c r="A234" s="1" t="str">
        <f t="shared" si="3"/>
        <v>4</v>
      </c>
      <c r="B2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34" s="1" t="s">
        <v>678</v>
      </c>
      <c r="D234" s="1" t="s">
        <v>635</v>
      </c>
      <c r="E234" s="1" t="s">
        <v>679</v>
      </c>
      <c r="F234" s="1" t="s">
        <v>112</v>
      </c>
      <c r="G234" s="1">
        <v>382957</v>
      </c>
    </row>
    <row r="235" spans="1:10" x14ac:dyDescent="0.25">
      <c r="A235" s="1" t="str">
        <f t="shared" si="3"/>
        <v>4</v>
      </c>
      <c r="B2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35" s="1" t="s">
        <v>680</v>
      </c>
      <c r="D235" s="1" t="s">
        <v>681</v>
      </c>
      <c r="E235" s="1" t="s">
        <v>682</v>
      </c>
      <c r="F235" s="1" t="s">
        <v>112</v>
      </c>
      <c r="G235" s="1">
        <v>635897</v>
      </c>
    </row>
    <row r="236" spans="1:10" x14ac:dyDescent="0.25">
      <c r="A236" s="1" t="str">
        <f t="shared" si="3"/>
        <v>4</v>
      </c>
      <c r="B2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36" s="1" t="s">
        <v>683</v>
      </c>
      <c r="D236" s="1" t="s">
        <v>684</v>
      </c>
      <c r="E236" s="1" t="s">
        <v>685</v>
      </c>
      <c r="F236" s="1" t="s">
        <v>112</v>
      </c>
      <c r="G236" s="1">
        <v>2146983</v>
      </c>
    </row>
    <row r="237" spans="1:10" x14ac:dyDescent="0.25">
      <c r="A237" s="1" t="str">
        <f t="shared" si="3"/>
        <v>4</v>
      </c>
      <c r="B2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37" s="1" t="s">
        <v>686</v>
      </c>
      <c r="D237" s="1" t="s">
        <v>687</v>
      </c>
      <c r="E237" s="1" t="s">
        <v>688</v>
      </c>
      <c r="F237" s="1" t="s">
        <v>112</v>
      </c>
      <c r="G237" s="1">
        <v>1528022</v>
      </c>
    </row>
    <row r="238" spans="1:10" x14ac:dyDescent="0.25">
      <c r="A238" s="1" t="str">
        <f t="shared" si="3"/>
        <v>4</v>
      </c>
      <c r="B2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38" s="1" t="s">
        <v>689</v>
      </c>
    </row>
    <row r="239" spans="1:10" x14ac:dyDescent="0.25">
      <c r="A239" s="1" t="str">
        <f t="shared" si="3"/>
        <v>4</v>
      </c>
      <c r="B2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39" s="1" t="s">
        <v>690</v>
      </c>
      <c r="D239" s="1" t="s">
        <v>691</v>
      </c>
      <c r="E239" s="1" t="s">
        <v>692</v>
      </c>
      <c r="F239" s="1" t="s">
        <v>112</v>
      </c>
      <c r="G239" s="1">
        <v>348047</v>
      </c>
    </row>
    <row r="240" spans="1:10" x14ac:dyDescent="0.25">
      <c r="A240" s="1" t="str">
        <f t="shared" si="3"/>
        <v>4</v>
      </c>
      <c r="B2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40" s="1" t="s">
        <v>693</v>
      </c>
      <c r="D240" s="1" t="s">
        <v>619</v>
      </c>
      <c r="E240" s="1" t="s">
        <v>694</v>
      </c>
      <c r="F240" s="1" t="s">
        <v>112</v>
      </c>
      <c r="G240" s="1">
        <v>82237</v>
      </c>
    </row>
    <row r="241" spans="1:7" x14ac:dyDescent="0.25">
      <c r="A241" s="1" t="str">
        <f t="shared" si="3"/>
        <v>4</v>
      </c>
      <c r="B2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41" s="1" t="s">
        <v>695</v>
      </c>
      <c r="D241" s="1" t="s">
        <v>696</v>
      </c>
      <c r="E241" s="1" t="s">
        <v>697</v>
      </c>
      <c r="F241" s="1" t="s">
        <v>112</v>
      </c>
      <c r="G241" s="1">
        <v>419663</v>
      </c>
    </row>
    <row r="242" spans="1:7" x14ac:dyDescent="0.25">
      <c r="A242" s="1" t="str">
        <f t="shared" si="3"/>
        <v>4</v>
      </c>
      <c r="B2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42" s="1" t="s">
        <v>698</v>
      </c>
      <c r="D242" s="1" t="s">
        <v>699</v>
      </c>
      <c r="E242" s="1" t="s">
        <v>700</v>
      </c>
      <c r="F242" s="1" t="s">
        <v>112</v>
      </c>
      <c r="G242" s="1">
        <v>2635624</v>
      </c>
    </row>
    <row r="243" spans="1:7" x14ac:dyDescent="0.25">
      <c r="A243" s="1" t="str">
        <f t="shared" si="3"/>
        <v>4</v>
      </c>
      <c r="B2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43" s="1" t="s">
        <v>701</v>
      </c>
      <c r="D243" s="1" t="s">
        <v>702</v>
      </c>
      <c r="E243" s="1" t="s">
        <v>703</v>
      </c>
      <c r="F243" s="1" t="s">
        <v>112</v>
      </c>
      <c r="G243" s="1">
        <v>2671162</v>
      </c>
    </row>
    <row r="244" spans="1:7" x14ac:dyDescent="0.25">
      <c r="A244" s="1" t="str">
        <f t="shared" si="3"/>
        <v>4</v>
      </c>
      <c r="B2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44" s="1" t="s">
        <v>704</v>
      </c>
      <c r="D244" s="1" t="s">
        <v>705</v>
      </c>
      <c r="E244" s="1" t="s">
        <v>706</v>
      </c>
      <c r="F244" s="1" t="s">
        <v>112</v>
      </c>
      <c r="G244" s="1">
        <v>2770616</v>
      </c>
    </row>
    <row r="245" spans="1:7" x14ac:dyDescent="0.25">
      <c r="A245" s="1" t="str">
        <f t="shared" si="3"/>
        <v>4</v>
      </c>
      <c r="B2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45" s="1" t="s">
        <v>707</v>
      </c>
      <c r="D245" s="1" t="s">
        <v>708</v>
      </c>
      <c r="E245" s="1" t="s">
        <v>709</v>
      </c>
      <c r="F245" s="1" t="s">
        <v>112</v>
      </c>
      <c r="G245" s="1">
        <v>272731</v>
      </c>
    </row>
    <row r="246" spans="1:7" x14ac:dyDescent="0.25">
      <c r="A246" s="1" t="str">
        <f t="shared" si="3"/>
        <v>4</v>
      </c>
      <c r="B2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46" s="1" t="s">
        <v>710</v>
      </c>
      <c r="D246" s="1" t="s">
        <v>711</v>
      </c>
      <c r="E246" s="1" t="s">
        <v>712</v>
      </c>
      <c r="F246" s="1" t="s">
        <v>112</v>
      </c>
      <c r="G246" s="1">
        <v>131834</v>
      </c>
    </row>
    <row r="247" spans="1:7" x14ac:dyDescent="0.25">
      <c r="A247" s="1" t="str">
        <f t="shared" si="3"/>
        <v>4</v>
      </c>
      <c r="B2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47" s="1" t="s">
        <v>713</v>
      </c>
      <c r="D247" s="1" t="s">
        <v>714</v>
      </c>
      <c r="E247" s="1" t="s">
        <v>715</v>
      </c>
      <c r="F247" s="1" t="s">
        <v>112</v>
      </c>
      <c r="G247" s="1">
        <v>246754</v>
      </c>
    </row>
    <row r="248" spans="1:7" x14ac:dyDescent="0.25">
      <c r="A248" s="1" t="str">
        <f t="shared" si="3"/>
        <v>4</v>
      </c>
      <c r="B2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48" s="1" t="s">
        <v>716</v>
      </c>
      <c r="D248" s="1" t="s">
        <v>717</v>
      </c>
      <c r="E248" s="1">
        <v>33</v>
      </c>
      <c r="F248" s="1" t="s">
        <v>112</v>
      </c>
      <c r="G248" s="1">
        <v>2141</v>
      </c>
    </row>
    <row r="249" spans="1:7" x14ac:dyDescent="0.25">
      <c r="A249" s="1" t="str">
        <f t="shared" si="3"/>
        <v>4</v>
      </c>
      <c r="B2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49" s="1" t="s">
        <v>718</v>
      </c>
      <c r="D249" s="1" t="s">
        <v>719</v>
      </c>
      <c r="E249" s="1" t="s">
        <v>720</v>
      </c>
      <c r="F249" s="1" t="s">
        <v>112</v>
      </c>
      <c r="G249" s="1">
        <v>119613</v>
      </c>
    </row>
    <row r="250" spans="1:7" x14ac:dyDescent="0.25">
      <c r="A250" s="1" t="str">
        <f t="shared" si="3"/>
        <v>4</v>
      </c>
      <c r="B2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50" s="1" t="s">
        <v>721</v>
      </c>
      <c r="D250" s="1" t="s">
        <v>722</v>
      </c>
      <c r="E250" s="1" t="s">
        <v>723</v>
      </c>
      <c r="F250" s="1" t="s">
        <v>112</v>
      </c>
      <c r="G250" s="1">
        <v>265983</v>
      </c>
    </row>
    <row r="251" spans="1:7" x14ac:dyDescent="0.25">
      <c r="A251" s="1" t="str">
        <f t="shared" si="3"/>
        <v>4</v>
      </c>
      <c r="B2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51" s="1" t="s">
        <v>724</v>
      </c>
      <c r="D251" s="1" t="s">
        <v>725</v>
      </c>
      <c r="E251" s="1" t="s">
        <v>726</v>
      </c>
      <c r="F251" s="1" t="s">
        <v>112</v>
      </c>
      <c r="G251" s="1">
        <v>1328876</v>
      </c>
    </row>
    <row r="252" spans="1:7" x14ac:dyDescent="0.25">
      <c r="A252" s="1" t="str">
        <f t="shared" si="3"/>
        <v>4</v>
      </c>
      <c r="B2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52" s="1" t="s">
        <v>727</v>
      </c>
      <c r="D252" s="1" t="s">
        <v>728</v>
      </c>
      <c r="E252" s="1" t="s">
        <v>729</v>
      </c>
      <c r="F252" s="1" t="s">
        <v>112</v>
      </c>
      <c r="G252" s="1">
        <v>1125512</v>
      </c>
    </row>
    <row r="253" spans="1:7" x14ac:dyDescent="0.25">
      <c r="A253" s="1" t="str">
        <f t="shared" si="3"/>
        <v>4</v>
      </c>
      <c r="B2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53" s="1" t="s">
        <v>730</v>
      </c>
      <c r="D253" s="1" t="s">
        <v>731</v>
      </c>
      <c r="E253" s="1" t="s">
        <v>732</v>
      </c>
      <c r="F253" s="1" t="s">
        <v>112</v>
      </c>
      <c r="G253" s="1">
        <v>1251549</v>
      </c>
    </row>
    <row r="254" spans="1:7" x14ac:dyDescent="0.25">
      <c r="A254" s="1" t="str">
        <f t="shared" si="3"/>
        <v>4</v>
      </c>
      <c r="B2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4" s="1" t="s">
        <v>733</v>
      </c>
      <c r="D254" s="1" t="s">
        <v>734</v>
      </c>
      <c r="E254" s="1" t="s">
        <v>735</v>
      </c>
      <c r="F254" s="1" t="s">
        <v>112</v>
      </c>
      <c r="G254" s="1">
        <v>2505823</v>
      </c>
    </row>
    <row r="255" spans="1:7" x14ac:dyDescent="0.25">
      <c r="A255" s="1" t="str">
        <f t="shared" si="3"/>
        <v>4</v>
      </c>
      <c r="B2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5" s="1" t="s">
        <v>736</v>
      </c>
      <c r="D255" s="1" t="s">
        <v>737</v>
      </c>
      <c r="E255" s="1" t="s">
        <v>738</v>
      </c>
      <c r="F255" s="1" t="s">
        <v>112</v>
      </c>
      <c r="G255" s="1">
        <v>2388438</v>
      </c>
    </row>
    <row r="256" spans="1:7" x14ac:dyDescent="0.25">
      <c r="A256" s="1" t="str">
        <f t="shared" si="3"/>
        <v>4</v>
      </c>
      <c r="B2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6" s="1" t="s">
        <v>739</v>
      </c>
      <c r="D256" s="1" t="s">
        <v>740</v>
      </c>
      <c r="E256" s="1" t="s">
        <v>741</v>
      </c>
      <c r="F256" s="1" t="s">
        <v>112</v>
      </c>
      <c r="G256" s="1">
        <v>1909898</v>
      </c>
    </row>
    <row r="257" spans="1:10" x14ac:dyDescent="0.25">
      <c r="A257" s="1" t="str">
        <f t="shared" si="3"/>
        <v/>
      </c>
      <c r="B2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57" s="1" t="s">
        <v>112</v>
      </c>
    </row>
    <row r="258" spans="1:10" x14ac:dyDescent="0.25">
      <c r="A258" s="1" t="str">
        <f t="shared" ref="A258:A321" si="4">IFERROR(LEFT(RIGHT(C258,LEN(C258)-SEARCH("@",C258)),SEARCH("/",RIGHT(C258,LEN(C258)-SEARCH("@",C258)-1))),"")</f>
        <v/>
      </c>
      <c r="B2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58" s="1" t="s">
        <v>237</v>
      </c>
      <c r="D258" s="1" t="s">
        <v>112</v>
      </c>
      <c r="E258" s="1" t="s">
        <v>238</v>
      </c>
      <c r="F258" s="1" t="s">
        <v>239</v>
      </c>
      <c r="G258" s="1" t="s">
        <v>240</v>
      </c>
      <c r="H258" s="1" t="s">
        <v>241</v>
      </c>
      <c r="I258" s="1" t="s">
        <v>242</v>
      </c>
      <c r="J258" s="1" t="s">
        <v>243</v>
      </c>
    </row>
    <row r="259" spans="1:10" x14ac:dyDescent="0.25">
      <c r="A259" s="1" t="str">
        <f t="shared" si="4"/>
        <v>4</v>
      </c>
      <c r="B25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59" s="1" t="s">
        <v>742</v>
      </c>
      <c r="D259" s="1" t="s">
        <v>112</v>
      </c>
      <c r="E259" s="1" t="s">
        <v>743</v>
      </c>
      <c r="F259" s="1" t="s">
        <v>744</v>
      </c>
      <c r="G259" s="1" t="s">
        <v>745</v>
      </c>
      <c r="H259" s="1" t="s">
        <v>746</v>
      </c>
      <c r="I259" s="1">
        <v>24</v>
      </c>
      <c r="J259" s="1">
        <v>24</v>
      </c>
    </row>
    <row r="260" spans="1:10" x14ac:dyDescent="0.25">
      <c r="A260" s="1" t="str">
        <f t="shared" si="4"/>
        <v/>
      </c>
      <c r="B2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0" s="1" t="s">
        <v>112</v>
      </c>
    </row>
    <row r="261" spans="1:10" x14ac:dyDescent="0.25">
      <c r="A261" s="1" t="str">
        <f t="shared" si="4"/>
        <v/>
      </c>
      <c r="B2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1" s="1" t="s">
        <v>112</v>
      </c>
    </row>
    <row r="262" spans="1:10" x14ac:dyDescent="0.25">
      <c r="A262" s="1" t="str">
        <f t="shared" si="4"/>
        <v/>
      </c>
      <c r="B2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2" s="1" t="s">
        <v>112</v>
      </c>
    </row>
    <row r="263" spans="1:10" x14ac:dyDescent="0.25">
      <c r="A263" s="1" t="str">
        <f t="shared" si="4"/>
        <v/>
      </c>
      <c r="B2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3" s="1" t="s">
        <v>112</v>
      </c>
    </row>
    <row r="264" spans="1:10" x14ac:dyDescent="0.25">
      <c r="A264" s="1" t="str">
        <f t="shared" si="4"/>
        <v/>
      </c>
      <c r="B2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4" s="1" t="s">
        <v>112</v>
      </c>
    </row>
    <row r="265" spans="1:10" x14ac:dyDescent="0.25">
      <c r="A265" s="1" t="str">
        <f t="shared" si="4"/>
        <v/>
      </c>
      <c r="B2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5" s="1" t="s">
        <v>249</v>
      </c>
      <c r="D265" s="1" t="s">
        <v>110</v>
      </c>
      <c r="E265" s="1" t="s">
        <v>111</v>
      </c>
      <c r="F265" s="1" t="s">
        <v>112</v>
      </c>
      <c r="G265" s="1" t="s">
        <v>113</v>
      </c>
    </row>
    <row r="266" spans="1:10" x14ac:dyDescent="0.25">
      <c r="A266" s="1" t="str">
        <f t="shared" si="4"/>
        <v>5</v>
      </c>
      <c r="B2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66" s="1" t="s">
        <v>747</v>
      </c>
      <c r="D266" s="1" t="s">
        <v>449</v>
      </c>
      <c r="E266" s="1" t="s">
        <v>748</v>
      </c>
      <c r="F266" s="1" t="s">
        <v>112</v>
      </c>
      <c r="G266" s="1">
        <v>3161123</v>
      </c>
    </row>
    <row r="267" spans="1:10" x14ac:dyDescent="0.25">
      <c r="A267" s="1" t="str">
        <f t="shared" si="4"/>
        <v>5</v>
      </c>
      <c r="B2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67" s="1" t="s">
        <v>749</v>
      </c>
      <c r="D267" s="1" t="s">
        <v>750</v>
      </c>
      <c r="E267" s="1" t="s">
        <v>751</v>
      </c>
      <c r="F267" s="1" t="s">
        <v>112</v>
      </c>
      <c r="G267" s="1">
        <v>2347774</v>
      </c>
    </row>
    <row r="268" spans="1:10" x14ac:dyDescent="0.25">
      <c r="A268" s="1" t="str">
        <f t="shared" si="4"/>
        <v>5</v>
      </c>
      <c r="B2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68" s="1" t="s">
        <v>752</v>
      </c>
      <c r="D268" s="1" t="s">
        <v>753</v>
      </c>
      <c r="E268" s="1" t="s">
        <v>754</v>
      </c>
      <c r="F268" s="1" t="s">
        <v>112</v>
      </c>
      <c r="G268" s="1">
        <v>3014840</v>
      </c>
    </row>
    <row r="269" spans="1:10" x14ac:dyDescent="0.25">
      <c r="A269" s="1" t="str">
        <f t="shared" si="4"/>
        <v>5</v>
      </c>
      <c r="B2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69" s="1" t="s">
        <v>755</v>
      </c>
      <c r="D269" s="1" t="s">
        <v>756</v>
      </c>
      <c r="E269" s="1" t="s">
        <v>757</v>
      </c>
      <c r="F269" s="1" t="s">
        <v>112</v>
      </c>
      <c r="G269" s="1">
        <v>1438907</v>
      </c>
    </row>
    <row r="270" spans="1:10" x14ac:dyDescent="0.25">
      <c r="A270" s="1" t="str">
        <f t="shared" si="4"/>
        <v>5</v>
      </c>
      <c r="B2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70" s="1" t="s">
        <v>758</v>
      </c>
      <c r="D270" s="1" t="s">
        <v>759</v>
      </c>
      <c r="E270" s="1" t="s">
        <v>760</v>
      </c>
      <c r="F270" s="1" t="s">
        <v>112</v>
      </c>
      <c r="G270" s="1">
        <v>1516342</v>
      </c>
    </row>
    <row r="271" spans="1:10" x14ac:dyDescent="0.25">
      <c r="A271" s="1" t="str">
        <f t="shared" si="4"/>
        <v>5</v>
      </c>
      <c r="B2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71" s="1" t="s">
        <v>761</v>
      </c>
      <c r="D271" s="1" t="s">
        <v>762</v>
      </c>
      <c r="E271" s="1" t="s">
        <v>763</v>
      </c>
      <c r="F271" s="1" t="s">
        <v>112</v>
      </c>
      <c r="G271" s="1">
        <v>1920864</v>
      </c>
    </row>
    <row r="272" spans="1:10" x14ac:dyDescent="0.25">
      <c r="A272" s="1" t="str">
        <f t="shared" si="4"/>
        <v>5</v>
      </c>
      <c r="B2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72" s="1" t="s">
        <v>764</v>
      </c>
      <c r="D272" s="1" t="s">
        <v>765</v>
      </c>
      <c r="E272" s="1" t="s">
        <v>766</v>
      </c>
      <c r="F272" s="1" t="s">
        <v>112</v>
      </c>
      <c r="G272" s="1">
        <v>2871758</v>
      </c>
    </row>
    <row r="273" spans="1:7" x14ac:dyDescent="0.25">
      <c r="A273" s="1" t="str">
        <f t="shared" si="4"/>
        <v>5</v>
      </c>
      <c r="B2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73" s="1" t="s">
        <v>767</v>
      </c>
      <c r="D273" s="1" t="s">
        <v>768</v>
      </c>
      <c r="E273" s="1" t="s">
        <v>769</v>
      </c>
      <c r="F273" s="1" t="s">
        <v>112</v>
      </c>
      <c r="G273" s="1">
        <v>2929120</v>
      </c>
    </row>
    <row r="274" spans="1:7" x14ac:dyDescent="0.25">
      <c r="A274" s="1" t="str">
        <f t="shared" si="4"/>
        <v>5</v>
      </c>
      <c r="B2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74" s="1" t="s">
        <v>770</v>
      </c>
      <c r="D274" s="1" t="s">
        <v>771</v>
      </c>
      <c r="E274" s="1" t="s">
        <v>772</v>
      </c>
      <c r="F274" s="1" t="s">
        <v>112</v>
      </c>
      <c r="G274" s="1">
        <v>2854346</v>
      </c>
    </row>
    <row r="275" spans="1:7" x14ac:dyDescent="0.25">
      <c r="A275" s="1" t="str">
        <f t="shared" si="4"/>
        <v>5</v>
      </c>
      <c r="B2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75" s="1" t="s">
        <v>773</v>
      </c>
      <c r="D275" s="1" t="s">
        <v>774</v>
      </c>
      <c r="E275" s="1" t="s">
        <v>775</v>
      </c>
      <c r="F275" s="1" t="s">
        <v>112</v>
      </c>
      <c r="G275" s="1">
        <v>2255025</v>
      </c>
    </row>
    <row r="276" spans="1:7" x14ac:dyDescent="0.25">
      <c r="A276" s="1" t="str">
        <f t="shared" si="4"/>
        <v>5</v>
      </c>
      <c r="B2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76" s="1" t="s">
        <v>776</v>
      </c>
      <c r="D276" s="1" t="s">
        <v>777</v>
      </c>
      <c r="E276" s="1" t="s">
        <v>778</v>
      </c>
      <c r="F276" s="1" t="s">
        <v>112</v>
      </c>
      <c r="G276" s="1">
        <v>2097256</v>
      </c>
    </row>
    <row r="277" spans="1:7" x14ac:dyDescent="0.25">
      <c r="A277" s="1" t="str">
        <f t="shared" si="4"/>
        <v>5</v>
      </c>
      <c r="B2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77" s="1" t="s">
        <v>779</v>
      </c>
      <c r="D277" s="1" t="s">
        <v>780</v>
      </c>
      <c r="E277" s="1" t="s">
        <v>781</v>
      </c>
      <c r="F277" s="1" t="s">
        <v>112</v>
      </c>
      <c r="G277" s="1">
        <v>2348076</v>
      </c>
    </row>
    <row r="278" spans="1:7" x14ac:dyDescent="0.25">
      <c r="A278" s="1" t="str">
        <f t="shared" si="4"/>
        <v>5</v>
      </c>
      <c r="B2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78" s="1" t="s">
        <v>782</v>
      </c>
      <c r="D278" s="1" t="s">
        <v>783</v>
      </c>
      <c r="E278" s="1" t="s">
        <v>784</v>
      </c>
      <c r="F278" s="1" t="s">
        <v>112</v>
      </c>
      <c r="G278" s="1">
        <v>2799601</v>
      </c>
    </row>
    <row r="279" spans="1:7" x14ac:dyDescent="0.25">
      <c r="A279" s="1" t="str">
        <f t="shared" si="4"/>
        <v>5</v>
      </c>
      <c r="B2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79" s="1" t="s">
        <v>785</v>
      </c>
      <c r="D279" s="1" t="s">
        <v>786</v>
      </c>
      <c r="E279" s="1" t="s">
        <v>787</v>
      </c>
      <c r="F279" s="1" t="s">
        <v>112</v>
      </c>
      <c r="G279" s="1">
        <v>3237995</v>
      </c>
    </row>
    <row r="280" spans="1:7" x14ac:dyDescent="0.25">
      <c r="A280" s="1" t="str">
        <f t="shared" si="4"/>
        <v>5</v>
      </c>
      <c r="B2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80" s="1" t="s">
        <v>788</v>
      </c>
      <c r="D280" s="1" t="s">
        <v>789</v>
      </c>
      <c r="E280" s="1" t="s">
        <v>790</v>
      </c>
      <c r="F280" s="1" t="s">
        <v>112</v>
      </c>
      <c r="G280" s="1">
        <v>3020528</v>
      </c>
    </row>
    <row r="281" spans="1:7" x14ac:dyDescent="0.25">
      <c r="A281" s="1" t="str">
        <f t="shared" si="4"/>
        <v>5</v>
      </c>
      <c r="B2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81" s="1" t="s">
        <v>791</v>
      </c>
      <c r="D281" s="1" t="s">
        <v>792</v>
      </c>
      <c r="E281" s="1" t="s">
        <v>793</v>
      </c>
      <c r="F281" s="1" t="s">
        <v>112</v>
      </c>
      <c r="G281" s="1">
        <v>1460364</v>
      </c>
    </row>
    <row r="282" spans="1:7" x14ac:dyDescent="0.25">
      <c r="A282" s="1" t="str">
        <f t="shared" si="4"/>
        <v>5</v>
      </c>
      <c r="B2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82" s="1" t="s">
        <v>794</v>
      </c>
      <c r="D282" s="1" t="s">
        <v>795</v>
      </c>
      <c r="E282" s="1" t="s">
        <v>796</v>
      </c>
      <c r="F282" s="1" t="s">
        <v>112</v>
      </c>
      <c r="G282" s="1">
        <v>1617959</v>
      </c>
    </row>
    <row r="283" spans="1:7" x14ac:dyDescent="0.25">
      <c r="A283" s="1" t="str">
        <f t="shared" si="4"/>
        <v>5</v>
      </c>
      <c r="B2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83" s="1" t="s">
        <v>797</v>
      </c>
      <c r="D283" s="1" t="s">
        <v>798</v>
      </c>
      <c r="E283" s="1" t="s">
        <v>799</v>
      </c>
      <c r="F283" s="1" t="s">
        <v>112</v>
      </c>
      <c r="G283" s="1">
        <v>1332791</v>
      </c>
    </row>
    <row r="284" spans="1:7" x14ac:dyDescent="0.25">
      <c r="A284" s="1" t="str">
        <f t="shared" si="4"/>
        <v>5</v>
      </c>
      <c r="B2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84" s="1" t="s">
        <v>800</v>
      </c>
      <c r="D284" s="1" t="s">
        <v>801</v>
      </c>
      <c r="E284" s="1" t="s">
        <v>802</v>
      </c>
      <c r="F284" s="1" t="s">
        <v>112</v>
      </c>
      <c r="G284" s="1">
        <v>2799363</v>
      </c>
    </row>
    <row r="285" spans="1:7" x14ac:dyDescent="0.25">
      <c r="A285" s="1" t="str">
        <f t="shared" si="4"/>
        <v>5</v>
      </c>
      <c r="B2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85" s="1" t="s">
        <v>803</v>
      </c>
      <c r="D285" s="1" t="s">
        <v>804</v>
      </c>
      <c r="E285" s="1" t="s">
        <v>805</v>
      </c>
      <c r="F285" s="1" t="s">
        <v>112</v>
      </c>
      <c r="G285" s="1">
        <v>2841649</v>
      </c>
    </row>
    <row r="286" spans="1:7" x14ac:dyDescent="0.25">
      <c r="A286" s="1" t="str">
        <f t="shared" si="4"/>
        <v>5</v>
      </c>
      <c r="B2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86" s="1" t="s">
        <v>806</v>
      </c>
      <c r="D286" s="1" t="s">
        <v>807</v>
      </c>
      <c r="E286" s="1" t="s">
        <v>808</v>
      </c>
      <c r="F286" s="1" t="s">
        <v>112</v>
      </c>
      <c r="G286" s="1">
        <v>2532277</v>
      </c>
    </row>
    <row r="287" spans="1:7" x14ac:dyDescent="0.25">
      <c r="A287" s="1" t="str">
        <f t="shared" si="4"/>
        <v>5</v>
      </c>
      <c r="B2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87" s="1" t="s">
        <v>809</v>
      </c>
      <c r="D287" s="1" t="s">
        <v>810</v>
      </c>
      <c r="E287" s="1" t="s">
        <v>811</v>
      </c>
      <c r="F287" s="1" t="s">
        <v>112</v>
      </c>
      <c r="G287" s="1">
        <v>2974954</v>
      </c>
    </row>
    <row r="288" spans="1:7" x14ac:dyDescent="0.25">
      <c r="A288" s="1" t="str">
        <f t="shared" si="4"/>
        <v>5</v>
      </c>
      <c r="B2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88" s="1" t="s">
        <v>812</v>
      </c>
      <c r="D288" s="1" t="s">
        <v>813</v>
      </c>
      <c r="E288" s="1" t="s">
        <v>814</v>
      </c>
      <c r="F288" s="1" t="s">
        <v>112</v>
      </c>
      <c r="G288" s="1">
        <v>2753248</v>
      </c>
    </row>
    <row r="289" spans="1:10" x14ac:dyDescent="0.25">
      <c r="A289" s="1" t="str">
        <f t="shared" si="4"/>
        <v>5</v>
      </c>
      <c r="B2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89" s="1" t="s">
        <v>815</v>
      </c>
      <c r="D289" s="1" t="s">
        <v>816</v>
      </c>
      <c r="E289" s="1" t="s">
        <v>817</v>
      </c>
      <c r="F289" s="1" t="s">
        <v>112</v>
      </c>
      <c r="G289" s="1">
        <v>2240295</v>
      </c>
    </row>
    <row r="290" spans="1:10" x14ac:dyDescent="0.25">
      <c r="A290" s="1" t="str">
        <f t="shared" si="4"/>
        <v/>
      </c>
      <c r="B2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0" s="1" t="s">
        <v>112</v>
      </c>
    </row>
    <row r="291" spans="1:10" x14ac:dyDescent="0.25">
      <c r="A291" s="1" t="str">
        <f t="shared" si="4"/>
        <v/>
      </c>
      <c r="B2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1" s="1" t="s">
        <v>237</v>
      </c>
      <c r="D291" s="1" t="s">
        <v>112</v>
      </c>
      <c r="E291" s="1" t="s">
        <v>238</v>
      </c>
      <c r="F291" s="1" t="s">
        <v>239</v>
      </c>
      <c r="G291" s="1" t="s">
        <v>240</v>
      </c>
      <c r="H291" s="1" t="s">
        <v>241</v>
      </c>
      <c r="I291" s="1" t="s">
        <v>242</v>
      </c>
      <c r="J291" s="1" t="s">
        <v>243</v>
      </c>
    </row>
    <row r="292" spans="1:10" x14ac:dyDescent="0.25">
      <c r="A292" s="1" t="str">
        <f t="shared" si="4"/>
        <v>5</v>
      </c>
      <c r="B29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92" s="1" t="s">
        <v>818</v>
      </c>
      <c r="D292" s="1" t="s">
        <v>112</v>
      </c>
      <c r="E292" s="1" t="s">
        <v>819</v>
      </c>
      <c r="F292" s="1" t="s">
        <v>820</v>
      </c>
      <c r="G292" s="1" t="s">
        <v>821</v>
      </c>
      <c r="H292" s="1" t="s">
        <v>822</v>
      </c>
      <c r="I292" s="1">
        <v>24</v>
      </c>
      <c r="J292" s="1">
        <v>24</v>
      </c>
    </row>
    <row r="293" spans="1:10" x14ac:dyDescent="0.25">
      <c r="A293" s="1" t="str">
        <f t="shared" si="4"/>
        <v/>
      </c>
      <c r="B2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3" s="1" t="s">
        <v>112</v>
      </c>
    </row>
    <row r="294" spans="1:10" x14ac:dyDescent="0.25">
      <c r="A294" s="1" t="str">
        <f t="shared" si="4"/>
        <v/>
      </c>
      <c r="B2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4" s="1" t="s">
        <v>112</v>
      </c>
    </row>
    <row r="295" spans="1:10" x14ac:dyDescent="0.25">
      <c r="A295" s="1" t="str">
        <f t="shared" si="4"/>
        <v/>
      </c>
      <c r="B2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5" s="1" t="s">
        <v>112</v>
      </c>
    </row>
    <row r="296" spans="1:10" x14ac:dyDescent="0.25">
      <c r="A296" s="1" t="str">
        <f t="shared" si="4"/>
        <v/>
      </c>
      <c r="B2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6" s="1" t="s">
        <v>112</v>
      </c>
    </row>
    <row r="297" spans="1:10" x14ac:dyDescent="0.25">
      <c r="A297" s="1" t="str">
        <f t="shared" si="4"/>
        <v/>
      </c>
      <c r="B2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7" s="1" t="s">
        <v>112</v>
      </c>
    </row>
    <row r="298" spans="1:10" x14ac:dyDescent="0.25">
      <c r="A298" s="1" t="str">
        <f t="shared" si="4"/>
        <v/>
      </c>
      <c r="B2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8" s="1" t="s">
        <v>249</v>
      </c>
      <c r="D298" s="1" t="s">
        <v>110</v>
      </c>
      <c r="E298" s="1" t="s">
        <v>111</v>
      </c>
      <c r="F298" s="1" t="s">
        <v>112</v>
      </c>
      <c r="G298" s="1" t="s">
        <v>113</v>
      </c>
    </row>
    <row r="299" spans="1:10" x14ac:dyDescent="0.25">
      <c r="A299" s="1" t="str">
        <f t="shared" si="4"/>
        <v>6</v>
      </c>
      <c r="B2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99" s="1" t="s">
        <v>823</v>
      </c>
      <c r="D299" s="1" t="s">
        <v>824</v>
      </c>
      <c r="E299" s="1" t="s">
        <v>825</v>
      </c>
      <c r="F299" s="1" t="s">
        <v>112</v>
      </c>
      <c r="G299" s="1">
        <v>3074452</v>
      </c>
    </row>
    <row r="300" spans="1:10" x14ac:dyDescent="0.25">
      <c r="A300" s="1" t="str">
        <f t="shared" si="4"/>
        <v>6</v>
      </c>
      <c r="B3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00" s="1" t="s">
        <v>826</v>
      </c>
      <c r="D300" s="1" t="s">
        <v>827</v>
      </c>
      <c r="E300" s="1" t="s">
        <v>828</v>
      </c>
      <c r="F300" s="1" t="s">
        <v>112</v>
      </c>
      <c r="G300" s="1">
        <v>3265617</v>
      </c>
    </row>
    <row r="301" spans="1:10" x14ac:dyDescent="0.25">
      <c r="A301" s="1" t="str">
        <f t="shared" si="4"/>
        <v>6</v>
      </c>
      <c r="B3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01" s="1" t="s">
        <v>829</v>
      </c>
      <c r="D301" s="1" t="s">
        <v>830</v>
      </c>
      <c r="E301" s="1" t="s">
        <v>831</v>
      </c>
      <c r="F301" s="1" t="s">
        <v>112</v>
      </c>
      <c r="G301" s="1">
        <v>2831807</v>
      </c>
    </row>
    <row r="302" spans="1:10" x14ac:dyDescent="0.25">
      <c r="A302" s="1" t="str">
        <f t="shared" si="4"/>
        <v>6</v>
      </c>
      <c r="B3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02" s="1" t="s">
        <v>832</v>
      </c>
      <c r="D302" s="1" t="s">
        <v>607</v>
      </c>
      <c r="E302" s="1" t="s">
        <v>833</v>
      </c>
      <c r="F302" s="1" t="s">
        <v>112</v>
      </c>
      <c r="G302" s="1">
        <v>286683</v>
      </c>
    </row>
    <row r="303" spans="1:10" x14ac:dyDescent="0.25">
      <c r="A303" s="1" t="str">
        <f t="shared" si="4"/>
        <v>6</v>
      </c>
      <c r="B3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03" s="1" t="s">
        <v>834</v>
      </c>
      <c r="D303" s="1" t="s">
        <v>835</v>
      </c>
      <c r="E303" s="1" t="s">
        <v>836</v>
      </c>
      <c r="F303" s="1" t="s">
        <v>112</v>
      </c>
      <c r="G303" s="1">
        <v>551411</v>
      </c>
    </row>
    <row r="304" spans="1:10" x14ac:dyDescent="0.25">
      <c r="A304" s="1" t="str">
        <f t="shared" si="4"/>
        <v>6</v>
      </c>
      <c r="B3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04" s="1" t="s">
        <v>837</v>
      </c>
      <c r="D304" s="1" t="s">
        <v>838</v>
      </c>
      <c r="E304" s="1" t="s">
        <v>839</v>
      </c>
      <c r="F304" s="1" t="s">
        <v>112</v>
      </c>
      <c r="G304" s="1">
        <v>535946</v>
      </c>
    </row>
    <row r="305" spans="1:7" x14ac:dyDescent="0.25">
      <c r="A305" s="1" t="str">
        <f t="shared" si="4"/>
        <v>6</v>
      </c>
      <c r="B3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05" s="1" t="s">
        <v>840</v>
      </c>
      <c r="D305" s="1" t="s">
        <v>841</v>
      </c>
      <c r="E305" s="1" t="s">
        <v>842</v>
      </c>
      <c r="F305" s="1" t="s">
        <v>112</v>
      </c>
      <c r="G305" s="1">
        <v>3195363</v>
      </c>
    </row>
    <row r="306" spans="1:7" x14ac:dyDescent="0.25">
      <c r="A306" s="1" t="str">
        <f t="shared" si="4"/>
        <v>6</v>
      </c>
      <c r="B3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06" s="1" t="s">
        <v>843</v>
      </c>
    </row>
    <row r="307" spans="1:7" x14ac:dyDescent="0.25">
      <c r="A307" s="1" t="str">
        <f t="shared" si="4"/>
        <v>6</v>
      </c>
      <c r="B3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07" s="1" t="s">
        <v>844</v>
      </c>
      <c r="D307" s="1" t="s">
        <v>845</v>
      </c>
      <c r="E307" s="1" t="s">
        <v>846</v>
      </c>
      <c r="F307" s="1" t="s">
        <v>112</v>
      </c>
      <c r="G307" s="1">
        <v>3156926</v>
      </c>
    </row>
    <row r="308" spans="1:7" x14ac:dyDescent="0.25">
      <c r="A308" s="1" t="str">
        <f t="shared" si="4"/>
        <v>6</v>
      </c>
      <c r="B3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08" s="1" t="s">
        <v>847</v>
      </c>
      <c r="D308" s="1" t="s">
        <v>848</v>
      </c>
      <c r="E308" s="1" t="s">
        <v>849</v>
      </c>
      <c r="F308" s="1" t="s">
        <v>112</v>
      </c>
      <c r="G308" s="1">
        <v>3897794</v>
      </c>
    </row>
    <row r="309" spans="1:7" x14ac:dyDescent="0.25">
      <c r="A309" s="1" t="str">
        <f t="shared" si="4"/>
        <v>6</v>
      </c>
      <c r="B3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09" s="1" t="s">
        <v>850</v>
      </c>
      <c r="D309" s="1" t="s">
        <v>851</v>
      </c>
      <c r="E309" s="1" t="s">
        <v>852</v>
      </c>
      <c r="F309" s="1" t="s">
        <v>112</v>
      </c>
      <c r="G309" s="1">
        <v>4256828</v>
      </c>
    </row>
    <row r="310" spans="1:7" x14ac:dyDescent="0.25">
      <c r="A310" s="1" t="str">
        <f t="shared" si="4"/>
        <v>6</v>
      </c>
      <c r="B3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10" s="1" t="s">
        <v>853</v>
      </c>
      <c r="D310" s="1" t="s">
        <v>854</v>
      </c>
      <c r="E310" s="1" t="s">
        <v>855</v>
      </c>
      <c r="F310" s="1" t="s">
        <v>112</v>
      </c>
      <c r="G310" s="1">
        <v>3591817</v>
      </c>
    </row>
    <row r="311" spans="1:7" x14ac:dyDescent="0.25">
      <c r="A311" s="1" t="str">
        <f t="shared" si="4"/>
        <v>6</v>
      </c>
      <c r="B3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11" s="1" t="s">
        <v>856</v>
      </c>
      <c r="D311" s="1" t="s">
        <v>857</v>
      </c>
      <c r="E311" s="1" t="s">
        <v>858</v>
      </c>
      <c r="F311" s="1" t="s">
        <v>112</v>
      </c>
      <c r="G311" s="1">
        <v>4678200</v>
      </c>
    </row>
    <row r="312" spans="1:7" x14ac:dyDescent="0.25">
      <c r="A312" s="1" t="str">
        <f t="shared" si="4"/>
        <v>6</v>
      </c>
      <c r="B3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12" s="1" t="s">
        <v>859</v>
      </c>
      <c r="D312" s="1" t="s">
        <v>860</v>
      </c>
      <c r="E312" s="1" t="s">
        <v>861</v>
      </c>
      <c r="F312" s="1" t="s">
        <v>112</v>
      </c>
      <c r="G312" s="1">
        <v>5027263</v>
      </c>
    </row>
    <row r="313" spans="1:7" x14ac:dyDescent="0.25">
      <c r="A313" s="1" t="str">
        <f t="shared" si="4"/>
        <v>6</v>
      </c>
      <c r="B3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13" s="1" t="s">
        <v>862</v>
      </c>
      <c r="D313" s="1" t="s">
        <v>863</v>
      </c>
      <c r="E313" s="1" t="s">
        <v>864</v>
      </c>
      <c r="F313" s="1" t="s">
        <v>112</v>
      </c>
      <c r="G313" s="1">
        <v>4307983</v>
      </c>
    </row>
    <row r="314" spans="1:7" x14ac:dyDescent="0.25">
      <c r="A314" s="1" t="str">
        <f t="shared" si="4"/>
        <v>6</v>
      </c>
      <c r="B3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14" s="1" t="s">
        <v>865</v>
      </c>
      <c r="D314" s="1" t="s">
        <v>866</v>
      </c>
      <c r="E314" s="1" t="s">
        <v>867</v>
      </c>
      <c r="F314" s="1" t="s">
        <v>112</v>
      </c>
      <c r="G314" s="1">
        <v>3296223</v>
      </c>
    </row>
    <row r="315" spans="1:7" x14ac:dyDescent="0.25">
      <c r="A315" s="1" t="str">
        <f t="shared" si="4"/>
        <v>6</v>
      </c>
      <c r="B3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15" s="1" t="s">
        <v>868</v>
      </c>
      <c r="D315" s="1" t="s">
        <v>869</v>
      </c>
      <c r="E315" s="1" t="s">
        <v>870</v>
      </c>
      <c r="F315" s="1" t="s">
        <v>112</v>
      </c>
      <c r="G315" s="1">
        <v>2902234</v>
      </c>
    </row>
    <row r="316" spans="1:7" x14ac:dyDescent="0.25">
      <c r="A316" s="1" t="str">
        <f t="shared" si="4"/>
        <v>6</v>
      </c>
      <c r="B3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16" s="1" t="s">
        <v>871</v>
      </c>
      <c r="D316" s="1" t="s">
        <v>872</v>
      </c>
      <c r="E316" s="1" t="s">
        <v>873</v>
      </c>
      <c r="F316" s="1" t="s">
        <v>112</v>
      </c>
      <c r="G316" s="1">
        <v>2862284</v>
      </c>
    </row>
    <row r="317" spans="1:7" x14ac:dyDescent="0.25">
      <c r="A317" s="1" t="str">
        <f t="shared" si="4"/>
        <v>6</v>
      </c>
      <c r="B3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17" s="1" t="s">
        <v>874</v>
      </c>
    </row>
    <row r="318" spans="1:7" x14ac:dyDescent="0.25">
      <c r="A318" s="1" t="str">
        <f t="shared" si="4"/>
        <v>6</v>
      </c>
      <c r="B3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18" s="1" t="s">
        <v>875</v>
      </c>
    </row>
    <row r="319" spans="1:7" x14ac:dyDescent="0.25">
      <c r="A319" s="1" t="str">
        <f t="shared" si="4"/>
        <v>6</v>
      </c>
      <c r="B3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19" s="1" t="s">
        <v>876</v>
      </c>
    </row>
    <row r="320" spans="1:7" x14ac:dyDescent="0.25">
      <c r="A320" s="1" t="str">
        <f t="shared" si="4"/>
        <v>6</v>
      </c>
      <c r="B3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20" s="1" t="s">
        <v>877</v>
      </c>
      <c r="D320" s="1" t="s">
        <v>878</v>
      </c>
      <c r="E320" s="1" t="s">
        <v>879</v>
      </c>
      <c r="F320" s="1" t="s">
        <v>112</v>
      </c>
      <c r="G320" s="1">
        <v>1504208</v>
      </c>
    </row>
    <row r="321" spans="1:10" x14ac:dyDescent="0.25">
      <c r="A321" s="1" t="str">
        <f t="shared" si="4"/>
        <v>6</v>
      </c>
      <c r="B3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21" s="1" t="s">
        <v>880</v>
      </c>
      <c r="D321" s="1" t="s">
        <v>881</v>
      </c>
      <c r="E321" s="1" t="s">
        <v>882</v>
      </c>
      <c r="F321" s="1" t="s">
        <v>112</v>
      </c>
      <c r="G321" s="1">
        <v>1825304</v>
      </c>
    </row>
    <row r="322" spans="1:10" x14ac:dyDescent="0.25">
      <c r="A322" s="1" t="str">
        <f t="shared" ref="A322:A385" si="5">IFERROR(LEFT(RIGHT(C322,LEN(C322)-SEARCH("@",C322)),SEARCH("/",RIGHT(C322,LEN(C322)-SEARCH("@",C322)-1))),"")</f>
        <v>6</v>
      </c>
      <c r="B3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22" s="1" t="s">
        <v>883</v>
      </c>
      <c r="D322" s="1" t="s">
        <v>884</v>
      </c>
      <c r="E322" s="1" t="s">
        <v>885</v>
      </c>
      <c r="F322" s="1" t="s">
        <v>112</v>
      </c>
      <c r="G322" s="1">
        <v>1052013</v>
      </c>
    </row>
    <row r="323" spans="1:10" x14ac:dyDescent="0.25">
      <c r="A323" s="1" t="str">
        <f t="shared" si="5"/>
        <v/>
      </c>
      <c r="B3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3" s="1" t="s">
        <v>112</v>
      </c>
    </row>
    <row r="324" spans="1:10" x14ac:dyDescent="0.25">
      <c r="A324" s="1" t="str">
        <f t="shared" si="5"/>
        <v/>
      </c>
      <c r="B3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4" s="1" t="s">
        <v>237</v>
      </c>
      <c r="D324" s="1" t="s">
        <v>112</v>
      </c>
      <c r="E324" s="1" t="s">
        <v>238</v>
      </c>
      <c r="F324" s="1" t="s">
        <v>239</v>
      </c>
      <c r="G324" s="1" t="s">
        <v>240</v>
      </c>
      <c r="H324" s="1" t="s">
        <v>241</v>
      </c>
      <c r="I324" s="1" t="s">
        <v>242</v>
      </c>
      <c r="J324" s="1" t="s">
        <v>243</v>
      </c>
    </row>
    <row r="325" spans="1:10" x14ac:dyDescent="0.25">
      <c r="A325" s="1" t="str">
        <f t="shared" si="5"/>
        <v>6</v>
      </c>
      <c r="B32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325" s="1" t="s">
        <v>886</v>
      </c>
      <c r="D325" s="1" t="s">
        <v>112</v>
      </c>
      <c r="E325" s="1" t="s">
        <v>887</v>
      </c>
      <c r="F325" s="1" t="s">
        <v>888</v>
      </c>
      <c r="G325" s="1" t="s">
        <v>889</v>
      </c>
      <c r="H325" s="1" t="s">
        <v>890</v>
      </c>
      <c r="I325" s="1">
        <v>24</v>
      </c>
      <c r="J325" s="1">
        <v>24</v>
      </c>
    </row>
    <row r="326" spans="1:10" x14ac:dyDescent="0.25">
      <c r="A326" s="1" t="str">
        <f t="shared" si="5"/>
        <v/>
      </c>
      <c r="B3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6" s="1" t="s">
        <v>112</v>
      </c>
    </row>
    <row r="327" spans="1:10" x14ac:dyDescent="0.25">
      <c r="A327" s="1" t="str">
        <f t="shared" si="5"/>
        <v/>
      </c>
      <c r="B3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7" s="1" t="s">
        <v>112</v>
      </c>
    </row>
    <row r="328" spans="1:10" x14ac:dyDescent="0.25">
      <c r="A328" s="1" t="str">
        <f t="shared" si="5"/>
        <v/>
      </c>
      <c r="B3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8" s="1" t="s">
        <v>112</v>
      </c>
    </row>
    <row r="329" spans="1:10" x14ac:dyDescent="0.25">
      <c r="A329" s="1" t="str">
        <f t="shared" si="5"/>
        <v/>
      </c>
      <c r="B3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9" s="1" t="s">
        <v>112</v>
      </c>
    </row>
    <row r="330" spans="1:10" x14ac:dyDescent="0.25">
      <c r="A330" s="1" t="str">
        <f t="shared" si="5"/>
        <v/>
      </c>
      <c r="B3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30" s="1" t="s">
        <v>112</v>
      </c>
    </row>
    <row r="331" spans="1:10" x14ac:dyDescent="0.25">
      <c r="A331" s="1" t="str">
        <f t="shared" si="5"/>
        <v/>
      </c>
      <c r="B3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31" s="1" t="s">
        <v>249</v>
      </c>
      <c r="D331" s="1" t="s">
        <v>110</v>
      </c>
      <c r="E331" s="1" t="s">
        <v>111</v>
      </c>
      <c r="F331" s="1" t="s">
        <v>112</v>
      </c>
      <c r="G331" s="1" t="s">
        <v>113</v>
      </c>
    </row>
    <row r="332" spans="1:10" x14ac:dyDescent="0.25">
      <c r="A332" s="1" t="str">
        <f t="shared" si="5"/>
        <v>7</v>
      </c>
      <c r="B3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32" s="1" t="s">
        <v>891</v>
      </c>
      <c r="D332" s="1" t="s">
        <v>892</v>
      </c>
      <c r="E332" s="1" t="s">
        <v>893</v>
      </c>
      <c r="F332" s="1" t="s">
        <v>112</v>
      </c>
      <c r="G332" s="1">
        <v>4486711</v>
      </c>
    </row>
    <row r="333" spans="1:10" x14ac:dyDescent="0.25">
      <c r="A333" s="1" t="str">
        <f t="shared" si="5"/>
        <v>7</v>
      </c>
      <c r="B3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33" s="1" t="s">
        <v>894</v>
      </c>
      <c r="D333" s="1" t="s">
        <v>895</v>
      </c>
      <c r="E333" s="1" t="s">
        <v>896</v>
      </c>
      <c r="F333" s="1" t="s">
        <v>112</v>
      </c>
      <c r="G333" s="1">
        <v>3786291</v>
      </c>
    </row>
    <row r="334" spans="1:10" x14ac:dyDescent="0.25">
      <c r="A334" s="1" t="str">
        <f t="shared" si="5"/>
        <v>7</v>
      </c>
      <c r="B3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34" s="1" t="s">
        <v>897</v>
      </c>
      <c r="D334" s="1" t="s">
        <v>898</v>
      </c>
      <c r="E334" s="1" t="s">
        <v>899</v>
      </c>
      <c r="F334" s="1" t="s">
        <v>112</v>
      </c>
      <c r="G334" s="1">
        <v>4171541</v>
      </c>
    </row>
    <row r="335" spans="1:10" x14ac:dyDescent="0.25">
      <c r="A335" s="1" t="str">
        <f t="shared" si="5"/>
        <v>7</v>
      </c>
      <c r="B3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35" s="1" t="s">
        <v>900</v>
      </c>
      <c r="D335" s="1" t="s">
        <v>901</v>
      </c>
      <c r="E335" s="1" t="s">
        <v>902</v>
      </c>
      <c r="F335" s="1" t="s">
        <v>112</v>
      </c>
      <c r="G335" s="1">
        <v>3486047</v>
      </c>
    </row>
    <row r="336" spans="1:10" x14ac:dyDescent="0.25">
      <c r="A336" s="1" t="str">
        <f t="shared" si="5"/>
        <v>7</v>
      </c>
      <c r="B3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36" s="1" t="s">
        <v>903</v>
      </c>
      <c r="D336" s="1" t="s">
        <v>904</v>
      </c>
      <c r="E336" s="1" t="s">
        <v>905</v>
      </c>
      <c r="F336" s="1" t="s">
        <v>112</v>
      </c>
      <c r="G336" s="1">
        <v>3639078</v>
      </c>
    </row>
    <row r="337" spans="1:7" x14ac:dyDescent="0.25">
      <c r="A337" s="1" t="str">
        <f t="shared" si="5"/>
        <v>7</v>
      </c>
      <c r="B3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37" s="1" t="s">
        <v>906</v>
      </c>
      <c r="D337" s="1" t="s">
        <v>907</v>
      </c>
      <c r="E337" s="1" t="s">
        <v>908</v>
      </c>
      <c r="F337" s="1" t="s">
        <v>112</v>
      </c>
      <c r="G337" s="1">
        <v>4135593</v>
      </c>
    </row>
    <row r="338" spans="1:7" x14ac:dyDescent="0.25">
      <c r="A338" s="1" t="str">
        <f t="shared" si="5"/>
        <v>7</v>
      </c>
      <c r="B3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38" s="1" t="s">
        <v>909</v>
      </c>
      <c r="D338" s="1" t="s">
        <v>910</v>
      </c>
      <c r="E338" s="1" t="s">
        <v>911</v>
      </c>
      <c r="F338" s="1" t="s">
        <v>112</v>
      </c>
      <c r="G338" s="1">
        <v>5268848</v>
      </c>
    </row>
    <row r="339" spans="1:7" x14ac:dyDescent="0.25">
      <c r="A339" s="1" t="str">
        <f t="shared" si="5"/>
        <v>7</v>
      </c>
      <c r="B3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39" s="1" t="s">
        <v>912</v>
      </c>
      <c r="D339" s="1" t="s">
        <v>913</v>
      </c>
      <c r="E339" s="1" t="s">
        <v>914</v>
      </c>
      <c r="F339" s="1" t="s">
        <v>112</v>
      </c>
      <c r="G339" s="1">
        <v>5340940</v>
      </c>
    </row>
    <row r="340" spans="1:7" x14ac:dyDescent="0.25">
      <c r="A340" s="1" t="str">
        <f t="shared" si="5"/>
        <v>7</v>
      </c>
      <c r="B3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40" s="1" t="s">
        <v>915</v>
      </c>
      <c r="D340" s="1" t="s">
        <v>916</v>
      </c>
      <c r="E340" s="1" t="s">
        <v>917</v>
      </c>
      <c r="F340" s="1" t="s">
        <v>112</v>
      </c>
      <c r="G340" s="1">
        <v>4978726</v>
      </c>
    </row>
    <row r="341" spans="1:7" x14ac:dyDescent="0.25">
      <c r="A341" s="1" t="str">
        <f t="shared" si="5"/>
        <v>7</v>
      </c>
      <c r="B3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41" s="1" t="s">
        <v>918</v>
      </c>
      <c r="D341" s="1" t="s">
        <v>919</v>
      </c>
      <c r="E341" s="1" t="s">
        <v>920</v>
      </c>
      <c r="F341" s="1" t="s">
        <v>112</v>
      </c>
      <c r="G341" s="1">
        <v>4028287</v>
      </c>
    </row>
    <row r="342" spans="1:7" x14ac:dyDescent="0.25">
      <c r="A342" s="1" t="str">
        <f t="shared" si="5"/>
        <v>7</v>
      </c>
      <c r="B3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42" s="1" t="s">
        <v>921</v>
      </c>
      <c r="D342" s="1" t="s">
        <v>922</v>
      </c>
      <c r="E342" s="1" t="s">
        <v>923</v>
      </c>
      <c r="F342" s="1" t="s">
        <v>112</v>
      </c>
      <c r="G342" s="1">
        <v>4464410</v>
      </c>
    </row>
    <row r="343" spans="1:7" x14ac:dyDescent="0.25">
      <c r="A343" s="1" t="str">
        <f t="shared" si="5"/>
        <v>7</v>
      </c>
      <c r="B3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43" s="1" t="s">
        <v>924</v>
      </c>
      <c r="D343" s="1" t="s">
        <v>925</v>
      </c>
      <c r="E343" s="1" t="s">
        <v>926</v>
      </c>
      <c r="F343" s="1" t="s">
        <v>112</v>
      </c>
      <c r="G343" s="1">
        <v>4310059</v>
      </c>
    </row>
    <row r="344" spans="1:7" x14ac:dyDescent="0.25">
      <c r="A344" s="1" t="str">
        <f t="shared" si="5"/>
        <v>7</v>
      </c>
      <c r="B3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44" s="1" t="s">
        <v>927</v>
      </c>
    </row>
    <row r="345" spans="1:7" x14ac:dyDescent="0.25">
      <c r="A345" s="1" t="str">
        <f t="shared" si="5"/>
        <v>7</v>
      </c>
      <c r="B3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45" s="1" t="s">
        <v>928</v>
      </c>
      <c r="D345" s="1" t="s">
        <v>929</v>
      </c>
      <c r="E345" s="1" t="s">
        <v>930</v>
      </c>
      <c r="F345" s="1" t="s">
        <v>112</v>
      </c>
      <c r="G345" s="1">
        <v>4474230</v>
      </c>
    </row>
    <row r="346" spans="1:7" x14ac:dyDescent="0.25">
      <c r="A346" s="1" t="str">
        <f t="shared" si="5"/>
        <v>7</v>
      </c>
      <c r="B3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46" s="1" t="s">
        <v>931</v>
      </c>
      <c r="D346" s="1" t="s">
        <v>932</v>
      </c>
      <c r="E346" s="1" t="s">
        <v>933</v>
      </c>
      <c r="F346" s="1" t="s">
        <v>112</v>
      </c>
      <c r="G346" s="1">
        <v>3973888</v>
      </c>
    </row>
    <row r="347" spans="1:7" x14ac:dyDescent="0.25">
      <c r="A347" s="1" t="str">
        <f t="shared" si="5"/>
        <v>7</v>
      </c>
      <c r="B3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47" s="1" t="s">
        <v>934</v>
      </c>
      <c r="D347" s="1" t="s">
        <v>935</v>
      </c>
      <c r="E347" s="1" t="s">
        <v>936</v>
      </c>
      <c r="F347" s="1" t="s">
        <v>112</v>
      </c>
      <c r="G347" s="1">
        <v>4149068</v>
      </c>
    </row>
    <row r="348" spans="1:7" x14ac:dyDescent="0.25">
      <c r="A348" s="1" t="str">
        <f t="shared" si="5"/>
        <v>7</v>
      </c>
      <c r="B3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48" s="1" t="s">
        <v>937</v>
      </c>
      <c r="D348" s="1" t="s">
        <v>938</v>
      </c>
      <c r="E348" s="1" t="s">
        <v>939</v>
      </c>
      <c r="F348" s="1" t="s">
        <v>112</v>
      </c>
      <c r="G348" s="1">
        <v>3759514</v>
      </c>
    </row>
    <row r="349" spans="1:7" x14ac:dyDescent="0.25">
      <c r="A349" s="1" t="str">
        <f t="shared" si="5"/>
        <v>7</v>
      </c>
      <c r="B3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49" s="1" t="s">
        <v>940</v>
      </c>
      <c r="D349" s="1" t="s">
        <v>941</v>
      </c>
      <c r="E349" s="1" t="s">
        <v>942</v>
      </c>
      <c r="F349" s="1" t="s">
        <v>112</v>
      </c>
      <c r="G349" s="1">
        <v>4167367</v>
      </c>
    </row>
    <row r="350" spans="1:7" x14ac:dyDescent="0.25">
      <c r="A350" s="1" t="str">
        <f t="shared" si="5"/>
        <v>7</v>
      </c>
      <c r="B3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50" s="1" t="s">
        <v>943</v>
      </c>
      <c r="D350" s="1" t="s">
        <v>944</v>
      </c>
      <c r="E350" s="1" t="s">
        <v>945</v>
      </c>
      <c r="F350" s="1" t="s">
        <v>112</v>
      </c>
      <c r="G350" s="1">
        <v>4842371</v>
      </c>
    </row>
    <row r="351" spans="1:7" x14ac:dyDescent="0.25">
      <c r="A351" s="1" t="str">
        <f t="shared" si="5"/>
        <v>7</v>
      </c>
      <c r="B3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51" s="1" t="s">
        <v>946</v>
      </c>
      <c r="D351" s="1" t="s">
        <v>947</v>
      </c>
      <c r="E351" s="1" t="s">
        <v>948</v>
      </c>
      <c r="F351" s="1" t="s">
        <v>112</v>
      </c>
      <c r="G351" s="1">
        <v>5420992</v>
      </c>
    </row>
    <row r="352" spans="1:7" x14ac:dyDescent="0.25">
      <c r="A352" s="1" t="str">
        <f t="shared" si="5"/>
        <v>7</v>
      </c>
      <c r="B3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52" s="1" t="s">
        <v>949</v>
      </c>
      <c r="D352" s="1" t="s">
        <v>950</v>
      </c>
      <c r="E352" s="1" t="s">
        <v>951</v>
      </c>
      <c r="F352" s="1" t="s">
        <v>112</v>
      </c>
      <c r="G352" s="1">
        <v>5413011</v>
      </c>
    </row>
    <row r="353" spans="1:10" x14ac:dyDescent="0.25">
      <c r="A353" s="1" t="str">
        <f t="shared" si="5"/>
        <v>7</v>
      </c>
      <c r="B3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53" s="1" t="s">
        <v>952</v>
      </c>
      <c r="D353" s="1" t="s">
        <v>953</v>
      </c>
      <c r="E353" s="1" t="s">
        <v>954</v>
      </c>
      <c r="F353" s="1" t="s">
        <v>112</v>
      </c>
      <c r="G353" s="1">
        <v>4176906</v>
      </c>
    </row>
    <row r="354" spans="1:10" x14ac:dyDescent="0.25">
      <c r="A354" s="1" t="str">
        <f t="shared" si="5"/>
        <v>7</v>
      </c>
      <c r="B3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54" s="1" t="s">
        <v>955</v>
      </c>
      <c r="D354" s="1" t="s">
        <v>416</v>
      </c>
      <c r="E354" s="1" t="s">
        <v>956</v>
      </c>
      <c r="F354" s="1" t="s">
        <v>112</v>
      </c>
      <c r="G354" s="1">
        <v>3917953</v>
      </c>
    </row>
    <row r="355" spans="1:10" x14ac:dyDescent="0.25">
      <c r="A355" s="1" t="str">
        <f t="shared" si="5"/>
        <v>7</v>
      </c>
      <c r="B3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55" s="1" t="s">
        <v>957</v>
      </c>
      <c r="D355" s="1" t="s">
        <v>958</v>
      </c>
      <c r="E355" s="1" t="s">
        <v>959</v>
      </c>
      <c r="F355" s="1" t="s">
        <v>112</v>
      </c>
      <c r="G355" s="1">
        <v>3642063</v>
      </c>
    </row>
    <row r="356" spans="1:10" x14ac:dyDescent="0.25">
      <c r="A356" s="1" t="str">
        <f t="shared" si="5"/>
        <v/>
      </c>
      <c r="B3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56" s="1" t="s">
        <v>112</v>
      </c>
    </row>
    <row r="357" spans="1:10" x14ac:dyDescent="0.25">
      <c r="A357" s="1" t="str">
        <f t="shared" si="5"/>
        <v/>
      </c>
      <c r="B3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57" s="1" t="s">
        <v>237</v>
      </c>
      <c r="D357" s="1" t="s">
        <v>112</v>
      </c>
      <c r="E357" s="1" t="s">
        <v>238</v>
      </c>
      <c r="F357" s="1" t="s">
        <v>239</v>
      </c>
      <c r="G357" s="1" t="s">
        <v>240</v>
      </c>
      <c r="H357" s="1" t="s">
        <v>241</v>
      </c>
      <c r="I357" s="1" t="s">
        <v>242</v>
      </c>
      <c r="J357" s="1" t="s">
        <v>243</v>
      </c>
    </row>
    <row r="358" spans="1:10" x14ac:dyDescent="0.25">
      <c r="A358" s="1" t="str">
        <f t="shared" si="5"/>
        <v>7</v>
      </c>
      <c r="B35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358" s="1" t="s">
        <v>960</v>
      </c>
      <c r="D358" s="1" t="s">
        <v>112</v>
      </c>
      <c r="E358" s="1" t="s">
        <v>961</v>
      </c>
      <c r="F358" s="1" t="s">
        <v>962</v>
      </c>
      <c r="G358" s="1" t="s">
        <v>963</v>
      </c>
      <c r="H358" s="1" t="s">
        <v>964</v>
      </c>
      <c r="I358" s="1">
        <v>24</v>
      </c>
      <c r="J358" s="1">
        <v>24</v>
      </c>
    </row>
    <row r="359" spans="1:10" x14ac:dyDescent="0.25">
      <c r="A359" s="1" t="str">
        <f t="shared" si="5"/>
        <v/>
      </c>
      <c r="B3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59" s="1" t="s">
        <v>112</v>
      </c>
    </row>
    <row r="360" spans="1:10" x14ac:dyDescent="0.25">
      <c r="A360" s="1" t="str">
        <f t="shared" si="5"/>
        <v/>
      </c>
      <c r="B3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0" s="1" t="s">
        <v>112</v>
      </c>
    </row>
    <row r="361" spans="1:10" x14ac:dyDescent="0.25">
      <c r="A361" s="1" t="str">
        <f t="shared" si="5"/>
        <v/>
      </c>
      <c r="B3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1" s="1" t="s">
        <v>112</v>
      </c>
    </row>
    <row r="362" spans="1:10" x14ac:dyDescent="0.25">
      <c r="A362" s="1" t="str">
        <f t="shared" si="5"/>
        <v/>
      </c>
      <c r="B3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2" s="1" t="s">
        <v>112</v>
      </c>
    </row>
    <row r="363" spans="1:10" x14ac:dyDescent="0.25">
      <c r="A363" s="1" t="str">
        <f t="shared" si="5"/>
        <v/>
      </c>
      <c r="B3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3" s="1" t="s">
        <v>112</v>
      </c>
    </row>
    <row r="364" spans="1:10" x14ac:dyDescent="0.25">
      <c r="A364" s="1" t="str">
        <f t="shared" si="5"/>
        <v/>
      </c>
      <c r="B3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4" s="1" t="s">
        <v>249</v>
      </c>
      <c r="D364" s="1" t="s">
        <v>110</v>
      </c>
      <c r="E364" s="1" t="s">
        <v>111</v>
      </c>
      <c r="F364" s="1" t="s">
        <v>112</v>
      </c>
      <c r="G364" s="1" t="s">
        <v>113</v>
      </c>
    </row>
    <row r="365" spans="1:10" x14ac:dyDescent="0.25">
      <c r="A365" s="1" t="str">
        <f t="shared" si="5"/>
        <v>10</v>
      </c>
      <c r="B3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5" s="1" t="s">
        <v>965</v>
      </c>
      <c r="D365" s="1" t="s">
        <v>966</v>
      </c>
      <c r="E365" s="1" t="s">
        <v>967</v>
      </c>
      <c r="F365" s="1" t="s">
        <v>112</v>
      </c>
      <c r="G365" s="1">
        <v>428056</v>
      </c>
    </row>
    <row r="366" spans="1:10" x14ac:dyDescent="0.25">
      <c r="A366" s="1" t="str">
        <f t="shared" si="5"/>
        <v>10</v>
      </c>
      <c r="B3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6" s="1" t="s">
        <v>968</v>
      </c>
      <c r="D366" s="1" t="s">
        <v>969</v>
      </c>
      <c r="E366" s="1" t="s">
        <v>970</v>
      </c>
      <c r="F366" s="1" t="s">
        <v>112</v>
      </c>
      <c r="G366" s="1">
        <v>654326</v>
      </c>
    </row>
    <row r="367" spans="1:10" x14ac:dyDescent="0.25">
      <c r="A367" s="1" t="str">
        <f t="shared" si="5"/>
        <v>10</v>
      </c>
      <c r="B3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7" s="1" t="s">
        <v>971</v>
      </c>
      <c r="D367" s="1" t="s">
        <v>972</v>
      </c>
      <c r="E367" s="1" t="s">
        <v>973</v>
      </c>
      <c r="F367" s="1" t="s">
        <v>112</v>
      </c>
      <c r="G367" s="1">
        <v>510703</v>
      </c>
    </row>
    <row r="368" spans="1:10" x14ac:dyDescent="0.25">
      <c r="A368" s="1" t="str">
        <f t="shared" si="5"/>
        <v>10</v>
      </c>
      <c r="B3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68" s="1" t="s">
        <v>974</v>
      </c>
      <c r="D368" s="1" t="s">
        <v>975</v>
      </c>
      <c r="E368" s="1" t="s">
        <v>976</v>
      </c>
      <c r="F368" s="1" t="s">
        <v>112</v>
      </c>
      <c r="G368" s="1">
        <v>2000051</v>
      </c>
    </row>
    <row r="369" spans="1:7" x14ac:dyDescent="0.25">
      <c r="A369" s="1" t="str">
        <f t="shared" si="5"/>
        <v>10</v>
      </c>
      <c r="B3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69" s="1" t="s">
        <v>977</v>
      </c>
      <c r="D369" s="1" t="s">
        <v>978</v>
      </c>
      <c r="E369" s="1" t="s">
        <v>979</v>
      </c>
      <c r="F369" s="1" t="s">
        <v>112</v>
      </c>
      <c r="G369" s="1">
        <v>2765166</v>
      </c>
    </row>
    <row r="370" spans="1:7" x14ac:dyDescent="0.25">
      <c r="A370" s="1" t="str">
        <f t="shared" si="5"/>
        <v>10</v>
      </c>
      <c r="B3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70" s="1" t="s">
        <v>980</v>
      </c>
      <c r="D370" s="1" t="s">
        <v>981</v>
      </c>
      <c r="E370" s="1" t="s">
        <v>982</v>
      </c>
      <c r="F370" s="1" t="s">
        <v>112</v>
      </c>
      <c r="G370" s="1">
        <v>2786471</v>
      </c>
    </row>
    <row r="371" spans="1:7" x14ac:dyDescent="0.25">
      <c r="A371" s="1" t="str">
        <f t="shared" si="5"/>
        <v>10</v>
      </c>
      <c r="B3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71" s="1" t="s">
        <v>983</v>
      </c>
      <c r="D371" s="1" t="s">
        <v>984</v>
      </c>
      <c r="E371" s="1" t="s">
        <v>985</v>
      </c>
      <c r="F371" s="1" t="s">
        <v>112</v>
      </c>
      <c r="G371" s="1">
        <v>2102967</v>
      </c>
    </row>
    <row r="372" spans="1:7" x14ac:dyDescent="0.25">
      <c r="A372" s="1" t="str">
        <f t="shared" si="5"/>
        <v>10</v>
      </c>
      <c r="B3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72" s="1" t="s">
        <v>986</v>
      </c>
      <c r="D372" s="1" t="s">
        <v>987</v>
      </c>
      <c r="E372" s="1" t="s">
        <v>988</v>
      </c>
      <c r="F372" s="1" t="s">
        <v>112</v>
      </c>
      <c r="G372" s="1">
        <v>1963367</v>
      </c>
    </row>
    <row r="373" spans="1:7" x14ac:dyDescent="0.25">
      <c r="A373" s="1" t="str">
        <f t="shared" si="5"/>
        <v>10</v>
      </c>
      <c r="B3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73" s="1" t="s">
        <v>989</v>
      </c>
      <c r="D373" s="1" t="s">
        <v>990</v>
      </c>
      <c r="E373" s="1" t="s">
        <v>991</v>
      </c>
      <c r="F373" s="1" t="s">
        <v>112</v>
      </c>
      <c r="G373" s="1">
        <v>1990426</v>
      </c>
    </row>
    <row r="374" spans="1:7" x14ac:dyDescent="0.25">
      <c r="A374" s="1" t="str">
        <f t="shared" si="5"/>
        <v>10</v>
      </c>
      <c r="B3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74" s="1" t="s">
        <v>992</v>
      </c>
      <c r="D374" s="1" t="s">
        <v>993</v>
      </c>
      <c r="E374" s="1" t="s">
        <v>994</v>
      </c>
      <c r="F374" s="1" t="s">
        <v>112</v>
      </c>
      <c r="G374" s="1">
        <v>2442037</v>
      </c>
    </row>
    <row r="375" spans="1:7" x14ac:dyDescent="0.25">
      <c r="A375" s="1" t="str">
        <f t="shared" si="5"/>
        <v>10</v>
      </c>
      <c r="B3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75" s="1" t="s">
        <v>995</v>
      </c>
      <c r="D375" s="1" t="s">
        <v>996</v>
      </c>
      <c r="E375" s="1" t="s">
        <v>997</v>
      </c>
      <c r="F375" s="1" t="s">
        <v>112</v>
      </c>
      <c r="G375" s="1">
        <v>2929921</v>
      </c>
    </row>
    <row r="376" spans="1:7" x14ac:dyDescent="0.25">
      <c r="A376" s="1" t="str">
        <f t="shared" si="5"/>
        <v>10</v>
      </c>
      <c r="B3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76" s="1" t="s">
        <v>998</v>
      </c>
      <c r="D376" s="1" t="s">
        <v>999</v>
      </c>
      <c r="E376" s="1" t="s">
        <v>1000</v>
      </c>
      <c r="F376" s="1" t="s">
        <v>112</v>
      </c>
      <c r="G376" s="1">
        <v>2434812</v>
      </c>
    </row>
    <row r="377" spans="1:7" x14ac:dyDescent="0.25">
      <c r="A377" s="1" t="str">
        <f t="shared" si="5"/>
        <v>10</v>
      </c>
      <c r="B3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77" s="1" t="s">
        <v>1001</v>
      </c>
      <c r="D377" s="1" t="s">
        <v>1002</v>
      </c>
      <c r="E377" s="1" t="s">
        <v>1003</v>
      </c>
      <c r="F377" s="1" t="s">
        <v>112</v>
      </c>
      <c r="G377" s="1">
        <v>41486</v>
      </c>
    </row>
    <row r="378" spans="1:7" x14ac:dyDescent="0.25">
      <c r="A378" s="1" t="str">
        <f t="shared" si="5"/>
        <v>10</v>
      </c>
      <c r="B3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78" s="1" t="s">
        <v>1004</v>
      </c>
      <c r="D378" s="1" t="s">
        <v>1005</v>
      </c>
      <c r="E378" s="1" t="s">
        <v>1006</v>
      </c>
      <c r="F378" s="1" t="s">
        <v>112</v>
      </c>
      <c r="G378" s="1">
        <v>107198</v>
      </c>
    </row>
    <row r="379" spans="1:7" x14ac:dyDescent="0.25">
      <c r="A379" s="1" t="str">
        <f t="shared" si="5"/>
        <v>10</v>
      </c>
      <c r="B3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79" s="1" t="s">
        <v>1007</v>
      </c>
      <c r="D379" s="1" t="s">
        <v>232</v>
      </c>
      <c r="E379" s="1" t="s">
        <v>1008</v>
      </c>
      <c r="F379" s="1" t="s">
        <v>112</v>
      </c>
      <c r="G379" s="1">
        <v>122014</v>
      </c>
    </row>
    <row r="380" spans="1:7" x14ac:dyDescent="0.25">
      <c r="A380" s="1" t="str">
        <f t="shared" si="5"/>
        <v>10</v>
      </c>
      <c r="B3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80" s="1" t="s">
        <v>1009</v>
      </c>
      <c r="D380" s="1" t="s">
        <v>1010</v>
      </c>
      <c r="E380" s="1" t="s">
        <v>1011</v>
      </c>
      <c r="F380" s="1" t="s">
        <v>112</v>
      </c>
      <c r="G380" s="1">
        <v>596769</v>
      </c>
    </row>
    <row r="381" spans="1:7" x14ac:dyDescent="0.25">
      <c r="A381" s="1" t="str">
        <f t="shared" si="5"/>
        <v>10</v>
      </c>
      <c r="B3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81" s="1" t="s">
        <v>1012</v>
      </c>
    </row>
    <row r="382" spans="1:7" x14ac:dyDescent="0.25">
      <c r="A382" s="1" t="str">
        <f t="shared" si="5"/>
        <v>10</v>
      </c>
      <c r="B3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82" s="1" t="s">
        <v>1013</v>
      </c>
      <c r="D382" s="1" t="s">
        <v>1014</v>
      </c>
      <c r="E382" s="1" t="s">
        <v>1015</v>
      </c>
      <c r="F382" s="1" t="s">
        <v>112</v>
      </c>
      <c r="G382" s="1">
        <v>680758</v>
      </c>
    </row>
    <row r="383" spans="1:7" x14ac:dyDescent="0.25">
      <c r="A383" s="1" t="str">
        <f t="shared" si="5"/>
        <v>10</v>
      </c>
      <c r="B3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83" s="1" t="s">
        <v>1016</v>
      </c>
      <c r="D383" s="1" t="s">
        <v>1017</v>
      </c>
      <c r="E383" s="1" t="s">
        <v>1018</v>
      </c>
      <c r="F383" s="1" t="s">
        <v>112</v>
      </c>
      <c r="G383" s="1">
        <v>731891</v>
      </c>
    </row>
    <row r="384" spans="1:7" x14ac:dyDescent="0.25">
      <c r="A384" s="1" t="str">
        <f t="shared" si="5"/>
        <v>10</v>
      </c>
      <c r="B3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84" s="1" t="s">
        <v>1019</v>
      </c>
      <c r="D384" s="1" t="s">
        <v>1020</v>
      </c>
      <c r="E384" s="1" t="s">
        <v>1021</v>
      </c>
      <c r="F384" s="1" t="s">
        <v>112</v>
      </c>
      <c r="G384" s="1">
        <v>901512</v>
      </c>
    </row>
    <row r="385" spans="1:10" x14ac:dyDescent="0.25">
      <c r="A385" s="1" t="str">
        <f t="shared" si="5"/>
        <v>10</v>
      </c>
      <c r="B3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85" s="1" t="s">
        <v>1022</v>
      </c>
      <c r="D385" s="1" t="s">
        <v>1023</v>
      </c>
      <c r="E385" s="1" t="s">
        <v>1024</v>
      </c>
      <c r="F385" s="1" t="s">
        <v>112</v>
      </c>
      <c r="G385" s="1">
        <v>1156183</v>
      </c>
    </row>
    <row r="386" spans="1:10" x14ac:dyDescent="0.25">
      <c r="A386" s="1" t="str">
        <f t="shared" ref="A386:A449" si="6">IFERROR(LEFT(RIGHT(C386,LEN(C386)-SEARCH("@",C386)),SEARCH("/",RIGHT(C386,LEN(C386)-SEARCH("@",C386)-1))),"")</f>
        <v>10</v>
      </c>
      <c r="B3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86" s="1" t="s">
        <v>1025</v>
      </c>
      <c r="D386" s="1" t="s">
        <v>645</v>
      </c>
      <c r="E386" s="1" t="s">
        <v>1026</v>
      </c>
      <c r="F386" s="1" t="s">
        <v>112</v>
      </c>
      <c r="G386" s="1">
        <v>169384</v>
      </c>
    </row>
    <row r="387" spans="1:10" x14ac:dyDescent="0.25">
      <c r="A387" s="1" t="str">
        <f t="shared" si="6"/>
        <v>10</v>
      </c>
      <c r="B3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87" s="1" t="s">
        <v>1027</v>
      </c>
      <c r="D387" s="1" t="s">
        <v>1028</v>
      </c>
      <c r="E387" s="1" t="s">
        <v>1029</v>
      </c>
      <c r="F387" s="1" t="s">
        <v>112</v>
      </c>
      <c r="G387" s="1">
        <v>393989</v>
      </c>
    </row>
    <row r="388" spans="1:10" x14ac:dyDescent="0.25">
      <c r="A388" s="1" t="str">
        <f t="shared" si="6"/>
        <v>10</v>
      </c>
      <c r="B3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88" s="1" t="s">
        <v>1030</v>
      </c>
      <c r="D388" s="1" t="s">
        <v>1031</v>
      </c>
      <c r="E388" s="1" t="s">
        <v>1032</v>
      </c>
      <c r="F388" s="1" t="s">
        <v>112</v>
      </c>
      <c r="G388" s="1">
        <v>144834</v>
      </c>
    </row>
    <row r="389" spans="1:10" x14ac:dyDescent="0.25">
      <c r="A389" s="1" t="str">
        <f t="shared" si="6"/>
        <v/>
      </c>
      <c r="B3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89" s="1" t="s">
        <v>112</v>
      </c>
    </row>
    <row r="390" spans="1:10" x14ac:dyDescent="0.25">
      <c r="A390" s="1" t="str">
        <f t="shared" si="6"/>
        <v/>
      </c>
      <c r="B3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0" s="1" t="s">
        <v>237</v>
      </c>
      <c r="D390" s="1" t="s">
        <v>112</v>
      </c>
      <c r="E390" s="1" t="s">
        <v>238</v>
      </c>
      <c r="F390" s="1" t="s">
        <v>239</v>
      </c>
      <c r="G390" s="1" t="s">
        <v>240</v>
      </c>
      <c r="H390" s="1" t="s">
        <v>241</v>
      </c>
      <c r="I390" s="1" t="s">
        <v>242</v>
      </c>
      <c r="J390" s="1" t="s">
        <v>243</v>
      </c>
    </row>
    <row r="391" spans="1:10" x14ac:dyDescent="0.25">
      <c r="A391" s="1" t="str">
        <f t="shared" si="6"/>
        <v>10</v>
      </c>
      <c r="B39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391" s="1" t="s">
        <v>1033</v>
      </c>
      <c r="D391" s="1" t="s">
        <v>112</v>
      </c>
      <c r="E391" s="1" t="s">
        <v>1034</v>
      </c>
      <c r="F391" s="1" t="s">
        <v>1035</v>
      </c>
      <c r="G391" s="1" t="s">
        <v>1036</v>
      </c>
      <c r="H391" s="1" t="s">
        <v>1037</v>
      </c>
      <c r="I391" s="1">
        <v>24</v>
      </c>
      <c r="J391" s="1">
        <v>24</v>
      </c>
    </row>
    <row r="392" spans="1:10" x14ac:dyDescent="0.25">
      <c r="A392" s="1" t="str">
        <f t="shared" si="6"/>
        <v/>
      </c>
      <c r="B3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2" s="1" t="s">
        <v>112</v>
      </c>
    </row>
    <row r="393" spans="1:10" x14ac:dyDescent="0.25">
      <c r="A393" s="1" t="str">
        <f t="shared" si="6"/>
        <v/>
      </c>
      <c r="B3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3" s="1" t="s">
        <v>112</v>
      </c>
    </row>
    <row r="394" spans="1:10" x14ac:dyDescent="0.25">
      <c r="A394" s="1" t="str">
        <f t="shared" si="6"/>
        <v/>
      </c>
      <c r="B3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4" s="1" t="s">
        <v>112</v>
      </c>
    </row>
    <row r="395" spans="1:10" x14ac:dyDescent="0.25">
      <c r="A395" s="1" t="str">
        <f t="shared" si="6"/>
        <v/>
      </c>
      <c r="B3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5" s="1" t="s">
        <v>112</v>
      </c>
    </row>
    <row r="396" spans="1:10" x14ac:dyDescent="0.25">
      <c r="A396" s="1" t="str">
        <f t="shared" si="6"/>
        <v/>
      </c>
      <c r="B3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6" s="1" t="s">
        <v>112</v>
      </c>
    </row>
    <row r="397" spans="1:10" x14ac:dyDescent="0.25">
      <c r="A397" s="1" t="str">
        <f t="shared" si="6"/>
        <v/>
      </c>
      <c r="B3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7" s="1" t="s">
        <v>249</v>
      </c>
      <c r="D397" s="1" t="s">
        <v>110</v>
      </c>
      <c r="E397" s="1" t="s">
        <v>111</v>
      </c>
      <c r="F397" s="1" t="s">
        <v>112</v>
      </c>
      <c r="G397" s="1" t="s">
        <v>113</v>
      </c>
    </row>
    <row r="398" spans="1:10" x14ac:dyDescent="0.25">
      <c r="A398" s="1" t="str">
        <f t="shared" si="6"/>
        <v>11</v>
      </c>
      <c r="B39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98" s="1" t="s">
        <v>1038</v>
      </c>
      <c r="D398" s="1" t="s">
        <v>1039</v>
      </c>
      <c r="E398" s="1" t="s">
        <v>1040</v>
      </c>
      <c r="F398" s="1" t="s">
        <v>112</v>
      </c>
      <c r="G398" s="1">
        <v>2515600</v>
      </c>
    </row>
    <row r="399" spans="1:10" x14ac:dyDescent="0.25">
      <c r="A399" s="1" t="str">
        <f t="shared" si="6"/>
        <v>11</v>
      </c>
      <c r="B3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99" s="1" t="s">
        <v>1041</v>
      </c>
      <c r="D399" s="1" t="s">
        <v>1042</v>
      </c>
      <c r="E399" s="1" t="s">
        <v>1043</v>
      </c>
      <c r="F399" s="1" t="s">
        <v>112</v>
      </c>
      <c r="G399" s="1">
        <v>2628422</v>
      </c>
    </row>
    <row r="400" spans="1:10" x14ac:dyDescent="0.25">
      <c r="A400" s="1" t="str">
        <f t="shared" si="6"/>
        <v>11</v>
      </c>
      <c r="B4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00" s="1" t="s">
        <v>1044</v>
      </c>
      <c r="D400" s="1" t="s">
        <v>1039</v>
      </c>
      <c r="E400" s="1" t="s">
        <v>1045</v>
      </c>
      <c r="F400" s="1" t="s">
        <v>112</v>
      </c>
      <c r="G400" s="1">
        <v>2761078</v>
      </c>
    </row>
    <row r="401" spans="1:7" x14ac:dyDescent="0.25">
      <c r="A401" s="1" t="str">
        <f t="shared" si="6"/>
        <v>11</v>
      </c>
      <c r="B4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1" s="1" t="s">
        <v>1046</v>
      </c>
      <c r="D401" s="1" t="s">
        <v>1047</v>
      </c>
      <c r="E401" s="1" t="s">
        <v>1048</v>
      </c>
      <c r="F401" s="1" t="s">
        <v>112</v>
      </c>
      <c r="G401" s="1">
        <v>1923806</v>
      </c>
    </row>
    <row r="402" spans="1:7" x14ac:dyDescent="0.25">
      <c r="A402" s="1" t="str">
        <f t="shared" si="6"/>
        <v>11</v>
      </c>
      <c r="B4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2" s="1" t="s">
        <v>1049</v>
      </c>
      <c r="D402" s="1" t="s">
        <v>1050</v>
      </c>
      <c r="E402" s="1" t="s">
        <v>1051</v>
      </c>
      <c r="F402" s="1" t="s">
        <v>112</v>
      </c>
      <c r="G402" s="1">
        <v>1931961</v>
      </c>
    </row>
    <row r="403" spans="1:7" x14ac:dyDescent="0.25">
      <c r="A403" s="1" t="str">
        <f t="shared" si="6"/>
        <v>11</v>
      </c>
      <c r="B4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3" s="1" t="s">
        <v>1052</v>
      </c>
      <c r="D403" s="1" t="s">
        <v>1053</v>
      </c>
      <c r="E403" s="1" t="s">
        <v>1054</v>
      </c>
      <c r="F403" s="1" t="s">
        <v>112</v>
      </c>
      <c r="G403" s="1">
        <v>2247022</v>
      </c>
    </row>
    <row r="404" spans="1:7" x14ac:dyDescent="0.25">
      <c r="A404" s="1" t="str">
        <f t="shared" si="6"/>
        <v>11</v>
      </c>
      <c r="B4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04" s="1" t="s">
        <v>1055</v>
      </c>
      <c r="D404" s="1" t="s">
        <v>1056</v>
      </c>
      <c r="E404" s="1" t="s">
        <v>1057</v>
      </c>
      <c r="F404" s="1" t="s">
        <v>112</v>
      </c>
      <c r="G404" s="1">
        <v>2455685</v>
      </c>
    </row>
    <row r="405" spans="1:7" x14ac:dyDescent="0.25">
      <c r="A405" s="1" t="str">
        <f t="shared" si="6"/>
        <v>11</v>
      </c>
      <c r="B4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05" s="1" t="s">
        <v>1058</v>
      </c>
      <c r="D405" s="1" t="s">
        <v>1059</v>
      </c>
      <c r="E405" s="1" t="s">
        <v>1060</v>
      </c>
      <c r="F405" s="1" t="s">
        <v>112</v>
      </c>
      <c r="G405" s="1">
        <v>2440241</v>
      </c>
    </row>
    <row r="406" spans="1:7" x14ac:dyDescent="0.25">
      <c r="A406" s="1" t="str">
        <f t="shared" si="6"/>
        <v>11</v>
      </c>
      <c r="B4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06" s="1" t="s">
        <v>1061</v>
      </c>
      <c r="D406" s="1" t="s">
        <v>1062</v>
      </c>
      <c r="E406" s="1" t="s">
        <v>1063</v>
      </c>
      <c r="F406" s="1" t="s">
        <v>112</v>
      </c>
      <c r="G406" s="1">
        <v>2253511</v>
      </c>
    </row>
    <row r="407" spans="1:7" x14ac:dyDescent="0.25">
      <c r="A407" s="1" t="str">
        <f t="shared" si="6"/>
        <v>11</v>
      </c>
      <c r="B4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07" s="1" t="s">
        <v>1064</v>
      </c>
      <c r="D407" s="1" t="s">
        <v>1065</v>
      </c>
      <c r="E407" s="1" t="s">
        <v>1066</v>
      </c>
      <c r="F407" s="1" t="s">
        <v>112</v>
      </c>
      <c r="G407" s="1">
        <v>121582</v>
      </c>
    </row>
    <row r="408" spans="1:7" x14ac:dyDescent="0.25">
      <c r="A408" s="1" t="str">
        <f t="shared" si="6"/>
        <v>11</v>
      </c>
      <c r="B4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08" s="1" t="s">
        <v>1067</v>
      </c>
      <c r="D408" s="1" t="s">
        <v>1068</v>
      </c>
      <c r="E408" s="1" t="s">
        <v>1069</v>
      </c>
      <c r="F408" s="1" t="s">
        <v>112</v>
      </c>
      <c r="G408" s="1">
        <v>277317</v>
      </c>
    </row>
    <row r="409" spans="1:7" x14ac:dyDescent="0.25">
      <c r="A409" s="1" t="str">
        <f t="shared" si="6"/>
        <v>11</v>
      </c>
      <c r="B4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09" s="1" t="s">
        <v>1070</v>
      </c>
      <c r="D409" s="1" t="s">
        <v>1071</v>
      </c>
      <c r="E409" s="1" t="s">
        <v>1072</v>
      </c>
      <c r="F409" s="1" t="s">
        <v>112</v>
      </c>
      <c r="G409" s="1">
        <v>351269</v>
      </c>
    </row>
    <row r="410" spans="1:7" x14ac:dyDescent="0.25">
      <c r="A410" s="1" t="str">
        <f t="shared" si="6"/>
        <v>11</v>
      </c>
      <c r="B4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10" s="1" t="s">
        <v>1073</v>
      </c>
      <c r="D410" s="1" t="s">
        <v>1074</v>
      </c>
      <c r="E410" s="1" t="s">
        <v>1075</v>
      </c>
      <c r="F410" s="1" t="s">
        <v>112</v>
      </c>
      <c r="G410" s="1">
        <v>3057559</v>
      </c>
    </row>
    <row r="411" spans="1:7" x14ac:dyDescent="0.25">
      <c r="A411" s="1" t="str">
        <f t="shared" si="6"/>
        <v>11</v>
      </c>
      <c r="B4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11" s="1" t="s">
        <v>1076</v>
      </c>
      <c r="D411" s="1" t="s">
        <v>1077</v>
      </c>
      <c r="E411" s="1" t="s">
        <v>1078</v>
      </c>
      <c r="F411" s="1" t="s">
        <v>112</v>
      </c>
      <c r="G411" s="1">
        <v>3101792</v>
      </c>
    </row>
    <row r="412" spans="1:7" x14ac:dyDescent="0.25">
      <c r="A412" s="1" t="str">
        <f t="shared" si="6"/>
        <v>11</v>
      </c>
      <c r="B4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12" s="1" t="s">
        <v>1079</v>
      </c>
      <c r="D412" s="1" t="s">
        <v>1080</v>
      </c>
      <c r="E412" s="1" t="s">
        <v>1081</v>
      </c>
      <c r="F412" s="1" t="s">
        <v>112</v>
      </c>
      <c r="G412" s="1">
        <v>2864425</v>
      </c>
    </row>
    <row r="413" spans="1:7" x14ac:dyDescent="0.25">
      <c r="A413" s="1" t="str">
        <f t="shared" si="6"/>
        <v>11</v>
      </c>
      <c r="B4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13" s="1" t="s">
        <v>1082</v>
      </c>
      <c r="D413" s="1" t="s">
        <v>1083</v>
      </c>
      <c r="E413" s="1" t="s">
        <v>1084</v>
      </c>
      <c r="F413" s="1" t="s">
        <v>112</v>
      </c>
      <c r="G413" s="1">
        <v>239400</v>
      </c>
    </row>
    <row r="414" spans="1:7" x14ac:dyDescent="0.25">
      <c r="A414" s="1" t="str">
        <f t="shared" si="6"/>
        <v>11</v>
      </c>
      <c r="B4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14" s="1" t="s">
        <v>1085</v>
      </c>
      <c r="D414" s="1" t="s">
        <v>490</v>
      </c>
      <c r="E414" s="1" t="s">
        <v>1086</v>
      </c>
      <c r="F414" s="1" t="s">
        <v>112</v>
      </c>
      <c r="G414" s="1">
        <v>126751</v>
      </c>
    </row>
    <row r="415" spans="1:7" x14ac:dyDescent="0.25">
      <c r="A415" s="1" t="str">
        <f t="shared" si="6"/>
        <v>11</v>
      </c>
      <c r="B4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15" s="1" t="s">
        <v>1087</v>
      </c>
      <c r="D415" s="1" t="s">
        <v>1088</v>
      </c>
      <c r="E415" s="1" t="s">
        <v>1089</v>
      </c>
      <c r="F415" s="1" t="s">
        <v>112</v>
      </c>
      <c r="G415" s="1">
        <v>72785</v>
      </c>
    </row>
    <row r="416" spans="1:7" x14ac:dyDescent="0.25">
      <c r="A416" s="1" t="str">
        <f t="shared" si="6"/>
        <v>11</v>
      </c>
      <c r="B4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16" s="1" t="s">
        <v>1090</v>
      </c>
      <c r="D416" s="1" t="s">
        <v>1091</v>
      </c>
      <c r="E416" s="1" t="s">
        <v>1092</v>
      </c>
      <c r="F416" s="1" t="s">
        <v>112</v>
      </c>
      <c r="G416" s="1">
        <v>1516840</v>
      </c>
    </row>
    <row r="417" spans="1:10" x14ac:dyDescent="0.25">
      <c r="A417" s="1" t="str">
        <f t="shared" si="6"/>
        <v>11</v>
      </c>
      <c r="B4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17" s="1" t="s">
        <v>1093</v>
      </c>
      <c r="D417" s="1" t="s">
        <v>1094</v>
      </c>
      <c r="E417" s="1" t="s">
        <v>1095</v>
      </c>
      <c r="F417" s="1" t="s">
        <v>112</v>
      </c>
      <c r="G417" s="1">
        <v>1569141</v>
      </c>
    </row>
    <row r="418" spans="1:10" x14ac:dyDescent="0.25">
      <c r="A418" s="1" t="str">
        <f t="shared" si="6"/>
        <v>11</v>
      </c>
      <c r="B4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18" s="1" t="s">
        <v>1096</v>
      </c>
      <c r="D418" s="1" t="s">
        <v>1097</v>
      </c>
      <c r="E418" s="1" t="s">
        <v>1098</v>
      </c>
      <c r="F418" s="1" t="s">
        <v>112</v>
      </c>
      <c r="G418" s="1">
        <v>1211966</v>
      </c>
    </row>
    <row r="419" spans="1:10" x14ac:dyDescent="0.25">
      <c r="A419" s="1" t="str">
        <f t="shared" si="6"/>
        <v>11</v>
      </c>
      <c r="B4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19" s="1" t="s">
        <v>1099</v>
      </c>
    </row>
    <row r="420" spans="1:10" x14ac:dyDescent="0.25">
      <c r="A420" s="1" t="str">
        <f t="shared" si="6"/>
        <v>11</v>
      </c>
      <c r="B4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20" s="1" t="s">
        <v>1100</v>
      </c>
      <c r="D420" s="1" t="s">
        <v>1101</v>
      </c>
      <c r="E420" s="1" t="s">
        <v>1102</v>
      </c>
      <c r="F420" s="1" t="s">
        <v>112</v>
      </c>
      <c r="G420" s="1">
        <v>258607</v>
      </c>
    </row>
    <row r="421" spans="1:10" x14ac:dyDescent="0.25">
      <c r="A421" s="1" t="str">
        <f t="shared" si="6"/>
        <v>11</v>
      </c>
      <c r="B4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21" s="1" t="s">
        <v>1103</v>
      </c>
      <c r="D421" s="1" t="s">
        <v>1104</v>
      </c>
      <c r="E421" s="1" t="s">
        <v>1105</v>
      </c>
      <c r="F421" s="1" t="s">
        <v>112</v>
      </c>
      <c r="G421" s="1">
        <v>381811</v>
      </c>
    </row>
    <row r="422" spans="1:10" x14ac:dyDescent="0.25">
      <c r="A422" s="1" t="str">
        <f t="shared" si="6"/>
        <v/>
      </c>
      <c r="B4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2" s="1" t="s">
        <v>112</v>
      </c>
    </row>
    <row r="423" spans="1:10" x14ac:dyDescent="0.25">
      <c r="A423" s="1" t="str">
        <f t="shared" si="6"/>
        <v/>
      </c>
      <c r="B4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3" s="1" t="s">
        <v>237</v>
      </c>
      <c r="D423" s="1" t="s">
        <v>112</v>
      </c>
      <c r="E423" s="1" t="s">
        <v>238</v>
      </c>
      <c r="F423" s="1" t="s">
        <v>239</v>
      </c>
      <c r="G423" s="1" t="s">
        <v>240</v>
      </c>
      <c r="H423" s="1" t="s">
        <v>241</v>
      </c>
      <c r="I423" s="1" t="s">
        <v>242</v>
      </c>
      <c r="J423" s="1" t="s">
        <v>243</v>
      </c>
    </row>
    <row r="424" spans="1:10" x14ac:dyDescent="0.25">
      <c r="A424" s="1" t="str">
        <f t="shared" si="6"/>
        <v>11</v>
      </c>
      <c r="B4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424" s="1" t="s">
        <v>1106</v>
      </c>
      <c r="D424" s="1" t="s">
        <v>112</v>
      </c>
      <c r="E424" s="1" t="s">
        <v>1107</v>
      </c>
      <c r="F424" s="1" t="s">
        <v>1108</v>
      </c>
      <c r="G424" s="1" t="s">
        <v>1109</v>
      </c>
      <c r="H424" s="1" t="s">
        <v>1110</v>
      </c>
      <c r="I424" s="1">
        <v>24</v>
      </c>
      <c r="J424" s="1">
        <v>24</v>
      </c>
    </row>
    <row r="425" spans="1:10" x14ac:dyDescent="0.25">
      <c r="A425" s="1" t="str">
        <f t="shared" si="6"/>
        <v/>
      </c>
      <c r="B4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5" s="1" t="s">
        <v>112</v>
      </c>
    </row>
    <row r="426" spans="1:10" x14ac:dyDescent="0.25">
      <c r="A426" s="1" t="str">
        <f t="shared" si="6"/>
        <v/>
      </c>
      <c r="B4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6" s="1" t="s">
        <v>112</v>
      </c>
    </row>
    <row r="427" spans="1:10" x14ac:dyDescent="0.25">
      <c r="A427" s="1" t="str">
        <f t="shared" si="6"/>
        <v/>
      </c>
      <c r="B4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7" s="1" t="s">
        <v>112</v>
      </c>
    </row>
    <row r="428" spans="1:10" x14ac:dyDescent="0.25">
      <c r="A428" s="1" t="str">
        <f t="shared" si="6"/>
        <v/>
      </c>
      <c r="B4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8" s="1" t="s">
        <v>112</v>
      </c>
    </row>
    <row r="429" spans="1:10" x14ac:dyDescent="0.25">
      <c r="A429" s="1" t="str">
        <f t="shared" si="6"/>
        <v/>
      </c>
      <c r="B4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9" s="1" t="s">
        <v>112</v>
      </c>
    </row>
    <row r="430" spans="1:10" x14ac:dyDescent="0.25">
      <c r="A430" s="1" t="str">
        <f t="shared" si="6"/>
        <v/>
      </c>
      <c r="B4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30" s="1" t="s">
        <v>249</v>
      </c>
      <c r="D430" s="1" t="s">
        <v>110</v>
      </c>
      <c r="E430" s="1" t="s">
        <v>111</v>
      </c>
      <c r="F430" s="1" t="s">
        <v>112</v>
      </c>
      <c r="G430" s="1" t="s">
        <v>113</v>
      </c>
    </row>
    <row r="431" spans="1:10" x14ac:dyDescent="0.25">
      <c r="A431" s="1" t="str">
        <f t="shared" si="6"/>
        <v>12</v>
      </c>
      <c r="B43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31" s="1" t="s">
        <v>1111</v>
      </c>
      <c r="D431" s="1" t="s">
        <v>1112</v>
      </c>
      <c r="E431" s="1" t="s">
        <v>1113</v>
      </c>
      <c r="F431" s="1" t="s">
        <v>112</v>
      </c>
      <c r="G431" s="1">
        <v>3293368</v>
      </c>
    </row>
    <row r="432" spans="1:10" x14ac:dyDescent="0.25">
      <c r="A432" s="1" t="str">
        <f t="shared" si="6"/>
        <v>12</v>
      </c>
      <c r="B4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32" s="1" t="s">
        <v>1114</v>
      </c>
      <c r="D432" s="1" t="s">
        <v>1115</v>
      </c>
      <c r="E432" s="1" t="s">
        <v>1116</v>
      </c>
      <c r="F432" s="1" t="s">
        <v>112</v>
      </c>
      <c r="G432" s="1">
        <v>3394033</v>
      </c>
    </row>
    <row r="433" spans="1:7" x14ac:dyDescent="0.25">
      <c r="A433" s="1" t="str">
        <f t="shared" si="6"/>
        <v>12</v>
      </c>
      <c r="B4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33" s="1" t="s">
        <v>1117</v>
      </c>
      <c r="D433" s="1" t="s">
        <v>1118</v>
      </c>
      <c r="E433" s="1" t="s">
        <v>1119</v>
      </c>
      <c r="F433" s="1" t="s">
        <v>112</v>
      </c>
      <c r="G433" s="1">
        <v>3650759</v>
      </c>
    </row>
    <row r="434" spans="1:7" x14ac:dyDescent="0.25">
      <c r="A434" s="1" t="str">
        <f t="shared" si="6"/>
        <v>12</v>
      </c>
      <c r="B4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34" s="1" t="s">
        <v>1120</v>
      </c>
      <c r="D434" s="1" t="s">
        <v>1121</v>
      </c>
      <c r="E434" s="1" t="s">
        <v>1122</v>
      </c>
      <c r="F434" s="1" t="s">
        <v>112</v>
      </c>
      <c r="G434" s="1">
        <v>3674249</v>
      </c>
    </row>
    <row r="435" spans="1:7" x14ac:dyDescent="0.25">
      <c r="A435" s="1" t="str">
        <f t="shared" si="6"/>
        <v>12</v>
      </c>
      <c r="B4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35" s="1" t="s">
        <v>1123</v>
      </c>
      <c r="D435" s="1" t="s">
        <v>892</v>
      </c>
      <c r="E435" s="1" t="s">
        <v>1124</v>
      </c>
      <c r="F435" s="1" t="s">
        <v>112</v>
      </c>
      <c r="G435" s="1">
        <v>4482947</v>
      </c>
    </row>
    <row r="436" spans="1:7" x14ac:dyDescent="0.25">
      <c r="A436" s="1" t="str">
        <f t="shared" si="6"/>
        <v>12</v>
      </c>
      <c r="B4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36" s="1" t="s">
        <v>1125</v>
      </c>
      <c r="D436" s="1" t="s">
        <v>1126</v>
      </c>
      <c r="E436" s="1" t="s">
        <v>1127</v>
      </c>
      <c r="F436" s="1" t="s">
        <v>112</v>
      </c>
      <c r="G436" s="1">
        <v>4133148</v>
      </c>
    </row>
    <row r="437" spans="1:7" x14ac:dyDescent="0.25">
      <c r="A437" s="1" t="str">
        <f t="shared" si="6"/>
        <v>12</v>
      </c>
      <c r="B4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37" s="1" t="s">
        <v>1128</v>
      </c>
      <c r="D437" s="1" t="s">
        <v>1129</v>
      </c>
      <c r="E437" s="1" t="s">
        <v>1130</v>
      </c>
      <c r="F437" s="1" t="s">
        <v>112</v>
      </c>
      <c r="G437" s="1">
        <v>4356953</v>
      </c>
    </row>
    <row r="438" spans="1:7" x14ac:dyDescent="0.25">
      <c r="A438" s="1" t="str">
        <f t="shared" si="6"/>
        <v>12</v>
      </c>
      <c r="B4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38" s="1" t="s">
        <v>1131</v>
      </c>
      <c r="D438" s="1" t="s">
        <v>1132</v>
      </c>
      <c r="E438" s="1" t="s">
        <v>1133</v>
      </c>
      <c r="F438" s="1" t="s">
        <v>112</v>
      </c>
      <c r="G438" s="1">
        <v>4433047</v>
      </c>
    </row>
    <row r="439" spans="1:7" x14ac:dyDescent="0.25">
      <c r="A439" s="1" t="str">
        <f t="shared" si="6"/>
        <v>12</v>
      </c>
      <c r="B4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39" s="1" t="s">
        <v>1134</v>
      </c>
      <c r="D439" s="1" t="s">
        <v>1135</v>
      </c>
      <c r="E439" s="1" t="s">
        <v>1136</v>
      </c>
      <c r="F439" s="1" t="s">
        <v>112</v>
      </c>
      <c r="G439" s="1">
        <v>4736990</v>
      </c>
    </row>
    <row r="440" spans="1:7" x14ac:dyDescent="0.25">
      <c r="A440" s="1" t="str">
        <f t="shared" si="6"/>
        <v>12</v>
      </c>
      <c r="B4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40" s="1" t="s">
        <v>1137</v>
      </c>
      <c r="D440" s="1" t="s">
        <v>1138</v>
      </c>
      <c r="E440" s="1" t="s">
        <v>1139</v>
      </c>
      <c r="F440" s="1" t="s">
        <v>112</v>
      </c>
      <c r="G440" s="1">
        <v>3977846</v>
      </c>
    </row>
    <row r="441" spans="1:7" x14ac:dyDescent="0.25">
      <c r="A441" s="1" t="str">
        <f t="shared" si="6"/>
        <v>12</v>
      </c>
      <c r="B4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41" s="1" t="s">
        <v>1140</v>
      </c>
      <c r="D441" s="1" t="s">
        <v>1141</v>
      </c>
      <c r="E441" s="1" t="s">
        <v>1142</v>
      </c>
      <c r="F441" s="1" t="s">
        <v>112</v>
      </c>
      <c r="G441" s="1">
        <v>3882717</v>
      </c>
    </row>
    <row r="442" spans="1:7" x14ac:dyDescent="0.25">
      <c r="A442" s="1" t="str">
        <f t="shared" si="6"/>
        <v>12</v>
      </c>
      <c r="B4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42" s="1" t="s">
        <v>1143</v>
      </c>
      <c r="D442" s="1" t="s">
        <v>1144</v>
      </c>
      <c r="E442" s="1" t="s">
        <v>1145</v>
      </c>
      <c r="F442" s="1" t="s">
        <v>112</v>
      </c>
      <c r="G442" s="1">
        <v>4181578</v>
      </c>
    </row>
    <row r="443" spans="1:7" x14ac:dyDescent="0.25">
      <c r="A443" s="1" t="str">
        <f t="shared" si="6"/>
        <v>12</v>
      </c>
      <c r="B4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43" s="1" t="s">
        <v>1146</v>
      </c>
      <c r="D443" s="1" t="s">
        <v>1147</v>
      </c>
      <c r="E443" s="1" t="s">
        <v>1148</v>
      </c>
      <c r="F443" s="1" t="s">
        <v>112</v>
      </c>
      <c r="G443" s="1">
        <v>3826566</v>
      </c>
    </row>
    <row r="444" spans="1:7" x14ac:dyDescent="0.25">
      <c r="A444" s="1" t="str">
        <f t="shared" si="6"/>
        <v>12</v>
      </c>
      <c r="B4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44" s="1" t="s">
        <v>1149</v>
      </c>
      <c r="D444" s="1" t="s">
        <v>1150</v>
      </c>
      <c r="E444" s="1" t="s">
        <v>1151</v>
      </c>
      <c r="F444" s="1" t="s">
        <v>112</v>
      </c>
      <c r="G444" s="1">
        <v>4033759</v>
      </c>
    </row>
    <row r="445" spans="1:7" x14ac:dyDescent="0.25">
      <c r="A445" s="1" t="str">
        <f t="shared" si="6"/>
        <v>12</v>
      </c>
      <c r="B4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45" s="1" t="s">
        <v>1152</v>
      </c>
      <c r="D445" s="1" t="s">
        <v>1153</v>
      </c>
      <c r="E445" s="1" t="s">
        <v>1154</v>
      </c>
      <c r="F445" s="1" t="s">
        <v>112</v>
      </c>
      <c r="G445" s="1">
        <v>3989245</v>
      </c>
    </row>
    <row r="446" spans="1:7" x14ac:dyDescent="0.25">
      <c r="A446" s="1" t="str">
        <f t="shared" si="6"/>
        <v>12</v>
      </c>
      <c r="B4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46" s="1" t="s">
        <v>1155</v>
      </c>
      <c r="D446" s="1" t="s">
        <v>1156</v>
      </c>
      <c r="E446" s="1" t="s">
        <v>1157</v>
      </c>
      <c r="F446" s="1" t="s">
        <v>112</v>
      </c>
      <c r="G446" s="1">
        <v>4996138</v>
      </c>
    </row>
    <row r="447" spans="1:7" x14ac:dyDescent="0.25">
      <c r="A447" s="1" t="str">
        <f t="shared" si="6"/>
        <v>12</v>
      </c>
      <c r="B4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47" s="1" t="s">
        <v>1158</v>
      </c>
      <c r="D447" s="1" t="s">
        <v>1159</v>
      </c>
      <c r="E447" s="1" t="s">
        <v>1160</v>
      </c>
      <c r="F447" s="1" t="s">
        <v>112</v>
      </c>
      <c r="G447" s="1">
        <v>4974595</v>
      </c>
    </row>
    <row r="448" spans="1:7" x14ac:dyDescent="0.25">
      <c r="A448" s="1" t="str">
        <f t="shared" si="6"/>
        <v>12</v>
      </c>
      <c r="B4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48" s="1" t="s">
        <v>1161</v>
      </c>
      <c r="D448" s="1" t="s">
        <v>1162</v>
      </c>
      <c r="E448" s="1" t="s">
        <v>1163</v>
      </c>
      <c r="F448" s="1" t="s">
        <v>112</v>
      </c>
      <c r="G448" s="1">
        <v>5356643</v>
      </c>
    </row>
    <row r="449" spans="1:10" x14ac:dyDescent="0.25">
      <c r="A449" s="1" t="str">
        <f t="shared" si="6"/>
        <v>12</v>
      </c>
      <c r="B4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49" s="1" t="s">
        <v>1164</v>
      </c>
      <c r="D449" s="1" t="s">
        <v>1165</v>
      </c>
      <c r="E449" s="1" t="s">
        <v>1166</v>
      </c>
      <c r="F449" s="1" t="s">
        <v>112</v>
      </c>
      <c r="G449" s="1">
        <v>2843661</v>
      </c>
    </row>
    <row r="450" spans="1:10" x14ac:dyDescent="0.25">
      <c r="A450" s="1" t="str">
        <f t="shared" ref="A450:A513" si="7">IFERROR(LEFT(RIGHT(C450,LEN(C450)-SEARCH("@",C450)),SEARCH("/",RIGHT(C450,LEN(C450)-SEARCH("@",C450)-1))),"")</f>
        <v>12</v>
      </c>
      <c r="B4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50" s="1" t="s">
        <v>1167</v>
      </c>
      <c r="D450" s="1" t="s">
        <v>1168</v>
      </c>
      <c r="E450" s="1" t="s">
        <v>1169</v>
      </c>
      <c r="F450" s="1" t="s">
        <v>112</v>
      </c>
      <c r="G450" s="1">
        <v>3783696</v>
      </c>
    </row>
    <row r="451" spans="1:10" x14ac:dyDescent="0.25">
      <c r="A451" s="1" t="str">
        <f t="shared" si="7"/>
        <v>12</v>
      </c>
      <c r="B4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51" s="1" t="s">
        <v>1170</v>
      </c>
      <c r="D451" s="1" t="s">
        <v>1171</v>
      </c>
      <c r="E451" s="1" t="s">
        <v>1172</v>
      </c>
      <c r="F451" s="1" t="s">
        <v>112</v>
      </c>
      <c r="G451" s="1">
        <v>2988408</v>
      </c>
    </row>
    <row r="452" spans="1:10" x14ac:dyDescent="0.25">
      <c r="A452" s="1" t="str">
        <f t="shared" si="7"/>
        <v>12</v>
      </c>
      <c r="B4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52" s="1" t="s">
        <v>1173</v>
      </c>
    </row>
    <row r="453" spans="1:10" x14ac:dyDescent="0.25">
      <c r="A453" s="1" t="str">
        <f t="shared" si="7"/>
        <v>12</v>
      </c>
      <c r="B4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53" s="1" t="s">
        <v>1174</v>
      </c>
      <c r="D453" s="1" t="s">
        <v>1175</v>
      </c>
      <c r="E453" s="1" t="s">
        <v>1176</v>
      </c>
      <c r="F453" s="1" t="s">
        <v>112</v>
      </c>
      <c r="G453" s="1">
        <v>3213078</v>
      </c>
    </row>
    <row r="454" spans="1:10" x14ac:dyDescent="0.25">
      <c r="A454" s="1" t="str">
        <f t="shared" si="7"/>
        <v>12</v>
      </c>
      <c r="B4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54" s="1" t="s">
        <v>1177</v>
      </c>
      <c r="D454" s="1" t="s">
        <v>1178</v>
      </c>
      <c r="E454" s="1" t="s">
        <v>1179</v>
      </c>
      <c r="F454" s="1" t="s">
        <v>112</v>
      </c>
      <c r="G454" s="1">
        <v>3392606</v>
      </c>
    </row>
    <row r="455" spans="1:10" x14ac:dyDescent="0.25">
      <c r="A455" s="1" t="str">
        <f t="shared" si="7"/>
        <v/>
      </c>
      <c r="B4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5" s="1" t="s">
        <v>112</v>
      </c>
    </row>
    <row r="456" spans="1:10" x14ac:dyDescent="0.25">
      <c r="A456" s="1" t="str">
        <f t="shared" si="7"/>
        <v/>
      </c>
      <c r="B4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6" s="1" t="s">
        <v>237</v>
      </c>
      <c r="D456" s="1" t="s">
        <v>112</v>
      </c>
      <c r="E456" s="1" t="s">
        <v>238</v>
      </c>
      <c r="F456" s="1" t="s">
        <v>239</v>
      </c>
      <c r="G456" s="1" t="s">
        <v>240</v>
      </c>
      <c r="H456" s="1" t="s">
        <v>241</v>
      </c>
      <c r="I456" s="1" t="s">
        <v>242</v>
      </c>
      <c r="J456" s="1" t="s">
        <v>243</v>
      </c>
    </row>
    <row r="457" spans="1:10" x14ac:dyDescent="0.25">
      <c r="A457" s="1" t="str">
        <f t="shared" si="7"/>
        <v>12</v>
      </c>
      <c r="B4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457" s="1" t="s">
        <v>1180</v>
      </c>
      <c r="D457" s="1" t="s">
        <v>112</v>
      </c>
      <c r="E457" s="1" t="s">
        <v>1181</v>
      </c>
      <c r="F457" s="1" t="s">
        <v>1182</v>
      </c>
      <c r="G457" s="1" t="s">
        <v>1183</v>
      </c>
      <c r="H457" s="1" t="s">
        <v>1184</v>
      </c>
      <c r="I457" s="1">
        <v>24</v>
      </c>
      <c r="J457" s="1">
        <v>24</v>
      </c>
    </row>
    <row r="458" spans="1:10" x14ac:dyDescent="0.25">
      <c r="A458" s="1" t="str">
        <f t="shared" si="7"/>
        <v/>
      </c>
      <c r="B4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8" s="1" t="s">
        <v>112</v>
      </c>
    </row>
    <row r="459" spans="1:10" x14ac:dyDescent="0.25">
      <c r="A459" s="1" t="str">
        <f t="shared" si="7"/>
        <v/>
      </c>
      <c r="B4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9" s="1" t="s">
        <v>112</v>
      </c>
    </row>
    <row r="460" spans="1:10" x14ac:dyDescent="0.25">
      <c r="A460" s="1" t="str">
        <f t="shared" si="7"/>
        <v/>
      </c>
      <c r="B4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0" s="1" t="s">
        <v>112</v>
      </c>
    </row>
    <row r="461" spans="1:10" x14ac:dyDescent="0.25">
      <c r="A461" s="1" t="str">
        <f t="shared" si="7"/>
        <v/>
      </c>
      <c r="B4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1" s="1" t="s">
        <v>112</v>
      </c>
    </row>
    <row r="462" spans="1:10" x14ac:dyDescent="0.25">
      <c r="A462" s="1" t="str">
        <f t="shared" si="7"/>
        <v/>
      </c>
      <c r="B4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2" s="1" t="s">
        <v>112</v>
      </c>
    </row>
    <row r="463" spans="1:10" x14ac:dyDescent="0.25">
      <c r="A463" s="1" t="str">
        <f t="shared" si="7"/>
        <v/>
      </c>
      <c r="B4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3" s="1" t="s">
        <v>249</v>
      </c>
      <c r="D463" s="1" t="s">
        <v>110</v>
      </c>
      <c r="E463" s="1" t="s">
        <v>111</v>
      </c>
      <c r="F463" s="1" t="s">
        <v>112</v>
      </c>
      <c r="G463" s="1" t="s">
        <v>113</v>
      </c>
    </row>
    <row r="464" spans="1:10" x14ac:dyDescent="0.25">
      <c r="A464" s="1" t="str">
        <f t="shared" si="7"/>
        <v>17</v>
      </c>
      <c r="B46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64" s="1" t="s">
        <v>1185</v>
      </c>
      <c r="D464" s="1" t="s">
        <v>804</v>
      </c>
      <c r="E464" s="1" t="s">
        <v>1186</v>
      </c>
      <c r="F464" s="1" t="s">
        <v>112</v>
      </c>
      <c r="G464" s="1">
        <v>3128613</v>
      </c>
    </row>
    <row r="465" spans="1:7" x14ac:dyDescent="0.25">
      <c r="A465" s="1" t="str">
        <f t="shared" si="7"/>
        <v>17</v>
      </c>
      <c r="B4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65" s="1" t="s">
        <v>1187</v>
      </c>
      <c r="D465" s="1" t="s">
        <v>1188</v>
      </c>
      <c r="E465" s="1" t="s">
        <v>1189</v>
      </c>
      <c r="F465" s="1" t="s">
        <v>112</v>
      </c>
      <c r="G465" s="1">
        <v>3625819</v>
      </c>
    </row>
    <row r="466" spans="1:7" x14ac:dyDescent="0.25">
      <c r="A466" s="1" t="str">
        <f t="shared" si="7"/>
        <v>17</v>
      </c>
      <c r="B4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66" s="1" t="s">
        <v>1190</v>
      </c>
      <c r="D466" s="1" t="s">
        <v>1191</v>
      </c>
      <c r="E466" s="1" t="s">
        <v>1192</v>
      </c>
      <c r="F466" s="1" t="s">
        <v>112</v>
      </c>
      <c r="G466" s="1">
        <v>3832947</v>
      </c>
    </row>
    <row r="467" spans="1:7" x14ac:dyDescent="0.25">
      <c r="A467" s="1" t="str">
        <f t="shared" si="7"/>
        <v>17</v>
      </c>
      <c r="B4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67" s="1" t="s">
        <v>1193</v>
      </c>
      <c r="D467" s="1" t="s">
        <v>1194</v>
      </c>
      <c r="E467" s="1" t="s">
        <v>1195</v>
      </c>
      <c r="F467" s="1" t="s">
        <v>112</v>
      </c>
      <c r="G467" s="1">
        <v>2848938</v>
      </c>
    </row>
    <row r="468" spans="1:7" x14ac:dyDescent="0.25">
      <c r="A468" s="1" t="str">
        <f t="shared" si="7"/>
        <v>17</v>
      </c>
      <c r="B4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68" s="1" t="s">
        <v>1196</v>
      </c>
      <c r="D468" s="1" t="s">
        <v>1197</v>
      </c>
      <c r="E468" s="1" t="s">
        <v>1198</v>
      </c>
      <c r="F468" s="1" t="s">
        <v>112</v>
      </c>
      <c r="G468" s="1">
        <v>2611009</v>
      </c>
    </row>
    <row r="469" spans="1:7" x14ac:dyDescent="0.25">
      <c r="A469" s="1" t="str">
        <f t="shared" si="7"/>
        <v>17</v>
      </c>
      <c r="B4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69" s="1" t="s">
        <v>1199</v>
      </c>
      <c r="D469" s="1" t="s">
        <v>1200</v>
      </c>
      <c r="E469" s="1" t="s">
        <v>1201</v>
      </c>
      <c r="F469" s="1" t="s">
        <v>112</v>
      </c>
      <c r="G469" s="1">
        <v>3169039</v>
      </c>
    </row>
    <row r="470" spans="1:7" x14ac:dyDescent="0.25">
      <c r="A470" s="1" t="str">
        <f t="shared" si="7"/>
        <v>17</v>
      </c>
      <c r="B4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70" s="1" t="s">
        <v>1202</v>
      </c>
      <c r="D470" s="1" t="s">
        <v>1203</v>
      </c>
      <c r="E470" s="1" t="s">
        <v>1204</v>
      </c>
      <c r="F470" s="1" t="s">
        <v>112</v>
      </c>
      <c r="G470" s="1">
        <v>764098</v>
      </c>
    </row>
    <row r="471" spans="1:7" x14ac:dyDescent="0.25">
      <c r="A471" s="1" t="str">
        <f t="shared" si="7"/>
        <v>17</v>
      </c>
      <c r="B4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71" s="1" t="s">
        <v>1205</v>
      </c>
      <c r="D471" s="1" t="s">
        <v>1206</v>
      </c>
      <c r="E471" s="1" t="s">
        <v>1207</v>
      </c>
      <c r="F471" s="1" t="s">
        <v>112</v>
      </c>
      <c r="G471" s="1">
        <v>1147531</v>
      </c>
    </row>
    <row r="472" spans="1:7" x14ac:dyDescent="0.25">
      <c r="A472" s="1" t="str">
        <f t="shared" si="7"/>
        <v>17</v>
      </c>
      <c r="B4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72" s="1" t="s">
        <v>1208</v>
      </c>
      <c r="D472" s="1" t="s">
        <v>1209</v>
      </c>
      <c r="E472" s="1" t="s">
        <v>1210</v>
      </c>
      <c r="F472" s="1" t="s">
        <v>112</v>
      </c>
      <c r="G472" s="1">
        <v>785684</v>
      </c>
    </row>
    <row r="473" spans="1:7" x14ac:dyDescent="0.25">
      <c r="A473" s="1" t="str">
        <f t="shared" si="7"/>
        <v>17</v>
      </c>
      <c r="B4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73" s="1" t="s">
        <v>1211</v>
      </c>
    </row>
    <row r="474" spans="1:7" x14ac:dyDescent="0.25">
      <c r="A474" s="1" t="str">
        <f t="shared" si="7"/>
        <v>17</v>
      </c>
      <c r="B4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74" s="1" t="s">
        <v>1212</v>
      </c>
    </row>
    <row r="475" spans="1:7" x14ac:dyDescent="0.25">
      <c r="A475" s="1" t="str">
        <f t="shared" si="7"/>
        <v>17</v>
      </c>
      <c r="B4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75" s="1" t="s">
        <v>1213</v>
      </c>
    </row>
    <row r="476" spans="1:7" x14ac:dyDescent="0.25">
      <c r="A476" s="1" t="str">
        <f t="shared" si="7"/>
        <v>17</v>
      </c>
      <c r="B4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6" s="1" t="s">
        <v>1214</v>
      </c>
      <c r="D476" s="1">
        <v>0</v>
      </c>
      <c r="E476" s="1">
        <v>0</v>
      </c>
      <c r="F476" s="1" t="s">
        <v>112</v>
      </c>
      <c r="G476" s="1">
        <v>0</v>
      </c>
    </row>
    <row r="477" spans="1:7" x14ac:dyDescent="0.25">
      <c r="A477" s="1" t="str">
        <f t="shared" si="7"/>
        <v>17</v>
      </c>
      <c r="B4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7" s="1" t="s">
        <v>1215</v>
      </c>
      <c r="D477" s="1" t="s">
        <v>490</v>
      </c>
      <c r="E477" s="1" t="s">
        <v>1216</v>
      </c>
      <c r="F477" s="1" t="s">
        <v>112</v>
      </c>
      <c r="G477" s="1">
        <v>122555</v>
      </c>
    </row>
    <row r="478" spans="1:7" x14ac:dyDescent="0.25">
      <c r="A478" s="1" t="str">
        <f t="shared" si="7"/>
        <v>17</v>
      </c>
      <c r="B4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8" s="1" t="s">
        <v>1217</v>
      </c>
      <c r="D478" s="1">
        <v>0</v>
      </c>
      <c r="E478" s="1">
        <v>0</v>
      </c>
      <c r="F478" s="1" t="s">
        <v>112</v>
      </c>
      <c r="G478" s="1">
        <v>0</v>
      </c>
    </row>
    <row r="479" spans="1:7" x14ac:dyDescent="0.25">
      <c r="A479" s="1" t="str">
        <f t="shared" si="7"/>
        <v>17</v>
      </c>
      <c r="B4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79" s="1" t="s">
        <v>1218</v>
      </c>
      <c r="D479" s="1" t="s">
        <v>1031</v>
      </c>
      <c r="E479" s="1" t="s">
        <v>1219</v>
      </c>
      <c r="F479" s="1" t="s">
        <v>112</v>
      </c>
      <c r="G479" s="1">
        <v>127638</v>
      </c>
    </row>
    <row r="480" spans="1:7" x14ac:dyDescent="0.25">
      <c r="A480" s="1" t="str">
        <f t="shared" si="7"/>
        <v>17</v>
      </c>
      <c r="B4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80" s="1" t="s">
        <v>1220</v>
      </c>
      <c r="D480" s="1" t="s">
        <v>1221</v>
      </c>
      <c r="E480" s="1" t="s">
        <v>1222</v>
      </c>
      <c r="F480" s="1" t="s">
        <v>112</v>
      </c>
      <c r="G480" s="1">
        <v>37982</v>
      </c>
    </row>
    <row r="481" spans="1:10" x14ac:dyDescent="0.25">
      <c r="A481" s="1" t="str">
        <f t="shared" si="7"/>
        <v>17</v>
      </c>
      <c r="B4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81" s="1" t="s">
        <v>1223</v>
      </c>
      <c r="D481" s="1" t="s">
        <v>1224</v>
      </c>
      <c r="E481" s="1" t="s">
        <v>1225</v>
      </c>
      <c r="F481" s="1" t="s">
        <v>112</v>
      </c>
      <c r="G481" s="1">
        <v>52409</v>
      </c>
    </row>
    <row r="482" spans="1:10" x14ac:dyDescent="0.25">
      <c r="A482" s="1" t="str">
        <f t="shared" si="7"/>
        <v>17</v>
      </c>
      <c r="B4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82" s="1" t="s">
        <v>1226</v>
      </c>
      <c r="D482" s="1" t="s">
        <v>1227</v>
      </c>
      <c r="E482" s="1" t="s">
        <v>1228</v>
      </c>
      <c r="F482" s="1" t="s">
        <v>112</v>
      </c>
      <c r="G482" s="1">
        <v>1289098</v>
      </c>
    </row>
    <row r="483" spans="1:10" x14ac:dyDescent="0.25">
      <c r="A483" s="1" t="str">
        <f t="shared" si="7"/>
        <v>17</v>
      </c>
      <c r="B4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83" s="1" t="s">
        <v>1229</v>
      </c>
      <c r="D483" s="1" t="s">
        <v>1230</v>
      </c>
      <c r="E483" s="1" t="s">
        <v>1231</v>
      </c>
      <c r="F483" s="1" t="s">
        <v>112</v>
      </c>
      <c r="G483" s="1">
        <v>514575</v>
      </c>
    </row>
    <row r="484" spans="1:10" x14ac:dyDescent="0.25">
      <c r="A484" s="1" t="str">
        <f t="shared" si="7"/>
        <v>17</v>
      </c>
      <c r="B4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84" s="1" t="s">
        <v>1232</v>
      </c>
      <c r="D484" s="1" t="s">
        <v>1233</v>
      </c>
      <c r="E484" s="1" t="s">
        <v>1234</v>
      </c>
      <c r="F484" s="1" t="s">
        <v>112</v>
      </c>
      <c r="G484" s="1">
        <v>1488764</v>
      </c>
    </row>
    <row r="485" spans="1:10" x14ac:dyDescent="0.25">
      <c r="A485" s="1" t="str">
        <f t="shared" si="7"/>
        <v>17</v>
      </c>
      <c r="B4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85" s="1" t="s">
        <v>1235</v>
      </c>
      <c r="D485" s="1" t="s">
        <v>1236</v>
      </c>
      <c r="E485" s="1" t="s">
        <v>1237</v>
      </c>
      <c r="F485" s="1" t="s">
        <v>112</v>
      </c>
      <c r="G485" s="1">
        <v>2409051</v>
      </c>
    </row>
    <row r="486" spans="1:10" x14ac:dyDescent="0.25">
      <c r="A486" s="1" t="str">
        <f t="shared" si="7"/>
        <v>17</v>
      </c>
      <c r="B4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86" s="1" t="s">
        <v>1238</v>
      </c>
      <c r="D486" s="1" t="s">
        <v>1239</v>
      </c>
      <c r="E486" s="1" t="s">
        <v>1240</v>
      </c>
      <c r="F486" s="1" t="s">
        <v>112</v>
      </c>
      <c r="G486" s="1">
        <v>2162925</v>
      </c>
    </row>
    <row r="487" spans="1:10" x14ac:dyDescent="0.25">
      <c r="A487" s="1" t="str">
        <f t="shared" si="7"/>
        <v>17</v>
      </c>
      <c r="B4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87" s="1" t="s">
        <v>1241</v>
      </c>
      <c r="D487" s="1" t="s">
        <v>1242</v>
      </c>
      <c r="E487" s="1" t="s">
        <v>1243</v>
      </c>
      <c r="F487" s="1" t="s">
        <v>112</v>
      </c>
      <c r="G487" s="1">
        <v>2162903</v>
      </c>
    </row>
    <row r="488" spans="1:10" x14ac:dyDescent="0.25">
      <c r="A488" s="1" t="str">
        <f t="shared" si="7"/>
        <v/>
      </c>
      <c r="B4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88" s="1" t="s">
        <v>112</v>
      </c>
    </row>
    <row r="489" spans="1:10" x14ac:dyDescent="0.25">
      <c r="A489" s="1" t="str">
        <f t="shared" si="7"/>
        <v/>
      </c>
      <c r="B4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89" s="1" t="s">
        <v>237</v>
      </c>
      <c r="D489" s="1" t="s">
        <v>112</v>
      </c>
      <c r="E489" s="1" t="s">
        <v>238</v>
      </c>
      <c r="F489" s="1" t="s">
        <v>239</v>
      </c>
      <c r="G489" s="1" t="s">
        <v>240</v>
      </c>
      <c r="H489" s="1" t="s">
        <v>241</v>
      </c>
      <c r="I489" s="1" t="s">
        <v>242</v>
      </c>
      <c r="J489" s="1" t="s">
        <v>243</v>
      </c>
    </row>
    <row r="490" spans="1:10" x14ac:dyDescent="0.25">
      <c r="A490" s="1" t="str">
        <f t="shared" si="7"/>
        <v>17</v>
      </c>
      <c r="B49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490" s="1" t="s">
        <v>1244</v>
      </c>
      <c r="D490" s="1" t="s">
        <v>112</v>
      </c>
      <c r="E490" s="1" t="s">
        <v>1245</v>
      </c>
      <c r="F490" s="1" t="s">
        <v>1246</v>
      </c>
      <c r="G490" s="1" t="s">
        <v>1247</v>
      </c>
      <c r="H490" s="1" t="s">
        <v>1248</v>
      </c>
      <c r="I490" s="1">
        <v>22</v>
      </c>
      <c r="J490" s="1">
        <v>24</v>
      </c>
    </row>
    <row r="491" spans="1:10" x14ac:dyDescent="0.25">
      <c r="A491" s="1" t="str">
        <f t="shared" si="7"/>
        <v/>
      </c>
      <c r="B4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1" s="1" t="s">
        <v>112</v>
      </c>
    </row>
    <row r="492" spans="1:10" x14ac:dyDescent="0.25">
      <c r="A492" s="1" t="str">
        <f t="shared" si="7"/>
        <v/>
      </c>
      <c r="B4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2" s="1" t="s">
        <v>112</v>
      </c>
    </row>
    <row r="493" spans="1:10" x14ac:dyDescent="0.25">
      <c r="A493" s="1" t="str">
        <f t="shared" si="7"/>
        <v/>
      </c>
      <c r="B4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3" s="1" t="s">
        <v>112</v>
      </c>
    </row>
    <row r="494" spans="1:10" x14ac:dyDescent="0.25">
      <c r="A494" s="1" t="str">
        <f t="shared" si="7"/>
        <v/>
      </c>
      <c r="B4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4" s="1" t="s">
        <v>112</v>
      </c>
    </row>
    <row r="495" spans="1:10" x14ac:dyDescent="0.25">
      <c r="A495" s="1" t="str">
        <f t="shared" si="7"/>
        <v/>
      </c>
      <c r="B4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5" s="1" t="s">
        <v>112</v>
      </c>
    </row>
    <row r="496" spans="1:10" x14ac:dyDescent="0.25">
      <c r="A496" s="1" t="str">
        <f t="shared" si="7"/>
        <v/>
      </c>
      <c r="B4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6" s="1" t="s">
        <v>249</v>
      </c>
      <c r="D496" s="1" t="s">
        <v>110</v>
      </c>
      <c r="E496" s="1" t="s">
        <v>111</v>
      </c>
      <c r="F496" s="1" t="s">
        <v>112</v>
      </c>
      <c r="G496" s="1" t="s">
        <v>113</v>
      </c>
    </row>
    <row r="497" spans="1:7" x14ac:dyDescent="0.25">
      <c r="A497" s="1" t="str">
        <f t="shared" si="7"/>
        <v>18</v>
      </c>
      <c r="B49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97" s="1" t="s">
        <v>1249</v>
      </c>
      <c r="D497" s="1" t="s">
        <v>1250</v>
      </c>
      <c r="E497" s="1" t="s">
        <v>1251</v>
      </c>
      <c r="F497" s="1" t="s">
        <v>112</v>
      </c>
      <c r="G497" s="1">
        <v>2803213</v>
      </c>
    </row>
    <row r="498" spans="1:7" x14ac:dyDescent="0.25">
      <c r="A498" s="1" t="str">
        <f t="shared" si="7"/>
        <v>18</v>
      </c>
      <c r="B49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98" s="1" t="s">
        <v>1252</v>
      </c>
      <c r="D498" s="1" t="s">
        <v>1253</v>
      </c>
      <c r="E498" s="1" t="s">
        <v>1254</v>
      </c>
      <c r="F498" s="1" t="s">
        <v>112</v>
      </c>
      <c r="G498" s="1">
        <v>2758504</v>
      </c>
    </row>
    <row r="499" spans="1:7" x14ac:dyDescent="0.25">
      <c r="A499" s="1" t="str">
        <f t="shared" si="7"/>
        <v>18</v>
      </c>
      <c r="B4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99" s="1" t="s">
        <v>1255</v>
      </c>
      <c r="D499" s="1" t="s">
        <v>1256</v>
      </c>
      <c r="E499" s="1" t="s">
        <v>1257</v>
      </c>
      <c r="F499" s="1" t="s">
        <v>112</v>
      </c>
      <c r="G499" s="1">
        <v>3133371</v>
      </c>
    </row>
    <row r="500" spans="1:7" x14ac:dyDescent="0.25">
      <c r="A500" s="1" t="str">
        <f t="shared" si="7"/>
        <v>18</v>
      </c>
      <c r="B5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00" s="1" t="s">
        <v>1258</v>
      </c>
    </row>
    <row r="501" spans="1:7" x14ac:dyDescent="0.25">
      <c r="A501" s="1" t="str">
        <f t="shared" si="7"/>
        <v>18</v>
      </c>
      <c r="B5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01" s="1" t="s">
        <v>1259</v>
      </c>
    </row>
    <row r="502" spans="1:7" x14ac:dyDescent="0.25">
      <c r="A502" s="1" t="str">
        <f t="shared" si="7"/>
        <v>18</v>
      </c>
      <c r="B5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02" s="1" t="s">
        <v>1260</v>
      </c>
      <c r="D502" s="1" t="s">
        <v>1261</v>
      </c>
      <c r="E502" s="1" t="s">
        <v>1262</v>
      </c>
      <c r="F502" s="1" t="s">
        <v>112</v>
      </c>
      <c r="G502" s="1">
        <v>1725957</v>
      </c>
    </row>
    <row r="503" spans="1:7" x14ac:dyDescent="0.25">
      <c r="A503" s="1" t="str">
        <f t="shared" si="7"/>
        <v>18</v>
      </c>
      <c r="B5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03" s="1" t="s">
        <v>1263</v>
      </c>
      <c r="D503" s="1" t="s">
        <v>1264</v>
      </c>
      <c r="E503" s="1" t="s">
        <v>1265</v>
      </c>
      <c r="F503" s="1" t="s">
        <v>112</v>
      </c>
      <c r="G503" s="1">
        <v>2151828</v>
      </c>
    </row>
    <row r="504" spans="1:7" x14ac:dyDescent="0.25">
      <c r="A504" s="1" t="str">
        <f t="shared" si="7"/>
        <v>18</v>
      </c>
      <c r="B5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04" s="1" t="s">
        <v>1266</v>
      </c>
      <c r="D504" s="1" t="s">
        <v>1267</v>
      </c>
      <c r="E504" s="1" t="s">
        <v>1268</v>
      </c>
      <c r="F504" s="1" t="s">
        <v>112</v>
      </c>
      <c r="G504" s="1">
        <v>1988566</v>
      </c>
    </row>
    <row r="505" spans="1:7" x14ac:dyDescent="0.25">
      <c r="A505" s="1" t="str">
        <f t="shared" si="7"/>
        <v>18</v>
      </c>
      <c r="B5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05" s="1" t="s">
        <v>1269</v>
      </c>
      <c r="D505" s="1" t="s">
        <v>1270</v>
      </c>
      <c r="E505" s="1" t="s">
        <v>1271</v>
      </c>
      <c r="F505" s="1" t="s">
        <v>112</v>
      </c>
      <c r="G505" s="1">
        <v>2078892</v>
      </c>
    </row>
    <row r="506" spans="1:7" x14ac:dyDescent="0.25">
      <c r="A506" s="1" t="str">
        <f t="shared" si="7"/>
        <v>18</v>
      </c>
      <c r="B5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06" s="1" t="s">
        <v>1272</v>
      </c>
    </row>
    <row r="507" spans="1:7" x14ac:dyDescent="0.25">
      <c r="A507" s="1" t="str">
        <f t="shared" si="7"/>
        <v>18</v>
      </c>
      <c r="B5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07" s="1" t="s">
        <v>1273</v>
      </c>
      <c r="D507" s="1" t="s">
        <v>1274</v>
      </c>
      <c r="E507" s="1" t="s">
        <v>1275</v>
      </c>
      <c r="F507" s="1" t="s">
        <v>112</v>
      </c>
      <c r="G507" s="1">
        <v>835563</v>
      </c>
    </row>
    <row r="508" spans="1:7" x14ac:dyDescent="0.25">
      <c r="A508" s="1" t="str">
        <f t="shared" si="7"/>
        <v>18</v>
      </c>
      <c r="B5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08" s="1" t="s">
        <v>1276</v>
      </c>
      <c r="D508" s="1" t="s">
        <v>1277</v>
      </c>
      <c r="E508" s="1" t="s">
        <v>1278</v>
      </c>
      <c r="F508" s="1" t="s">
        <v>112</v>
      </c>
      <c r="G508" s="1">
        <v>1006244</v>
      </c>
    </row>
    <row r="509" spans="1:7" x14ac:dyDescent="0.25">
      <c r="A509" s="1" t="str">
        <f t="shared" si="7"/>
        <v>18</v>
      </c>
      <c r="B5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09" s="1" t="s">
        <v>1279</v>
      </c>
      <c r="D509" s="1" t="s">
        <v>1280</v>
      </c>
      <c r="E509" s="1" t="s">
        <v>1281</v>
      </c>
      <c r="F509" s="1" t="s">
        <v>112</v>
      </c>
      <c r="G509" s="1">
        <v>2789283</v>
      </c>
    </row>
    <row r="510" spans="1:7" x14ac:dyDescent="0.25">
      <c r="A510" s="1" t="str">
        <f t="shared" si="7"/>
        <v>18</v>
      </c>
      <c r="B5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10" s="1" t="s">
        <v>1282</v>
      </c>
      <c r="D510" s="1" t="s">
        <v>1283</v>
      </c>
      <c r="E510" s="1" t="s">
        <v>1284</v>
      </c>
      <c r="F510" s="1" t="s">
        <v>112</v>
      </c>
      <c r="G510" s="1">
        <v>2735446</v>
      </c>
    </row>
    <row r="511" spans="1:7" x14ac:dyDescent="0.25">
      <c r="A511" s="1" t="str">
        <f t="shared" si="7"/>
        <v>18</v>
      </c>
      <c r="B5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11" s="1" t="s">
        <v>1285</v>
      </c>
      <c r="D511" s="1" t="s">
        <v>1286</v>
      </c>
      <c r="E511" s="1" t="s">
        <v>1287</v>
      </c>
      <c r="F511" s="1" t="s">
        <v>112</v>
      </c>
      <c r="G511" s="1">
        <v>3701697</v>
      </c>
    </row>
    <row r="512" spans="1:7" x14ac:dyDescent="0.25">
      <c r="A512" s="1" t="str">
        <f t="shared" si="7"/>
        <v>18</v>
      </c>
      <c r="B5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2" s="1" t="s">
        <v>1288</v>
      </c>
      <c r="D512" s="1" t="s">
        <v>1289</v>
      </c>
      <c r="E512" s="1" t="s">
        <v>1290</v>
      </c>
      <c r="F512" s="1" t="s">
        <v>112</v>
      </c>
      <c r="G512" s="1">
        <v>2222082</v>
      </c>
    </row>
    <row r="513" spans="1:10" x14ac:dyDescent="0.25">
      <c r="A513" s="1" t="str">
        <f t="shared" si="7"/>
        <v>18</v>
      </c>
      <c r="B5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3" s="1" t="s">
        <v>1291</v>
      </c>
      <c r="D513" s="1" t="s">
        <v>1292</v>
      </c>
      <c r="E513" s="1" t="s">
        <v>1293</v>
      </c>
      <c r="F513" s="1" t="s">
        <v>112</v>
      </c>
      <c r="G513" s="1">
        <v>2473422</v>
      </c>
    </row>
    <row r="514" spans="1:10" x14ac:dyDescent="0.25">
      <c r="A514" s="1" t="str">
        <f t="shared" ref="A514:A577" si="8">IFERROR(LEFT(RIGHT(C514,LEN(C514)-SEARCH("@",C514)),SEARCH("/",RIGHT(C514,LEN(C514)-SEARCH("@",C514)-1))),"")</f>
        <v>18</v>
      </c>
      <c r="B5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4" s="1" t="s">
        <v>1294</v>
      </c>
      <c r="D514" s="1" t="s">
        <v>1295</v>
      </c>
      <c r="E514" s="1" t="s">
        <v>1296</v>
      </c>
      <c r="F514" s="1" t="s">
        <v>112</v>
      </c>
      <c r="G514" s="1">
        <v>2188578</v>
      </c>
    </row>
    <row r="515" spans="1:10" x14ac:dyDescent="0.25">
      <c r="A515" s="1" t="str">
        <f t="shared" si="8"/>
        <v>18</v>
      </c>
      <c r="B5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15" s="1" t="s">
        <v>1297</v>
      </c>
      <c r="D515" s="1" t="s">
        <v>1298</v>
      </c>
      <c r="E515" s="1" t="s">
        <v>1299</v>
      </c>
      <c r="F515" s="1" t="s">
        <v>112</v>
      </c>
      <c r="G515" s="1">
        <v>3912978</v>
      </c>
    </row>
    <row r="516" spans="1:10" x14ac:dyDescent="0.25">
      <c r="A516" s="1" t="str">
        <f t="shared" si="8"/>
        <v>18</v>
      </c>
      <c r="B5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16" s="1" t="s">
        <v>1300</v>
      </c>
      <c r="D516" s="1" t="s">
        <v>1301</v>
      </c>
      <c r="E516" s="1" t="s">
        <v>1302</v>
      </c>
      <c r="F516" s="1" t="s">
        <v>112</v>
      </c>
      <c r="G516" s="1">
        <v>3582732</v>
      </c>
    </row>
    <row r="517" spans="1:10" x14ac:dyDescent="0.25">
      <c r="A517" s="1" t="str">
        <f t="shared" si="8"/>
        <v>18</v>
      </c>
      <c r="B5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17" s="1" t="s">
        <v>1303</v>
      </c>
      <c r="D517" s="1" t="s">
        <v>1304</v>
      </c>
      <c r="E517" s="1" t="s">
        <v>1305</v>
      </c>
      <c r="F517" s="1" t="s">
        <v>112</v>
      </c>
      <c r="G517" s="1">
        <v>4146537</v>
      </c>
    </row>
    <row r="518" spans="1:10" x14ac:dyDescent="0.25">
      <c r="A518" s="1" t="str">
        <f t="shared" si="8"/>
        <v>18</v>
      </c>
      <c r="B5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18" s="1" t="s">
        <v>1306</v>
      </c>
      <c r="D518" s="1" t="s">
        <v>1307</v>
      </c>
      <c r="E518" s="1" t="s">
        <v>1308</v>
      </c>
      <c r="F518" s="1" t="s">
        <v>112</v>
      </c>
      <c r="G518" s="1">
        <v>2370507</v>
      </c>
    </row>
    <row r="519" spans="1:10" x14ac:dyDescent="0.25">
      <c r="A519" s="1" t="str">
        <f t="shared" si="8"/>
        <v>18</v>
      </c>
      <c r="B5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19" s="1" t="s">
        <v>1309</v>
      </c>
      <c r="D519" s="1" t="s">
        <v>1310</v>
      </c>
      <c r="E519" s="1" t="s">
        <v>1311</v>
      </c>
      <c r="F519" s="1" t="s">
        <v>112</v>
      </c>
      <c r="G519" s="1">
        <v>2195088</v>
      </c>
    </row>
    <row r="520" spans="1:10" x14ac:dyDescent="0.25">
      <c r="A520" s="1" t="str">
        <f t="shared" si="8"/>
        <v>18</v>
      </c>
      <c r="B5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20" s="1" t="s">
        <v>1312</v>
      </c>
      <c r="D520" s="1" t="s">
        <v>1313</v>
      </c>
      <c r="E520" s="1" t="s">
        <v>1314</v>
      </c>
      <c r="F520" s="1" t="s">
        <v>112</v>
      </c>
      <c r="G520" s="1">
        <v>1887533</v>
      </c>
    </row>
    <row r="521" spans="1:10" x14ac:dyDescent="0.25">
      <c r="A521" s="1" t="str">
        <f t="shared" si="8"/>
        <v/>
      </c>
      <c r="B5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1" s="1" t="s">
        <v>112</v>
      </c>
    </row>
    <row r="522" spans="1:10" x14ac:dyDescent="0.25">
      <c r="A522" s="1" t="str">
        <f t="shared" si="8"/>
        <v/>
      </c>
      <c r="B5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2" s="1" t="s">
        <v>237</v>
      </c>
      <c r="D522" s="1" t="s">
        <v>112</v>
      </c>
      <c r="E522" s="1" t="s">
        <v>238</v>
      </c>
      <c r="F522" s="1" t="s">
        <v>239</v>
      </c>
      <c r="G522" s="1" t="s">
        <v>240</v>
      </c>
      <c r="H522" s="1" t="s">
        <v>241</v>
      </c>
      <c r="I522" s="1" t="s">
        <v>242</v>
      </c>
      <c r="J522" s="1" t="s">
        <v>243</v>
      </c>
    </row>
    <row r="523" spans="1:10" x14ac:dyDescent="0.25">
      <c r="A523" s="1" t="str">
        <f t="shared" si="8"/>
        <v>18</v>
      </c>
      <c r="B5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523" s="1" t="s">
        <v>1315</v>
      </c>
      <c r="D523" s="1" t="s">
        <v>112</v>
      </c>
      <c r="E523" s="1" t="s">
        <v>1316</v>
      </c>
      <c r="F523" s="1" t="s">
        <v>1317</v>
      </c>
      <c r="G523" s="1" t="s">
        <v>1318</v>
      </c>
      <c r="H523" s="1" t="s">
        <v>1319</v>
      </c>
      <c r="I523" s="1">
        <v>24</v>
      </c>
      <c r="J523" s="1">
        <v>24</v>
      </c>
    </row>
    <row r="524" spans="1:10" x14ac:dyDescent="0.25">
      <c r="A524" s="1" t="str">
        <f t="shared" si="8"/>
        <v/>
      </c>
      <c r="B5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4" s="1" t="s">
        <v>112</v>
      </c>
    </row>
    <row r="525" spans="1:10" x14ac:dyDescent="0.25">
      <c r="A525" s="1" t="str">
        <f t="shared" si="8"/>
        <v/>
      </c>
      <c r="B5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5" s="1" t="s">
        <v>112</v>
      </c>
    </row>
    <row r="526" spans="1:10" x14ac:dyDescent="0.25">
      <c r="A526" s="1" t="str">
        <f t="shared" si="8"/>
        <v/>
      </c>
      <c r="B5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6" s="1" t="s">
        <v>112</v>
      </c>
    </row>
    <row r="527" spans="1:10" x14ac:dyDescent="0.25">
      <c r="A527" s="1" t="str">
        <f t="shared" si="8"/>
        <v/>
      </c>
      <c r="B5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7" s="1" t="s">
        <v>112</v>
      </c>
    </row>
    <row r="528" spans="1:10" x14ac:dyDescent="0.25">
      <c r="A528" s="1" t="str">
        <f t="shared" si="8"/>
        <v/>
      </c>
      <c r="B5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8" s="1" t="s">
        <v>112</v>
      </c>
    </row>
    <row r="529" spans="1:7" x14ac:dyDescent="0.25">
      <c r="A529" s="1" t="str">
        <f t="shared" si="8"/>
        <v/>
      </c>
      <c r="B5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9" s="1" t="s">
        <v>249</v>
      </c>
      <c r="D529" s="1" t="s">
        <v>110</v>
      </c>
      <c r="E529" s="1" t="s">
        <v>111</v>
      </c>
      <c r="F529" s="1" t="s">
        <v>112</v>
      </c>
      <c r="G529" s="1" t="s">
        <v>113</v>
      </c>
    </row>
    <row r="530" spans="1:7" x14ac:dyDescent="0.25">
      <c r="A530" s="1" t="str">
        <f t="shared" si="8"/>
        <v>19</v>
      </c>
      <c r="B53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30" s="1" t="s">
        <v>1320</v>
      </c>
      <c r="D530" s="1" t="s">
        <v>1321</v>
      </c>
      <c r="E530" s="1" t="s">
        <v>1322</v>
      </c>
      <c r="F530" s="1" t="s">
        <v>112</v>
      </c>
      <c r="G530" s="1">
        <v>3590736</v>
      </c>
    </row>
    <row r="531" spans="1:7" x14ac:dyDescent="0.25">
      <c r="A531" s="1" t="str">
        <f t="shared" si="8"/>
        <v>19</v>
      </c>
      <c r="B53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31" s="1" t="s">
        <v>1323</v>
      </c>
      <c r="D531" s="1" t="s">
        <v>1324</v>
      </c>
      <c r="E531" s="1" t="s">
        <v>1325</v>
      </c>
      <c r="F531" s="1" t="s">
        <v>112</v>
      </c>
      <c r="G531" s="1">
        <v>3781706</v>
      </c>
    </row>
    <row r="532" spans="1:7" x14ac:dyDescent="0.25">
      <c r="A532" s="1" t="str">
        <f t="shared" si="8"/>
        <v>19</v>
      </c>
      <c r="B5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32" s="1" t="s">
        <v>1326</v>
      </c>
      <c r="D532" s="1" t="s">
        <v>1327</v>
      </c>
      <c r="E532" s="1" t="s">
        <v>1328</v>
      </c>
      <c r="F532" s="1" t="s">
        <v>112</v>
      </c>
      <c r="G532" s="1">
        <v>3605725</v>
      </c>
    </row>
    <row r="533" spans="1:7" x14ac:dyDescent="0.25">
      <c r="A533" s="1" t="str">
        <f t="shared" si="8"/>
        <v>19</v>
      </c>
      <c r="B5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33" s="1" t="s">
        <v>1329</v>
      </c>
    </row>
    <row r="534" spans="1:7" x14ac:dyDescent="0.25">
      <c r="A534" s="1" t="str">
        <f t="shared" si="8"/>
        <v>19</v>
      </c>
      <c r="B5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34" s="1" t="s">
        <v>1330</v>
      </c>
      <c r="D534" s="1" t="s">
        <v>1331</v>
      </c>
      <c r="E534" s="1" t="s">
        <v>1332</v>
      </c>
      <c r="F534" s="1" t="s">
        <v>112</v>
      </c>
      <c r="G534" s="1">
        <v>729057</v>
      </c>
    </row>
    <row r="535" spans="1:7" x14ac:dyDescent="0.25">
      <c r="A535" s="1" t="str">
        <f t="shared" si="8"/>
        <v>19</v>
      </c>
      <c r="B5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35" s="1" t="s">
        <v>1333</v>
      </c>
    </row>
    <row r="536" spans="1:7" x14ac:dyDescent="0.25">
      <c r="A536" s="1" t="str">
        <f t="shared" si="8"/>
        <v>19</v>
      </c>
      <c r="B5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36" s="1" t="s">
        <v>1334</v>
      </c>
      <c r="D536" s="1" t="s">
        <v>1335</v>
      </c>
      <c r="E536" s="1" t="s">
        <v>1336</v>
      </c>
      <c r="F536" s="1" t="s">
        <v>112</v>
      </c>
      <c r="G536" s="1">
        <v>2104286</v>
      </c>
    </row>
    <row r="537" spans="1:7" x14ac:dyDescent="0.25">
      <c r="A537" s="1" t="str">
        <f t="shared" si="8"/>
        <v>19</v>
      </c>
      <c r="B5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37" s="1" t="s">
        <v>1337</v>
      </c>
      <c r="D537" s="1" t="s">
        <v>1338</v>
      </c>
      <c r="E537" s="1" t="s">
        <v>1339</v>
      </c>
      <c r="F537" s="1" t="s">
        <v>112</v>
      </c>
      <c r="G537" s="1">
        <v>1779340</v>
      </c>
    </row>
    <row r="538" spans="1:7" x14ac:dyDescent="0.25">
      <c r="A538" s="1" t="str">
        <f t="shared" si="8"/>
        <v>19</v>
      </c>
      <c r="B5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38" s="1" t="s">
        <v>1340</v>
      </c>
      <c r="D538" s="1" t="s">
        <v>1313</v>
      </c>
      <c r="E538" s="1" t="s">
        <v>1341</v>
      </c>
      <c r="F538" s="1" t="s">
        <v>112</v>
      </c>
      <c r="G538" s="1">
        <v>1976670</v>
      </c>
    </row>
    <row r="539" spans="1:7" x14ac:dyDescent="0.25">
      <c r="A539" s="1" t="str">
        <f t="shared" si="8"/>
        <v>19</v>
      </c>
      <c r="B5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39" s="1" t="s">
        <v>1342</v>
      </c>
      <c r="D539" s="1" t="s">
        <v>1343</v>
      </c>
      <c r="E539" s="1" t="s">
        <v>1344</v>
      </c>
      <c r="F539" s="1" t="s">
        <v>112</v>
      </c>
      <c r="G539" s="1">
        <v>3853474</v>
      </c>
    </row>
    <row r="540" spans="1:7" x14ac:dyDescent="0.25">
      <c r="A540" s="1" t="str">
        <f t="shared" si="8"/>
        <v>19</v>
      </c>
      <c r="B5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40" s="1" t="s">
        <v>1345</v>
      </c>
    </row>
    <row r="541" spans="1:7" x14ac:dyDescent="0.25">
      <c r="A541" s="1" t="str">
        <f t="shared" si="8"/>
        <v>19</v>
      </c>
      <c r="B5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41" s="1" t="s">
        <v>1346</v>
      </c>
      <c r="D541" s="1" t="s">
        <v>1347</v>
      </c>
      <c r="E541" s="1" t="s">
        <v>1348</v>
      </c>
      <c r="F541" s="1" t="s">
        <v>112</v>
      </c>
      <c r="G541" s="1">
        <v>3416810</v>
      </c>
    </row>
    <row r="542" spans="1:7" x14ac:dyDescent="0.25">
      <c r="A542" s="1" t="str">
        <f t="shared" si="8"/>
        <v>19</v>
      </c>
      <c r="B5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42" s="1" t="s">
        <v>1349</v>
      </c>
      <c r="D542" s="1" t="s">
        <v>1350</v>
      </c>
      <c r="E542" s="1" t="s">
        <v>1351</v>
      </c>
      <c r="F542" s="1" t="s">
        <v>112</v>
      </c>
      <c r="G542" s="1">
        <v>2850020</v>
      </c>
    </row>
    <row r="543" spans="1:7" x14ac:dyDescent="0.25">
      <c r="A543" s="1" t="str">
        <f t="shared" si="8"/>
        <v>19</v>
      </c>
      <c r="B5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43" s="1" t="s">
        <v>1352</v>
      </c>
      <c r="D543" s="1" t="s">
        <v>1353</v>
      </c>
      <c r="E543" s="1" t="s">
        <v>1354</v>
      </c>
      <c r="F543" s="1" t="s">
        <v>112</v>
      </c>
      <c r="G543" s="1">
        <v>2748554</v>
      </c>
    </row>
    <row r="544" spans="1:7" x14ac:dyDescent="0.25">
      <c r="A544" s="1" t="str">
        <f t="shared" si="8"/>
        <v>19</v>
      </c>
      <c r="B5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44" s="1" t="s">
        <v>1355</v>
      </c>
      <c r="D544" s="1" t="s">
        <v>789</v>
      </c>
      <c r="E544" s="1" t="s">
        <v>1356</v>
      </c>
      <c r="F544" s="1" t="s">
        <v>112</v>
      </c>
      <c r="G544" s="1">
        <v>2708712</v>
      </c>
    </row>
    <row r="545" spans="1:10" x14ac:dyDescent="0.25">
      <c r="A545" s="1" t="str">
        <f t="shared" si="8"/>
        <v>19</v>
      </c>
      <c r="B5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45" s="1" t="s">
        <v>1357</v>
      </c>
      <c r="D545" s="1" t="s">
        <v>1358</v>
      </c>
      <c r="E545" s="1" t="s">
        <v>1359</v>
      </c>
      <c r="F545" s="1" t="s">
        <v>112</v>
      </c>
      <c r="G545" s="1">
        <v>2738647</v>
      </c>
    </row>
    <row r="546" spans="1:10" x14ac:dyDescent="0.25">
      <c r="A546" s="1" t="str">
        <f t="shared" si="8"/>
        <v>19</v>
      </c>
      <c r="B5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46" s="1" t="s">
        <v>1360</v>
      </c>
      <c r="D546" s="1" t="s">
        <v>1361</v>
      </c>
      <c r="E546" s="1" t="s">
        <v>1362</v>
      </c>
      <c r="F546" s="1" t="s">
        <v>112</v>
      </c>
      <c r="G546" s="1">
        <v>2677976</v>
      </c>
    </row>
    <row r="547" spans="1:10" x14ac:dyDescent="0.25">
      <c r="A547" s="1" t="str">
        <f t="shared" si="8"/>
        <v>19</v>
      </c>
      <c r="B5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47" s="1" t="s">
        <v>1363</v>
      </c>
      <c r="D547" s="1" t="s">
        <v>1364</v>
      </c>
      <c r="E547" s="1" t="s">
        <v>1365</v>
      </c>
      <c r="F547" s="1" t="s">
        <v>112</v>
      </c>
      <c r="G547" s="1">
        <v>2762895</v>
      </c>
    </row>
    <row r="548" spans="1:10" x14ac:dyDescent="0.25">
      <c r="A548" s="1" t="str">
        <f t="shared" si="8"/>
        <v>19</v>
      </c>
      <c r="B5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48" s="1" t="s">
        <v>1366</v>
      </c>
      <c r="D548" s="1" t="s">
        <v>1367</v>
      </c>
      <c r="E548" s="1" t="s">
        <v>1368</v>
      </c>
      <c r="F548" s="1" t="s">
        <v>112</v>
      </c>
      <c r="G548" s="1">
        <v>2596820</v>
      </c>
    </row>
    <row r="549" spans="1:10" x14ac:dyDescent="0.25">
      <c r="A549" s="1" t="str">
        <f t="shared" si="8"/>
        <v>19</v>
      </c>
      <c r="B5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49" s="1" t="s">
        <v>1369</v>
      </c>
      <c r="D549" s="1" t="s">
        <v>1370</v>
      </c>
      <c r="E549" s="1" t="s">
        <v>1371</v>
      </c>
      <c r="F549" s="1" t="s">
        <v>112</v>
      </c>
      <c r="G549" s="1">
        <v>2955574</v>
      </c>
    </row>
    <row r="550" spans="1:10" x14ac:dyDescent="0.25">
      <c r="A550" s="1" t="str">
        <f t="shared" si="8"/>
        <v>19</v>
      </c>
      <c r="B5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50" s="1" t="s">
        <v>1372</v>
      </c>
      <c r="D550" s="1" t="s">
        <v>1373</v>
      </c>
      <c r="E550" s="1" t="s">
        <v>1374</v>
      </c>
      <c r="F550" s="1" t="s">
        <v>112</v>
      </c>
      <c r="G550" s="1">
        <v>2654961</v>
      </c>
    </row>
    <row r="551" spans="1:10" x14ac:dyDescent="0.25">
      <c r="A551" s="1" t="str">
        <f t="shared" si="8"/>
        <v>19</v>
      </c>
      <c r="B5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51" s="1" t="s">
        <v>1375</v>
      </c>
      <c r="D551" s="1" t="s">
        <v>1376</v>
      </c>
      <c r="E551" s="1" t="s">
        <v>1377</v>
      </c>
      <c r="F551" s="1" t="s">
        <v>112</v>
      </c>
      <c r="G551" s="1">
        <v>1620490</v>
      </c>
    </row>
    <row r="552" spans="1:10" x14ac:dyDescent="0.25">
      <c r="A552" s="1" t="str">
        <f t="shared" si="8"/>
        <v>19</v>
      </c>
      <c r="B5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52" s="1" t="s">
        <v>1378</v>
      </c>
      <c r="D552" s="1" t="s">
        <v>1379</v>
      </c>
      <c r="E552" s="1" t="s">
        <v>1380</v>
      </c>
      <c r="F552" s="1" t="s">
        <v>112</v>
      </c>
      <c r="G552" s="1">
        <v>1528044</v>
      </c>
    </row>
    <row r="553" spans="1:10" x14ac:dyDescent="0.25">
      <c r="A553" s="1" t="str">
        <f t="shared" si="8"/>
        <v>19</v>
      </c>
      <c r="B5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53" s="1" t="s">
        <v>1381</v>
      </c>
      <c r="D553" s="1" t="s">
        <v>1382</v>
      </c>
      <c r="E553" s="1" t="s">
        <v>1383</v>
      </c>
      <c r="F553" s="1" t="s">
        <v>112</v>
      </c>
      <c r="G553" s="1">
        <v>1322149</v>
      </c>
    </row>
    <row r="554" spans="1:10" x14ac:dyDescent="0.25">
      <c r="A554" s="1" t="str">
        <f t="shared" si="8"/>
        <v/>
      </c>
      <c r="B5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4" s="1" t="s">
        <v>112</v>
      </c>
    </row>
    <row r="555" spans="1:10" x14ac:dyDescent="0.25">
      <c r="A555" s="1" t="str">
        <f t="shared" si="8"/>
        <v/>
      </c>
      <c r="B5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5" s="1" t="s">
        <v>237</v>
      </c>
      <c r="D555" s="1" t="s">
        <v>112</v>
      </c>
      <c r="E555" s="1" t="s">
        <v>238</v>
      </c>
      <c r="F555" s="1" t="s">
        <v>239</v>
      </c>
      <c r="G555" s="1" t="s">
        <v>240</v>
      </c>
      <c r="H555" s="1" t="s">
        <v>241</v>
      </c>
      <c r="I555" s="1" t="s">
        <v>242</v>
      </c>
      <c r="J555" s="1" t="s">
        <v>243</v>
      </c>
    </row>
    <row r="556" spans="1:10" x14ac:dyDescent="0.25">
      <c r="A556" s="1" t="str">
        <f t="shared" si="8"/>
        <v>19</v>
      </c>
      <c r="B5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556" s="1" t="s">
        <v>1384</v>
      </c>
      <c r="D556" s="1" t="s">
        <v>112</v>
      </c>
      <c r="E556" s="1" t="s">
        <v>1385</v>
      </c>
      <c r="F556" s="1" t="s">
        <v>1386</v>
      </c>
      <c r="G556" s="1" t="s">
        <v>1387</v>
      </c>
      <c r="H556" s="1" t="s">
        <v>1388</v>
      </c>
      <c r="I556" s="1">
        <v>24</v>
      </c>
      <c r="J556" s="1">
        <v>24</v>
      </c>
    </row>
    <row r="557" spans="1:10" x14ac:dyDescent="0.25">
      <c r="A557" s="1" t="str">
        <f t="shared" si="8"/>
        <v/>
      </c>
      <c r="B5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7" s="1" t="s">
        <v>112</v>
      </c>
    </row>
    <row r="558" spans="1:10" x14ac:dyDescent="0.25">
      <c r="A558" s="1" t="str">
        <f t="shared" si="8"/>
        <v/>
      </c>
      <c r="B5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8" s="1" t="s">
        <v>112</v>
      </c>
    </row>
    <row r="559" spans="1:10" x14ac:dyDescent="0.25">
      <c r="A559" s="1" t="str">
        <f t="shared" si="8"/>
        <v/>
      </c>
      <c r="B5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9" s="1" t="s">
        <v>112</v>
      </c>
    </row>
    <row r="560" spans="1:10" x14ac:dyDescent="0.25">
      <c r="A560" s="1" t="str">
        <f t="shared" si="8"/>
        <v/>
      </c>
      <c r="B5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60" s="1" t="s">
        <v>112</v>
      </c>
    </row>
    <row r="561" spans="1:7" x14ac:dyDescent="0.25">
      <c r="A561" s="1" t="str">
        <f t="shared" si="8"/>
        <v/>
      </c>
      <c r="B5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61" s="1" t="s">
        <v>112</v>
      </c>
    </row>
    <row r="562" spans="1:7" x14ac:dyDescent="0.25">
      <c r="A562" s="1" t="str">
        <f t="shared" si="8"/>
        <v/>
      </c>
      <c r="B5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62" s="1" t="s">
        <v>249</v>
      </c>
      <c r="D562" s="1" t="s">
        <v>110</v>
      </c>
      <c r="E562" s="1" t="s">
        <v>111</v>
      </c>
      <c r="F562" s="1" t="s">
        <v>112</v>
      </c>
      <c r="G562" s="1" t="s">
        <v>113</v>
      </c>
    </row>
    <row r="563" spans="1:7" x14ac:dyDescent="0.25">
      <c r="A563" s="1" t="str">
        <f t="shared" si="8"/>
        <v>20</v>
      </c>
      <c r="B56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63" s="1" t="s">
        <v>1389</v>
      </c>
      <c r="D563" s="1" t="s">
        <v>1390</v>
      </c>
      <c r="E563" s="1" t="s">
        <v>1391</v>
      </c>
      <c r="F563" s="1" t="s">
        <v>112</v>
      </c>
      <c r="G563" s="1">
        <v>4500164</v>
      </c>
    </row>
    <row r="564" spans="1:7" x14ac:dyDescent="0.25">
      <c r="A564" s="1" t="str">
        <f t="shared" si="8"/>
        <v>20</v>
      </c>
      <c r="B56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64" s="1" t="s">
        <v>1392</v>
      </c>
      <c r="D564" s="1" t="s">
        <v>1393</v>
      </c>
      <c r="E564" s="1" t="s">
        <v>1394</v>
      </c>
      <c r="F564" s="1" t="s">
        <v>112</v>
      </c>
      <c r="G564" s="1">
        <v>5251154</v>
      </c>
    </row>
    <row r="565" spans="1:7" x14ac:dyDescent="0.25">
      <c r="A565" s="1" t="str">
        <f t="shared" si="8"/>
        <v>20</v>
      </c>
      <c r="B5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65" s="1" t="s">
        <v>1395</v>
      </c>
      <c r="D565" s="1" t="s">
        <v>1396</v>
      </c>
      <c r="E565" s="1" t="s">
        <v>1397</v>
      </c>
      <c r="F565" s="1" t="s">
        <v>112</v>
      </c>
      <c r="G565" s="1">
        <v>4340428</v>
      </c>
    </row>
    <row r="566" spans="1:7" x14ac:dyDescent="0.25">
      <c r="A566" s="1" t="str">
        <f t="shared" si="8"/>
        <v>20</v>
      </c>
      <c r="B5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66" s="1" t="s">
        <v>1398</v>
      </c>
      <c r="D566" s="1" t="s">
        <v>783</v>
      </c>
      <c r="E566" s="1" t="s">
        <v>1399</v>
      </c>
      <c r="F566" s="1" t="s">
        <v>112</v>
      </c>
      <c r="G566" s="1">
        <v>2764387</v>
      </c>
    </row>
    <row r="567" spans="1:7" x14ac:dyDescent="0.25">
      <c r="A567" s="1" t="str">
        <f t="shared" si="8"/>
        <v>20</v>
      </c>
      <c r="B5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67" s="1" t="s">
        <v>1400</v>
      </c>
      <c r="D567" s="1" t="s">
        <v>1401</v>
      </c>
      <c r="E567" s="1" t="s">
        <v>1402</v>
      </c>
      <c r="F567" s="1" t="s">
        <v>112</v>
      </c>
      <c r="G567" s="1">
        <v>3421590</v>
      </c>
    </row>
    <row r="568" spans="1:7" x14ac:dyDescent="0.25">
      <c r="A568" s="1" t="str">
        <f t="shared" si="8"/>
        <v>20</v>
      </c>
      <c r="B5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68" s="1" t="s">
        <v>1403</v>
      </c>
      <c r="D568" s="1" t="s">
        <v>1404</v>
      </c>
      <c r="E568" s="1" t="s">
        <v>1405</v>
      </c>
      <c r="F568" s="1" t="s">
        <v>112</v>
      </c>
      <c r="G568" s="1">
        <v>3408136</v>
      </c>
    </row>
    <row r="569" spans="1:7" x14ac:dyDescent="0.25">
      <c r="A569" s="1" t="str">
        <f t="shared" si="8"/>
        <v>20</v>
      </c>
      <c r="B5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69" s="1" t="s">
        <v>1406</v>
      </c>
      <c r="D569" s="1" t="s">
        <v>1407</v>
      </c>
      <c r="E569" s="1" t="s">
        <v>1408</v>
      </c>
      <c r="F569" s="1" t="s">
        <v>112</v>
      </c>
      <c r="G569" s="1">
        <v>2735381</v>
      </c>
    </row>
    <row r="570" spans="1:7" x14ac:dyDescent="0.25">
      <c r="A570" s="1" t="str">
        <f t="shared" si="8"/>
        <v>20</v>
      </c>
      <c r="B5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70" s="1" t="s">
        <v>1409</v>
      </c>
      <c r="D570" s="1" t="s">
        <v>1410</v>
      </c>
      <c r="E570" s="1" t="s">
        <v>1411</v>
      </c>
      <c r="F570" s="1" t="s">
        <v>112</v>
      </c>
      <c r="G570" s="1">
        <v>2772217</v>
      </c>
    </row>
    <row r="571" spans="1:7" x14ac:dyDescent="0.25">
      <c r="A571" s="1" t="str">
        <f t="shared" si="8"/>
        <v>20</v>
      </c>
      <c r="B5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71" s="1" t="s">
        <v>1412</v>
      </c>
      <c r="D571" s="1" t="s">
        <v>1413</v>
      </c>
      <c r="E571" s="1" t="s">
        <v>1414</v>
      </c>
      <c r="F571" s="1" t="s">
        <v>112</v>
      </c>
      <c r="G571" s="1">
        <v>2792419</v>
      </c>
    </row>
    <row r="572" spans="1:7" x14ac:dyDescent="0.25">
      <c r="A572" s="1" t="str">
        <f t="shared" si="8"/>
        <v>20</v>
      </c>
      <c r="B5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72" s="1" t="s">
        <v>1415</v>
      </c>
      <c r="D572" s="1" t="s">
        <v>916</v>
      </c>
      <c r="E572" s="1" t="s">
        <v>1416</v>
      </c>
      <c r="F572" s="1" t="s">
        <v>112</v>
      </c>
      <c r="G572" s="1">
        <v>4464648</v>
      </c>
    </row>
    <row r="573" spans="1:7" x14ac:dyDescent="0.25">
      <c r="A573" s="1" t="str">
        <f t="shared" si="8"/>
        <v>20</v>
      </c>
      <c r="B5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73" s="1" t="s">
        <v>1417</v>
      </c>
      <c r="D573" s="1" t="s">
        <v>1418</v>
      </c>
      <c r="E573" s="1" t="s">
        <v>1419</v>
      </c>
      <c r="F573" s="1" t="s">
        <v>112</v>
      </c>
      <c r="G573" s="1">
        <v>4573057</v>
      </c>
    </row>
    <row r="574" spans="1:7" x14ac:dyDescent="0.25">
      <c r="A574" s="1" t="str">
        <f t="shared" si="8"/>
        <v>20</v>
      </c>
      <c r="B5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74" s="1" t="s">
        <v>1420</v>
      </c>
      <c r="D574" s="1" t="s">
        <v>1421</v>
      </c>
      <c r="E574" s="1" t="s">
        <v>1422</v>
      </c>
      <c r="F574" s="1" t="s">
        <v>112</v>
      </c>
      <c r="G574" s="1">
        <v>5157886</v>
      </c>
    </row>
    <row r="575" spans="1:7" x14ac:dyDescent="0.25">
      <c r="A575" s="1" t="str">
        <f t="shared" si="8"/>
        <v>20</v>
      </c>
      <c r="B5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75" s="1" t="s">
        <v>1423</v>
      </c>
      <c r="D575" s="1" t="s">
        <v>1424</v>
      </c>
      <c r="E575" s="1" t="s">
        <v>1425</v>
      </c>
      <c r="F575" s="1" t="s">
        <v>112</v>
      </c>
      <c r="G575" s="1">
        <v>3792305</v>
      </c>
    </row>
    <row r="576" spans="1:7" x14ac:dyDescent="0.25">
      <c r="A576" s="1" t="str">
        <f t="shared" si="8"/>
        <v>20</v>
      </c>
      <c r="B5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76" s="1" t="s">
        <v>1426</v>
      </c>
      <c r="D576" s="1" t="s">
        <v>1427</v>
      </c>
      <c r="E576" s="1" t="s">
        <v>1428</v>
      </c>
      <c r="F576" s="1" t="s">
        <v>112</v>
      </c>
      <c r="G576" s="1">
        <v>4138210</v>
      </c>
    </row>
    <row r="577" spans="1:10" x14ac:dyDescent="0.25">
      <c r="A577" s="1" t="str">
        <f t="shared" si="8"/>
        <v>20</v>
      </c>
      <c r="B5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77" s="1" t="s">
        <v>1429</v>
      </c>
      <c r="D577" s="1" t="s">
        <v>1430</v>
      </c>
      <c r="E577" s="1" t="s">
        <v>1431</v>
      </c>
      <c r="F577" s="1" t="s">
        <v>112</v>
      </c>
      <c r="G577" s="1">
        <v>4225854</v>
      </c>
    </row>
    <row r="578" spans="1:10" x14ac:dyDescent="0.25">
      <c r="A578" s="1" t="str">
        <f t="shared" ref="A578:A641" si="9">IFERROR(LEFT(RIGHT(C578,LEN(C578)-SEARCH("@",C578)),SEARCH("/",RIGHT(C578,LEN(C578)-SEARCH("@",C578)-1))),"")</f>
        <v>20</v>
      </c>
      <c r="B5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78" s="1" t="s">
        <v>1432</v>
      </c>
      <c r="D578" s="1" t="s">
        <v>1433</v>
      </c>
      <c r="E578" s="1" t="s">
        <v>1434</v>
      </c>
      <c r="F578" s="1" t="s">
        <v>112</v>
      </c>
      <c r="G578" s="1">
        <v>4731648</v>
      </c>
    </row>
    <row r="579" spans="1:10" x14ac:dyDescent="0.25">
      <c r="A579" s="1" t="str">
        <f t="shared" si="9"/>
        <v>20</v>
      </c>
      <c r="B5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79" s="1" t="s">
        <v>1435</v>
      </c>
      <c r="D579" s="1" t="s">
        <v>1436</v>
      </c>
      <c r="E579" s="1" t="s">
        <v>1437</v>
      </c>
      <c r="F579" s="1" t="s">
        <v>112</v>
      </c>
      <c r="G579" s="1">
        <v>4013405</v>
      </c>
    </row>
    <row r="580" spans="1:10" x14ac:dyDescent="0.25">
      <c r="A580" s="1" t="str">
        <f t="shared" si="9"/>
        <v>20</v>
      </c>
      <c r="B5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80" s="1" t="s">
        <v>1438</v>
      </c>
      <c r="D580" s="1" t="s">
        <v>1439</v>
      </c>
      <c r="E580" s="1" t="s">
        <v>1440</v>
      </c>
      <c r="F580" s="1" t="s">
        <v>112</v>
      </c>
      <c r="G580" s="1">
        <v>3940707</v>
      </c>
    </row>
    <row r="581" spans="1:10" x14ac:dyDescent="0.25">
      <c r="A581" s="1" t="str">
        <f t="shared" si="9"/>
        <v>20</v>
      </c>
      <c r="B5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81" s="1" t="s">
        <v>1441</v>
      </c>
      <c r="D581" s="1" t="s">
        <v>1442</v>
      </c>
      <c r="E581" s="1" t="s">
        <v>1443</v>
      </c>
      <c r="F581" s="1" t="s">
        <v>112</v>
      </c>
      <c r="G581" s="1">
        <v>3374004</v>
      </c>
    </row>
    <row r="582" spans="1:10" x14ac:dyDescent="0.25">
      <c r="A582" s="1" t="str">
        <f t="shared" si="9"/>
        <v>20</v>
      </c>
      <c r="B5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82" s="1" t="s">
        <v>1444</v>
      </c>
      <c r="D582" s="1" t="s">
        <v>1445</v>
      </c>
      <c r="E582" s="1" t="s">
        <v>1446</v>
      </c>
      <c r="F582" s="1" t="s">
        <v>112</v>
      </c>
      <c r="G582" s="1">
        <v>3196076</v>
      </c>
    </row>
    <row r="583" spans="1:10" x14ac:dyDescent="0.25">
      <c r="A583" s="1" t="str">
        <f t="shared" si="9"/>
        <v>20</v>
      </c>
      <c r="B5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83" s="1" t="s">
        <v>1447</v>
      </c>
      <c r="D583" s="1" t="s">
        <v>1448</v>
      </c>
      <c r="E583" s="1" t="s">
        <v>1449</v>
      </c>
      <c r="F583" s="1" t="s">
        <v>112</v>
      </c>
      <c r="G583" s="1">
        <v>3447200</v>
      </c>
    </row>
    <row r="584" spans="1:10" x14ac:dyDescent="0.25">
      <c r="A584" s="1" t="str">
        <f t="shared" si="9"/>
        <v>20</v>
      </c>
      <c r="B5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4" s="1" t="s">
        <v>1450</v>
      </c>
      <c r="D584" s="1" t="s">
        <v>1451</v>
      </c>
      <c r="E584" s="1" t="s">
        <v>1452</v>
      </c>
      <c r="F584" s="1" t="s">
        <v>112</v>
      </c>
      <c r="G584" s="1">
        <v>1317239</v>
      </c>
    </row>
    <row r="585" spans="1:10" x14ac:dyDescent="0.25">
      <c r="A585" s="1" t="str">
        <f t="shared" si="9"/>
        <v>20</v>
      </c>
      <c r="B5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5" s="1" t="s">
        <v>1453</v>
      </c>
      <c r="D585" s="1" t="s">
        <v>1454</v>
      </c>
      <c r="E585" s="1" t="s">
        <v>1455</v>
      </c>
      <c r="F585" s="1" t="s">
        <v>112</v>
      </c>
      <c r="G585" s="1">
        <v>1403996</v>
      </c>
    </row>
    <row r="586" spans="1:10" x14ac:dyDescent="0.25">
      <c r="A586" s="1" t="str">
        <f t="shared" si="9"/>
        <v>20</v>
      </c>
      <c r="B5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6" s="1" t="s">
        <v>1456</v>
      </c>
      <c r="D586" s="1" t="s">
        <v>1457</v>
      </c>
      <c r="E586" s="1" t="s">
        <v>1458</v>
      </c>
      <c r="F586" s="1" t="s">
        <v>112</v>
      </c>
      <c r="G586" s="1">
        <v>1197323</v>
      </c>
    </row>
    <row r="587" spans="1:10" x14ac:dyDescent="0.25">
      <c r="A587" s="1" t="str">
        <f t="shared" si="9"/>
        <v/>
      </c>
      <c r="B5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87" s="1" t="s">
        <v>112</v>
      </c>
    </row>
    <row r="588" spans="1:10" x14ac:dyDescent="0.25">
      <c r="A588" s="1" t="str">
        <f t="shared" si="9"/>
        <v/>
      </c>
      <c r="B5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88" s="1" t="s">
        <v>237</v>
      </c>
      <c r="D588" s="1" t="s">
        <v>112</v>
      </c>
      <c r="E588" s="1" t="s">
        <v>238</v>
      </c>
      <c r="F588" s="1" t="s">
        <v>239</v>
      </c>
      <c r="G588" s="1" t="s">
        <v>240</v>
      </c>
      <c r="H588" s="1" t="s">
        <v>241</v>
      </c>
      <c r="I588" s="1" t="s">
        <v>242</v>
      </c>
      <c r="J588" s="1" t="s">
        <v>243</v>
      </c>
    </row>
    <row r="589" spans="1:10" x14ac:dyDescent="0.25">
      <c r="A589" s="1" t="str">
        <f t="shared" si="9"/>
        <v>20</v>
      </c>
      <c r="B5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589" s="1" t="s">
        <v>1459</v>
      </c>
      <c r="D589" s="1" t="s">
        <v>112</v>
      </c>
      <c r="E589" s="1" t="s">
        <v>1460</v>
      </c>
      <c r="F589" s="1" t="s">
        <v>1461</v>
      </c>
      <c r="G589" s="1" t="s">
        <v>1462</v>
      </c>
      <c r="H589" s="1" t="s">
        <v>1463</v>
      </c>
      <c r="I589" s="1">
        <v>24</v>
      </c>
      <c r="J589" s="1">
        <v>24</v>
      </c>
    </row>
    <row r="590" spans="1:10" x14ac:dyDescent="0.25">
      <c r="A590" s="1" t="str">
        <f t="shared" si="9"/>
        <v/>
      </c>
      <c r="B5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0" s="1" t="s">
        <v>112</v>
      </c>
    </row>
    <row r="591" spans="1:10" x14ac:dyDescent="0.25">
      <c r="A591" s="1" t="str">
        <f t="shared" si="9"/>
        <v/>
      </c>
      <c r="B5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1" s="1" t="s">
        <v>112</v>
      </c>
    </row>
    <row r="592" spans="1:10" x14ac:dyDescent="0.25">
      <c r="A592" s="1" t="str">
        <f t="shared" si="9"/>
        <v/>
      </c>
      <c r="B5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2" s="1" t="s">
        <v>112</v>
      </c>
    </row>
    <row r="593" spans="1:7" x14ac:dyDescent="0.25">
      <c r="A593" s="1" t="str">
        <f t="shared" si="9"/>
        <v/>
      </c>
      <c r="B5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3" s="1" t="s">
        <v>112</v>
      </c>
    </row>
    <row r="594" spans="1:7" x14ac:dyDescent="0.25">
      <c r="A594" s="1" t="str">
        <f t="shared" si="9"/>
        <v/>
      </c>
      <c r="B5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4" s="1" t="s">
        <v>112</v>
      </c>
    </row>
    <row r="595" spans="1:7" x14ac:dyDescent="0.25">
      <c r="A595" s="1" t="str">
        <f t="shared" si="9"/>
        <v/>
      </c>
      <c r="B5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5" s="1" t="s">
        <v>249</v>
      </c>
      <c r="D595" s="1" t="s">
        <v>110</v>
      </c>
      <c r="E595" s="1" t="s">
        <v>111</v>
      </c>
      <c r="F595" s="1" t="s">
        <v>112</v>
      </c>
      <c r="G595" s="1" t="s">
        <v>113</v>
      </c>
    </row>
    <row r="596" spans="1:7" x14ac:dyDescent="0.25">
      <c r="A596" s="1" t="str">
        <f t="shared" si="9"/>
        <v>21</v>
      </c>
      <c r="B59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96" s="1" t="s">
        <v>1464</v>
      </c>
      <c r="D596" s="1" t="s">
        <v>1465</v>
      </c>
      <c r="E596" s="1" t="s">
        <v>1466</v>
      </c>
      <c r="F596" s="1" t="s">
        <v>112</v>
      </c>
      <c r="G596" s="1">
        <v>6667675</v>
      </c>
    </row>
    <row r="597" spans="1:7" x14ac:dyDescent="0.25">
      <c r="A597" s="1" t="str">
        <f t="shared" si="9"/>
        <v>21</v>
      </c>
      <c r="B59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97" s="1" t="s">
        <v>1467</v>
      </c>
      <c r="D597" s="1" t="s">
        <v>1468</v>
      </c>
      <c r="E597" s="1" t="s">
        <v>1469</v>
      </c>
      <c r="F597" s="1" t="s">
        <v>112</v>
      </c>
      <c r="G597" s="1">
        <v>5976729</v>
      </c>
    </row>
    <row r="598" spans="1:7" x14ac:dyDescent="0.25">
      <c r="A598" s="1" t="str">
        <f t="shared" si="9"/>
        <v>21</v>
      </c>
      <c r="B59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98" s="1" t="s">
        <v>1470</v>
      </c>
      <c r="D598" s="1" t="s">
        <v>1471</v>
      </c>
      <c r="E598" s="1" t="s">
        <v>1472</v>
      </c>
      <c r="F598" s="1" t="s">
        <v>112</v>
      </c>
      <c r="G598" s="1">
        <v>5803020</v>
      </c>
    </row>
    <row r="599" spans="1:7" x14ac:dyDescent="0.25">
      <c r="A599" s="1" t="str">
        <f t="shared" si="9"/>
        <v>21</v>
      </c>
      <c r="B5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99" s="1" t="s">
        <v>1473</v>
      </c>
      <c r="D599" s="1" t="s">
        <v>1474</v>
      </c>
      <c r="E599" s="1" t="s">
        <v>1475</v>
      </c>
      <c r="F599" s="1" t="s">
        <v>112</v>
      </c>
      <c r="G599" s="1">
        <v>4373500</v>
      </c>
    </row>
    <row r="600" spans="1:7" x14ac:dyDescent="0.25">
      <c r="A600" s="1" t="str">
        <f t="shared" si="9"/>
        <v>21</v>
      </c>
      <c r="B6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00" s="1" t="s">
        <v>1476</v>
      </c>
      <c r="D600" s="1" t="s">
        <v>1477</v>
      </c>
      <c r="E600" s="1" t="s">
        <v>1478</v>
      </c>
      <c r="F600" s="1" t="s">
        <v>112</v>
      </c>
      <c r="G600" s="1">
        <v>5338280</v>
      </c>
    </row>
    <row r="601" spans="1:7" x14ac:dyDescent="0.25">
      <c r="A601" s="1" t="str">
        <f t="shared" si="9"/>
        <v>21</v>
      </c>
      <c r="B6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01" s="1" t="s">
        <v>1479</v>
      </c>
      <c r="D601" s="1" t="s">
        <v>1480</v>
      </c>
      <c r="E601" s="1" t="s">
        <v>1481</v>
      </c>
      <c r="F601" s="1" t="s">
        <v>112</v>
      </c>
      <c r="G601" s="1">
        <v>5473380</v>
      </c>
    </row>
    <row r="602" spans="1:7" x14ac:dyDescent="0.25">
      <c r="A602" s="1" t="str">
        <f t="shared" si="9"/>
        <v>21</v>
      </c>
      <c r="B6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02" s="1" t="s">
        <v>1482</v>
      </c>
      <c r="D602" s="1" t="s">
        <v>1483</v>
      </c>
      <c r="E602" s="1" t="s">
        <v>1484</v>
      </c>
      <c r="F602" s="1" t="s">
        <v>112</v>
      </c>
      <c r="G602" s="1">
        <v>1535203</v>
      </c>
    </row>
    <row r="603" spans="1:7" x14ac:dyDescent="0.25">
      <c r="A603" s="1" t="str">
        <f t="shared" si="9"/>
        <v>21</v>
      </c>
      <c r="B6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03" s="1" t="s">
        <v>1485</v>
      </c>
      <c r="D603" s="1" t="s">
        <v>1486</v>
      </c>
      <c r="E603" s="1" t="s">
        <v>1487</v>
      </c>
      <c r="F603" s="1" t="s">
        <v>112</v>
      </c>
      <c r="G603" s="1">
        <v>888340</v>
      </c>
    </row>
    <row r="604" spans="1:7" x14ac:dyDescent="0.25">
      <c r="A604" s="1" t="str">
        <f t="shared" si="9"/>
        <v>21</v>
      </c>
      <c r="B6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04" s="1" t="s">
        <v>1488</v>
      </c>
      <c r="D604" s="1" t="s">
        <v>1489</v>
      </c>
      <c r="E604" s="1" t="s">
        <v>1490</v>
      </c>
      <c r="F604" s="1" t="s">
        <v>112</v>
      </c>
      <c r="G604" s="1">
        <v>1257238</v>
      </c>
    </row>
    <row r="605" spans="1:7" x14ac:dyDescent="0.25">
      <c r="A605" s="1" t="str">
        <f t="shared" si="9"/>
        <v>21</v>
      </c>
      <c r="B6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05" s="1" t="s">
        <v>1491</v>
      </c>
      <c r="D605" s="1" t="s">
        <v>1492</v>
      </c>
      <c r="E605" s="1" t="s">
        <v>1493</v>
      </c>
      <c r="F605" s="1" t="s">
        <v>112</v>
      </c>
      <c r="G605" s="1">
        <v>2999785</v>
      </c>
    </row>
    <row r="606" spans="1:7" x14ac:dyDescent="0.25">
      <c r="A606" s="1" t="str">
        <f t="shared" si="9"/>
        <v>21</v>
      </c>
      <c r="B6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06" s="1" t="s">
        <v>1494</v>
      </c>
      <c r="D606" s="1" t="s">
        <v>1495</v>
      </c>
      <c r="E606" s="1" t="s">
        <v>1496</v>
      </c>
      <c r="F606" s="1" t="s">
        <v>112</v>
      </c>
      <c r="G606" s="1">
        <v>3103371</v>
      </c>
    </row>
    <row r="607" spans="1:7" x14ac:dyDescent="0.25">
      <c r="A607" s="1" t="str">
        <f t="shared" si="9"/>
        <v>21</v>
      </c>
      <c r="B6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07" s="1" t="s">
        <v>1497</v>
      </c>
      <c r="D607" s="1" t="s">
        <v>1498</v>
      </c>
      <c r="E607" s="1" t="s">
        <v>1499</v>
      </c>
      <c r="F607" s="1" t="s">
        <v>112</v>
      </c>
      <c r="G607" s="1">
        <v>2743514</v>
      </c>
    </row>
    <row r="608" spans="1:7" x14ac:dyDescent="0.25">
      <c r="A608" s="1" t="str">
        <f t="shared" si="9"/>
        <v>21</v>
      </c>
      <c r="B6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08" s="1" t="s">
        <v>1500</v>
      </c>
      <c r="D608" s="1" t="s">
        <v>810</v>
      </c>
      <c r="E608" s="1" t="s">
        <v>1501</v>
      </c>
      <c r="F608" s="1" t="s">
        <v>112</v>
      </c>
      <c r="G608" s="1">
        <v>3975207</v>
      </c>
    </row>
    <row r="609" spans="1:10" x14ac:dyDescent="0.25">
      <c r="A609" s="1" t="str">
        <f t="shared" si="9"/>
        <v>21</v>
      </c>
      <c r="B6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09" s="1" t="s">
        <v>1502</v>
      </c>
      <c r="D609" s="1" t="s">
        <v>1503</v>
      </c>
      <c r="E609" s="1" t="s">
        <v>1504</v>
      </c>
      <c r="F609" s="1" t="s">
        <v>112</v>
      </c>
      <c r="G609" s="1">
        <v>3748028</v>
      </c>
    </row>
    <row r="610" spans="1:10" x14ac:dyDescent="0.25">
      <c r="A610" s="1" t="str">
        <f t="shared" si="9"/>
        <v>21</v>
      </c>
      <c r="B6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10" s="1" t="s">
        <v>1505</v>
      </c>
      <c r="D610" s="1" t="s">
        <v>1506</v>
      </c>
      <c r="E610" s="1" t="s">
        <v>1507</v>
      </c>
      <c r="F610" s="1" t="s">
        <v>112</v>
      </c>
      <c r="G610" s="1">
        <v>4147035</v>
      </c>
    </row>
    <row r="611" spans="1:10" x14ac:dyDescent="0.25">
      <c r="A611" s="1" t="str">
        <f t="shared" si="9"/>
        <v>21</v>
      </c>
      <c r="B6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11" s="1" t="s">
        <v>1508</v>
      </c>
      <c r="D611" s="1" t="s">
        <v>1509</v>
      </c>
      <c r="E611" s="1" t="s">
        <v>1510</v>
      </c>
      <c r="F611" s="1" t="s">
        <v>112</v>
      </c>
      <c r="G611" s="1">
        <v>4851672</v>
      </c>
    </row>
    <row r="612" spans="1:10" x14ac:dyDescent="0.25">
      <c r="A612" s="1" t="str">
        <f t="shared" si="9"/>
        <v>21</v>
      </c>
      <c r="B6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12" s="1" t="s">
        <v>1511</v>
      </c>
      <c r="D612" s="1" t="s">
        <v>1512</v>
      </c>
      <c r="E612" s="1" t="s">
        <v>1513</v>
      </c>
      <c r="F612" s="1" t="s">
        <v>112</v>
      </c>
      <c r="G612" s="1">
        <v>5362851</v>
      </c>
    </row>
    <row r="613" spans="1:10" x14ac:dyDescent="0.25">
      <c r="A613" s="1" t="str">
        <f t="shared" si="9"/>
        <v>21</v>
      </c>
      <c r="B6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13" s="1" t="s">
        <v>1514</v>
      </c>
    </row>
    <row r="614" spans="1:10" x14ac:dyDescent="0.25">
      <c r="A614" s="1" t="str">
        <f t="shared" si="9"/>
        <v>21</v>
      </c>
      <c r="B6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14" s="1" t="s">
        <v>1515</v>
      </c>
      <c r="D614" s="1" t="s">
        <v>1516</v>
      </c>
      <c r="E614" s="1" t="s">
        <v>1517</v>
      </c>
      <c r="F614" s="1" t="s">
        <v>112</v>
      </c>
      <c r="G614" s="1">
        <v>2372540</v>
      </c>
    </row>
    <row r="615" spans="1:10" x14ac:dyDescent="0.25">
      <c r="A615" s="1" t="str">
        <f t="shared" si="9"/>
        <v>21</v>
      </c>
      <c r="B6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15" s="1" t="s">
        <v>1518</v>
      </c>
      <c r="D615" s="1" t="s">
        <v>1519</v>
      </c>
      <c r="E615" s="1" t="s">
        <v>1520</v>
      </c>
      <c r="F615" s="1" t="s">
        <v>112</v>
      </c>
      <c r="G615" s="1">
        <v>3467315</v>
      </c>
    </row>
    <row r="616" spans="1:10" x14ac:dyDescent="0.25">
      <c r="A616" s="1" t="str">
        <f t="shared" si="9"/>
        <v>21</v>
      </c>
      <c r="B6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16" s="1" t="s">
        <v>1521</v>
      </c>
      <c r="D616" s="1" t="s">
        <v>1522</v>
      </c>
      <c r="E616" s="1" t="s">
        <v>1523</v>
      </c>
      <c r="F616" s="1" t="s">
        <v>112</v>
      </c>
      <c r="G616" s="1">
        <v>2386578</v>
      </c>
    </row>
    <row r="617" spans="1:10" x14ac:dyDescent="0.25">
      <c r="A617" s="1" t="str">
        <f t="shared" si="9"/>
        <v>21</v>
      </c>
      <c r="B6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17" s="1" t="s">
        <v>1524</v>
      </c>
      <c r="D617" s="1" t="s">
        <v>1525</v>
      </c>
      <c r="E617" s="1" t="s">
        <v>1526</v>
      </c>
      <c r="F617" s="1" t="s">
        <v>112</v>
      </c>
      <c r="G617" s="1">
        <v>3640268</v>
      </c>
    </row>
    <row r="618" spans="1:10" x14ac:dyDescent="0.25">
      <c r="A618" s="1" t="str">
        <f t="shared" si="9"/>
        <v>21</v>
      </c>
      <c r="B6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18" s="1" t="s">
        <v>1527</v>
      </c>
      <c r="D618" s="1" t="s">
        <v>1528</v>
      </c>
      <c r="E618" s="1" t="s">
        <v>1529</v>
      </c>
      <c r="F618" s="1" t="s">
        <v>112</v>
      </c>
      <c r="G618" s="1">
        <v>3432729</v>
      </c>
    </row>
    <row r="619" spans="1:10" x14ac:dyDescent="0.25">
      <c r="A619" s="1" t="str">
        <f t="shared" si="9"/>
        <v>21</v>
      </c>
      <c r="B6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19" s="1" t="s">
        <v>1530</v>
      </c>
      <c r="D619" s="1" t="s">
        <v>1531</v>
      </c>
      <c r="E619" s="1" t="s">
        <v>1532</v>
      </c>
      <c r="F619" s="1" t="s">
        <v>112</v>
      </c>
      <c r="G619" s="1">
        <v>3164259</v>
      </c>
    </row>
    <row r="620" spans="1:10" x14ac:dyDescent="0.25">
      <c r="A620" s="1" t="str">
        <f t="shared" si="9"/>
        <v/>
      </c>
      <c r="B6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0" s="1" t="s">
        <v>112</v>
      </c>
    </row>
    <row r="621" spans="1:10" x14ac:dyDescent="0.25">
      <c r="A621" s="1" t="str">
        <f t="shared" si="9"/>
        <v/>
      </c>
      <c r="B6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1" s="1" t="s">
        <v>237</v>
      </c>
      <c r="D621" s="1" t="s">
        <v>112</v>
      </c>
      <c r="E621" s="1" t="s">
        <v>238</v>
      </c>
      <c r="F621" s="1" t="s">
        <v>239</v>
      </c>
      <c r="G621" s="1" t="s">
        <v>240</v>
      </c>
      <c r="H621" s="1" t="s">
        <v>241</v>
      </c>
      <c r="I621" s="1" t="s">
        <v>242</v>
      </c>
      <c r="J621" s="1" t="s">
        <v>243</v>
      </c>
    </row>
    <row r="622" spans="1:10" x14ac:dyDescent="0.25">
      <c r="A622" s="1" t="str">
        <f t="shared" si="9"/>
        <v>21</v>
      </c>
      <c r="B6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22" s="1" t="s">
        <v>1533</v>
      </c>
      <c r="D622" s="1" t="s">
        <v>112</v>
      </c>
      <c r="E622" s="1" t="s">
        <v>1534</v>
      </c>
      <c r="F622" s="1" t="s">
        <v>1535</v>
      </c>
      <c r="G622" s="1" t="s">
        <v>1536</v>
      </c>
      <c r="H622" s="1" t="s">
        <v>1537</v>
      </c>
      <c r="I622" s="1">
        <v>24</v>
      </c>
      <c r="J622" s="1">
        <v>24</v>
      </c>
    </row>
    <row r="623" spans="1:10" x14ac:dyDescent="0.25">
      <c r="A623" s="1" t="str">
        <f t="shared" si="9"/>
        <v/>
      </c>
      <c r="B6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3" s="1" t="s">
        <v>112</v>
      </c>
    </row>
    <row r="624" spans="1:10" x14ac:dyDescent="0.25">
      <c r="A624" s="1" t="str">
        <f t="shared" si="9"/>
        <v/>
      </c>
      <c r="B6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4" s="1" t="s">
        <v>112</v>
      </c>
    </row>
    <row r="625" spans="1:7" x14ac:dyDescent="0.25">
      <c r="A625" s="1" t="str">
        <f t="shared" si="9"/>
        <v/>
      </c>
      <c r="B6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5" s="1" t="s">
        <v>112</v>
      </c>
    </row>
    <row r="626" spans="1:7" x14ac:dyDescent="0.25">
      <c r="A626" s="1" t="str">
        <f t="shared" si="9"/>
        <v/>
      </c>
      <c r="B6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6" s="1" t="s">
        <v>112</v>
      </c>
    </row>
    <row r="627" spans="1:7" x14ac:dyDescent="0.25">
      <c r="A627" s="1" t="str">
        <f t="shared" si="9"/>
        <v/>
      </c>
      <c r="B6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7" s="1" t="s">
        <v>112</v>
      </c>
    </row>
    <row r="628" spans="1:7" x14ac:dyDescent="0.25">
      <c r="A628" s="1" t="str">
        <f t="shared" si="9"/>
        <v/>
      </c>
      <c r="B6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8" s="1" t="s">
        <v>249</v>
      </c>
      <c r="D628" s="1" t="s">
        <v>110</v>
      </c>
      <c r="E628" s="1" t="s">
        <v>111</v>
      </c>
      <c r="F628" s="1" t="s">
        <v>112</v>
      </c>
      <c r="G628" s="1" t="s">
        <v>113</v>
      </c>
    </row>
    <row r="629" spans="1:7" x14ac:dyDescent="0.25">
      <c r="A629" s="1" t="str">
        <f t="shared" si="9"/>
        <v>8</v>
      </c>
      <c r="B62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29" s="1" t="s">
        <v>1538</v>
      </c>
      <c r="D629" s="1" t="s">
        <v>1539</v>
      </c>
      <c r="E629" s="1" t="s">
        <v>1540</v>
      </c>
      <c r="F629" s="1" t="s">
        <v>112</v>
      </c>
      <c r="G629" s="1">
        <v>173255</v>
      </c>
    </row>
    <row r="630" spans="1:7" x14ac:dyDescent="0.25">
      <c r="A630" s="1" t="str">
        <f t="shared" si="9"/>
        <v>8</v>
      </c>
      <c r="B63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30" s="1" t="s">
        <v>1541</v>
      </c>
      <c r="D630" s="1" t="s">
        <v>1542</v>
      </c>
      <c r="E630" s="1" t="s">
        <v>1543</v>
      </c>
      <c r="F630" s="1" t="s">
        <v>112</v>
      </c>
      <c r="G630" s="1">
        <v>552233</v>
      </c>
    </row>
    <row r="631" spans="1:7" x14ac:dyDescent="0.25">
      <c r="A631" s="1" t="str">
        <f t="shared" si="9"/>
        <v>8</v>
      </c>
      <c r="B63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31" s="1" t="s">
        <v>1544</v>
      </c>
      <c r="D631" s="1" t="s">
        <v>1545</v>
      </c>
      <c r="E631" s="1" t="s">
        <v>1546</v>
      </c>
      <c r="F631" s="1" t="s">
        <v>112</v>
      </c>
      <c r="G631" s="1">
        <v>94652</v>
      </c>
    </row>
    <row r="632" spans="1:7" x14ac:dyDescent="0.25">
      <c r="A632" s="1" t="str">
        <f t="shared" si="9"/>
        <v>8</v>
      </c>
      <c r="B6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32" s="1" t="s">
        <v>1547</v>
      </c>
      <c r="D632" s="1" t="s">
        <v>1548</v>
      </c>
      <c r="E632" s="1" t="s">
        <v>1549</v>
      </c>
      <c r="F632" s="1" t="s">
        <v>112</v>
      </c>
      <c r="G632" s="1">
        <v>165707</v>
      </c>
    </row>
    <row r="633" spans="1:7" x14ac:dyDescent="0.25">
      <c r="A633" s="1" t="str">
        <f t="shared" si="9"/>
        <v>8</v>
      </c>
      <c r="B6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33" s="1" t="s">
        <v>1550</v>
      </c>
      <c r="D633" s="1" t="s">
        <v>592</v>
      </c>
      <c r="E633" s="1" t="s">
        <v>1551</v>
      </c>
      <c r="F633" s="1" t="s">
        <v>112</v>
      </c>
      <c r="G633" s="1">
        <v>107371</v>
      </c>
    </row>
    <row r="634" spans="1:7" x14ac:dyDescent="0.25">
      <c r="A634" s="1" t="str">
        <f t="shared" si="9"/>
        <v>8</v>
      </c>
      <c r="B6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34" s="1" t="s">
        <v>1552</v>
      </c>
      <c r="D634" s="1" t="s">
        <v>1553</v>
      </c>
      <c r="E634" s="1" t="s">
        <v>1554</v>
      </c>
      <c r="F634" s="1" t="s">
        <v>112</v>
      </c>
      <c r="G634" s="1">
        <v>93160</v>
      </c>
    </row>
    <row r="635" spans="1:7" x14ac:dyDescent="0.25">
      <c r="A635" s="1" t="str">
        <f t="shared" si="9"/>
        <v>8</v>
      </c>
      <c r="B6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35" s="1" t="s">
        <v>1555</v>
      </c>
      <c r="D635" s="1" t="s">
        <v>1556</v>
      </c>
      <c r="E635" s="1" t="s">
        <v>1557</v>
      </c>
      <c r="F635" s="1" t="s">
        <v>112</v>
      </c>
      <c r="G635" s="1">
        <v>253135</v>
      </c>
    </row>
    <row r="636" spans="1:7" x14ac:dyDescent="0.25">
      <c r="A636" s="1" t="str">
        <f t="shared" si="9"/>
        <v>8</v>
      </c>
      <c r="B6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36" s="1" t="s">
        <v>1558</v>
      </c>
      <c r="D636" s="1" t="s">
        <v>1559</v>
      </c>
      <c r="E636" s="1" t="s">
        <v>1560</v>
      </c>
      <c r="F636" s="1" t="s">
        <v>112</v>
      </c>
      <c r="G636" s="1">
        <v>204251</v>
      </c>
    </row>
    <row r="637" spans="1:7" x14ac:dyDescent="0.25">
      <c r="A637" s="1" t="str">
        <f t="shared" si="9"/>
        <v>8</v>
      </c>
      <c r="B6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37" s="1" t="s">
        <v>1561</v>
      </c>
      <c r="D637" s="1" t="s">
        <v>1562</v>
      </c>
      <c r="E637" s="1" t="s">
        <v>1563</v>
      </c>
      <c r="F637" s="1" t="s">
        <v>112</v>
      </c>
      <c r="G637" s="1">
        <v>263625</v>
      </c>
    </row>
    <row r="638" spans="1:7" x14ac:dyDescent="0.25">
      <c r="A638" s="1" t="str">
        <f t="shared" si="9"/>
        <v>8</v>
      </c>
      <c r="B6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38" s="1" t="s">
        <v>1564</v>
      </c>
      <c r="D638" s="1" t="s">
        <v>1565</v>
      </c>
      <c r="E638" s="1" t="s">
        <v>1566</v>
      </c>
      <c r="F638" s="1" t="s">
        <v>112</v>
      </c>
      <c r="G638" s="1">
        <v>132635</v>
      </c>
    </row>
    <row r="639" spans="1:7" x14ac:dyDescent="0.25">
      <c r="A639" s="1" t="str">
        <f t="shared" si="9"/>
        <v>8</v>
      </c>
      <c r="B6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39" s="1" t="s">
        <v>1567</v>
      </c>
      <c r="D639" s="1" t="s">
        <v>1568</v>
      </c>
      <c r="E639" s="1" t="s">
        <v>1569</v>
      </c>
      <c r="F639" s="1" t="s">
        <v>112</v>
      </c>
      <c r="G639" s="1">
        <v>236674</v>
      </c>
    </row>
    <row r="640" spans="1:7" x14ac:dyDescent="0.25">
      <c r="A640" s="1" t="str">
        <f t="shared" si="9"/>
        <v>8</v>
      </c>
      <c r="B6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40" s="1" t="s">
        <v>1570</v>
      </c>
      <c r="D640" s="1" t="s">
        <v>1571</v>
      </c>
      <c r="E640" s="1" t="s">
        <v>1572</v>
      </c>
      <c r="F640" s="1" t="s">
        <v>112</v>
      </c>
      <c r="G640" s="1">
        <v>365783</v>
      </c>
    </row>
    <row r="641" spans="1:10" x14ac:dyDescent="0.25">
      <c r="A641" s="1" t="str">
        <f t="shared" si="9"/>
        <v>8</v>
      </c>
      <c r="B6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41" s="1" t="s">
        <v>1573</v>
      </c>
      <c r="D641" s="1" t="s">
        <v>1574</v>
      </c>
      <c r="E641" s="1" t="s">
        <v>1575</v>
      </c>
      <c r="F641" s="1" t="s">
        <v>112</v>
      </c>
      <c r="G641" s="1">
        <v>188288</v>
      </c>
    </row>
    <row r="642" spans="1:10" x14ac:dyDescent="0.25">
      <c r="A642" s="1" t="str">
        <f t="shared" ref="A642:A705" si="10">IFERROR(LEFT(RIGHT(C642,LEN(C642)-SEARCH("@",C642)),SEARCH("/",RIGHT(C642,LEN(C642)-SEARCH("@",C642)-1))),"")</f>
        <v>8</v>
      </c>
      <c r="B6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42" s="1" t="s">
        <v>1576</v>
      </c>
      <c r="D642" s="1">
        <v>0</v>
      </c>
      <c r="E642" s="1">
        <v>0</v>
      </c>
      <c r="F642" s="1" t="s">
        <v>112</v>
      </c>
      <c r="G642" s="1">
        <v>0</v>
      </c>
    </row>
    <row r="643" spans="1:10" x14ac:dyDescent="0.25">
      <c r="A643" s="1" t="str">
        <f t="shared" si="10"/>
        <v>8</v>
      </c>
      <c r="B6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43" s="1" t="s">
        <v>1577</v>
      </c>
      <c r="D643" s="1" t="s">
        <v>1578</v>
      </c>
      <c r="E643" s="1" t="s">
        <v>1579</v>
      </c>
      <c r="F643" s="1" t="s">
        <v>112</v>
      </c>
      <c r="G643" s="1">
        <v>344067</v>
      </c>
    </row>
    <row r="644" spans="1:10" x14ac:dyDescent="0.25">
      <c r="A644" s="1" t="str">
        <f t="shared" si="10"/>
        <v>8</v>
      </c>
      <c r="B6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44" s="1" t="s">
        <v>1580</v>
      </c>
      <c r="D644" s="1" t="s">
        <v>640</v>
      </c>
      <c r="E644" s="1" t="s">
        <v>1581</v>
      </c>
      <c r="F644" s="1" t="s">
        <v>112</v>
      </c>
      <c r="G644" s="1">
        <v>114487</v>
      </c>
    </row>
    <row r="645" spans="1:10" x14ac:dyDescent="0.25">
      <c r="A645" s="1" t="str">
        <f t="shared" si="10"/>
        <v>8</v>
      </c>
      <c r="B6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45" s="1" t="s">
        <v>1582</v>
      </c>
      <c r="D645" s="1" t="s">
        <v>486</v>
      </c>
      <c r="E645" s="1" t="s">
        <v>1583</v>
      </c>
      <c r="F645" s="1" t="s">
        <v>112</v>
      </c>
      <c r="G645" s="1">
        <v>42892</v>
      </c>
    </row>
    <row r="646" spans="1:10" x14ac:dyDescent="0.25">
      <c r="A646" s="1" t="str">
        <f t="shared" si="10"/>
        <v>8</v>
      </c>
      <c r="B6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46" s="1" t="s">
        <v>1584</v>
      </c>
      <c r="D646" s="1" t="s">
        <v>1585</v>
      </c>
      <c r="E646" s="1" t="s">
        <v>1586</v>
      </c>
      <c r="F646" s="1" t="s">
        <v>112</v>
      </c>
      <c r="G646" s="1">
        <v>26951</v>
      </c>
    </row>
    <row r="647" spans="1:10" x14ac:dyDescent="0.25">
      <c r="A647" s="1" t="str">
        <f t="shared" si="10"/>
        <v>8</v>
      </c>
      <c r="B6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47" s="1" t="s">
        <v>1587</v>
      </c>
      <c r="D647" s="1" t="s">
        <v>1588</v>
      </c>
      <c r="E647" s="1" t="s">
        <v>1589</v>
      </c>
      <c r="F647" s="1" t="s">
        <v>112</v>
      </c>
      <c r="G647" s="1">
        <v>355033</v>
      </c>
    </row>
    <row r="648" spans="1:10" x14ac:dyDescent="0.25">
      <c r="A648" s="1" t="str">
        <f t="shared" si="10"/>
        <v>8</v>
      </c>
      <c r="B6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48" s="1" t="s">
        <v>1590</v>
      </c>
      <c r="D648" s="1" t="s">
        <v>1591</v>
      </c>
      <c r="E648" s="1" t="s">
        <v>1592</v>
      </c>
      <c r="F648" s="1" t="s">
        <v>112</v>
      </c>
      <c r="G648" s="1">
        <v>209788</v>
      </c>
    </row>
    <row r="649" spans="1:10" x14ac:dyDescent="0.25">
      <c r="A649" s="1" t="str">
        <f t="shared" si="10"/>
        <v>8</v>
      </c>
      <c r="B6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49" s="1" t="s">
        <v>1593</v>
      </c>
      <c r="D649" s="1" t="s">
        <v>1594</v>
      </c>
      <c r="E649" s="1" t="s">
        <v>1595</v>
      </c>
      <c r="F649" s="1" t="s">
        <v>112</v>
      </c>
      <c r="G649" s="1">
        <v>288283</v>
      </c>
    </row>
    <row r="650" spans="1:10" x14ac:dyDescent="0.25">
      <c r="A650" s="1" t="str">
        <f t="shared" si="10"/>
        <v>8</v>
      </c>
      <c r="B6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50" s="1" t="s">
        <v>1596</v>
      </c>
      <c r="D650" s="1" t="s">
        <v>303</v>
      </c>
      <c r="E650" s="1" t="s">
        <v>1597</v>
      </c>
      <c r="F650" s="1" t="s">
        <v>112</v>
      </c>
      <c r="G650" s="1">
        <v>3980</v>
      </c>
    </row>
    <row r="651" spans="1:10" x14ac:dyDescent="0.25">
      <c r="A651" s="1" t="str">
        <f t="shared" si="10"/>
        <v>8</v>
      </c>
      <c r="B6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51" s="1" t="s">
        <v>1598</v>
      </c>
      <c r="D651" s="1" t="s">
        <v>1599</v>
      </c>
      <c r="E651" s="1" t="s">
        <v>1600</v>
      </c>
      <c r="F651" s="1" t="s">
        <v>112</v>
      </c>
      <c r="G651" s="1">
        <v>292393</v>
      </c>
    </row>
    <row r="652" spans="1:10" x14ac:dyDescent="0.25">
      <c r="A652" s="1" t="str">
        <f t="shared" si="10"/>
        <v>8</v>
      </c>
      <c r="B6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52" s="1" t="s">
        <v>1601</v>
      </c>
      <c r="D652" s="1" t="s">
        <v>1602</v>
      </c>
      <c r="E652" s="1" t="s">
        <v>1603</v>
      </c>
      <c r="F652" s="1" t="s">
        <v>112</v>
      </c>
      <c r="G652" s="1">
        <v>226335</v>
      </c>
    </row>
    <row r="653" spans="1:10" x14ac:dyDescent="0.25">
      <c r="A653" s="1" t="str">
        <f t="shared" si="10"/>
        <v/>
      </c>
      <c r="B6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3" s="1" t="s">
        <v>112</v>
      </c>
    </row>
    <row r="654" spans="1:10" x14ac:dyDescent="0.25">
      <c r="A654" s="1" t="str">
        <f t="shared" si="10"/>
        <v/>
      </c>
      <c r="B6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4" s="1" t="s">
        <v>237</v>
      </c>
      <c r="D654" s="1" t="s">
        <v>112</v>
      </c>
      <c r="E654" s="1" t="s">
        <v>238</v>
      </c>
      <c r="F654" s="1" t="s">
        <v>239</v>
      </c>
      <c r="G654" s="1" t="s">
        <v>240</v>
      </c>
      <c r="H654" s="1" t="s">
        <v>241</v>
      </c>
      <c r="I654" s="1" t="s">
        <v>242</v>
      </c>
      <c r="J654" s="1" t="s">
        <v>243</v>
      </c>
    </row>
    <row r="655" spans="1:10" x14ac:dyDescent="0.25">
      <c r="A655" s="1" t="str">
        <f t="shared" si="10"/>
        <v>8</v>
      </c>
      <c r="B6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55" s="1" t="s">
        <v>1604</v>
      </c>
      <c r="D655" s="1" t="s">
        <v>112</v>
      </c>
      <c r="E655" s="1" t="s">
        <v>1605</v>
      </c>
      <c r="F655" s="1" t="s">
        <v>1606</v>
      </c>
      <c r="G655" s="1" t="s">
        <v>1607</v>
      </c>
      <c r="H655" s="1" t="s">
        <v>1608</v>
      </c>
      <c r="I655" s="1">
        <v>23</v>
      </c>
      <c r="J655" s="1">
        <v>24</v>
      </c>
    </row>
    <row r="656" spans="1:10" x14ac:dyDescent="0.25">
      <c r="A656" s="1" t="str">
        <f t="shared" si="10"/>
        <v/>
      </c>
      <c r="B6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6" s="1" t="s">
        <v>112</v>
      </c>
    </row>
    <row r="657" spans="1:7" x14ac:dyDescent="0.25">
      <c r="A657" s="1" t="str">
        <f t="shared" si="10"/>
        <v/>
      </c>
      <c r="B6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7" s="1" t="s">
        <v>112</v>
      </c>
    </row>
    <row r="658" spans="1:7" x14ac:dyDescent="0.25">
      <c r="A658" s="1" t="str">
        <f t="shared" si="10"/>
        <v/>
      </c>
      <c r="B6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8" s="1" t="s">
        <v>112</v>
      </c>
    </row>
    <row r="659" spans="1:7" x14ac:dyDescent="0.25">
      <c r="A659" s="1" t="str">
        <f t="shared" si="10"/>
        <v/>
      </c>
      <c r="B6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9" s="1" t="s">
        <v>112</v>
      </c>
    </row>
    <row r="660" spans="1:7" x14ac:dyDescent="0.25">
      <c r="A660" s="1" t="str">
        <f t="shared" si="10"/>
        <v/>
      </c>
      <c r="B6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60" s="1" t="s">
        <v>112</v>
      </c>
    </row>
    <row r="661" spans="1:7" x14ac:dyDescent="0.25">
      <c r="A661" s="1" t="str">
        <f t="shared" si="10"/>
        <v/>
      </c>
      <c r="B6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61" s="1" t="s">
        <v>249</v>
      </c>
      <c r="D661" s="1" t="s">
        <v>110</v>
      </c>
      <c r="E661" s="1" t="s">
        <v>111</v>
      </c>
      <c r="F661" s="1" t="s">
        <v>112</v>
      </c>
      <c r="G661" s="1" t="s">
        <v>113</v>
      </c>
    </row>
    <row r="662" spans="1:7" x14ac:dyDescent="0.25">
      <c r="A662" s="1" t="str">
        <f t="shared" si="10"/>
        <v>9</v>
      </c>
      <c r="B66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62" s="1" t="s">
        <v>1609</v>
      </c>
      <c r="D662" s="1" t="s">
        <v>1610</v>
      </c>
      <c r="E662" s="1" t="s">
        <v>1611</v>
      </c>
      <c r="F662" s="1" t="s">
        <v>112</v>
      </c>
      <c r="G662" s="1">
        <v>134624</v>
      </c>
    </row>
    <row r="663" spans="1:7" x14ac:dyDescent="0.25">
      <c r="A663" s="1" t="str">
        <f t="shared" si="10"/>
        <v>9</v>
      </c>
      <c r="B66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63" s="1" t="s">
        <v>1612</v>
      </c>
      <c r="D663" s="1" t="s">
        <v>1613</v>
      </c>
      <c r="E663" s="1" t="s">
        <v>1614</v>
      </c>
      <c r="F663" s="1" t="s">
        <v>112</v>
      </c>
      <c r="G663" s="1">
        <v>262933</v>
      </c>
    </row>
    <row r="664" spans="1:7" x14ac:dyDescent="0.25">
      <c r="A664" s="1" t="str">
        <f t="shared" si="10"/>
        <v>9</v>
      </c>
      <c r="B66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64" s="1" t="s">
        <v>1615</v>
      </c>
      <c r="D664" s="1" t="s">
        <v>309</v>
      </c>
      <c r="E664" s="1" t="s">
        <v>1616</v>
      </c>
      <c r="F664" s="1" t="s">
        <v>112</v>
      </c>
      <c r="G664" s="1">
        <v>7051</v>
      </c>
    </row>
    <row r="665" spans="1:7" x14ac:dyDescent="0.25">
      <c r="A665" s="1" t="str">
        <f t="shared" si="10"/>
        <v>9</v>
      </c>
      <c r="B6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65" s="1" t="s">
        <v>1617</v>
      </c>
      <c r="D665" s="1" t="s">
        <v>1618</v>
      </c>
      <c r="E665" s="1" t="s">
        <v>1619</v>
      </c>
      <c r="F665" s="1" t="s">
        <v>112</v>
      </c>
      <c r="G665" s="1">
        <v>501078</v>
      </c>
    </row>
    <row r="666" spans="1:7" x14ac:dyDescent="0.25">
      <c r="A666" s="1" t="str">
        <f t="shared" si="10"/>
        <v>9</v>
      </c>
      <c r="B6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66" s="1" t="s">
        <v>1620</v>
      </c>
      <c r="D666" s="1">
        <v>0</v>
      </c>
      <c r="E666" s="1">
        <v>0</v>
      </c>
      <c r="F666" s="1" t="s">
        <v>112</v>
      </c>
      <c r="G666" s="1">
        <v>0</v>
      </c>
    </row>
    <row r="667" spans="1:7" x14ac:dyDescent="0.25">
      <c r="A667" s="1" t="str">
        <f t="shared" si="10"/>
        <v>9</v>
      </c>
      <c r="B6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67" s="1" t="s">
        <v>1621</v>
      </c>
      <c r="D667" s="1">
        <v>0</v>
      </c>
      <c r="E667" s="1">
        <v>0</v>
      </c>
      <c r="F667" s="1" t="s">
        <v>112</v>
      </c>
      <c r="G667" s="1">
        <v>0</v>
      </c>
    </row>
    <row r="668" spans="1:7" x14ac:dyDescent="0.25">
      <c r="A668" s="1" t="str">
        <f t="shared" si="10"/>
        <v>9</v>
      </c>
      <c r="B6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68" s="1" t="s">
        <v>1622</v>
      </c>
      <c r="D668" s="1" t="s">
        <v>1623</v>
      </c>
      <c r="E668" s="1" t="s">
        <v>1624</v>
      </c>
      <c r="F668" s="1" t="s">
        <v>112</v>
      </c>
      <c r="G668" s="1">
        <v>330786</v>
      </c>
    </row>
    <row r="669" spans="1:7" x14ac:dyDescent="0.25">
      <c r="A669" s="1" t="str">
        <f t="shared" si="10"/>
        <v>9</v>
      </c>
      <c r="B6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69" s="1" t="s">
        <v>1625</v>
      </c>
      <c r="D669" s="1" t="s">
        <v>1626</v>
      </c>
      <c r="E669" s="1" t="s">
        <v>1627</v>
      </c>
      <c r="F669" s="1" t="s">
        <v>112</v>
      </c>
      <c r="G669" s="1">
        <v>288673</v>
      </c>
    </row>
    <row r="670" spans="1:7" x14ac:dyDescent="0.25">
      <c r="A670" s="1" t="str">
        <f t="shared" si="10"/>
        <v>9</v>
      </c>
      <c r="B6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70" s="1" t="s">
        <v>1628</v>
      </c>
      <c r="D670" s="1" t="s">
        <v>1629</v>
      </c>
      <c r="E670" s="1" t="s">
        <v>1630</v>
      </c>
      <c r="F670" s="1" t="s">
        <v>112</v>
      </c>
      <c r="G670" s="1">
        <v>302559</v>
      </c>
    </row>
    <row r="671" spans="1:7" x14ac:dyDescent="0.25">
      <c r="A671" s="1" t="str">
        <f t="shared" si="10"/>
        <v>9</v>
      </c>
      <c r="B6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71" s="1" t="s">
        <v>1631</v>
      </c>
      <c r="D671" s="1" t="s">
        <v>1632</v>
      </c>
      <c r="E671" s="1" t="s">
        <v>1633</v>
      </c>
      <c r="F671" s="1" t="s">
        <v>112</v>
      </c>
      <c r="G671" s="1">
        <v>632220</v>
      </c>
    </row>
    <row r="672" spans="1:7" x14ac:dyDescent="0.25">
      <c r="A672" s="1" t="str">
        <f t="shared" si="10"/>
        <v>9</v>
      </c>
      <c r="B6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72" s="1" t="s">
        <v>1634</v>
      </c>
      <c r="D672" s="1" t="s">
        <v>511</v>
      </c>
      <c r="E672" s="1" t="s">
        <v>1635</v>
      </c>
      <c r="F672" s="1" t="s">
        <v>112</v>
      </c>
      <c r="G672" s="1">
        <v>46548</v>
      </c>
    </row>
    <row r="673" spans="1:10" x14ac:dyDescent="0.25">
      <c r="A673" s="1" t="str">
        <f t="shared" si="10"/>
        <v>9</v>
      </c>
      <c r="B6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73" s="1" t="s">
        <v>1636</v>
      </c>
      <c r="D673" s="1" t="s">
        <v>1637</v>
      </c>
      <c r="E673" s="1" t="s">
        <v>1638</v>
      </c>
      <c r="F673" s="1" t="s">
        <v>112</v>
      </c>
      <c r="G673" s="1">
        <v>156687</v>
      </c>
    </row>
    <row r="674" spans="1:10" x14ac:dyDescent="0.25">
      <c r="A674" s="1" t="str">
        <f t="shared" si="10"/>
        <v>9</v>
      </c>
      <c r="B6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74" s="1" t="s">
        <v>1639</v>
      </c>
      <c r="D674" s="1" t="s">
        <v>1640</v>
      </c>
      <c r="E674" s="1" t="s">
        <v>1641</v>
      </c>
      <c r="F674" s="1" t="s">
        <v>112</v>
      </c>
      <c r="G674" s="1">
        <v>279112</v>
      </c>
    </row>
    <row r="675" spans="1:10" x14ac:dyDescent="0.25">
      <c r="A675" s="1" t="str">
        <f t="shared" si="10"/>
        <v>9</v>
      </c>
      <c r="B6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75" s="1" t="s">
        <v>1642</v>
      </c>
      <c r="D675" s="1" t="s">
        <v>1643</v>
      </c>
      <c r="E675" s="1" t="s">
        <v>1644</v>
      </c>
      <c r="F675" s="1" t="s">
        <v>112</v>
      </c>
      <c r="G675" s="1">
        <v>498526</v>
      </c>
    </row>
    <row r="676" spans="1:10" x14ac:dyDescent="0.25">
      <c r="A676" s="1" t="str">
        <f t="shared" si="10"/>
        <v>9</v>
      </c>
      <c r="B6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76" s="1" t="s">
        <v>1645</v>
      </c>
      <c r="D676" s="1" t="s">
        <v>1646</v>
      </c>
      <c r="E676" s="1" t="s">
        <v>1647</v>
      </c>
      <c r="F676" s="1" t="s">
        <v>112</v>
      </c>
      <c r="G676" s="1">
        <v>21500</v>
      </c>
    </row>
    <row r="677" spans="1:10" x14ac:dyDescent="0.25">
      <c r="A677" s="1" t="str">
        <f t="shared" si="10"/>
        <v>9</v>
      </c>
      <c r="B6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77" s="1" t="s">
        <v>1648</v>
      </c>
      <c r="D677" s="1" t="s">
        <v>1649</v>
      </c>
      <c r="E677" s="1" t="s">
        <v>1650</v>
      </c>
      <c r="F677" s="1" t="s">
        <v>112</v>
      </c>
      <c r="G677" s="1">
        <v>216450</v>
      </c>
    </row>
    <row r="678" spans="1:10" x14ac:dyDescent="0.25">
      <c r="A678" s="1" t="str">
        <f t="shared" si="10"/>
        <v>9</v>
      </c>
      <c r="B6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78" s="1" t="s">
        <v>1651</v>
      </c>
      <c r="D678" s="1" t="s">
        <v>1652</v>
      </c>
      <c r="E678" s="1" t="s">
        <v>1653</v>
      </c>
      <c r="F678" s="1" t="s">
        <v>112</v>
      </c>
      <c r="G678" s="1">
        <v>191749</v>
      </c>
    </row>
    <row r="679" spans="1:10" x14ac:dyDescent="0.25">
      <c r="A679" s="1" t="str">
        <f t="shared" si="10"/>
        <v>9</v>
      </c>
      <c r="B6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79" s="1" t="s">
        <v>1654</v>
      </c>
      <c r="D679" s="1" t="s">
        <v>1539</v>
      </c>
      <c r="E679" s="1" t="s">
        <v>1655</v>
      </c>
      <c r="F679" s="1" t="s">
        <v>112</v>
      </c>
      <c r="G679" s="1">
        <v>200120</v>
      </c>
    </row>
    <row r="680" spans="1:10" x14ac:dyDescent="0.25">
      <c r="A680" s="1" t="str">
        <f t="shared" si="10"/>
        <v>9</v>
      </c>
      <c r="B6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80" s="1" t="s">
        <v>1656</v>
      </c>
    </row>
    <row r="681" spans="1:10" x14ac:dyDescent="0.25">
      <c r="A681" s="1" t="str">
        <f t="shared" si="10"/>
        <v>9</v>
      </c>
      <c r="B6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81" s="1" t="s">
        <v>1657</v>
      </c>
      <c r="D681" s="1" t="s">
        <v>1658</v>
      </c>
      <c r="E681" s="1" t="s">
        <v>1659</v>
      </c>
      <c r="F681" s="1" t="s">
        <v>112</v>
      </c>
      <c r="G681" s="1">
        <v>221512</v>
      </c>
    </row>
    <row r="682" spans="1:10" x14ac:dyDescent="0.25">
      <c r="A682" s="1" t="str">
        <f t="shared" si="10"/>
        <v>9</v>
      </c>
      <c r="B6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82" s="1" t="s">
        <v>1660</v>
      </c>
      <c r="D682" s="1" t="s">
        <v>1661</v>
      </c>
      <c r="E682" s="1" t="s">
        <v>1662</v>
      </c>
      <c r="F682" s="1" t="s">
        <v>112</v>
      </c>
      <c r="G682" s="1">
        <v>40123</v>
      </c>
    </row>
    <row r="683" spans="1:10" x14ac:dyDescent="0.25">
      <c r="A683" s="1" t="str">
        <f t="shared" si="10"/>
        <v>9</v>
      </c>
      <c r="B6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83" s="1" t="s">
        <v>1663</v>
      </c>
      <c r="D683" s="1" t="s">
        <v>1664</v>
      </c>
      <c r="E683" s="1" t="s">
        <v>1665</v>
      </c>
      <c r="F683" s="1" t="s">
        <v>112</v>
      </c>
      <c r="G683" s="1">
        <v>227849</v>
      </c>
    </row>
    <row r="684" spans="1:10" x14ac:dyDescent="0.25">
      <c r="A684" s="1" t="str">
        <f t="shared" si="10"/>
        <v>9</v>
      </c>
      <c r="B6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84" s="1" t="s">
        <v>1666</v>
      </c>
      <c r="D684" s="1" t="s">
        <v>1667</v>
      </c>
      <c r="E684" s="1" t="s">
        <v>1668</v>
      </c>
      <c r="F684" s="1" t="s">
        <v>112</v>
      </c>
      <c r="G684" s="1">
        <v>270914</v>
      </c>
    </row>
    <row r="685" spans="1:10" x14ac:dyDescent="0.25">
      <c r="A685" s="1" t="str">
        <f t="shared" si="10"/>
        <v>9</v>
      </c>
      <c r="B6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85" s="1" t="s">
        <v>1669</v>
      </c>
      <c r="D685" s="1" t="s">
        <v>1670</v>
      </c>
      <c r="E685" s="1" t="s">
        <v>1671</v>
      </c>
      <c r="F685" s="1" t="s">
        <v>112</v>
      </c>
      <c r="G685" s="1">
        <v>186406</v>
      </c>
    </row>
    <row r="686" spans="1:10" x14ac:dyDescent="0.25">
      <c r="A686" s="1" t="str">
        <f t="shared" si="10"/>
        <v/>
      </c>
      <c r="B6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86" s="1" t="s">
        <v>112</v>
      </c>
    </row>
    <row r="687" spans="1:10" x14ac:dyDescent="0.25">
      <c r="A687" s="1" t="str">
        <f t="shared" si="10"/>
        <v/>
      </c>
      <c r="B6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87" s="1" t="s">
        <v>237</v>
      </c>
      <c r="D687" s="1" t="s">
        <v>112</v>
      </c>
      <c r="E687" s="1" t="s">
        <v>238</v>
      </c>
      <c r="F687" s="1" t="s">
        <v>239</v>
      </c>
      <c r="G687" s="1" t="s">
        <v>240</v>
      </c>
      <c r="H687" s="1" t="s">
        <v>241</v>
      </c>
      <c r="I687" s="1" t="s">
        <v>242</v>
      </c>
      <c r="J687" s="1" t="s">
        <v>243</v>
      </c>
    </row>
    <row r="688" spans="1:10" x14ac:dyDescent="0.25">
      <c r="A688" s="1" t="str">
        <f t="shared" si="10"/>
        <v>9</v>
      </c>
      <c r="B6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88" s="1" t="s">
        <v>1672</v>
      </c>
      <c r="D688" s="1" t="s">
        <v>112</v>
      </c>
      <c r="E688" s="1" t="s">
        <v>1673</v>
      </c>
      <c r="F688" s="1" t="s">
        <v>1674</v>
      </c>
      <c r="G688" s="1" t="s">
        <v>1675</v>
      </c>
      <c r="H688" s="1" t="s">
        <v>1676</v>
      </c>
      <c r="I688" s="1">
        <v>21</v>
      </c>
      <c r="J688" s="1">
        <v>24</v>
      </c>
    </row>
    <row r="689" spans="1:3" x14ac:dyDescent="0.25">
      <c r="A689" s="1" t="str">
        <f t="shared" si="10"/>
        <v/>
      </c>
      <c r="B6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89" s="1" t="s">
        <v>112</v>
      </c>
    </row>
    <row r="690" spans="1:3" x14ac:dyDescent="0.25">
      <c r="A690" s="1" t="str">
        <f t="shared" si="10"/>
        <v/>
      </c>
      <c r="B6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1" spans="1:3" x14ac:dyDescent="0.25">
      <c r="A691" s="1" t="str">
        <f t="shared" si="10"/>
        <v/>
      </c>
      <c r="B6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2" spans="1:3" x14ac:dyDescent="0.25">
      <c r="A692" s="1" t="str">
        <f t="shared" si="10"/>
        <v/>
      </c>
      <c r="B6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3" spans="1:3" x14ac:dyDescent="0.25">
      <c r="A693" s="1" t="str">
        <f t="shared" si="10"/>
        <v/>
      </c>
      <c r="B6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4" spans="1:3" x14ac:dyDescent="0.25">
      <c r="A694" s="1" t="str">
        <f t="shared" si="10"/>
        <v/>
      </c>
      <c r="B6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5" spans="1:3" x14ac:dyDescent="0.25">
      <c r="A695" s="1" t="str">
        <f t="shared" si="10"/>
        <v/>
      </c>
      <c r="B6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6" spans="1:3" x14ac:dyDescent="0.25">
      <c r="A696" s="1" t="str">
        <f t="shared" si="10"/>
        <v/>
      </c>
      <c r="B6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7" spans="1:3" x14ac:dyDescent="0.25">
      <c r="A697" s="1" t="str">
        <f t="shared" si="10"/>
        <v/>
      </c>
      <c r="B6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8" spans="1:3" x14ac:dyDescent="0.25">
      <c r="A698" s="1" t="str">
        <f t="shared" si="10"/>
        <v/>
      </c>
      <c r="B6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9" spans="1:3" x14ac:dyDescent="0.25">
      <c r="A699" s="1" t="str">
        <f t="shared" si="10"/>
        <v/>
      </c>
      <c r="B6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0" spans="1:3" x14ac:dyDescent="0.25">
      <c r="A700" s="1" t="str">
        <f t="shared" si="10"/>
        <v/>
      </c>
      <c r="B7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1" spans="1:3" x14ac:dyDescent="0.25">
      <c r="A701" s="1" t="str">
        <f t="shared" si="10"/>
        <v/>
      </c>
      <c r="B7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2" spans="1:3" x14ac:dyDescent="0.25">
      <c r="A702" s="1" t="str">
        <f t="shared" si="10"/>
        <v/>
      </c>
      <c r="B7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3" spans="1:3" x14ac:dyDescent="0.25">
      <c r="A703" s="1" t="str">
        <f t="shared" si="10"/>
        <v/>
      </c>
      <c r="B7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4" spans="1:3" x14ac:dyDescent="0.25">
      <c r="A704" s="1" t="str">
        <f t="shared" si="10"/>
        <v/>
      </c>
      <c r="B7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5" spans="1:2" x14ac:dyDescent="0.25">
      <c r="A705" s="1" t="str">
        <f t="shared" si="10"/>
        <v/>
      </c>
      <c r="B7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6" spans="1:2" x14ac:dyDescent="0.25">
      <c r="A706" s="1" t="str">
        <f t="shared" ref="A706:A769" si="11">IFERROR(LEFT(RIGHT(C706,LEN(C706)-SEARCH("@",C706)),SEARCH("/",RIGHT(C706,LEN(C706)-SEARCH("@",C706)-1))),"")</f>
        <v/>
      </c>
      <c r="B7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7" spans="1:2" x14ac:dyDescent="0.25">
      <c r="A707" s="1" t="str">
        <f t="shared" si="11"/>
        <v/>
      </c>
      <c r="B7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8" spans="1:2" x14ac:dyDescent="0.25">
      <c r="A708" s="1" t="str">
        <f t="shared" si="11"/>
        <v/>
      </c>
      <c r="B7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9" spans="1:2" x14ac:dyDescent="0.25">
      <c r="A709" s="1" t="str">
        <f t="shared" si="11"/>
        <v/>
      </c>
      <c r="B7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0" spans="1:2" x14ac:dyDescent="0.25">
      <c r="A710" s="1" t="str">
        <f t="shared" si="11"/>
        <v/>
      </c>
      <c r="B7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1" spans="1:2" x14ac:dyDescent="0.25">
      <c r="A711" s="1" t="str">
        <f t="shared" si="11"/>
        <v/>
      </c>
      <c r="B7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2" spans="1:2" x14ac:dyDescent="0.25">
      <c r="A712" s="1" t="str">
        <f t="shared" si="11"/>
        <v/>
      </c>
      <c r="B7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3" spans="1:2" x14ac:dyDescent="0.25">
      <c r="A713" s="1" t="str">
        <f t="shared" si="11"/>
        <v/>
      </c>
      <c r="B7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4" spans="1:2" x14ac:dyDescent="0.25">
      <c r="A714" s="1" t="str">
        <f t="shared" si="11"/>
        <v/>
      </c>
      <c r="B7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5" spans="1:2" x14ac:dyDescent="0.25">
      <c r="A715" s="1" t="str">
        <f t="shared" si="11"/>
        <v/>
      </c>
      <c r="B7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6" spans="1:2" x14ac:dyDescent="0.25">
      <c r="A716" s="1" t="str">
        <f t="shared" si="11"/>
        <v/>
      </c>
      <c r="B7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7" spans="1:2" x14ac:dyDescent="0.25">
      <c r="A717" s="1" t="str">
        <f t="shared" si="11"/>
        <v/>
      </c>
      <c r="B7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8" spans="1:2" x14ac:dyDescent="0.25">
      <c r="A718" s="1" t="str">
        <f t="shared" si="11"/>
        <v/>
      </c>
      <c r="B7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9" spans="1:2" x14ac:dyDescent="0.25">
      <c r="A719" s="1" t="str">
        <f t="shared" si="11"/>
        <v/>
      </c>
      <c r="B7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0" spans="1:2" x14ac:dyDescent="0.25">
      <c r="A720" s="1" t="str">
        <f t="shared" si="11"/>
        <v/>
      </c>
      <c r="B7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1" spans="1:2" x14ac:dyDescent="0.25">
      <c r="A721" s="1" t="str">
        <f t="shared" si="11"/>
        <v/>
      </c>
      <c r="B7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2" spans="1:2" x14ac:dyDescent="0.25">
      <c r="A722" s="1" t="str">
        <f t="shared" si="11"/>
        <v/>
      </c>
      <c r="B7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3" spans="1:2" x14ac:dyDescent="0.25">
      <c r="A723" s="1" t="str">
        <f t="shared" si="11"/>
        <v/>
      </c>
      <c r="B7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4" spans="1:2" x14ac:dyDescent="0.25">
      <c r="A724" s="1" t="str">
        <f t="shared" si="11"/>
        <v/>
      </c>
      <c r="B7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5" spans="1:2" x14ac:dyDescent="0.25">
      <c r="A725" s="1" t="str">
        <f t="shared" si="11"/>
        <v/>
      </c>
      <c r="B7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6" spans="1:2" x14ac:dyDescent="0.25">
      <c r="A726" s="1" t="str">
        <f t="shared" si="11"/>
        <v/>
      </c>
      <c r="B7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7" spans="1:2" x14ac:dyDescent="0.25">
      <c r="A727" s="1" t="str">
        <f t="shared" si="11"/>
        <v/>
      </c>
      <c r="B7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8" spans="1:2" x14ac:dyDescent="0.25">
      <c r="A728" s="1" t="str">
        <f t="shared" si="11"/>
        <v/>
      </c>
      <c r="B7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9" spans="1:2" x14ac:dyDescent="0.25">
      <c r="A729" s="1" t="str">
        <f t="shared" si="11"/>
        <v/>
      </c>
      <c r="B7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0" spans="1:2" x14ac:dyDescent="0.25">
      <c r="A730" s="1" t="str">
        <f t="shared" si="11"/>
        <v/>
      </c>
      <c r="B7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1" spans="1:2" x14ac:dyDescent="0.25">
      <c r="A731" s="1" t="str">
        <f t="shared" si="11"/>
        <v/>
      </c>
      <c r="B7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2" spans="1:2" x14ac:dyDescent="0.25">
      <c r="A732" s="1" t="str">
        <f t="shared" si="11"/>
        <v/>
      </c>
      <c r="B7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3" spans="1:2" x14ac:dyDescent="0.25">
      <c r="A733" s="1" t="str">
        <f t="shared" si="11"/>
        <v/>
      </c>
      <c r="B7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4" spans="1:2" x14ac:dyDescent="0.25">
      <c r="A734" s="1" t="str">
        <f t="shared" si="11"/>
        <v/>
      </c>
      <c r="B7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5" spans="1:2" x14ac:dyDescent="0.25">
      <c r="A735" s="1" t="str">
        <f t="shared" si="11"/>
        <v/>
      </c>
      <c r="B7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6" spans="1:2" x14ac:dyDescent="0.25">
      <c r="A736" s="1" t="str">
        <f t="shared" si="11"/>
        <v/>
      </c>
      <c r="B7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7" spans="1:2" x14ac:dyDescent="0.25">
      <c r="A737" s="1" t="str">
        <f t="shared" si="11"/>
        <v/>
      </c>
      <c r="B7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8" spans="1:2" x14ac:dyDescent="0.25">
      <c r="A738" s="1" t="str">
        <f t="shared" si="11"/>
        <v/>
      </c>
      <c r="B7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9" spans="1:2" x14ac:dyDescent="0.25">
      <c r="A739" s="1" t="str">
        <f t="shared" si="11"/>
        <v/>
      </c>
      <c r="B7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0" spans="1:2" x14ac:dyDescent="0.25">
      <c r="A740" s="1" t="str">
        <f t="shared" si="11"/>
        <v/>
      </c>
      <c r="B7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1" spans="1:2" x14ac:dyDescent="0.25">
      <c r="A741" s="1" t="str">
        <f t="shared" si="11"/>
        <v/>
      </c>
      <c r="B7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2" spans="1:2" x14ac:dyDescent="0.25">
      <c r="A742" s="1" t="str">
        <f t="shared" si="11"/>
        <v/>
      </c>
      <c r="B7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3" spans="1:2" x14ac:dyDescent="0.25">
      <c r="A743" s="1" t="str">
        <f t="shared" si="11"/>
        <v/>
      </c>
      <c r="B7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4" spans="1:2" x14ac:dyDescent="0.25">
      <c r="A744" s="1" t="str">
        <f t="shared" si="11"/>
        <v/>
      </c>
      <c r="B7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5" spans="1:2" x14ac:dyDescent="0.25">
      <c r="A745" s="1" t="str">
        <f t="shared" si="11"/>
        <v/>
      </c>
      <c r="B7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6" spans="1:2" x14ac:dyDescent="0.25">
      <c r="A746" s="1" t="str">
        <f t="shared" si="11"/>
        <v/>
      </c>
      <c r="B7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7" spans="1:2" x14ac:dyDescent="0.25">
      <c r="A747" s="1" t="str">
        <f t="shared" si="11"/>
        <v/>
      </c>
      <c r="B7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8" spans="1:2" x14ac:dyDescent="0.25">
      <c r="A748" s="1" t="str">
        <f t="shared" si="11"/>
        <v/>
      </c>
      <c r="B7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9" spans="1:2" x14ac:dyDescent="0.25">
      <c r="A749" s="1" t="str">
        <f t="shared" si="11"/>
        <v/>
      </c>
      <c r="B7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0" spans="1:2" x14ac:dyDescent="0.25">
      <c r="A750" s="1" t="str">
        <f t="shared" si="11"/>
        <v/>
      </c>
      <c r="B7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1" spans="1:2" x14ac:dyDescent="0.25">
      <c r="A751" s="1" t="str">
        <f t="shared" si="11"/>
        <v/>
      </c>
      <c r="B7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2" spans="1:2" x14ac:dyDescent="0.25">
      <c r="A752" s="1" t="str">
        <f t="shared" si="11"/>
        <v/>
      </c>
      <c r="B7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3" spans="1:2" x14ac:dyDescent="0.25">
      <c r="A753" s="1" t="str">
        <f t="shared" si="11"/>
        <v/>
      </c>
      <c r="B7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4" spans="1:2" x14ac:dyDescent="0.25">
      <c r="A754" s="1" t="str">
        <f t="shared" si="11"/>
        <v/>
      </c>
      <c r="B7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5" spans="1:2" x14ac:dyDescent="0.25">
      <c r="A755" s="1" t="str">
        <f t="shared" si="11"/>
        <v/>
      </c>
      <c r="B7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6" spans="1:2" x14ac:dyDescent="0.25">
      <c r="A756" s="1" t="str">
        <f t="shared" si="11"/>
        <v/>
      </c>
      <c r="B7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7" spans="1:2" x14ac:dyDescent="0.25">
      <c r="A757" s="1" t="str">
        <f t="shared" si="11"/>
        <v/>
      </c>
      <c r="B7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8" spans="1:2" x14ac:dyDescent="0.25">
      <c r="A758" s="1" t="str">
        <f t="shared" si="11"/>
        <v/>
      </c>
      <c r="B7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9" spans="1:2" x14ac:dyDescent="0.25">
      <c r="A759" s="1" t="str">
        <f t="shared" si="11"/>
        <v/>
      </c>
      <c r="B7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0" spans="1:2" x14ac:dyDescent="0.25">
      <c r="A760" s="1" t="str">
        <f t="shared" si="11"/>
        <v/>
      </c>
      <c r="B7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1" spans="1:2" x14ac:dyDescent="0.25">
      <c r="A761" s="1" t="str">
        <f t="shared" si="11"/>
        <v/>
      </c>
      <c r="B7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2" spans="1:2" x14ac:dyDescent="0.25">
      <c r="A762" s="1" t="str">
        <f t="shared" si="11"/>
        <v/>
      </c>
      <c r="B7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3" spans="1:2" x14ac:dyDescent="0.25">
      <c r="A763" s="1" t="str">
        <f t="shared" si="11"/>
        <v/>
      </c>
      <c r="B7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4" spans="1:2" x14ac:dyDescent="0.25">
      <c r="A764" s="1" t="str">
        <f t="shared" si="11"/>
        <v/>
      </c>
      <c r="B7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5" spans="1:2" x14ac:dyDescent="0.25">
      <c r="A765" s="1" t="str">
        <f t="shared" si="11"/>
        <v/>
      </c>
      <c r="B7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6" spans="1:2" x14ac:dyDescent="0.25">
      <c r="A766" s="1" t="str">
        <f t="shared" si="11"/>
        <v/>
      </c>
      <c r="B7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7" spans="1:2" x14ac:dyDescent="0.25">
      <c r="A767" s="1" t="str">
        <f t="shared" si="11"/>
        <v/>
      </c>
      <c r="B7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8" spans="1:2" x14ac:dyDescent="0.25">
      <c r="A768" s="1" t="str">
        <f t="shared" si="11"/>
        <v/>
      </c>
      <c r="B7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9" spans="1:2" x14ac:dyDescent="0.25">
      <c r="A769" s="1" t="str">
        <f t="shared" si="11"/>
        <v/>
      </c>
      <c r="B7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0" spans="1:2" x14ac:dyDescent="0.25">
      <c r="A770" s="1" t="str">
        <f t="shared" ref="A770:A833" si="12">IFERROR(LEFT(RIGHT(C770,LEN(C770)-SEARCH("@",C770)),SEARCH("/",RIGHT(C770,LEN(C770)-SEARCH("@",C770)-1))),"")</f>
        <v/>
      </c>
      <c r="B7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1" spans="1:2" x14ac:dyDescent="0.25">
      <c r="A771" s="1" t="str">
        <f t="shared" si="12"/>
        <v/>
      </c>
      <c r="B7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2" spans="1:2" x14ac:dyDescent="0.25">
      <c r="A772" s="1" t="str">
        <f t="shared" si="12"/>
        <v/>
      </c>
      <c r="B7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3" spans="1:2" x14ac:dyDescent="0.25">
      <c r="A773" s="1" t="str">
        <f t="shared" si="12"/>
        <v/>
      </c>
      <c r="B7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4" spans="1:2" x14ac:dyDescent="0.25">
      <c r="A774" s="1" t="str">
        <f t="shared" si="12"/>
        <v/>
      </c>
      <c r="B7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5" spans="1:2" x14ac:dyDescent="0.25">
      <c r="A775" s="1" t="str">
        <f t="shared" si="12"/>
        <v/>
      </c>
      <c r="B7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6" spans="1:2" x14ac:dyDescent="0.25">
      <c r="A776" s="1" t="str">
        <f t="shared" si="12"/>
        <v/>
      </c>
      <c r="B7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7" spans="1:2" x14ac:dyDescent="0.25">
      <c r="A777" s="1" t="str">
        <f t="shared" si="12"/>
        <v/>
      </c>
      <c r="B7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8" spans="1:2" x14ac:dyDescent="0.25">
      <c r="A778" s="1" t="str">
        <f t="shared" si="12"/>
        <v/>
      </c>
      <c r="B7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9" spans="1:2" x14ac:dyDescent="0.25">
      <c r="A779" s="1" t="str">
        <f t="shared" si="12"/>
        <v/>
      </c>
      <c r="B7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0" spans="1:2" x14ac:dyDescent="0.25">
      <c r="A780" s="1" t="str">
        <f t="shared" si="12"/>
        <v/>
      </c>
      <c r="B7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1" spans="1:2" x14ac:dyDescent="0.25">
      <c r="A781" s="1" t="str">
        <f t="shared" si="12"/>
        <v/>
      </c>
      <c r="B7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2" spans="1:2" x14ac:dyDescent="0.25">
      <c r="A782" s="1" t="str">
        <f t="shared" si="12"/>
        <v/>
      </c>
      <c r="B7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3" spans="1:2" x14ac:dyDescent="0.25">
      <c r="A783" s="1" t="str">
        <f t="shared" si="12"/>
        <v/>
      </c>
      <c r="B7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4" spans="1:2" x14ac:dyDescent="0.25">
      <c r="A784" s="1" t="str">
        <f t="shared" si="12"/>
        <v/>
      </c>
      <c r="B7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5" spans="1:2" x14ac:dyDescent="0.25">
      <c r="A785" s="1" t="str">
        <f t="shared" si="12"/>
        <v/>
      </c>
      <c r="B7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6" spans="1:2" x14ac:dyDescent="0.25">
      <c r="A786" s="1" t="str">
        <f t="shared" si="12"/>
        <v/>
      </c>
      <c r="B7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7" spans="1:2" x14ac:dyDescent="0.25">
      <c r="A787" s="1" t="str">
        <f t="shared" si="12"/>
        <v/>
      </c>
      <c r="B7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8" spans="1:2" x14ac:dyDescent="0.25">
      <c r="A788" s="1" t="str">
        <f t="shared" si="12"/>
        <v/>
      </c>
      <c r="B7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9" spans="1:2" x14ac:dyDescent="0.25">
      <c r="A789" s="1" t="str">
        <f t="shared" si="12"/>
        <v/>
      </c>
      <c r="B7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0" spans="1:2" x14ac:dyDescent="0.25">
      <c r="A790" s="1" t="str">
        <f t="shared" si="12"/>
        <v/>
      </c>
      <c r="B7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1" spans="1:2" x14ac:dyDescent="0.25">
      <c r="A791" s="1" t="str">
        <f t="shared" si="12"/>
        <v/>
      </c>
      <c r="B7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2" spans="1:2" x14ac:dyDescent="0.25">
      <c r="A792" s="1" t="str">
        <f t="shared" si="12"/>
        <v/>
      </c>
      <c r="B7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3" spans="1:2" x14ac:dyDescent="0.25">
      <c r="A793" s="1" t="str">
        <f t="shared" si="12"/>
        <v/>
      </c>
      <c r="B7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4" spans="1:2" x14ac:dyDescent="0.25">
      <c r="A794" s="1" t="str">
        <f t="shared" si="12"/>
        <v/>
      </c>
      <c r="B7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5" spans="1:2" x14ac:dyDescent="0.25">
      <c r="A795" s="1" t="str">
        <f t="shared" si="12"/>
        <v/>
      </c>
      <c r="B7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6" spans="1:2" x14ac:dyDescent="0.25">
      <c r="A796" s="1" t="str">
        <f t="shared" si="12"/>
        <v/>
      </c>
      <c r="B7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7" spans="1:2" x14ac:dyDescent="0.25">
      <c r="A797" s="1" t="str">
        <f t="shared" si="12"/>
        <v/>
      </c>
      <c r="B7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8" spans="1:2" x14ac:dyDescent="0.25">
      <c r="A798" s="1" t="str">
        <f t="shared" si="12"/>
        <v/>
      </c>
      <c r="B7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9" spans="1:2" x14ac:dyDescent="0.25">
      <c r="A799" s="1" t="str">
        <f t="shared" si="12"/>
        <v/>
      </c>
      <c r="B7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0" spans="1:2" x14ac:dyDescent="0.25">
      <c r="A800" s="1" t="str">
        <f t="shared" si="12"/>
        <v/>
      </c>
      <c r="B8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1" spans="1:2" x14ac:dyDescent="0.25">
      <c r="A801" s="1" t="str">
        <f t="shared" si="12"/>
        <v/>
      </c>
      <c r="B8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2" spans="1:2" x14ac:dyDescent="0.25">
      <c r="A802" s="1" t="str">
        <f t="shared" si="12"/>
        <v/>
      </c>
      <c r="B8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3" spans="1:2" x14ac:dyDescent="0.25">
      <c r="A803" s="1" t="str">
        <f t="shared" si="12"/>
        <v/>
      </c>
      <c r="B8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4" spans="1:2" x14ac:dyDescent="0.25">
      <c r="A804" s="1" t="str">
        <f t="shared" si="12"/>
        <v/>
      </c>
      <c r="B8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5" spans="1:2" x14ac:dyDescent="0.25">
      <c r="A805" s="1" t="str">
        <f t="shared" si="12"/>
        <v/>
      </c>
      <c r="B8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6" spans="1:2" x14ac:dyDescent="0.25">
      <c r="A806" s="1" t="str">
        <f t="shared" si="12"/>
        <v/>
      </c>
      <c r="B8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7" spans="1:2" x14ac:dyDescent="0.25">
      <c r="A807" s="1" t="str">
        <f t="shared" si="12"/>
        <v/>
      </c>
      <c r="B8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8" spans="1:2" x14ac:dyDescent="0.25">
      <c r="A808" s="1" t="str">
        <f t="shared" si="12"/>
        <v/>
      </c>
      <c r="B8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9" spans="1:2" x14ac:dyDescent="0.25">
      <c r="A809" s="1" t="str">
        <f t="shared" si="12"/>
        <v/>
      </c>
      <c r="B8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0" spans="1:2" x14ac:dyDescent="0.25">
      <c r="A810" s="1" t="str">
        <f t="shared" si="12"/>
        <v/>
      </c>
      <c r="B8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1" spans="1:2" x14ac:dyDescent="0.25">
      <c r="A811" s="1" t="str">
        <f t="shared" si="12"/>
        <v/>
      </c>
      <c r="B8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2" spans="1:2" x14ac:dyDescent="0.25">
      <c r="A812" s="1" t="str">
        <f t="shared" si="12"/>
        <v/>
      </c>
      <c r="B8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3" spans="1:2" x14ac:dyDescent="0.25">
      <c r="A813" s="1" t="str">
        <f t="shared" si="12"/>
        <v/>
      </c>
      <c r="B8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4" spans="1:2" x14ac:dyDescent="0.25">
      <c r="A814" s="1" t="str">
        <f t="shared" si="12"/>
        <v/>
      </c>
      <c r="B8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5" spans="1:2" x14ac:dyDescent="0.25">
      <c r="A815" s="1" t="str">
        <f t="shared" si="12"/>
        <v/>
      </c>
      <c r="B8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6" spans="1:2" x14ac:dyDescent="0.25">
      <c r="A816" s="1" t="str">
        <f t="shared" si="12"/>
        <v/>
      </c>
      <c r="B8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7" spans="1:2" x14ac:dyDescent="0.25">
      <c r="A817" s="1" t="str">
        <f t="shared" si="12"/>
        <v/>
      </c>
      <c r="B8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8" spans="1:2" x14ac:dyDescent="0.25">
      <c r="A818" s="1" t="str">
        <f t="shared" si="12"/>
        <v/>
      </c>
      <c r="B8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9" spans="1:2" x14ac:dyDescent="0.25">
      <c r="A819" s="1" t="str">
        <f t="shared" si="12"/>
        <v/>
      </c>
      <c r="B8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0" spans="1:2" x14ac:dyDescent="0.25">
      <c r="A820" s="1" t="str">
        <f t="shared" si="12"/>
        <v/>
      </c>
      <c r="B8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1" spans="1:2" x14ac:dyDescent="0.25">
      <c r="A821" s="1" t="str">
        <f t="shared" si="12"/>
        <v/>
      </c>
      <c r="B8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2" spans="1:2" x14ac:dyDescent="0.25">
      <c r="A822" s="1" t="str">
        <f t="shared" si="12"/>
        <v/>
      </c>
      <c r="B8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3" spans="1:2" x14ac:dyDescent="0.25">
      <c r="A823" s="1" t="str">
        <f t="shared" si="12"/>
        <v/>
      </c>
      <c r="B8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4" spans="1:2" x14ac:dyDescent="0.25">
      <c r="A824" s="1" t="str">
        <f t="shared" si="12"/>
        <v/>
      </c>
      <c r="B8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5" spans="1:2" x14ac:dyDescent="0.25">
      <c r="A825" s="1" t="str">
        <f t="shared" si="12"/>
        <v/>
      </c>
      <c r="B8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6" spans="1:2" x14ac:dyDescent="0.25">
      <c r="A826" s="1" t="str">
        <f t="shared" si="12"/>
        <v/>
      </c>
      <c r="B8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7" spans="1:2" x14ac:dyDescent="0.25">
      <c r="A827" s="1" t="str">
        <f t="shared" si="12"/>
        <v/>
      </c>
      <c r="B8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8" spans="1:2" x14ac:dyDescent="0.25">
      <c r="A828" s="1" t="str">
        <f t="shared" si="12"/>
        <v/>
      </c>
      <c r="B8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9" spans="1:2" x14ac:dyDescent="0.25">
      <c r="A829" s="1" t="str">
        <f t="shared" si="12"/>
        <v/>
      </c>
      <c r="B8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0" spans="1:2" x14ac:dyDescent="0.25">
      <c r="A830" s="1" t="str">
        <f t="shared" si="12"/>
        <v/>
      </c>
      <c r="B8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1" spans="1:2" x14ac:dyDescent="0.25">
      <c r="A831" s="1" t="str">
        <f t="shared" si="12"/>
        <v/>
      </c>
      <c r="B8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2" spans="1:2" x14ac:dyDescent="0.25">
      <c r="A832" s="1" t="str">
        <f t="shared" si="12"/>
        <v/>
      </c>
      <c r="B8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3" spans="1:2" x14ac:dyDescent="0.25">
      <c r="A833" s="1" t="str">
        <f t="shared" si="12"/>
        <v/>
      </c>
      <c r="B8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4" spans="1:2" x14ac:dyDescent="0.25">
      <c r="A834" s="1" t="str">
        <f t="shared" ref="A834:A897" si="13">IFERROR(LEFT(RIGHT(C834,LEN(C834)-SEARCH("@",C834)),SEARCH("/",RIGHT(C834,LEN(C834)-SEARCH("@",C834)-1))),"")</f>
        <v/>
      </c>
      <c r="B8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5" spans="1:2" x14ac:dyDescent="0.25">
      <c r="A835" s="1" t="str">
        <f t="shared" si="13"/>
        <v/>
      </c>
      <c r="B8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6" spans="1:2" x14ac:dyDescent="0.25">
      <c r="A836" s="1" t="str">
        <f t="shared" si="13"/>
        <v/>
      </c>
      <c r="B8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7" spans="1:2" x14ac:dyDescent="0.25">
      <c r="A837" s="1" t="str">
        <f t="shared" si="13"/>
        <v/>
      </c>
      <c r="B8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8" spans="1:2" x14ac:dyDescent="0.25">
      <c r="A838" s="1" t="str">
        <f t="shared" si="13"/>
        <v/>
      </c>
      <c r="B8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9" spans="1:2" x14ac:dyDescent="0.25">
      <c r="A839" s="1" t="str">
        <f t="shared" si="13"/>
        <v/>
      </c>
      <c r="B8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0" spans="1:2" x14ac:dyDescent="0.25">
      <c r="A840" s="1" t="str">
        <f t="shared" si="13"/>
        <v/>
      </c>
      <c r="B8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1" spans="1:2" x14ac:dyDescent="0.25">
      <c r="A841" s="1" t="str">
        <f t="shared" si="13"/>
        <v/>
      </c>
      <c r="B8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2" spans="1:2" x14ac:dyDescent="0.25">
      <c r="A842" s="1" t="str">
        <f t="shared" si="13"/>
        <v/>
      </c>
      <c r="B8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3" spans="1:2" x14ac:dyDescent="0.25">
      <c r="A843" s="1" t="str">
        <f t="shared" si="13"/>
        <v/>
      </c>
      <c r="B8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4" spans="1:2" x14ac:dyDescent="0.25">
      <c r="A844" s="1" t="str">
        <f t="shared" si="13"/>
        <v/>
      </c>
      <c r="B8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5" spans="1:2" x14ac:dyDescent="0.25">
      <c r="A845" s="1" t="str">
        <f t="shared" si="13"/>
        <v/>
      </c>
      <c r="B8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6" spans="1:2" x14ac:dyDescent="0.25">
      <c r="A846" s="1" t="str">
        <f t="shared" si="13"/>
        <v/>
      </c>
      <c r="B8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7" spans="1:2" x14ac:dyDescent="0.25">
      <c r="A847" s="1" t="str">
        <f t="shared" si="13"/>
        <v/>
      </c>
      <c r="B8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8" spans="1:2" x14ac:dyDescent="0.25">
      <c r="A848" s="1" t="str">
        <f t="shared" si="13"/>
        <v/>
      </c>
      <c r="B8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9" spans="1:2" x14ac:dyDescent="0.25">
      <c r="A849" s="1" t="str">
        <f t="shared" si="13"/>
        <v/>
      </c>
      <c r="B8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0" spans="1:2" x14ac:dyDescent="0.25">
      <c r="A850" s="1" t="str">
        <f t="shared" si="13"/>
        <v/>
      </c>
      <c r="B8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1" spans="1:2" x14ac:dyDescent="0.25">
      <c r="A851" s="1" t="str">
        <f t="shared" si="13"/>
        <v/>
      </c>
      <c r="B8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2" spans="1:2" x14ac:dyDescent="0.25">
      <c r="A852" s="1" t="str">
        <f t="shared" si="13"/>
        <v/>
      </c>
      <c r="B8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3" spans="1:2" x14ac:dyDescent="0.25">
      <c r="A853" s="1" t="str">
        <f t="shared" si="13"/>
        <v/>
      </c>
      <c r="B8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4" spans="1:2" x14ac:dyDescent="0.25">
      <c r="A854" s="1" t="str">
        <f t="shared" si="13"/>
        <v/>
      </c>
      <c r="B8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5" spans="1:2" x14ac:dyDescent="0.25">
      <c r="A855" s="1" t="str">
        <f t="shared" si="13"/>
        <v/>
      </c>
      <c r="B8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6" spans="1:2" x14ac:dyDescent="0.25">
      <c r="A856" s="1" t="str">
        <f t="shared" si="13"/>
        <v/>
      </c>
      <c r="B8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7" spans="1:2" x14ac:dyDescent="0.25">
      <c r="A857" s="1" t="str">
        <f t="shared" si="13"/>
        <v/>
      </c>
      <c r="B8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8" spans="1:2" x14ac:dyDescent="0.25">
      <c r="A858" s="1" t="str">
        <f t="shared" si="13"/>
        <v/>
      </c>
      <c r="B8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9" spans="1:2" x14ac:dyDescent="0.25">
      <c r="A859" s="1" t="str">
        <f t="shared" si="13"/>
        <v/>
      </c>
      <c r="B8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0" spans="1:2" x14ac:dyDescent="0.25">
      <c r="A860" s="1" t="str">
        <f t="shared" si="13"/>
        <v/>
      </c>
      <c r="B8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1" spans="1:2" x14ac:dyDescent="0.25">
      <c r="A861" s="1" t="str">
        <f t="shared" si="13"/>
        <v/>
      </c>
      <c r="B8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2" spans="1:2" x14ac:dyDescent="0.25">
      <c r="A862" s="1" t="str">
        <f t="shared" si="13"/>
        <v/>
      </c>
      <c r="B8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3" spans="1:2" x14ac:dyDescent="0.25">
      <c r="A863" s="1" t="str">
        <f t="shared" si="13"/>
        <v/>
      </c>
      <c r="B8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4" spans="1:2" x14ac:dyDescent="0.25">
      <c r="A864" s="1" t="str">
        <f t="shared" si="13"/>
        <v/>
      </c>
      <c r="B8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5" spans="1:2" x14ac:dyDescent="0.25">
      <c r="A865" s="1" t="str">
        <f t="shared" si="13"/>
        <v/>
      </c>
      <c r="B8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6" spans="1:2" x14ac:dyDescent="0.25">
      <c r="A866" s="1" t="str">
        <f t="shared" si="13"/>
        <v/>
      </c>
      <c r="B8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7" spans="1:2" x14ac:dyDescent="0.25">
      <c r="A867" s="1" t="str">
        <f t="shared" si="13"/>
        <v/>
      </c>
      <c r="B8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8" spans="1:2" x14ac:dyDescent="0.25">
      <c r="A868" s="1" t="str">
        <f t="shared" si="13"/>
        <v/>
      </c>
      <c r="B8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9" spans="1:2" x14ac:dyDescent="0.25">
      <c r="A869" s="1" t="str">
        <f t="shared" si="13"/>
        <v/>
      </c>
      <c r="B8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0" spans="1:2" x14ac:dyDescent="0.25">
      <c r="A870" s="1" t="str">
        <f t="shared" si="13"/>
        <v/>
      </c>
      <c r="B8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1" spans="1:2" x14ac:dyDescent="0.25">
      <c r="A871" s="1" t="str">
        <f t="shared" si="13"/>
        <v/>
      </c>
      <c r="B8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2" spans="1:2" x14ac:dyDescent="0.25">
      <c r="A872" s="1" t="str">
        <f t="shared" si="13"/>
        <v/>
      </c>
      <c r="B8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3" spans="1:2" x14ac:dyDescent="0.25">
      <c r="A873" s="1" t="str">
        <f t="shared" si="13"/>
        <v/>
      </c>
      <c r="B8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4" spans="1:2" x14ac:dyDescent="0.25">
      <c r="A874" s="1" t="str">
        <f t="shared" si="13"/>
        <v/>
      </c>
      <c r="B8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5" spans="1:2" x14ac:dyDescent="0.25">
      <c r="A875" s="1" t="str">
        <f t="shared" si="13"/>
        <v/>
      </c>
      <c r="B8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6" spans="1:2" x14ac:dyDescent="0.25">
      <c r="A876" s="1" t="str">
        <f t="shared" si="13"/>
        <v/>
      </c>
      <c r="B8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7" spans="1:2" x14ac:dyDescent="0.25">
      <c r="A877" s="1" t="str">
        <f t="shared" si="13"/>
        <v/>
      </c>
      <c r="B8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8" spans="1:2" x14ac:dyDescent="0.25">
      <c r="A878" s="1" t="str">
        <f t="shared" si="13"/>
        <v/>
      </c>
      <c r="B8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9" spans="1:2" x14ac:dyDescent="0.25">
      <c r="A879" s="1" t="str">
        <f t="shared" si="13"/>
        <v/>
      </c>
      <c r="B8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0" spans="1:2" x14ac:dyDescent="0.25">
      <c r="A880" s="1" t="str">
        <f t="shared" si="13"/>
        <v/>
      </c>
      <c r="B8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1" spans="1:2" x14ac:dyDescent="0.25">
      <c r="A881" s="1" t="str">
        <f t="shared" si="13"/>
        <v/>
      </c>
      <c r="B8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2" spans="1:2" x14ac:dyDescent="0.25">
      <c r="A882" s="1" t="str">
        <f t="shared" si="13"/>
        <v/>
      </c>
      <c r="B8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3" spans="1:2" x14ac:dyDescent="0.25">
      <c r="A883" s="1" t="str">
        <f t="shared" si="13"/>
        <v/>
      </c>
      <c r="B8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4" spans="1:2" x14ac:dyDescent="0.25">
      <c r="A884" s="1" t="str">
        <f t="shared" si="13"/>
        <v/>
      </c>
      <c r="B8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5" spans="1:2" x14ac:dyDescent="0.25">
      <c r="A885" s="1" t="str">
        <f t="shared" si="13"/>
        <v/>
      </c>
      <c r="B8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6" spans="1:2" x14ac:dyDescent="0.25">
      <c r="A886" s="1" t="str">
        <f t="shared" si="13"/>
        <v/>
      </c>
      <c r="B8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7" spans="1:2" x14ac:dyDescent="0.25">
      <c r="A887" s="1" t="str">
        <f t="shared" si="13"/>
        <v/>
      </c>
      <c r="B8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8" spans="1:2" x14ac:dyDescent="0.25">
      <c r="A888" s="1" t="str">
        <f t="shared" si="13"/>
        <v/>
      </c>
      <c r="B8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9" spans="1:2" x14ac:dyDescent="0.25">
      <c r="A889" s="1" t="str">
        <f t="shared" si="13"/>
        <v/>
      </c>
      <c r="B8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0" spans="1:2" x14ac:dyDescent="0.25">
      <c r="A890" s="1" t="str">
        <f t="shared" si="13"/>
        <v/>
      </c>
      <c r="B8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1" spans="1:2" x14ac:dyDescent="0.25">
      <c r="A891" s="1" t="str">
        <f t="shared" si="13"/>
        <v/>
      </c>
      <c r="B8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2" spans="1:2" x14ac:dyDescent="0.25">
      <c r="A892" s="1" t="str">
        <f t="shared" si="13"/>
        <v/>
      </c>
      <c r="B8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3" spans="1:2" x14ac:dyDescent="0.25">
      <c r="A893" s="1" t="str">
        <f t="shared" si="13"/>
        <v/>
      </c>
      <c r="B8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4" spans="1:2" x14ac:dyDescent="0.25">
      <c r="A894" s="1" t="str">
        <f t="shared" si="13"/>
        <v/>
      </c>
      <c r="B8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5" spans="1:2" x14ac:dyDescent="0.25">
      <c r="A895" s="1" t="str">
        <f t="shared" si="13"/>
        <v/>
      </c>
      <c r="B8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6" spans="1:2" x14ac:dyDescent="0.25">
      <c r="A896" s="1" t="str">
        <f t="shared" si="13"/>
        <v/>
      </c>
      <c r="B8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7" spans="1:2" x14ac:dyDescent="0.25">
      <c r="A897" s="1" t="str">
        <f t="shared" si="13"/>
        <v/>
      </c>
      <c r="B8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8" spans="1:2" x14ac:dyDescent="0.25">
      <c r="A898" s="1" t="str">
        <f t="shared" ref="A898:A961" si="14">IFERROR(LEFT(RIGHT(C898,LEN(C898)-SEARCH("@",C898)),SEARCH("/",RIGHT(C898,LEN(C898)-SEARCH("@",C898)-1))),"")</f>
        <v/>
      </c>
      <c r="B8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9" spans="1:2" x14ac:dyDescent="0.25">
      <c r="A899" s="1" t="str">
        <f t="shared" si="14"/>
        <v/>
      </c>
      <c r="B8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0" spans="1:2" x14ac:dyDescent="0.25">
      <c r="A900" s="1" t="str">
        <f t="shared" si="14"/>
        <v/>
      </c>
      <c r="B9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1" spans="1:2" x14ac:dyDescent="0.25">
      <c r="A901" s="1" t="str">
        <f t="shared" si="14"/>
        <v/>
      </c>
      <c r="B9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2" spans="1:2" x14ac:dyDescent="0.25">
      <c r="A902" s="1" t="str">
        <f t="shared" si="14"/>
        <v/>
      </c>
      <c r="B9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3" spans="1:2" x14ac:dyDescent="0.25">
      <c r="A903" s="1" t="str">
        <f t="shared" si="14"/>
        <v/>
      </c>
      <c r="B9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4" spans="1:2" x14ac:dyDescent="0.25">
      <c r="A904" s="1" t="str">
        <f t="shared" si="14"/>
        <v/>
      </c>
      <c r="B9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5" spans="1:2" x14ac:dyDescent="0.25">
      <c r="A905" s="1" t="str">
        <f t="shared" si="14"/>
        <v/>
      </c>
      <c r="B9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6" spans="1:2" x14ac:dyDescent="0.25">
      <c r="A906" s="1" t="str">
        <f t="shared" si="14"/>
        <v/>
      </c>
      <c r="B9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7" spans="1:2" x14ac:dyDescent="0.25">
      <c r="A907" s="1" t="str">
        <f t="shared" si="14"/>
        <v/>
      </c>
      <c r="B9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8" spans="1:2" x14ac:dyDescent="0.25">
      <c r="A908" s="1" t="str">
        <f t="shared" si="14"/>
        <v/>
      </c>
      <c r="B9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9" spans="1:2" x14ac:dyDescent="0.25">
      <c r="A909" s="1" t="str">
        <f t="shared" si="14"/>
        <v/>
      </c>
      <c r="B9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0" spans="1:2" x14ac:dyDescent="0.25">
      <c r="A910" s="1" t="str">
        <f t="shared" si="14"/>
        <v/>
      </c>
      <c r="B9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1" spans="1:2" x14ac:dyDescent="0.25">
      <c r="A911" s="1" t="str">
        <f t="shared" si="14"/>
        <v/>
      </c>
      <c r="B9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2" spans="1:2" x14ac:dyDescent="0.25">
      <c r="A912" s="1" t="str">
        <f t="shared" si="14"/>
        <v/>
      </c>
      <c r="B9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3" spans="1:2" x14ac:dyDescent="0.25">
      <c r="A913" s="1" t="str">
        <f t="shared" si="14"/>
        <v/>
      </c>
      <c r="B9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4" spans="1:2" x14ac:dyDescent="0.25">
      <c r="A914" s="1" t="str">
        <f t="shared" si="14"/>
        <v/>
      </c>
      <c r="B9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5" spans="1:2" x14ac:dyDescent="0.25">
      <c r="A915" s="1" t="str">
        <f t="shared" si="14"/>
        <v/>
      </c>
      <c r="B9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6" spans="1:2" x14ac:dyDescent="0.25">
      <c r="A916" s="1" t="str">
        <f t="shared" si="14"/>
        <v/>
      </c>
      <c r="B9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7" spans="1:2" x14ac:dyDescent="0.25">
      <c r="A917" s="1" t="str">
        <f t="shared" si="14"/>
        <v/>
      </c>
      <c r="B9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8" spans="1:2" x14ac:dyDescent="0.25">
      <c r="A918" s="1" t="str">
        <f t="shared" si="14"/>
        <v/>
      </c>
      <c r="B9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9" spans="1:2" x14ac:dyDescent="0.25">
      <c r="A919" s="1" t="str">
        <f t="shared" si="14"/>
        <v/>
      </c>
      <c r="B9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0" spans="1:2" x14ac:dyDescent="0.25">
      <c r="A920" s="1" t="str">
        <f t="shared" si="14"/>
        <v/>
      </c>
      <c r="B9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1" spans="1:2" x14ac:dyDescent="0.25">
      <c r="A921" s="1" t="str">
        <f t="shared" si="14"/>
        <v/>
      </c>
      <c r="B9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2" spans="1:2" x14ac:dyDescent="0.25">
      <c r="A922" s="1" t="str">
        <f t="shared" si="14"/>
        <v/>
      </c>
      <c r="B9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3" spans="1:2" x14ac:dyDescent="0.25">
      <c r="A923" s="1" t="str">
        <f t="shared" si="14"/>
        <v/>
      </c>
      <c r="B9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4" spans="1:2" x14ac:dyDescent="0.25">
      <c r="A924" s="1" t="str">
        <f t="shared" si="14"/>
        <v/>
      </c>
      <c r="B9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5" spans="1:2" x14ac:dyDescent="0.25">
      <c r="A925" s="1" t="str">
        <f t="shared" si="14"/>
        <v/>
      </c>
      <c r="B9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6" spans="1:2" x14ac:dyDescent="0.25">
      <c r="A926" s="1" t="str">
        <f t="shared" si="14"/>
        <v/>
      </c>
      <c r="B9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7" spans="1:2" x14ac:dyDescent="0.25">
      <c r="A927" s="1" t="str">
        <f t="shared" si="14"/>
        <v/>
      </c>
      <c r="B9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8" spans="1:2" x14ac:dyDescent="0.25">
      <c r="A928" s="1" t="str">
        <f t="shared" si="14"/>
        <v/>
      </c>
      <c r="B9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9" spans="1:2" x14ac:dyDescent="0.25">
      <c r="A929" s="1" t="str">
        <f t="shared" si="14"/>
        <v/>
      </c>
      <c r="B9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0" spans="1:2" x14ac:dyDescent="0.25">
      <c r="A930" s="1" t="str">
        <f t="shared" si="14"/>
        <v/>
      </c>
      <c r="B9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1" spans="1:2" x14ac:dyDescent="0.25">
      <c r="A931" s="1" t="str">
        <f t="shared" si="14"/>
        <v/>
      </c>
      <c r="B9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2" spans="1:2" x14ac:dyDescent="0.25">
      <c r="A932" s="1" t="str">
        <f t="shared" si="14"/>
        <v/>
      </c>
      <c r="B9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3" spans="1:2" x14ac:dyDescent="0.25">
      <c r="A933" s="1" t="str">
        <f t="shared" si="14"/>
        <v/>
      </c>
      <c r="B9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4" spans="1:2" x14ac:dyDescent="0.25">
      <c r="A934" s="1" t="str">
        <f t="shared" si="14"/>
        <v/>
      </c>
      <c r="B9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5" spans="1:2" x14ac:dyDescent="0.25">
      <c r="A935" s="1" t="str">
        <f t="shared" si="14"/>
        <v/>
      </c>
      <c r="B9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6" spans="1:2" x14ac:dyDescent="0.25">
      <c r="A936" s="1" t="str">
        <f t="shared" si="14"/>
        <v/>
      </c>
      <c r="B9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7" spans="1:2" x14ac:dyDescent="0.25">
      <c r="A937" s="1" t="str">
        <f t="shared" si="14"/>
        <v/>
      </c>
      <c r="B9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8" spans="1:2" x14ac:dyDescent="0.25">
      <c r="A938" s="1" t="str">
        <f t="shared" si="14"/>
        <v/>
      </c>
      <c r="B9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9" spans="1:2" x14ac:dyDescent="0.25">
      <c r="A939" s="1" t="str">
        <f t="shared" si="14"/>
        <v/>
      </c>
      <c r="B9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0" spans="1:2" x14ac:dyDescent="0.25">
      <c r="A940" s="1" t="str">
        <f t="shared" si="14"/>
        <v/>
      </c>
      <c r="B9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1" spans="1:2" x14ac:dyDescent="0.25">
      <c r="A941" s="1" t="str">
        <f t="shared" si="14"/>
        <v/>
      </c>
      <c r="B9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2" spans="1:2" x14ac:dyDescent="0.25">
      <c r="A942" s="1" t="str">
        <f t="shared" si="14"/>
        <v/>
      </c>
      <c r="B9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3" spans="1:2" x14ac:dyDescent="0.25">
      <c r="A943" s="1" t="str">
        <f t="shared" si="14"/>
        <v/>
      </c>
      <c r="B9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4" spans="1:2" x14ac:dyDescent="0.25">
      <c r="A944" s="1" t="str">
        <f t="shared" si="14"/>
        <v/>
      </c>
      <c r="B9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5" spans="1:2" x14ac:dyDescent="0.25">
      <c r="A945" s="1" t="str">
        <f t="shared" si="14"/>
        <v/>
      </c>
      <c r="B9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6" spans="1:2" x14ac:dyDescent="0.25">
      <c r="A946" s="1" t="str">
        <f t="shared" si="14"/>
        <v/>
      </c>
      <c r="B9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7" spans="1:2" x14ac:dyDescent="0.25">
      <c r="A947" s="1" t="str">
        <f t="shared" si="14"/>
        <v/>
      </c>
      <c r="B9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8" spans="1:2" x14ac:dyDescent="0.25">
      <c r="A948" s="1" t="str">
        <f t="shared" si="14"/>
        <v/>
      </c>
      <c r="B9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9" spans="1:2" x14ac:dyDescent="0.25">
      <c r="A949" s="1" t="str">
        <f t="shared" si="14"/>
        <v/>
      </c>
      <c r="B9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0" spans="1:2" x14ac:dyDescent="0.25">
      <c r="A950" s="1" t="str">
        <f t="shared" si="14"/>
        <v/>
      </c>
      <c r="B9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1" spans="1:2" x14ac:dyDescent="0.25">
      <c r="A951" s="1" t="str">
        <f t="shared" si="14"/>
        <v/>
      </c>
      <c r="B9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2" spans="1:2" x14ac:dyDescent="0.25">
      <c r="A952" s="1" t="str">
        <f t="shared" si="14"/>
        <v/>
      </c>
      <c r="B9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3" spans="1:2" x14ac:dyDescent="0.25">
      <c r="A953" s="1" t="str">
        <f t="shared" si="14"/>
        <v/>
      </c>
      <c r="B9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4" spans="1:2" x14ac:dyDescent="0.25">
      <c r="A954" s="1" t="str">
        <f t="shared" si="14"/>
        <v/>
      </c>
      <c r="B9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5" spans="1:2" x14ac:dyDescent="0.25">
      <c r="A955" s="1" t="str">
        <f t="shared" si="14"/>
        <v/>
      </c>
      <c r="B9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6" spans="1:2" x14ac:dyDescent="0.25">
      <c r="A956" s="1" t="str">
        <f t="shared" si="14"/>
        <v/>
      </c>
      <c r="B9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7" spans="1:2" x14ac:dyDescent="0.25">
      <c r="A957" s="1" t="str">
        <f t="shared" si="14"/>
        <v/>
      </c>
      <c r="B9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8" spans="1:2" x14ac:dyDescent="0.25">
      <c r="A958" s="1" t="str">
        <f t="shared" si="14"/>
        <v/>
      </c>
      <c r="B9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9" spans="1:2" x14ac:dyDescent="0.25">
      <c r="A959" s="1" t="str">
        <f t="shared" si="14"/>
        <v/>
      </c>
      <c r="B9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0" spans="1:2" x14ac:dyDescent="0.25">
      <c r="A960" s="1" t="str">
        <f t="shared" si="14"/>
        <v/>
      </c>
      <c r="B9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1" spans="1:2" x14ac:dyDescent="0.25">
      <c r="A961" s="1" t="str">
        <f t="shared" si="14"/>
        <v/>
      </c>
      <c r="B9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2" spans="1:2" x14ac:dyDescent="0.25">
      <c r="A962" s="1" t="str">
        <f t="shared" ref="A962:A1025" si="15">IFERROR(LEFT(RIGHT(C962,LEN(C962)-SEARCH("@",C962)),SEARCH("/",RIGHT(C962,LEN(C962)-SEARCH("@",C962)-1))),"")</f>
        <v/>
      </c>
      <c r="B9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3" spans="1:2" x14ac:dyDescent="0.25">
      <c r="A963" s="1" t="str">
        <f t="shared" si="15"/>
        <v/>
      </c>
      <c r="B9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4" spans="1:2" x14ac:dyDescent="0.25">
      <c r="A964" s="1" t="str">
        <f t="shared" si="15"/>
        <v/>
      </c>
      <c r="B9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5" spans="1:2" x14ac:dyDescent="0.25">
      <c r="A965" s="1" t="str">
        <f t="shared" si="15"/>
        <v/>
      </c>
      <c r="B9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6" spans="1:2" x14ac:dyDescent="0.25">
      <c r="A966" s="1" t="str">
        <f t="shared" si="15"/>
        <v/>
      </c>
      <c r="B9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7" spans="1:2" x14ac:dyDescent="0.25">
      <c r="A967" s="1" t="str">
        <f t="shared" si="15"/>
        <v/>
      </c>
      <c r="B9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8" spans="1:2" x14ac:dyDescent="0.25">
      <c r="A968" s="1" t="str">
        <f t="shared" si="15"/>
        <v/>
      </c>
      <c r="B9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9" spans="1:2" x14ac:dyDescent="0.25">
      <c r="A969" s="1" t="str">
        <f t="shared" si="15"/>
        <v/>
      </c>
      <c r="B9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0" spans="1:2" x14ac:dyDescent="0.25">
      <c r="A970" s="1" t="str">
        <f t="shared" si="15"/>
        <v/>
      </c>
      <c r="B9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1" spans="1:2" x14ac:dyDescent="0.25">
      <c r="A971" s="1" t="str">
        <f t="shared" si="15"/>
        <v/>
      </c>
      <c r="B9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2" spans="1:2" x14ac:dyDescent="0.25">
      <c r="A972" s="1" t="str">
        <f t="shared" si="15"/>
        <v/>
      </c>
      <c r="B9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3" spans="1:2" x14ac:dyDescent="0.25">
      <c r="A973" s="1" t="str">
        <f t="shared" si="15"/>
        <v/>
      </c>
      <c r="B9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4" spans="1:2" x14ac:dyDescent="0.25">
      <c r="A974" s="1" t="str">
        <f t="shared" si="15"/>
        <v/>
      </c>
      <c r="B9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5" spans="1:2" x14ac:dyDescent="0.25">
      <c r="A975" s="1" t="str">
        <f t="shared" si="15"/>
        <v/>
      </c>
      <c r="B9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6" spans="1:2" x14ac:dyDescent="0.25">
      <c r="A976" s="1" t="str">
        <f t="shared" si="15"/>
        <v/>
      </c>
      <c r="B9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7" spans="1:2" x14ac:dyDescent="0.25">
      <c r="A977" s="1" t="str">
        <f t="shared" si="15"/>
        <v/>
      </c>
      <c r="B9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8" spans="1:2" x14ac:dyDescent="0.25">
      <c r="A978" s="1" t="str">
        <f t="shared" si="15"/>
        <v/>
      </c>
      <c r="B9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9" spans="1:2" x14ac:dyDescent="0.25">
      <c r="A979" s="1" t="str">
        <f t="shared" si="15"/>
        <v/>
      </c>
      <c r="B9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0" spans="1:2" x14ac:dyDescent="0.25">
      <c r="A980" s="1" t="str">
        <f t="shared" si="15"/>
        <v/>
      </c>
      <c r="B9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1" spans="1:2" x14ac:dyDescent="0.25">
      <c r="A981" s="1" t="str">
        <f t="shared" si="15"/>
        <v/>
      </c>
      <c r="B9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2" spans="1:2" x14ac:dyDescent="0.25">
      <c r="A982" s="1" t="str">
        <f t="shared" si="15"/>
        <v/>
      </c>
      <c r="B9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3" spans="1:2" x14ac:dyDescent="0.25">
      <c r="A983" s="1" t="str">
        <f t="shared" si="15"/>
        <v/>
      </c>
      <c r="B9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4" spans="1:2" x14ac:dyDescent="0.25">
      <c r="A984" s="1" t="str">
        <f t="shared" si="15"/>
        <v/>
      </c>
      <c r="B9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5" spans="1:2" x14ac:dyDescent="0.25">
      <c r="A985" s="1" t="str">
        <f t="shared" si="15"/>
        <v/>
      </c>
      <c r="B9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6" spans="1:2" x14ac:dyDescent="0.25">
      <c r="A986" s="1" t="str">
        <f t="shared" si="15"/>
        <v/>
      </c>
      <c r="B9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7" spans="1:2" x14ac:dyDescent="0.25">
      <c r="A987" s="1" t="str">
        <f t="shared" si="15"/>
        <v/>
      </c>
      <c r="B9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8" spans="1:2" x14ac:dyDescent="0.25">
      <c r="A988" s="1" t="str">
        <f t="shared" si="15"/>
        <v/>
      </c>
      <c r="B9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9" spans="1:2" x14ac:dyDescent="0.25">
      <c r="A989" s="1" t="str">
        <f t="shared" si="15"/>
        <v/>
      </c>
      <c r="B9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0" spans="1:2" x14ac:dyDescent="0.25">
      <c r="A990" s="1" t="str">
        <f t="shared" si="15"/>
        <v/>
      </c>
      <c r="B9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1" spans="1:2" x14ac:dyDescent="0.25">
      <c r="A991" s="1" t="str">
        <f t="shared" si="15"/>
        <v/>
      </c>
      <c r="B9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2" spans="1:2" x14ac:dyDescent="0.25">
      <c r="A992" s="1" t="str">
        <f t="shared" si="15"/>
        <v/>
      </c>
      <c r="B9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3" spans="1:2" x14ac:dyDescent="0.25">
      <c r="A993" s="1" t="str">
        <f t="shared" si="15"/>
        <v/>
      </c>
      <c r="B9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4" spans="1:2" x14ac:dyDescent="0.25">
      <c r="A994" s="1" t="str">
        <f t="shared" si="15"/>
        <v/>
      </c>
      <c r="B9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5" spans="1:2" x14ac:dyDescent="0.25">
      <c r="A995" s="1" t="str">
        <f t="shared" si="15"/>
        <v/>
      </c>
      <c r="B9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6" spans="1:2" x14ac:dyDescent="0.25">
      <c r="A996" s="1" t="str">
        <f t="shared" si="15"/>
        <v/>
      </c>
      <c r="B9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7" spans="1:2" x14ac:dyDescent="0.25">
      <c r="A997" s="1" t="str">
        <f t="shared" si="15"/>
        <v/>
      </c>
      <c r="B9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8" spans="1:2" x14ac:dyDescent="0.25">
      <c r="A998" s="1" t="str">
        <f t="shared" si="15"/>
        <v/>
      </c>
      <c r="B9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9" spans="1:2" x14ac:dyDescent="0.25">
      <c r="A999" s="1" t="str">
        <f t="shared" si="15"/>
        <v/>
      </c>
      <c r="B9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0" spans="1:2" x14ac:dyDescent="0.25">
      <c r="A1000" s="1" t="str">
        <f t="shared" si="15"/>
        <v/>
      </c>
      <c r="B10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1" spans="1:2" x14ac:dyDescent="0.25">
      <c r="A1001" s="1" t="str">
        <f t="shared" si="15"/>
        <v/>
      </c>
      <c r="B10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2" spans="1:2" x14ac:dyDescent="0.25">
      <c r="A1002" s="1" t="str">
        <f t="shared" si="15"/>
        <v/>
      </c>
      <c r="B10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3" spans="1:2" x14ac:dyDescent="0.25">
      <c r="A1003" s="1" t="str">
        <f t="shared" si="15"/>
        <v/>
      </c>
      <c r="B10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4" spans="1:2" x14ac:dyDescent="0.25">
      <c r="A1004" s="1" t="str">
        <f t="shared" si="15"/>
        <v/>
      </c>
      <c r="B10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5" spans="1:2" x14ac:dyDescent="0.25">
      <c r="A1005" s="1" t="str">
        <f t="shared" si="15"/>
        <v/>
      </c>
      <c r="B10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6" spans="1:2" x14ac:dyDescent="0.25">
      <c r="A1006" s="1" t="str">
        <f t="shared" si="15"/>
        <v/>
      </c>
      <c r="B10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7" spans="1:2" x14ac:dyDescent="0.25">
      <c r="A1007" s="1" t="str">
        <f t="shared" si="15"/>
        <v/>
      </c>
      <c r="B10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8" spans="1:2" x14ac:dyDescent="0.25">
      <c r="A1008" s="1" t="str">
        <f t="shared" si="15"/>
        <v/>
      </c>
      <c r="B10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9" spans="1:2" x14ac:dyDescent="0.25">
      <c r="A1009" s="1" t="str">
        <f t="shared" si="15"/>
        <v/>
      </c>
      <c r="B10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0" spans="1:2" x14ac:dyDescent="0.25">
      <c r="A1010" s="1" t="str">
        <f t="shared" si="15"/>
        <v/>
      </c>
      <c r="B10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1" spans="1:2" x14ac:dyDescent="0.25">
      <c r="A1011" s="1" t="str">
        <f t="shared" si="15"/>
        <v/>
      </c>
      <c r="B10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2" spans="1:2" x14ac:dyDescent="0.25">
      <c r="A1012" s="1" t="str">
        <f t="shared" si="15"/>
        <v/>
      </c>
      <c r="B10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3" spans="1:2" x14ac:dyDescent="0.25">
      <c r="A1013" s="1" t="str">
        <f t="shared" si="15"/>
        <v/>
      </c>
      <c r="B10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4" spans="1:2" x14ac:dyDescent="0.25">
      <c r="A1014" s="1" t="str">
        <f t="shared" si="15"/>
        <v/>
      </c>
      <c r="B10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5" spans="1:2" x14ac:dyDescent="0.25">
      <c r="A1015" s="1" t="str">
        <f t="shared" si="15"/>
        <v/>
      </c>
      <c r="B10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6" spans="1:2" x14ac:dyDescent="0.25">
      <c r="A1016" s="1" t="str">
        <f t="shared" si="15"/>
        <v/>
      </c>
      <c r="B10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7" spans="1:2" x14ac:dyDescent="0.25">
      <c r="A1017" s="1" t="str">
        <f t="shared" si="15"/>
        <v/>
      </c>
      <c r="B10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8" spans="1:2" x14ac:dyDescent="0.25">
      <c r="A1018" s="1" t="str">
        <f t="shared" si="15"/>
        <v/>
      </c>
      <c r="B10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9" spans="1:2" x14ac:dyDescent="0.25">
      <c r="A1019" s="1" t="str">
        <f t="shared" si="15"/>
        <v/>
      </c>
      <c r="B10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0" spans="1:2" x14ac:dyDescent="0.25">
      <c r="A1020" s="1" t="str">
        <f t="shared" si="15"/>
        <v/>
      </c>
      <c r="B10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1" spans="1:2" x14ac:dyDescent="0.25">
      <c r="A1021" s="1" t="str">
        <f t="shared" si="15"/>
        <v/>
      </c>
      <c r="B10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2" spans="1:2" x14ac:dyDescent="0.25">
      <c r="A1022" s="1" t="str">
        <f t="shared" si="15"/>
        <v/>
      </c>
      <c r="B10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3" spans="1:2" x14ac:dyDescent="0.25">
      <c r="A1023" s="1" t="str">
        <f t="shared" si="15"/>
        <v/>
      </c>
      <c r="B10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4" spans="1:2" x14ac:dyDescent="0.25">
      <c r="A1024" s="1" t="str">
        <f t="shared" si="15"/>
        <v/>
      </c>
      <c r="B10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5" spans="1:2" x14ac:dyDescent="0.25">
      <c r="A1025" s="1" t="str">
        <f t="shared" si="15"/>
        <v/>
      </c>
      <c r="B10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6" spans="1:2" x14ac:dyDescent="0.25">
      <c r="A1026" s="1" t="str">
        <f t="shared" ref="A1026:A1089" si="16">IFERROR(LEFT(RIGHT(C1026,LEN(C1026)-SEARCH("@",C1026)),SEARCH("/",RIGHT(C1026,LEN(C1026)-SEARCH("@",C1026)-1))),"")</f>
        <v/>
      </c>
      <c r="B10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7" spans="1:2" x14ac:dyDescent="0.25">
      <c r="A1027" s="1" t="str">
        <f t="shared" si="16"/>
        <v/>
      </c>
      <c r="B10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8" spans="1:2" x14ac:dyDescent="0.25">
      <c r="A1028" s="1" t="str">
        <f t="shared" si="16"/>
        <v/>
      </c>
      <c r="B10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9" spans="1:2" x14ac:dyDescent="0.25">
      <c r="A1029" s="1" t="str">
        <f t="shared" si="16"/>
        <v/>
      </c>
      <c r="B10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0" spans="1:2" x14ac:dyDescent="0.25">
      <c r="A1030" s="1" t="str">
        <f t="shared" si="16"/>
        <v/>
      </c>
      <c r="B10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1" spans="1:2" x14ac:dyDescent="0.25">
      <c r="A1031" s="1" t="str">
        <f t="shared" si="16"/>
        <v/>
      </c>
      <c r="B10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2" spans="1:2" x14ac:dyDescent="0.25">
      <c r="A1032" s="1" t="str">
        <f t="shared" si="16"/>
        <v/>
      </c>
      <c r="B10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3" spans="1:2" x14ac:dyDescent="0.25">
      <c r="A1033" s="1" t="str">
        <f t="shared" si="16"/>
        <v/>
      </c>
      <c r="B10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4" spans="1:2" x14ac:dyDescent="0.25">
      <c r="A1034" s="1" t="str">
        <f t="shared" si="16"/>
        <v/>
      </c>
      <c r="B10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5" spans="1:2" x14ac:dyDescent="0.25">
      <c r="A1035" s="1" t="str">
        <f t="shared" si="16"/>
        <v/>
      </c>
      <c r="B10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6" spans="1:2" x14ac:dyDescent="0.25">
      <c r="A1036" s="1" t="str">
        <f t="shared" si="16"/>
        <v/>
      </c>
      <c r="B10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7" spans="1:2" x14ac:dyDescent="0.25">
      <c r="A1037" s="1" t="str">
        <f t="shared" si="16"/>
        <v/>
      </c>
      <c r="B10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8" spans="1:2" x14ac:dyDescent="0.25">
      <c r="A1038" s="1" t="str">
        <f t="shared" si="16"/>
        <v/>
      </c>
      <c r="B10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9" spans="1:2" x14ac:dyDescent="0.25">
      <c r="A1039" s="1" t="str">
        <f t="shared" si="16"/>
        <v/>
      </c>
      <c r="B10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0" spans="1:2" x14ac:dyDescent="0.25">
      <c r="A1040" s="1" t="str">
        <f t="shared" si="16"/>
        <v/>
      </c>
      <c r="B10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1" spans="1:2" x14ac:dyDescent="0.25">
      <c r="A1041" s="1" t="str">
        <f t="shared" si="16"/>
        <v/>
      </c>
      <c r="B10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2" spans="1:2" x14ac:dyDescent="0.25">
      <c r="A1042" s="1" t="str">
        <f t="shared" si="16"/>
        <v/>
      </c>
      <c r="B10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3" spans="1:2" x14ac:dyDescent="0.25">
      <c r="A1043" s="1" t="str">
        <f t="shared" si="16"/>
        <v/>
      </c>
      <c r="B10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4" spans="1:2" x14ac:dyDescent="0.25">
      <c r="A1044" s="1" t="str">
        <f t="shared" si="16"/>
        <v/>
      </c>
      <c r="B10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5" spans="1:2" x14ac:dyDescent="0.25">
      <c r="A1045" s="1" t="str">
        <f t="shared" si="16"/>
        <v/>
      </c>
      <c r="B10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6" spans="1:2" x14ac:dyDescent="0.25">
      <c r="A1046" s="1" t="str">
        <f t="shared" si="16"/>
        <v/>
      </c>
      <c r="B10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7" spans="1:2" x14ac:dyDescent="0.25">
      <c r="A1047" s="1" t="str">
        <f t="shared" si="16"/>
        <v/>
      </c>
      <c r="B10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8" spans="1:2" x14ac:dyDescent="0.25">
      <c r="A1048" s="1" t="str">
        <f t="shared" si="16"/>
        <v/>
      </c>
      <c r="B10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9" spans="1:2" x14ac:dyDescent="0.25">
      <c r="A1049" s="1" t="str">
        <f t="shared" si="16"/>
        <v/>
      </c>
      <c r="B10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0" spans="1:2" x14ac:dyDescent="0.25">
      <c r="A1050" s="1" t="str">
        <f t="shared" si="16"/>
        <v/>
      </c>
      <c r="B10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1" spans="1:2" x14ac:dyDescent="0.25">
      <c r="A1051" s="1" t="str">
        <f t="shared" si="16"/>
        <v/>
      </c>
      <c r="B10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2" spans="1:2" x14ac:dyDescent="0.25">
      <c r="A1052" s="1" t="str">
        <f t="shared" si="16"/>
        <v/>
      </c>
      <c r="B10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3" spans="1:2" x14ac:dyDescent="0.25">
      <c r="A1053" s="1" t="str">
        <f t="shared" si="16"/>
        <v/>
      </c>
      <c r="B10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4" spans="1:2" x14ac:dyDescent="0.25">
      <c r="A1054" s="1" t="str">
        <f t="shared" si="16"/>
        <v/>
      </c>
      <c r="B10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5" spans="1:2" x14ac:dyDescent="0.25">
      <c r="A1055" s="1" t="str">
        <f t="shared" si="16"/>
        <v/>
      </c>
      <c r="B10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6" spans="1:2" x14ac:dyDescent="0.25">
      <c r="A1056" s="1" t="str">
        <f t="shared" si="16"/>
        <v/>
      </c>
      <c r="B10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7" spans="1:2" x14ac:dyDescent="0.25">
      <c r="A1057" s="1" t="str">
        <f t="shared" si="16"/>
        <v/>
      </c>
      <c r="B10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8" spans="1:2" x14ac:dyDescent="0.25">
      <c r="A1058" s="1" t="str">
        <f t="shared" si="16"/>
        <v/>
      </c>
      <c r="B10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9" spans="1:2" x14ac:dyDescent="0.25">
      <c r="A1059" s="1" t="str">
        <f t="shared" si="16"/>
        <v/>
      </c>
      <c r="B10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0" spans="1:2" x14ac:dyDescent="0.25">
      <c r="A1060" s="1" t="str">
        <f t="shared" si="16"/>
        <v/>
      </c>
      <c r="B10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1" spans="1:2" x14ac:dyDescent="0.25">
      <c r="A1061" s="1" t="str">
        <f t="shared" si="16"/>
        <v/>
      </c>
      <c r="B10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2" spans="1:2" x14ac:dyDescent="0.25">
      <c r="A1062" s="1" t="str">
        <f t="shared" si="16"/>
        <v/>
      </c>
      <c r="B10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3" spans="1:2" x14ac:dyDescent="0.25">
      <c r="A1063" s="1" t="str">
        <f t="shared" si="16"/>
        <v/>
      </c>
      <c r="B10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4" spans="1:2" x14ac:dyDescent="0.25">
      <c r="A1064" s="1" t="str">
        <f t="shared" si="16"/>
        <v/>
      </c>
      <c r="B10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5" spans="1:2" x14ac:dyDescent="0.25">
      <c r="A1065" s="1" t="str">
        <f t="shared" si="16"/>
        <v/>
      </c>
      <c r="B10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6" spans="1:2" x14ac:dyDescent="0.25">
      <c r="A1066" s="1" t="str">
        <f t="shared" si="16"/>
        <v/>
      </c>
      <c r="B10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7" spans="1:2" x14ac:dyDescent="0.25">
      <c r="A1067" s="1" t="str">
        <f t="shared" si="16"/>
        <v/>
      </c>
      <c r="B10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8" spans="1:2" x14ac:dyDescent="0.25">
      <c r="A1068" s="1" t="str">
        <f t="shared" si="16"/>
        <v/>
      </c>
      <c r="B10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9" spans="1:2" x14ac:dyDescent="0.25">
      <c r="A1069" s="1" t="str">
        <f t="shared" si="16"/>
        <v/>
      </c>
      <c r="B10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0" spans="1:2" x14ac:dyDescent="0.25">
      <c r="A1070" s="1" t="str">
        <f t="shared" si="16"/>
        <v/>
      </c>
      <c r="B10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1" spans="1:2" x14ac:dyDescent="0.25">
      <c r="A1071" s="1" t="str">
        <f t="shared" si="16"/>
        <v/>
      </c>
      <c r="B10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2" spans="1:2" x14ac:dyDescent="0.25">
      <c r="A1072" s="1" t="str">
        <f t="shared" si="16"/>
        <v/>
      </c>
      <c r="B10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3" spans="1:2" x14ac:dyDescent="0.25">
      <c r="A1073" s="1" t="str">
        <f t="shared" si="16"/>
        <v/>
      </c>
      <c r="B10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4" spans="1:2" x14ac:dyDescent="0.25">
      <c r="A1074" s="1" t="str">
        <f t="shared" si="16"/>
        <v/>
      </c>
      <c r="B10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5" spans="1:2" x14ac:dyDescent="0.25">
      <c r="A1075" s="1" t="str">
        <f t="shared" si="16"/>
        <v/>
      </c>
      <c r="B10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6" spans="1:2" x14ac:dyDescent="0.25">
      <c r="A1076" s="1" t="str">
        <f t="shared" si="16"/>
        <v/>
      </c>
      <c r="B10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7" spans="1:2" x14ac:dyDescent="0.25">
      <c r="A1077" s="1" t="str">
        <f t="shared" si="16"/>
        <v/>
      </c>
      <c r="B10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8" spans="1:2" x14ac:dyDescent="0.25">
      <c r="A1078" s="1" t="str">
        <f t="shared" si="16"/>
        <v/>
      </c>
      <c r="B10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9" spans="1:2" x14ac:dyDescent="0.25">
      <c r="A1079" s="1" t="str">
        <f t="shared" si="16"/>
        <v/>
      </c>
      <c r="B10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0" spans="1:2" x14ac:dyDescent="0.25">
      <c r="A1080" s="1" t="str">
        <f t="shared" si="16"/>
        <v/>
      </c>
      <c r="B10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1" spans="1:2" x14ac:dyDescent="0.25">
      <c r="A1081" s="1" t="str">
        <f t="shared" si="16"/>
        <v/>
      </c>
      <c r="B10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2" spans="1:2" x14ac:dyDescent="0.25">
      <c r="A1082" s="1" t="str">
        <f t="shared" si="16"/>
        <v/>
      </c>
      <c r="B10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3" spans="1:2" x14ac:dyDescent="0.25">
      <c r="A1083" s="1" t="str">
        <f t="shared" si="16"/>
        <v/>
      </c>
      <c r="B10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4" spans="1:2" x14ac:dyDescent="0.25">
      <c r="A1084" s="1" t="str">
        <f t="shared" si="16"/>
        <v/>
      </c>
      <c r="B10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5" spans="1:2" x14ac:dyDescent="0.25">
      <c r="A1085" s="1" t="str">
        <f t="shared" si="16"/>
        <v/>
      </c>
      <c r="B10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6" spans="1:2" x14ac:dyDescent="0.25">
      <c r="A1086" s="1" t="str">
        <f t="shared" si="16"/>
        <v/>
      </c>
      <c r="B10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7" spans="1:2" x14ac:dyDescent="0.25">
      <c r="A1087" s="1" t="str">
        <f t="shared" si="16"/>
        <v/>
      </c>
      <c r="B10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8" spans="1:2" x14ac:dyDescent="0.25">
      <c r="A1088" s="1" t="str">
        <f t="shared" si="16"/>
        <v/>
      </c>
      <c r="B10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9" spans="1:2" x14ac:dyDescent="0.25">
      <c r="A1089" s="1" t="str">
        <f t="shared" si="16"/>
        <v/>
      </c>
      <c r="B10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0" spans="1:2" x14ac:dyDescent="0.25">
      <c r="A1090" s="1" t="str">
        <f t="shared" ref="A1090:A1153" si="17">IFERROR(LEFT(RIGHT(C1090,LEN(C1090)-SEARCH("@",C1090)),SEARCH("/",RIGHT(C1090,LEN(C1090)-SEARCH("@",C1090)-1))),"")</f>
        <v/>
      </c>
      <c r="B10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1" spans="1:2" x14ac:dyDescent="0.25">
      <c r="A1091" s="1" t="str">
        <f t="shared" si="17"/>
        <v/>
      </c>
      <c r="B10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2" spans="1:2" x14ac:dyDescent="0.25">
      <c r="A1092" s="1" t="str">
        <f t="shared" si="17"/>
        <v/>
      </c>
      <c r="B10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3" spans="1:2" x14ac:dyDescent="0.25">
      <c r="A1093" s="1" t="str">
        <f t="shared" si="17"/>
        <v/>
      </c>
      <c r="B10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4" spans="1:2" x14ac:dyDescent="0.25">
      <c r="A1094" s="1" t="str">
        <f t="shared" si="17"/>
        <v/>
      </c>
      <c r="B10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5" spans="1:2" x14ac:dyDescent="0.25">
      <c r="A1095" s="1" t="str">
        <f t="shared" si="17"/>
        <v/>
      </c>
      <c r="B10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6" spans="1:2" x14ac:dyDescent="0.25">
      <c r="A1096" s="1" t="str">
        <f t="shared" si="17"/>
        <v/>
      </c>
      <c r="B10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7" spans="1:2" x14ac:dyDescent="0.25">
      <c r="A1097" s="1" t="str">
        <f t="shared" si="17"/>
        <v/>
      </c>
      <c r="B10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8" spans="1:2" x14ac:dyDescent="0.25">
      <c r="A1098" s="1" t="str">
        <f t="shared" si="17"/>
        <v/>
      </c>
      <c r="B10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9" spans="1:2" x14ac:dyDescent="0.25">
      <c r="A1099" s="1" t="str">
        <f t="shared" si="17"/>
        <v/>
      </c>
      <c r="B10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0" spans="1:2" x14ac:dyDescent="0.25">
      <c r="A1100" s="1" t="str">
        <f t="shared" si="17"/>
        <v/>
      </c>
      <c r="B11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1" spans="1:2" x14ac:dyDescent="0.25">
      <c r="A1101" s="1" t="str">
        <f t="shared" si="17"/>
        <v/>
      </c>
      <c r="B11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2" spans="1:2" x14ac:dyDescent="0.25">
      <c r="A1102" s="1" t="str">
        <f t="shared" si="17"/>
        <v/>
      </c>
      <c r="B11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3" spans="1:2" x14ac:dyDescent="0.25">
      <c r="A1103" s="1" t="str">
        <f t="shared" si="17"/>
        <v/>
      </c>
      <c r="B11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4" spans="1:2" x14ac:dyDescent="0.25">
      <c r="A1104" s="1" t="str">
        <f t="shared" si="17"/>
        <v/>
      </c>
      <c r="B11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5" spans="1:2" x14ac:dyDescent="0.25">
      <c r="A1105" s="1" t="str">
        <f t="shared" si="17"/>
        <v/>
      </c>
      <c r="B11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6" spans="1:2" x14ac:dyDescent="0.25">
      <c r="A1106" s="1" t="str">
        <f t="shared" si="17"/>
        <v/>
      </c>
      <c r="B11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7" spans="1:2" x14ac:dyDescent="0.25">
      <c r="A1107" s="1" t="str">
        <f t="shared" si="17"/>
        <v/>
      </c>
      <c r="B11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8" spans="1:2" x14ac:dyDescent="0.25">
      <c r="A1108" s="1" t="str">
        <f t="shared" si="17"/>
        <v/>
      </c>
      <c r="B11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9" spans="1:2" x14ac:dyDescent="0.25">
      <c r="A1109" s="1" t="str">
        <f t="shared" si="17"/>
        <v/>
      </c>
      <c r="B11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0" spans="1:2" x14ac:dyDescent="0.25">
      <c r="A1110" s="1" t="str">
        <f t="shared" si="17"/>
        <v/>
      </c>
      <c r="B11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1" spans="1:2" x14ac:dyDescent="0.25">
      <c r="A1111" s="1" t="str">
        <f t="shared" si="17"/>
        <v/>
      </c>
      <c r="B11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2" spans="1:2" x14ac:dyDescent="0.25">
      <c r="A1112" s="1" t="str">
        <f t="shared" si="17"/>
        <v/>
      </c>
      <c r="B11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3" spans="1:2" x14ac:dyDescent="0.25">
      <c r="A1113" s="1" t="str">
        <f t="shared" si="17"/>
        <v/>
      </c>
      <c r="B11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4" spans="1:2" x14ac:dyDescent="0.25">
      <c r="A1114" s="1" t="str">
        <f t="shared" si="17"/>
        <v/>
      </c>
      <c r="B11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5" spans="1:2" x14ac:dyDescent="0.25">
      <c r="A1115" s="1" t="str">
        <f t="shared" si="17"/>
        <v/>
      </c>
      <c r="B11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6" spans="1:2" x14ac:dyDescent="0.25">
      <c r="A1116" s="1" t="str">
        <f t="shared" si="17"/>
        <v/>
      </c>
      <c r="B11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7" spans="1:2" x14ac:dyDescent="0.25">
      <c r="A1117" s="1" t="str">
        <f t="shared" si="17"/>
        <v/>
      </c>
      <c r="B11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8" spans="1:2" x14ac:dyDescent="0.25">
      <c r="A1118" s="1" t="str">
        <f t="shared" si="17"/>
        <v/>
      </c>
      <c r="B11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9" spans="1:2" x14ac:dyDescent="0.25">
      <c r="A1119" s="1" t="str">
        <f t="shared" si="17"/>
        <v/>
      </c>
      <c r="B11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0" spans="1:2" x14ac:dyDescent="0.25">
      <c r="A1120" s="1" t="str">
        <f t="shared" si="17"/>
        <v/>
      </c>
      <c r="B11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1" spans="1:2" x14ac:dyDescent="0.25">
      <c r="A1121" s="1" t="str">
        <f t="shared" si="17"/>
        <v/>
      </c>
      <c r="B11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2" spans="1:2" x14ac:dyDescent="0.25">
      <c r="A1122" s="1" t="str">
        <f t="shared" si="17"/>
        <v/>
      </c>
      <c r="B11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3" spans="1:2" x14ac:dyDescent="0.25">
      <c r="A1123" s="1" t="str">
        <f t="shared" si="17"/>
        <v/>
      </c>
      <c r="B11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4" spans="1:2" x14ac:dyDescent="0.25">
      <c r="A1124" s="1" t="str">
        <f t="shared" si="17"/>
        <v/>
      </c>
      <c r="B11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5" spans="1:2" x14ac:dyDescent="0.25">
      <c r="A1125" s="1" t="str">
        <f t="shared" si="17"/>
        <v/>
      </c>
      <c r="B11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6" spans="1:2" x14ac:dyDescent="0.25">
      <c r="A1126" s="1" t="str">
        <f t="shared" si="17"/>
        <v/>
      </c>
      <c r="B11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7" spans="1:2" x14ac:dyDescent="0.25">
      <c r="A1127" s="1" t="str">
        <f t="shared" si="17"/>
        <v/>
      </c>
      <c r="B11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8" spans="1:2" x14ac:dyDescent="0.25">
      <c r="A1128" s="1" t="str">
        <f t="shared" si="17"/>
        <v/>
      </c>
      <c r="B11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9" spans="1:2" x14ac:dyDescent="0.25">
      <c r="A1129" s="1" t="str">
        <f t="shared" si="17"/>
        <v/>
      </c>
      <c r="B11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0" spans="1:2" x14ac:dyDescent="0.25">
      <c r="A1130" s="1" t="str">
        <f t="shared" si="17"/>
        <v/>
      </c>
      <c r="B11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1" spans="1:2" x14ac:dyDescent="0.25">
      <c r="A1131" s="1" t="str">
        <f t="shared" si="17"/>
        <v/>
      </c>
      <c r="B11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2" spans="1:2" x14ac:dyDescent="0.25">
      <c r="A1132" s="1" t="str">
        <f t="shared" si="17"/>
        <v/>
      </c>
      <c r="B11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3" spans="1:2" x14ac:dyDescent="0.25">
      <c r="A1133" s="1" t="str">
        <f t="shared" si="17"/>
        <v/>
      </c>
      <c r="B11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4" spans="1:2" x14ac:dyDescent="0.25">
      <c r="A1134" s="1" t="str">
        <f t="shared" si="17"/>
        <v/>
      </c>
      <c r="B11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5" spans="1:2" x14ac:dyDescent="0.25">
      <c r="A1135" s="1" t="str">
        <f t="shared" si="17"/>
        <v/>
      </c>
      <c r="B11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6" spans="1:2" x14ac:dyDescent="0.25">
      <c r="A1136" s="1" t="str">
        <f t="shared" si="17"/>
        <v/>
      </c>
      <c r="B11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7" spans="1:2" x14ac:dyDescent="0.25">
      <c r="A1137" s="1" t="str">
        <f t="shared" si="17"/>
        <v/>
      </c>
      <c r="B11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8" spans="1:2" x14ac:dyDescent="0.25">
      <c r="A1138" s="1" t="str">
        <f t="shared" si="17"/>
        <v/>
      </c>
      <c r="B11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9" spans="1:2" x14ac:dyDescent="0.25">
      <c r="A1139" s="1" t="str">
        <f t="shared" si="17"/>
        <v/>
      </c>
      <c r="B11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0" spans="1:2" x14ac:dyDescent="0.25">
      <c r="A1140" s="1" t="str">
        <f t="shared" si="17"/>
        <v/>
      </c>
      <c r="B11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1" spans="1:2" x14ac:dyDescent="0.25">
      <c r="A1141" s="1" t="str">
        <f t="shared" si="17"/>
        <v/>
      </c>
      <c r="B11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2" spans="1:2" x14ac:dyDescent="0.25">
      <c r="A1142" s="1" t="str">
        <f t="shared" si="17"/>
        <v/>
      </c>
      <c r="B11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3" spans="1:2" x14ac:dyDescent="0.25">
      <c r="A1143" s="1" t="str">
        <f t="shared" si="17"/>
        <v/>
      </c>
      <c r="B11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4" spans="1:2" x14ac:dyDescent="0.25">
      <c r="A1144" s="1" t="str">
        <f t="shared" si="17"/>
        <v/>
      </c>
      <c r="B11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5" spans="1:2" x14ac:dyDescent="0.25">
      <c r="A1145" s="1" t="str">
        <f t="shared" si="17"/>
        <v/>
      </c>
      <c r="B11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6" spans="1:2" x14ac:dyDescent="0.25">
      <c r="A1146" s="1" t="str">
        <f t="shared" si="17"/>
        <v/>
      </c>
      <c r="B11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7" spans="1:2" x14ac:dyDescent="0.25">
      <c r="A1147" s="1" t="str">
        <f t="shared" si="17"/>
        <v/>
      </c>
      <c r="B11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8" spans="1:2" x14ac:dyDescent="0.25">
      <c r="A1148" s="1" t="str">
        <f t="shared" si="17"/>
        <v/>
      </c>
      <c r="B11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9" spans="1:2" x14ac:dyDescent="0.25">
      <c r="A1149" s="1" t="str">
        <f t="shared" si="17"/>
        <v/>
      </c>
      <c r="B11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0" spans="1:2" x14ac:dyDescent="0.25">
      <c r="A1150" s="1" t="str">
        <f t="shared" si="17"/>
        <v/>
      </c>
      <c r="B11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1" spans="1:2" x14ac:dyDescent="0.25">
      <c r="A1151" s="1" t="str">
        <f t="shared" si="17"/>
        <v/>
      </c>
      <c r="B11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2" spans="1:2" x14ac:dyDescent="0.25">
      <c r="A1152" s="1" t="str">
        <f t="shared" si="17"/>
        <v/>
      </c>
      <c r="B11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3" spans="1:2" x14ac:dyDescent="0.25">
      <c r="A1153" s="1" t="str">
        <f t="shared" si="17"/>
        <v/>
      </c>
      <c r="B11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4" spans="1:2" x14ac:dyDescent="0.25">
      <c r="A1154" s="1" t="str">
        <f t="shared" ref="A1154:A1217" si="18">IFERROR(LEFT(RIGHT(C1154,LEN(C1154)-SEARCH("@",C1154)),SEARCH("/",RIGHT(C1154,LEN(C1154)-SEARCH("@",C1154)-1))),"")</f>
        <v/>
      </c>
      <c r="B11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5" spans="1:2" x14ac:dyDescent="0.25">
      <c r="A1155" s="1" t="str">
        <f t="shared" si="18"/>
        <v/>
      </c>
      <c r="B11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6" spans="1:2" x14ac:dyDescent="0.25">
      <c r="A1156" s="1" t="str">
        <f t="shared" si="18"/>
        <v/>
      </c>
      <c r="B11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7" spans="1:2" x14ac:dyDescent="0.25">
      <c r="A1157" s="1" t="str">
        <f t="shared" si="18"/>
        <v/>
      </c>
      <c r="B11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8" spans="1:2" x14ac:dyDescent="0.25">
      <c r="A1158" s="1" t="str">
        <f t="shared" si="18"/>
        <v/>
      </c>
      <c r="B11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9" spans="1:2" x14ac:dyDescent="0.25">
      <c r="A1159" s="1" t="str">
        <f t="shared" si="18"/>
        <v/>
      </c>
      <c r="B11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0" spans="1:2" x14ac:dyDescent="0.25">
      <c r="A1160" s="1" t="str">
        <f t="shared" si="18"/>
        <v/>
      </c>
      <c r="B11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1" spans="1:2" x14ac:dyDescent="0.25">
      <c r="A1161" s="1" t="str">
        <f t="shared" si="18"/>
        <v/>
      </c>
      <c r="B11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2" spans="1:2" x14ac:dyDescent="0.25">
      <c r="A1162" s="1" t="str">
        <f t="shared" si="18"/>
        <v/>
      </c>
      <c r="B11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3" spans="1:2" x14ac:dyDescent="0.25">
      <c r="A1163" s="1" t="str">
        <f t="shared" si="18"/>
        <v/>
      </c>
      <c r="B11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4" spans="1:2" x14ac:dyDescent="0.25">
      <c r="A1164" s="1" t="str">
        <f t="shared" si="18"/>
        <v/>
      </c>
      <c r="B11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5" spans="1:2" x14ac:dyDescent="0.25">
      <c r="A1165" s="1" t="str">
        <f t="shared" si="18"/>
        <v/>
      </c>
      <c r="B11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6" spans="1:2" x14ac:dyDescent="0.25">
      <c r="A1166" s="1" t="str">
        <f t="shared" si="18"/>
        <v/>
      </c>
      <c r="B11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7" spans="1:2" x14ac:dyDescent="0.25">
      <c r="A1167" s="1" t="str">
        <f t="shared" si="18"/>
        <v/>
      </c>
      <c r="B11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8" spans="1:2" x14ac:dyDescent="0.25">
      <c r="A1168" s="1" t="str">
        <f t="shared" si="18"/>
        <v/>
      </c>
      <c r="B11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9" spans="1:2" x14ac:dyDescent="0.25">
      <c r="A1169" s="1" t="str">
        <f t="shared" si="18"/>
        <v/>
      </c>
      <c r="B11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0" spans="1:2" x14ac:dyDescent="0.25">
      <c r="A1170" s="1" t="str">
        <f t="shared" si="18"/>
        <v/>
      </c>
      <c r="B11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1" spans="1:2" x14ac:dyDescent="0.25">
      <c r="A1171" s="1" t="str">
        <f t="shared" si="18"/>
        <v/>
      </c>
      <c r="B11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2" spans="1:2" x14ac:dyDescent="0.25">
      <c r="A1172" s="1" t="str">
        <f t="shared" si="18"/>
        <v/>
      </c>
      <c r="B11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3" spans="1:2" x14ac:dyDescent="0.25">
      <c r="A1173" s="1" t="str">
        <f t="shared" si="18"/>
        <v/>
      </c>
      <c r="B11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4" spans="1:2" x14ac:dyDescent="0.25">
      <c r="A1174" s="1" t="str">
        <f t="shared" si="18"/>
        <v/>
      </c>
      <c r="B11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5" spans="1:2" x14ac:dyDescent="0.25">
      <c r="A1175" s="1" t="str">
        <f t="shared" si="18"/>
        <v/>
      </c>
      <c r="B11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6" spans="1:2" x14ac:dyDescent="0.25">
      <c r="A1176" s="1" t="str">
        <f t="shared" si="18"/>
        <v/>
      </c>
      <c r="B11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7" spans="1:2" x14ac:dyDescent="0.25">
      <c r="A1177" s="1" t="str">
        <f t="shared" si="18"/>
        <v/>
      </c>
      <c r="B11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8" spans="1:2" x14ac:dyDescent="0.25">
      <c r="A1178" s="1" t="str">
        <f t="shared" si="18"/>
        <v/>
      </c>
      <c r="B11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9" spans="1:2" x14ac:dyDescent="0.25">
      <c r="A1179" s="1" t="str">
        <f t="shared" si="18"/>
        <v/>
      </c>
      <c r="B11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0" spans="1:2" x14ac:dyDescent="0.25">
      <c r="A1180" s="1" t="str">
        <f t="shared" si="18"/>
        <v/>
      </c>
      <c r="B11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1" spans="1:2" x14ac:dyDescent="0.25">
      <c r="A1181" s="1" t="str">
        <f t="shared" si="18"/>
        <v/>
      </c>
      <c r="B11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2" spans="1:2" x14ac:dyDescent="0.25">
      <c r="A1182" s="1" t="str">
        <f t="shared" si="18"/>
        <v/>
      </c>
      <c r="B11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3" spans="1:2" x14ac:dyDescent="0.25">
      <c r="A1183" s="1" t="str">
        <f t="shared" si="18"/>
        <v/>
      </c>
      <c r="B11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4" spans="1:2" x14ac:dyDescent="0.25">
      <c r="A1184" s="1" t="str">
        <f t="shared" si="18"/>
        <v/>
      </c>
      <c r="B11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5" spans="1:2" x14ac:dyDescent="0.25">
      <c r="A1185" s="1" t="str">
        <f t="shared" si="18"/>
        <v/>
      </c>
      <c r="B11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6" spans="1:2" x14ac:dyDescent="0.25">
      <c r="A1186" s="1" t="str">
        <f t="shared" si="18"/>
        <v/>
      </c>
      <c r="B11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7" spans="1:2" x14ac:dyDescent="0.25">
      <c r="A1187" s="1" t="str">
        <f t="shared" si="18"/>
        <v/>
      </c>
      <c r="B11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8" spans="1:2" x14ac:dyDescent="0.25">
      <c r="A1188" s="1" t="str">
        <f t="shared" si="18"/>
        <v/>
      </c>
      <c r="B11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9" spans="1:2" x14ac:dyDescent="0.25">
      <c r="A1189" s="1" t="str">
        <f t="shared" si="18"/>
        <v/>
      </c>
      <c r="B11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0" spans="1:2" x14ac:dyDescent="0.25">
      <c r="A1190" s="1" t="str">
        <f t="shared" si="18"/>
        <v/>
      </c>
      <c r="B11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1" spans="1:2" x14ac:dyDescent="0.25">
      <c r="A1191" s="1" t="str">
        <f t="shared" si="18"/>
        <v/>
      </c>
      <c r="B11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2" spans="1:2" x14ac:dyDescent="0.25">
      <c r="A1192" s="1" t="str">
        <f t="shared" si="18"/>
        <v/>
      </c>
      <c r="B11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3" spans="1:2" x14ac:dyDescent="0.25">
      <c r="A1193" s="1" t="str">
        <f t="shared" si="18"/>
        <v/>
      </c>
      <c r="B11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4" spans="1:2" x14ac:dyDescent="0.25">
      <c r="A1194" s="1" t="str">
        <f t="shared" si="18"/>
        <v/>
      </c>
      <c r="B11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5" spans="1:2" x14ac:dyDescent="0.25">
      <c r="A1195" s="1" t="str">
        <f t="shared" si="18"/>
        <v/>
      </c>
      <c r="B11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6" spans="1:2" x14ac:dyDescent="0.25">
      <c r="A1196" s="1" t="str">
        <f t="shared" si="18"/>
        <v/>
      </c>
      <c r="B11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7" spans="1:2" x14ac:dyDescent="0.25">
      <c r="A1197" s="1" t="str">
        <f t="shared" si="18"/>
        <v/>
      </c>
      <c r="B11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8" spans="1:2" x14ac:dyDescent="0.25">
      <c r="A1198" s="1" t="str">
        <f t="shared" si="18"/>
        <v/>
      </c>
      <c r="B11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9" spans="1:2" x14ac:dyDescent="0.25">
      <c r="A1199" s="1" t="str">
        <f t="shared" si="18"/>
        <v/>
      </c>
      <c r="B11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0" spans="1:2" x14ac:dyDescent="0.25">
      <c r="A1200" s="1" t="str">
        <f t="shared" si="18"/>
        <v/>
      </c>
      <c r="B12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1" spans="1:2" x14ac:dyDescent="0.25">
      <c r="A1201" s="1" t="str">
        <f t="shared" si="18"/>
        <v/>
      </c>
      <c r="B12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2" spans="1:2" x14ac:dyDescent="0.25">
      <c r="A1202" s="1" t="str">
        <f t="shared" si="18"/>
        <v/>
      </c>
      <c r="B12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3" spans="1:2" x14ac:dyDescent="0.25">
      <c r="A1203" s="1" t="str">
        <f t="shared" si="18"/>
        <v/>
      </c>
      <c r="B12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4" spans="1:2" x14ac:dyDescent="0.25">
      <c r="A1204" s="1" t="str">
        <f t="shared" si="18"/>
        <v/>
      </c>
      <c r="B12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5" spans="1:2" x14ac:dyDescent="0.25">
      <c r="A1205" s="1" t="str">
        <f t="shared" si="18"/>
        <v/>
      </c>
      <c r="B12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6" spans="1:2" x14ac:dyDescent="0.25">
      <c r="A1206" s="1" t="str">
        <f t="shared" si="18"/>
        <v/>
      </c>
      <c r="B12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7" spans="1:2" x14ac:dyDescent="0.25">
      <c r="A1207" s="1" t="str">
        <f t="shared" si="18"/>
        <v/>
      </c>
      <c r="B12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8" spans="1:2" x14ac:dyDescent="0.25">
      <c r="A1208" s="1" t="str">
        <f t="shared" si="18"/>
        <v/>
      </c>
      <c r="B12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9" spans="1:2" x14ac:dyDescent="0.25">
      <c r="A1209" s="1" t="str">
        <f t="shared" si="18"/>
        <v/>
      </c>
      <c r="B12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0" spans="1:2" x14ac:dyDescent="0.25">
      <c r="A1210" s="1" t="str">
        <f t="shared" si="18"/>
        <v/>
      </c>
      <c r="B12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1" spans="1:2" x14ac:dyDescent="0.25">
      <c r="A1211" s="1" t="str">
        <f t="shared" si="18"/>
        <v/>
      </c>
      <c r="B12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2" spans="1:2" x14ac:dyDescent="0.25">
      <c r="A1212" s="1" t="str">
        <f t="shared" si="18"/>
        <v/>
      </c>
      <c r="B12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3" spans="1:2" x14ac:dyDescent="0.25">
      <c r="A1213" s="1" t="str">
        <f t="shared" si="18"/>
        <v/>
      </c>
      <c r="B12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4" spans="1:2" x14ac:dyDescent="0.25">
      <c r="A1214" s="1" t="str">
        <f t="shared" si="18"/>
        <v/>
      </c>
      <c r="B12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5" spans="1:2" x14ac:dyDescent="0.25">
      <c r="A1215" s="1" t="str">
        <f t="shared" si="18"/>
        <v/>
      </c>
      <c r="B12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6" spans="1:2" x14ac:dyDescent="0.25">
      <c r="A1216" s="1" t="str">
        <f t="shared" si="18"/>
        <v/>
      </c>
      <c r="B12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7" spans="1:2" x14ac:dyDescent="0.25">
      <c r="A1217" s="1" t="str">
        <f t="shared" si="18"/>
        <v/>
      </c>
      <c r="B12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8" spans="1:2" x14ac:dyDescent="0.25">
      <c r="A1218" s="1" t="str">
        <f t="shared" ref="A1218:A1281" si="19">IFERROR(LEFT(RIGHT(C1218,LEN(C1218)-SEARCH("@",C1218)),SEARCH("/",RIGHT(C1218,LEN(C1218)-SEARCH("@",C1218)-1))),"")</f>
        <v/>
      </c>
      <c r="B12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9" spans="1:2" x14ac:dyDescent="0.25">
      <c r="A1219" s="1" t="str">
        <f t="shared" si="19"/>
        <v/>
      </c>
      <c r="B12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0" spans="1:2" x14ac:dyDescent="0.25">
      <c r="A1220" s="1" t="str">
        <f t="shared" si="19"/>
        <v/>
      </c>
      <c r="B12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1" spans="1:2" x14ac:dyDescent="0.25">
      <c r="A1221" s="1" t="str">
        <f t="shared" si="19"/>
        <v/>
      </c>
      <c r="B12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2" spans="1:2" x14ac:dyDescent="0.25">
      <c r="A1222" s="1" t="str">
        <f t="shared" si="19"/>
        <v/>
      </c>
      <c r="B12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3" spans="1:2" x14ac:dyDescent="0.25">
      <c r="A1223" s="1" t="str">
        <f t="shared" si="19"/>
        <v/>
      </c>
      <c r="B12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4" spans="1:2" x14ac:dyDescent="0.25">
      <c r="A1224" s="1" t="str">
        <f t="shared" si="19"/>
        <v/>
      </c>
      <c r="B12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5" spans="1:2" x14ac:dyDescent="0.25">
      <c r="A1225" s="1" t="str">
        <f t="shared" si="19"/>
        <v/>
      </c>
      <c r="B12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6" spans="1:2" x14ac:dyDescent="0.25">
      <c r="A1226" s="1" t="str">
        <f t="shared" si="19"/>
        <v/>
      </c>
      <c r="B12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7" spans="1:2" x14ac:dyDescent="0.25">
      <c r="A1227" s="1" t="str">
        <f t="shared" si="19"/>
        <v/>
      </c>
      <c r="B12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8" spans="1:2" x14ac:dyDescent="0.25">
      <c r="A1228" s="1" t="str">
        <f t="shared" si="19"/>
        <v/>
      </c>
      <c r="B12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9" spans="1:2" x14ac:dyDescent="0.25">
      <c r="A1229" s="1" t="str">
        <f t="shared" si="19"/>
        <v/>
      </c>
      <c r="B12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0" spans="1:2" x14ac:dyDescent="0.25">
      <c r="A1230" s="1" t="str">
        <f t="shared" si="19"/>
        <v/>
      </c>
      <c r="B12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1" spans="1:2" x14ac:dyDescent="0.25">
      <c r="A1231" s="1" t="str">
        <f t="shared" si="19"/>
        <v/>
      </c>
      <c r="B12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2" spans="1:2" x14ac:dyDescent="0.25">
      <c r="A1232" s="1" t="str">
        <f t="shared" si="19"/>
        <v/>
      </c>
      <c r="B12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3" spans="1:2" x14ac:dyDescent="0.25">
      <c r="A1233" s="1" t="str">
        <f t="shared" si="19"/>
        <v/>
      </c>
      <c r="B12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4" spans="1:2" x14ac:dyDescent="0.25">
      <c r="A1234" s="1" t="str">
        <f t="shared" si="19"/>
        <v/>
      </c>
      <c r="B12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5" spans="1:2" x14ac:dyDescent="0.25">
      <c r="A1235" s="1" t="str">
        <f t="shared" si="19"/>
        <v/>
      </c>
      <c r="B12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6" spans="1:2" x14ac:dyDescent="0.25">
      <c r="A1236" s="1" t="str">
        <f t="shared" si="19"/>
        <v/>
      </c>
      <c r="B12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7" spans="1:2" x14ac:dyDescent="0.25">
      <c r="A1237" s="1" t="str">
        <f t="shared" si="19"/>
        <v/>
      </c>
      <c r="B12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8" spans="1:2" x14ac:dyDescent="0.25">
      <c r="A1238" s="1" t="str">
        <f t="shared" si="19"/>
        <v/>
      </c>
      <c r="B12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9" spans="1:2" x14ac:dyDescent="0.25">
      <c r="A1239" s="1" t="str">
        <f t="shared" si="19"/>
        <v/>
      </c>
      <c r="B12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0" spans="1:2" x14ac:dyDescent="0.25">
      <c r="A1240" s="1" t="str">
        <f t="shared" si="19"/>
        <v/>
      </c>
      <c r="B12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1" spans="1:2" x14ac:dyDescent="0.25">
      <c r="A1241" s="1" t="str">
        <f t="shared" si="19"/>
        <v/>
      </c>
      <c r="B12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2" spans="1:2" x14ac:dyDescent="0.25">
      <c r="A1242" s="1" t="str">
        <f t="shared" si="19"/>
        <v/>
      </c>
      <c r="B12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3" spans="1:2" x14ac:dyDescent="0.25">
      <c r="A1243" s="1" t="str">
        <f t="shared" si="19"/>
        <v/>
      </c>
      <c r="B12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4" spans="1:2" x14ac:dyDescent="0.25">
      <c r="A1244" s="1" t="str">
        <f t="shared" si="19"/>
        <v/>
      </c>
      <c r="B12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5" spans="1:2" x14ac:dyDescent="0.25">
      <c r="A1245" s="1" t="str">
        <f t="shared" si="19"/>
        <v/>
      </c>
      <c r="B12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6" spans="1:2" x14ac:dyDescent="0.25">
      <c r="A1246" s="1" t="str">
        <f t="shared" si="19"/>
        <v/>
      </c>
      <c r="B12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7" spans="1:2" x14ac:dyDescent="0.25">
      <c r="A1247" s="1" t="str">
        <f t="shared" si="19"/>
        <v/>
      </c>
      <c r="B12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8" spans="1:2" x14ac:dyDescent="0.25">
      <c r="A1248" s="1" t="str">
        <f t="shared" si="19"/>
        <v/>
      </c>
      <c r="B12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9" spans="1:2" x14ac:dyDescent="0.25">
      <c r="A1249" s="1" t="str">
        <f t="shared" si="19"/>
        <v/>
      </c>
      <c r="B12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0" spans="1:2" x14ac:dyDescent="0.25">
      <c r="A1250" s="1" t="str">
        <f t="shared" si="19"/>
        <v/>
      </c>
      <c r="B12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1" spans="1:2" x14ac:dyDescent="0.25">
      <c r="A1251" s="1" t="str">
        <f t="shared" si="19"/>
        <v/>
      </c>
      <c r="B12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2" spans="1:2" x14ac:dyDescent="0.25">
      <c r="A1252" s="1" t="str">
        <f t="shared" si="19"/>
        <v/>
      </c>
      <c r="B12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3" spans="1:2" x14ac:dyDescent="0.25">
      <c r="A1253" s="1" t="str">
        <f t="shared" si="19"/>
        <v/>
      </c>
      <c r="B12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4" spans="1:2" x14ac:dyDescent="0.25">
      <c r="A1254" s="1" t="str">
        <f t="shared" si="19"/>
        <v/>
      </c>
      <c r="B12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5" spans="1:2" x14ac:dyDescent="0.25">
      <c r="A1255" s="1" t="str">
        <f t="shared" si="19"/>
        <v/>
      </c>
      <c r="B12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6" spans="1:2" x14ac:dyDescent="0.25">
      <c r="A1256" s="1" t="str">
        <f t="shared" si="19"/>
        <v/>
      </c>
      <c r="B12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7" spans="1:2" x14ac:dyDescent="0.25">
      <c r="A1257" s="1" t="str">
        <f t="shared" si="19"/>
        <v/>
      </c>
      <c r="B12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8" spans="1:2" x14ac:dyDescent="0.25">
      <c r="A1258" s="1" t="str">
        <f t="shared" si="19"/>
        <v/>
      </c>
      <c r="B12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9" spans="1:2" x14ac:dyDescent="0.25">
      <c r="A1259" s="1" t="str">
        <f t="shared" si="19"/>
        <v/>
      </c>
      <c r="B12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0" spans="1:2" x14ac:dyDescent="0.25">
      <c r="A1260" s="1" t="str">
        <f t="shared" si="19"/>
        <v/>
      </c>
      <c r="B12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1" spans="1:2" x14ac:dyDescent="0.25">
      <c r="A1261" s="1" t="str">
        <f t="shared" si="19"/>
        <v/>
      </c>
      <c r="B12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2" spans="1:2" x14ac:dyDescent="0.25">
      <c r="A1262" s="1" t="str">
        <f t="shared" si="19"/>
        <v/>
      </c>
      <c r="B12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3" spans="1:2" x14ac:dyDescent="0.25">
      <c r="A1263" s="1" t="str">
        <f t="shared" si="19"/>
        <v/>
      </c>
      <c r="B12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4" spans="1:2" x14ac:dyDescent="0.25">
      <c r="A1264" s="1" t="str">
        <f t="shared" si="19"/>
        <v/>
      </c>
      <c r="B12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5" spans="1:2" x14ac:dyDescent="0.25">
      <c r="A1265" s="1" t="str">
        <f t="shared" si="19"/>
        <v/>
      </c>
      <c r="B12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6" spans="1:2" x14ac:dyDescent="0.25">
      <c r="A1266" s="1" t="str">
        <f t="shared" si="19"/>
        <v/>
      </c>
      <c r="B12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7" spans="1:2" x14ac:dyDescent="0.25">
      <c r="A1267" s="1" t="str">
        <f t="shared" si="19"/>
        <v/>
      </c>
      <c r="B12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8" spans="1:2" x14ac:dyDescent="0.25">
      <c r="A1268" s="1" t="str">
        <f t="shared" si="19"/>
        <v/>
      </c>
      <c r="B12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9" spans="1:2" x14ac:dyDescent="0.25">
      <c r="A1269" s="1" t="str">
        <f t="shared" si="19"/>
        <v/>
      </c>
      <c r="B12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0" spans="1:2" x14ac:dyDescent="0.25">
      <c r="A1270" s="1" t="str">
        <f t="shared" si="19"/>
        <v/>
      </c>
      <c r="B12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1" spans="1:2" x14ac:dyDescent="0.25">
      <c r="A1271" s="1" t="str">
        <f t="shared" si="19"/>
        <v/>
      </c>
      <c r="B12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2" spans="1:2" x14ac:dyDescent="0.25">
      <c r="A1272" s="1" t="str">
        <f t="shared" si="19"/>
        <v/>
      </c>
      <c r="B12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3" spans="1:2" x14ac:dyDescent="0.25">
      <c r="A1273" s="1" t="str">
        <f t="shared" si="19"/>
        <v/>
      </c>
      <c r="B12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4" spans="1:2" x14ac:dyDescent="0.25">
      <c r="A1274" s="1" t="str">
        <f t="shared" si="19"/>
        <v/>
      </c>
      <c r="B12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5" spans="1:2" x14ac:dyDescent="0.25">
      <c r="A1275" s="1" t="str">
        <f t="shared" si="19"/>
        <v/>
      </c>
      <c r="B12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6" spans="1:2" x14ac:dyDescent="0.25">
      <c r="A1276" s="1" t="str">
        <f t="shared" si="19"/>
        <v/>
      </c>
      <c r="B12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7" spans="1:2" x14ac:dyDescent="0.25">
      <c r="A1277" s="1" t="str">
        <f t="shared" si="19"/>
        <v/>
      </c>
      <c r="B12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8" spans="1:2" x14ac:dyDescent="0.25">
      <c r="A1278" s="1" t="str">
        <f t="shared" si="19"/>
        <v/>
      </c>
      <c r="B12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9" spans="1:2" x14ac:dyDescent="0.25">
      <c r="A1279" s="1" t="str">
        <f t="shared" si="19"/>
        <v/>
      </c>
      <c r="B12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0" spans="1:2" x14ac:dyDescent="0.25">
      <c r="A1280" s="1" t="str">
        <f t="shared" si="19"/>
        <v/>
      </c>
      <c r="B12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1" spans="1:2" x14ac:dyDescent="0.25">
      <c r="A1281" s="1" t="str">
        <f t="shared" si="19"/>
        <v/>
      </c>
      <c r="B12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2" spans="1:2" x14ac:dyDescent="0.25">
      <c r="A1282" s="1" t="str">
        <f t="shared" ref="A1282:A1345" si="20">IFERROR(LEFT(RIGHT(C1282,LEN(C1282)-SEARCH("@",C1282)),SEARCH("/",RIGHT(C1282,LEN(C1282)-SEARCH("@",C1282)-1))),"")</f>
        <v/>
      </c>
      <c r="B12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3" spans="1:2" x14ac:dyDescent="0.25">
      <c r="A1283" s="1" t="str">
        <f t="shared" si="20"/>
        <v/>
      </c>
      <c r="B12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4" spans="1:2" x14ac:dyDescent="0.25">
      <c r="A1284" s="1" t="str">
        <f t="shared" si="20"/>
        <v/>
      </c>
      <c r="B12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5" spans="1:2" x14ac:dyDescent="0.25">
      <c r="A1285" s="1" t="str">
        <f t="shared" si="20"/>
        <v/>
      </c>
      <c r="B12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6" spans="1:2" x14ac:dyDescent="0.25">
      <c r="A1286" s="1" t="str">
        <f t="shared" si="20"/>
        <v/>
      </c>
      <c r="B12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7" spans="1:2" x14ac:dyDescent="0.25">
      <c r="A1287" s="1" t="str">
        <f t="shared" si="20"/>
        <v/>
      </c>
      <c r="B12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8" spans="1:2" x14ac:dyDescent="0.25">
      <c r="A1288" s="1" t="str">
        <f t="shared" si="20"/>
        <v/>
      </c>
      <c r="B12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9" spans="1:2" x14ac:dyDescent="0.25">
      <c r="A1289" s="1" t="str">
        <f t="shared" si="20"/>
        <v/>
      </c>
      <c r="B12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0" spans="1:2" x14ac:dyDescent="0.25">
      <c r="A1290" s="1" t="str">
        <f t="shared" si="20"/>
        <v/>
      </c>
      <c r="B12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1" spans="1:2" x14ac:dyDescent="0.25">
      <c r="A1291" s="1" t="str">
        <f t="shared" si="20"/>
        <v/>
      </c>
      <c r="B12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2" spans="1:2" x14ac:dyDescent="0.25">
      <c r="A1292" s="1" t="str">
        <f t="shared" si="20"/>
        <v/>
      </c>
      <c r="B12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3" spans="1:2" x14ac:dyDescent="0.25">
      <c r="A1293" s="1" t="str">
        <f t="shared" si="20"/>
        <v/>
      </c>
      <c r="B12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4" spans="1:2" x14ac:dyDescent="0.25">
      <c r="A1294" s="1" t="str">
        <f t="shared" si="20"/>
        <v/>
      </c>
      <c r="B12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5" spans="1:2" x14ac:dyDescent="0.25">
      <c r="A1295" s="1" t="str">
        <f t="shared" si="20"/>
        <v/>
      </c>
      <c r="B12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6" spans="1:2" x14ac:dyDescent="0.25">
      <c r="A1296" s="1" t="str">
        <f t="shared" si="20"/>
        <v/>
      </c>
      <c r="B12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7" spans="1:2" x14ac:dyDescent="0.25">
      <c r="A1297" s="1" t="str">
        <f t="shared" si="20"/>
        <v/>
      </c>
      <c r="B12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8" spans="1:2" x14ac:dyDescent="0.25">
      <c r="A1298" s="1" t="str">
        <f t="shared" si="20"/>
        <v/>
      </c>
      <c r="B12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9" spans="1:2" x14ac:dyDescent="0.25">
      <c r="A1299" s="1" t="str">
        <f t="shared" si="20"/>
        <v/>
      </c>
      <c r="B12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0" spans="1:2" x14ac:dyDescent="0.25">
      <c r="A1300" s="1" t="str">
        <f t="shared" si="20"/>
        <v/>
      </c>
      <c r="B13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1" spans="1:2" x14ac:dyDescent="0.25">
      <c r="A1301" s="1" t="str">
        <f t="shared" si="20"/>
        <v/>
      </c>
      <c r="B13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2" spans="1:2" x14ac:dyDescent="0.25">
      <c r="A1302" s="1" t="str">
        <f t="shared" si="20"/>
        <v/>
      </c>
      <c r="B13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3" spans="1:2" x14ac:dyDescent="0.25">
      <c r="A1303" s="1" t="str">
        <f t="shared" si="20"/>
        <v/>
      </c>
      <c r="B13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4" spans="1:2" x14ac:dyDescent="0.25">
      <c r="A1304" s="1" t="str">
        <f t="shared" si="20"/>
        <v/>
      </c>
      <c r="B13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5" spans="1:2" x14ac:dyDescent="0.25">
      <c r="A1305" s="1" t="str">
        <f t="shared" si="20"/>
        <v/>
      </c>
      <c r="B13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6" spans="1:2" x14ac:dyDescent="0.25">
      <c r="A1306" s="1" t="str">
        <f t="shared" si="20"/>
        <v/>
      </c>
      <c r="B13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7" spans="1:2" x14ac:dyDescent="0.25">
      <c r="A1307" s="1" t="str">
        <f t="shared" si="20"/>
        <v/>
      </c>
      <c r="B13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8" spans="1:2" x14ac:dyDescent="0.25">
      <c r="A1308" s="1" t="str">
        <f t="shared" si="20"/>
        <v/>
      </c>
      <c r="B13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9" spans="1:2" x14ac:dyDescent="0.25">
      <c r="A1309" s="1" t="str">
        <f t="shared" si="20"/>
        <v/>
      </c>
      <c r="B13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0" spans="1:2" x14ac:dyDescent="0.25">
      <c r="A1310" s="1" t="str">
        <f t="shared" si="20"/>
        <v/>
      </c>
      <c r="B13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1" spans="1:2" x14ac:dyDescent="0.25">
      <c r="A1311" s="1" t="str">
        <f t="shared" si="20"/>
        <v/>
      </c>
      <c r="B13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2" spans="1:2" x14ac:dyDescent="0.25">
      <c r="A1312" s="1" t="str">
        <f t="shared" si="20"/>
        <v/>
      </c>
      <c r="B13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3" spans="1:2" x14ac:dyDescent="0.25">
      <c r="A1313" s="1" t="str">
        <f t="shared" si="20"/>
        <v/>
      </c>
      <c r="B13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4" spans="1:2" x14ac:dyDescent="0.25">
      <c r="A1314" s="1" t="str">
        <f t="shared" si="20"/>
        <v/>
      </c>
      <c r="B13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5" spans="1:2" x14ac:dyDescent="0.25">
      <c r="A1315" s="1" t="str">
        <f t="shared" si="20"/>
        <v/>
      </c>
      <c r="B13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6" spans="1:2" x14ac:dyDescent="0.25">
      <c r="A1316" s="1" t="str">
        <f t="shared" si="20"/>
        <v/>
      </c>
      <c r="B13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7" spans="1:2" x14ac:dyDescent="0.25">
      <c r="A1317" s="1" t="str">
        <f t="shared" si="20"/>
        <v/>
      </c>
      <c r="B13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8" spans="1:2" x14ac:dyDescent="0.25">
      <c r="A1318" s="1" t="str">
        <f t="shared" si="20"/>
        <v/>
      </c>
      <c r="B13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9" spans="1:2" x14ac:dyDescent="0.25">
      <c r="A1319" s="1" t="str">
        <f t="shared" si="20"/>
        <v/>
      </c>
      <c r="B13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0" spans="1:2" x14ac:dyDescent="0.25">
      <c r="A1320" s="1" t="str">
        <f t="shared" si="20"/>
        <v/>
      </c>
      <c r="B13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1" spans="1:2" x14ac:dyDescent="0.25">
      <c r="A1321" s="1" t="str">
        <f t="shared" si="20"/>
        <v/>
      </c>
      <c r="B13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2" spans="1:2" x14ac:dyDescent="0.25">
      <c r="A1322" s="1" t="str">
        <f t="shared" si="20"/>
        <v/>
      </c>
      <c r="B13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3" spans="1:2" x14ac:dyDescent="0.25">
      <c r="A1323" s="1" t="str">
        <f t="shared" si="20"/>
        <v/>
      </c>
      <c r="B13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4" spans="1:2" x14ac:dyDescent="0.25">
      <c r="A1324" s="1" t="str">
        <f t="shared" si="20"/>
        <v/>
      </c>
      <c r="B13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5" spans="1:2" x14ac:dyDescent="0.25">
      <c r="A1325" s="1" t="str">
        <f t="shared" si="20"/>
        <v/>
      </c>
      <c r="B13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6" spans="1:2" x14ac:dyDescent="0.25">
      <c r="A1326" s="1" t="str">
        <f t="shared" si="20"/>
        <v/>
      </c>
      <c r="B13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7" spans="1:2" x14ac:dyDescent="0.25">
      <c r="A1327" s="1" t="str">
        <f t="shared" si="20"/>
        <v/>
      </c>
      <c r="B13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8" spans="1:2" x14ac:dyDescent="0.25">
      <c r="A1328" s="1" t="str">
        <f t="shared" si="20"/>
        <v/>
      </c>
      <c r="B13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9" spans="1:2" x14ac:dyDescent="0.25">
      <c r="A1329" s="1" t="str">
        <f t="shared" si="20"/>
        <v/>
      </c>
      <c r="B13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0" spans="1:2" x14ac:dyDescent="0.25">
      <c r="A1330" s="1" t="str">
        <f t="shared" si="20"/>
        <v/>
      </c>
      <c r="B13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1" spans="1:2" x14ac:dyDescent="0.25">
      <c r="A1331" s="1" t="str">
        <f t="shared" si="20"/>
        <v/>
      </c>
      <c r="B13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2" spans="1:2" x14ac:dyDescent="0.25">
      <c r="A1332" s="1" t="str">
        <f t="shared" si="20"/>
        <v/>
      </c>
      <c r="B13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3" spans="1:2" x14ac:dyDescent="0.25">
      <c r="A1333" s="1" t="str">
        <f t="shared" si="20"/>
        <v/>
      </c>
      <c r="B13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4" spans="1:2" x14ac:dyDescent="0.25">
      <c r="A1334" s="1" t="str">
        <f t="shared" si="20"/>
        <v/>
      </c>
      <c r="B13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5" spans="1:2" x14ac:dyDescent="0.25">
      <c r="A1335" s="1" t="str">
        <f t="shared" si="20"/>
        <v/>
      </c>
      <c r="B13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6" spans="1:2" x14ac:dyDescent="0.25">
      <c r="A1336" s="1" t="str">
        <f t="shared" si="20"/>
        <v/>
      </c>
      <c r="B13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7" spans="1:2" x14ac:dyDescent="0.25">
      <c r="A1337" s="1" t="str">
        <f t="shared" si="20"/>
        <v/>
      </c>
      <c r="B13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8" spans="1:2" x14ac:dyDescent="0.25">
      <c r="A1338" s="1" t="str">
        <f t="shared" si="20"/>
        <v/>
      </c>
      <c r="B13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9" spans="1:2" x14ac:dyDescent="0.25">
      <c r="A1339" s="1" t="str">
        <f t="shared" si="20"/>
        <v/>
      </c>
      <c r="B13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0" spans="1:2" x14ac:dyDescent="0.25">
      <c r="A1340" s="1" t="str">
        <f t="shared" si="20"/>
        <v/>
      </c>
      <c r="B13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1" spans="1:2" x14ac:dyDescent="0.25">
      <c r="A1341" s="1" t="str">
        <f t="shared" si="20"/>
        <v/>
      </c>
      <c r="B13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2" spans="1:2" x14ac:dyDescent="0.25">
      <c r="A1342" s="1" t="str">
        <f t="shared" si="20"/>
        <v/>
      </c>
      <c r="B13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3" spans="1:2" x14ac:dyDescent="0.25">
      <c r="A1343" s="1" t="str">
        <f t="shared" si="20"/>
        <v/>
      </c>
      <c r="B13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4" spans="1:2" x14ac:dyDescent="0.25">
      <c r="A1344" s="1" t="str">
        <f t="shared" si="20"/>
        <v/>
      </c>
      <c r="B13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5" spans="1:2" x14ac:dyDescent="0.25">
      <c r="A1345" s="1" t="str">
        <f t="shared" si="20"/>
        <v/>
      </c>
      <c r="B13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6" spans="1:2" x14ac:dyDescent="0.25">
      <c r="A1346" s="1" t="str">
        <f t="shared" ref="A1346:A1409" si="21">IFERROR(LEFT(RIGHT(C1346,LEN(C1346)-SEARCH("@",C1346)),SEARCH("/",RIGHT(C1346,LEN(C1346)-SEARCH("@",C1346)-1))),"")</f>
        <v/>
      </c>
      <c r="B13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7" spans="1:2" x14ac:dyDescent="0.25">
      <c r="A1347" s="1" t="str">
        <f t="shared" si="21"/>
        <v/>
      </c>
      <c r="B13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8" spans="1:2" x14ac:dyDescent="0.25">
      <c r="A1348" s="1" t="str">
        <f t="shared" si="21"/>
        <v/>
      </c>
      <c r="B13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9" spans="1:2" x14ac:dyDescent="0.25">
      <c r="A1349" s="1" t="str">
        <f t="shared" si="21"/>
        <v/>
      </c>
      <c r="B13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0" spans="1:2" x14ac:dyDescent="0.25">
      <c r="A1350" s="1" t="str">
        <f t="shared" si="21"/>
        <v/>
      </c>
      <c r="B13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1" spans="1:2" x14ac:dyDescent="0.25">
      <c r="A1351" s="1" t="str">
        <f t="shared" si="21"/>
        <v/>
      </c>
      <c r="B13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2" spans="1:2" x14ac:dyDescent="0.25">
      <c r="A1352" s="1" t="str">
        <f t="shared" si="21"/>
        <v/>
      </c>
      <c r="B13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3" spans="1:2" x14ac:dyDescent="0.25">
      <c r="A1353" s="1" t="str">
        <f t="shared" si="21"/>
        <v/>
      </c>
      <c r="B13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4" spans="1:2" x14ac:dyDescent="0.25">
      <c r="A1354" s="1" t="str">
        <f t="shared" si="21"/>
        <v/>
      </c>
      <c r="B13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5" spans="1:2" x14ac:dyDescent="0.25">
      <c r="A1355" s="1" t="str">
        <f t="shared" si="21"/>
        <v/>
      </c>
      <c r="B13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6" spans="1:2" x14ac:dyDescent="0.25">
      <c r="A1356" s="1" t="str">
        <f t="shared" si="21"/>
        <v/>
      </c>
      <c r="B13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7" spans="1:2" x14ac:dyDescent="0.25">
      <c r="A1357" s="1" t="str">
        <f t="shared" si="21"/>
        <v/>
      </c>
      <c r="B13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8" spans="1:2" x14ac:dyDescent="0.25">
      <c r="A1358" s="1" t="str">
        <f t="shared" si="21"/>
        <v/>
      </c>
      <c r="B13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9" spans="1:2" x14ac:dyDescent="0.25">
      <c r="A1359" s="1" t="str">
        <f t="shared" si="21"/>
        <v/>
      </c>
      <c r="B13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0" spans="1:2" x14ac:dyDescent="0.25">
      <c r="A1360" s="1" t="str">
        <f t="shared" si="21"/>
        <v/>
      </c>
      <c r="B13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1" spans="1:2" x14ac:dyDescent="0.25">
      <c r="A1361" s="1" t="str">
        <f t="shared" si="21"/>
        <v/>
      </c>
      <c r="B13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2" spans="1:2" x14ac:dyDescent="0.25">
      <c r="A1362" s="1" t="str">
        <f t="shared" si="21"/>
        <v/>
      </c>
      <c r="B13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3" spans="1:2" x14ac:dyDescent="0.25">
      <c r="A1363" s="1" t="str">
        <f t="shared" si="21"/>
        <v/>
      </c>
      <c r="B13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4" spans="1:2" x14ac:dyDescent="0.25">
      <c r="A1364" s="1" t="str">
        <f t="shared" si="21"/>
        <v/>
      </c>
      <c r="B13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5" spans="1:2" x14ac:dyDescent="0.25">
      <c r="A1365" s="1" t="str">
        <f t="shared" si="21"/>
        <v/>
      </c>
      <c r="B13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6" spans="1:2" x14ac:dyDescent="0.25">
      <c r="A1366" s="1" t="str">
        <f t="shared" si="21"/>
        <v/>
      </c>
      <c r="B13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7" spans="1:2" x14ac:dyDescent="0.25">
      <c r="A1367" s="1" t="str">
        <f t="shared" si="21"/>
        <v/>
      </c>
      <c r="B13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8" spans="1:2" x14ac:dyDescent="0.25">
      <c r="A1368" s="1" t="str">
        <f t="shared" si="21"/>
        <v/>
      </c>
      <c r="B13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9" spans="1:2" x14ac:dyDescent="0.25">
      <c r="A1369" s="1" t="str">
        <f t="shared" si="21"/>
        <v/>
      </c>
      <c r="B13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0" spans="1:2" x14ac:dyDescent="0.25">
      <c r="A1370" s="1" t="str">
        <f t="shared" si="21"/>
        <v/>
      </c>
      <c r="B13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1" spans="1:2" x14ac:dyDescent="0.25">
      <c r="A1371" s="1" t="str">
        <f t="shared" si="21"/>
        <v/>
      </c>
      <c r="B13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2" spans="1:2" x14ac:dyDescent="0.25">
      <c r="A1372" s="1" t="str">
        <f t="shared" si="21"/>
        <v/>
      </c>
      <c r="B13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3" spans="1:2" x14ac:dyDescent="0.25">
      <c r="A1373" s="1" t="str">
        <f t="shared" si="21"/>
        <v/>
      </c>
      <c r="B13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4" spans="1:2" x14ac:dyDescent="0.25">
      <c r="A1374" s="1" t="str">
        <f t="shared" si="21"/>
        <v/>
      </c>
      <c r="B13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5" spans="1:2" x14ac:dyDescent="0.25">
      <c r="A1375" s="1" t="str">
        <f t="shared" si="21"/>
        <v/>
      </c>
      <c r="B13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6" spans="1:2" x14ac:dyDescent="0.25">
      <c r="A1376" s="1" t="str">
        <f t="shared" si="21"/>
        <v/>
      </c>
      <c r="B13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7" spans="1:2" x14ac:dyDescent="0.25">
      <c r="A1377" s="1" t="str">
        <f t="shared" si="21"/>
        <v/>
      </c>
      <c r="B13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8" spans="1:2" x14ac:dyDescent="0.25">
      <c r="A1378" s="1" t="str">
        <f t="shared" si="21"/>
        <v/>
      </c>
      <c r="B13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9" spans="1:2" x14ac:dyDescent="0.25">
      <c r="A1379" s="1" t="str">
        <f t="shared" si="21"/>
        <v/>
      </c>
      <c r="B13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0" spans="1:2" x14ac:dyDescent="0.25">
      <c r="A1380" s="1" t="str">
        <f t="shared" si="21"/>
        <v/>
      </c>
      <c r="B13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1" spans="1:2" x14ac:dyDescent="0.25">
      <c r="A1381" s="1" t="str">
        <f t="shared" si="21"/>
        <v/>
      </c>
      <c r="B13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2" spans="1:2" x14ac:dyDescent="0.25">
      <c r="A1382" s="1" t="str">
        <f t="shared" si="21"/>
        <v/>
      </c>
      <c r="B13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3" spans="1:2" x14ac:dyDescent="0.25">
      <c r="A1383" s="1" t="str">
        <f t="shared" si="21"/>
        <v/>
      </c>
      <c r="B13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4" spans="1:2" x14ac:dyDescent="0.25">
      <c r="A1384" s="1" t="str">
        <f t="shared" si="21"/>
        <v/>
      </c>
      <c r="B13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5" spans="1:2" x14ac:dyDescent="0.25">
      <c r="A1385" s="1" t="str">
        <f t="shared" si="21"/>
        <v/>
      </c>
      <c r="B13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6" spans="1:2" x14ac:dyDescent="0.25">
      <c r="A1386" s="1" t="str">
        <f t="shared" si="21"/>
        <v/>
      </c>
      <c r="B13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7" spans="1:2" x14ac:dyDescent="0.25">
      <c r="A1387" s="1" t="str">
        <f t="shared" si="21"/>
        <v/>
      </c>
      <c r="B13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8" spans="1:2" x14ac:dyDescent="0.25">
      <c r="A1388" s="1" t="str">
        <f t="shared" si="21"/>
        <v/>
      </c>
      <c r="B13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9" spans="1:2" x14ac:dyDescent="0.25">
      <c r="A1389" s="1" t="str">
        <f t="shared" si="21"/>
        <v/>
      </c>
      <c r="B13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0" spans="1:2" x14ac:dyDescent="0.25">
      <c r="A1390" s="1" t="str">
        <f t="shared" si="21"/>
        <v/>
      </c>
      <c r="B13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1" spans="1:2" x14ac:dyDescent="0.25">
      <c r="A1391" s="1" t="str">
        <f t="shared" si="21"/>
        <v/>
      </c>
      <c r="B13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2" spans="1:2" x14ac:dyDescent="0.25">
      <c r="A1392" s="1" t="str">
        <f t="shared" si="21"/>
        <v/>
      </c>
      <c r="B13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3" spans="1:2" x14ac:dyDescent="0.25">
      <c r="A1393" s="1" t="str">
        <f t="shared" si="21"/>
        <v/>
      </c>
      <c r="B13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4" spans="1:2" x14ac:dyDescent="0.25">
      <c r="A1394" s="1" t="str">
        <f t="shared" si="21"/>
        <v/>
      </c>
      <c r="B13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5" spans="1:2" x14ac:dyDescent="0.25">
      <c r="A1395" s="1" t="str">
        <f t="shared" si="21"/>
        <v/>
      </c>
      <c r="B13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6" spans="1:2" x14ac:dyDescent="0.25">
      <c r="A1396" s="1" t="str">
        <f t="shared" si="21"/>
        <v/>
      </c>
      <c r="B13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7" spans="1:2" x14ac:dyDescent="0.25">
      <c r="A1397" s="1" t="str">
        <f t="shared" si="21"/>
        <v/>
      </c>
      <c r="B13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8" spans="1:2" x14ac:dyDescent="0.25">
      <c r="A1398" s="1" t="str">
        <f t="shared" si="21"/>
        <v/>
      </c>
      <c r="B13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9" spans="1:2" x14ac:dyDescent="0.25">
      <c r="A1399" s="1" t="str">
        <f t="shared" si="21"/>
        <v/>
      </c>
      <c r="B13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0" spans="1:2" x14ac:dyDescent="0.25">
      <c r="A1400" s="1" t="str">
        <f t="shared" si="21"/>
        <v/>
      </c>
      <c r="B14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1" spans="1:2" x14ac:dyDescent="0.25">
      <c r="A1401" s="1" t="str">
        <f t="shared" si="21"/>
        <v/>
      </c>
      <c r="B14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2" spans="1:2" x14ac:dyDescent="0.25">
      <c r="A1402" s="1" t="str">
        <f t="shared" si="21"/>
        <v/>
      </c>
      <c r="B14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3" spans="1:2" x14ac:dyDescent="0.25">
      <c r="A1403" s="1" t="str">
        <f t="shared" si="21"/>
        <v/>
      </c>
      <c r="B14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4" spans="1:2" x14ac:dyDescent="0.25">
      <c r="A1404" s="1" t="str">
        <f t="shared" si="21"/>
        <v/>
      </c>
      <c r="B14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5" spans="1:2" x14ac:dyDescent="0.25">
      <c r="A1405" s="1" t="str">
        <f t="shared" si="21"/>
        <v/>
      </c>
      <c r="B14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6" spans="1:2" x14ac:dyDescent="0.25">
      <c r="A1406" s="1" t="str">
        <f t="shared" si="21"/>
        <v/>
      </c>
      <c r="B14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7" spans="1:2" x14ac:dyDescent="0.25">
      <c r="A1407" s="1" t="str">
        <f t="shared" si="21"/>
        <v/>
      </c>
      <c r="B14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8" spans="1:2" x14ac:dyDescent="0.25">
      <c r="A1408" s="1" t="str">
        <f t="shared" si="21"/>
        <v/>
      </c>
      <c r="B14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9" spans="1:2" x14ac:dyDescent="0.25">
      <c r="A1409" s="1" t="str">
        <f t="shared" si="21"/>
        <v/>
      </c>
      <c r="B14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0" spans="1:2" x14ac:dyDescent="0.25">
      <c r="A1410" s="1" t="str">
        <f t="shared" ref="A1410:A1473" si="22">IFERROR(LEFT(RIGHT(C1410,LEN(C1410)-SEARCH("@",C1410)),SEARCH("/",RIGHT(C1410,LEN(C1410)-SEARCH("@",C1410)-1))),"")</f>
        <v/>
      </c>
      <c r="B14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1" spans="1:2" x14ac:dyDescent="0.25">
      <c r="A1411" s="1" t="str">
        <f t="shared" si="22"/>
        <v/>
      </c>
      <c r="B14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2" spans="1:2" x14ac:dyDescent="0.25">
      <c r="A1412" s="1" t="str">
        <f t="shared" si="22"/>
        <v/>
      </c>
      <c r="B14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3" spans="1:2" x14ac:dyDescent="0.25">
      <c r="A1413" s="1" t="str">
        <f t="shared" si="22"/>
        <v/>
      </c>
      <c r="B14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4" spans="1:2" x14ac:dyDescent="0.25">
      <c r="A1414" s="1" t="str">
        <f t="shared" si="22"/>
        <v/>
      </c>
      <c r="B14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5" spans="1:2" x14ac:dyDescent="0.25">
      <c r="A1415" s="1" t="str">
        <f t="shared" si="22"/>
        <v/>
      </c>
      <c r="B14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6" spans="1:2" x14ac:dyDescent="0.25">
      <c r="A1416" s="1" t="str">
        <f t="shared" si="22"/>
        <v/>
      </c>
      <c r="B14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7" spans="1:2" x14ac:dyDescent="0.25">
      <c r="A1417" s="1" t="str">
        <f t="shared" si="22"/>
        <v/>
      </c>
      <c r="B14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8" spans="1:2" x14ac:dyDescent="0.25">
      <c r="A1418" s="1" t="str">
        <f t="shared" si="22"/>
        <v/>
      </c>
      <c r="B14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9" spans="1:2" x14ac:dyDescent="0.25">
      <c r="A1419" s="1" t="str">
        <f t="shared" si="22"/>
        <v/>
      </c>
      <c r="B14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0" spans="1:2" x14ac:dyDescent="0.25">
      <c r="A1420" s="1" t="str">
        <f t="shared" si="22"/>
        <v/>
      </c>
      <c r="B14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1" spans="1:2" x14ac:dyDescent="0.25">
      <c r="A1421" s="1" t="str">
        <f t="shared" si="22"/>
        <v/>
      </c>
      <c r="B14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2" spans="1:2" x14ac:dyDescent="0.25">
      <c r="A1422" s="1" t="str">
        <f t="shared" si="22"/>
        <v/>
      </c>
      <c r="B14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3" spans="1:2" x14ac:dyDescent="0.25">
      <c r="A1423" s="1" t="str">
        <f t="shared" si="22"/>
        <v/>
      </c>
      <c r="B14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4" spans="1:2" x14ac:dyDescent="0.25">
      <c r="A1424" s="1" t="str">
        <f t="shared" si="22"/>
        <v/>
      </c>
      <c r="B14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5" spans="1:2" x14ac:dyDescent="0.25">
      <c r="A1425" s="1" t="str">
        <f t="shared" si="22"/>
        <v/>
      </c>
      <c r="B14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6" spans="1:2" x14ac:dyDescent="0.25">
      <c r="A1426" s="1" t="str">
        <f t="shared" si="22"/>
        <v/>
      </c>
      <c r="B14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7" spans="1:2" x14ac:dyDescent="0.25">
      <c r="A1427" s="1" t="str">
        <f t="shared" si="22"/>
        <v/>
      </c>
      <c r="B14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8" spans="1:2" x14ac:dyDescent="0.25">
      <c r="A1428" s="1" t="str">
        <f t="shared" si="22"/>
        <v/>
      </c>
      <c r="B14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9" spans="1:2" x14ac:dyDescent="0.25">
      <c r="A1429" s="1" t="str">
        <f t="shared" si="22"/>
        <v/>
      </c>
      <c r="B14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0" spans="1:2" x14ac:dyDescent="0.25">
      <c r="A1430" s="1" t="str">
        <f t="shared" si="22"/>
        <v/>
      </c>
      <c r="B14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1" spans="1:2" x14ac:dyDescent="0.25">
      <c r="A1431" s="1" t="str">
        <f t="shared" si="22"/>
        <v/>
      </c>
      <c r="B14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2" spans="1:2" x14ac:dyDescent="0.25">
      <c r="A1432" s="1" t="str">
        <f t="shared" si="22"/>
        <v/>
      </c>
      <c r="B14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3" spans="1:2" x14ac:dyDescent="0.25">
      <c r="A1433" s="1" t="str">
        <f t="shared" si="22"/>
        <v/>
      </c>
      <c r="B14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4" spans="1:2" x14ac:dyDescent="0.25">
      <c r="A1434" s="1" t="str">
        <f t="shared" si="22"/>
        <v/>
      </c>
      <c r="B14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5" spans="1:2" x14ac:dyDescent="0.25">
      <c r="A1435" s="1" t="str">
        <f t="shared" si="22"/>
        <v/>
      </c>
      <c r="B14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6" spans="1:2" x14ac:dyDescent="0.25">
      <c r="A1436" s="1" t="str">
        <f t="shared" si="22"/>
        <v/>
      </c>
      <c r="B14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7" spans="1:2" x14ac:dyDescent="0.25">
      <c r="A1437" s="1" t="str">
        <f t="shared" si="22"/>
        <v/>
      </c>
      <c r="B14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8" spans="1:2" x14ac:dyDescent="0.25">
      <c r="A1438" s="1" t="str">
        <f t="shared" si="22"/>
        <v/>
      </c>
      <c r="B14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9" spans="1:2" x14ac:dyDescent="0.25">
      <c r="A1439" s="1" t="str">
        <f t="shared" si="22"/>
        <v/>
      </c>
      <c r="B14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0" spans="1:2" x14ac:dyDescent="0.25">
      <c r="A1440" s="1" t="str">
        <f t="shared" si="22"/>
        <v/>
      </c>
      <c r="B14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1" spans="1:2" x14ac:dyDescent="0.25">
      <c r="A1441" s="1" t="str">
        <f t="shared" si="22"/>
        <v/>
      </c>
      <c r="B14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2" spans="1:2" x14ac:dyDescent="0.25">
      <c r="A1442" s="1" t="str">
        <f t="shared" si="22"/>
        <v/>
      </c>
      <c r="B14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3" spans="1:2" x14ac:dyDescent="0.25">
      <c r="A1443" s="1" t="str">
        <f t="shared" si="22"/>
        <v/>
      </c>
      <c r="B14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4" spans="1:2" x14ac:dyDescent="0.25">
      <c r="A1444" s="1" t="str">
        <f t="shared" si="22"/>
        <v/>
      </c>
      <c r="B14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5" spans="1:2" x14ac:dyDescent="0.25">
      <c r="A1445" s="1" t="str">
        <f t="shared" si="22"/>
        <v/>
      </c>
      <c r="B14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6" spans="1:2" x14ac:dyDescent="0.25">
      <c r="A1446" s="1" t="str">
        <f t="shared" si="22"/>
        <v/>
      </c>
      <c r="B14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7" spans="1:2" x14ac:dyDescent="0.25">
      <c r="A1447" s="1" t="str">
        <f t="shared" si="22"/>
        <v/>
      </c>
      <c r="B14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8" spans="1:2" x14ac:dyDescent="0.25">
      <c r="A1448" s="1" t="str">
        <f t="shared" si="22"/>
        <v/>
      </c>
      <c r="B14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9" spans="1:2" x14ac:dyDescent="0.25">
      <c r="A1449" s="1" t="str">
        <f t="shared" si="22"/>
        <v/>
      </c>
      <c r="B14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0" spans="1:2" x14ac:dyDescent="0.25">
      <c r="A1450" s="1" t="str">
        <f t="shared" si="22"/>
        <v/>
      </c>
      <c r="B14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1" spans="1:2" x14ac:dyDescent="0.25">
      <c r="A1451" s="1" t="str">
        <f t="shared" si="22"/>
        <v/>
      </c>
      <c r="B14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2" spans="1:2" x14ac:dyDescent="0.25">
      <c r="A1452" s="1" t="str">
        <f t="shared" si="22"/>
        <v/>
      </c>
      <c r="B14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3" spans="1:2" x14ac:dyDescent="0.25">
      <c r="A1453" s="1" t="str">
        <f t="shared" si="22"/>
        <v/>
      </c>
      <c r="B14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4" spans="1:2" x14ac:dyDescent="0.25">
      <c r="A1454" s="1" t="str">
        <f t="shared" si="22"/>
        <v/>
      </c>
      <c r="B14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5" spans="1:2" x14ac:dyDescent="0.25">
      <c r="A1455" s="1" t="str">
        <f t="shared" si="22"/>
        <v/>
      </c>
      <c r="B14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6" spans="1:2" x14ac:dyDescent="0.25">
      <c r="A1456" s="1" t="str">
        <f t="shared" si="22"/>
        <v/>
      </c>
      <c r="B14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7" spans="1:2" x14ac:dyDescent="0.25">
      <c r="A1457" s="1" t="str">
        <f t="shared" si="22"/>
        <v/>
      </c>
      <c r="B14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8" spans="1:2" x14ac:dyDescent="0.25">
      <c r="A1458" s="1" t="str">
        <f t="shared" si="22"/>
        <v/>
      </c>
      <c r="B14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9" spans="1:2" x14ac:dyDescent="0.25">
      <c r="A1459" s="1" t="str">
        <f t="shared" si="22"/>
        <v/>
      </c>
      <c r="B14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0" spans="1:2" x14ac:dyDescent="0.25">
      <c r="A1460" s="1" t="str">
        <f t="shared" si="22"/>
        <v/>
      </c>
      <c r="B14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1" spans="1:2" x14ac:dyDescent="0.25">
      <c r="A1461" s="1" t="str">
        <f t="shared" si="22"/>
        <v/>
      </c>
      <c r="B14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2" spans="1:2" x14ac:dyDescent="0.25">
      <c r="A1462" s="1" t="str">
        <f t="shared" si="22"/>
        <v/>
      </c>
      <c r="B14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3" spans="1:2" x14ac:dyDescent="0.25">
      <c r="A1463" s="1" t="str">
        <f t="shared" si="22"/>
        <v/>
      </c>
      <c r="B14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4" spans="1:2" x14ac:dyDescent="0.25">
      <c r="A1464" s="1" t="str">
        <f t="shared" si="22"/>
        <v/>
      </c>
      <c r="B14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5" spans="1:2" x14ac:dyDescent="0.25">
      <c r="A1465" s="1" t="str">
        <f t="shared" si="22"/>
        <v/>
      </c>
      <c r="B14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6" spans="1:2" x14ac:dyDescent="0.25">
      <c r="A1466" s="1" t="str">
        <f t="shared" si="22"/>
        <v/>
      </c>
      <c r="B14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7" spans="1:2" x14ac:dyDescent="0.25">
      <c r="A1467" s="1" t="str">
        <f t="shared" si="22"/>
        <v/>
      </c>
      <c r="B14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8" spans="1:2" x14ac:dyDescent="0.25">
      <c r="A1468" s="1" t="str">
        <f t="shared" si="22"/>
        <v/>
      </c>
      <c r="B14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9" spans="1:2" x14ac:dyDescent="0.25">
      <c r="A1469" s="1" t="str">
        <f t="shared" si="22"/>
        <v/>
      </c>
      <c r="B14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0" spans="1:2" x14ac:dyDescent="0.25">
      <c r="A1470" s="1" t="str">
        <f t="shared" si="22"/>
        <v/>
      </c>
      <c r="B14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1" spans="1:2" x14ac:dyDescent="0.25">
      <c r="A1471" s="1" t="str">
        <f t="shared" si="22"/>
        <v/>
      </c>
      <c r="B14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2" spans="1:2" x14ac:dyDescent="0.25">
      <c r="A1472" s="1" t="str">
        <f t="shared" si="22"/>
        <v/>
      </c>
      <c r="B14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3" spans="1:2" x14ac:dyDescent="0.25">
      <c r="A1473" s="1" t="str">
        <f t="shared" si="22"/>
        <v/>
      </c>
      <c r="B14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4" spans="1:2" x14ac:dyDescent="0.25">
      <c r="A1474" s="1" t="str">
        <f t="shared" ref="A1474:A1537" si="23">IFERROR(LEFT(RIGHT(C1474,LEN(C1474)-SEARCH("@",C1474)),SEARCH("/",RIGHT(C1474,LEN(C1474)-SEARCH("@",C1474)-1))),"")</f>
        <v/>
      </c>
      <c r="B14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5" spans="1:2" x14ac:dyDescent="0.25">
      <c r="A1475" s="1" t="str">
        <f t="shared" si="23"/>
        <v/>
      </c>
      <c r="B14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6" spans="1:2" x14ac:dyDescent="0.25">
      <c r="A1476" s="1" t="str">
        <f t="shared" si="23"/>
        <v/>
      </c>
      <c r="B14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7" spans="1:2" x14ac:dyDescent="0.25">
      <c r="A1477" s="1" t="str">
        <f t="shared" si="23"/>
        <v/>
      </c>
      <c r="B14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8" spans="1:2" x14ac:dyDescent="0.25">
      <c r="A1478" s="1" t="str">
        <f t="shared" si="23"/>
        <v/>
      </c>
      <c r="B14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9" spans="1:2" x14ac:dyDescent="0.25">
      <c r="A1479" s="1" t="str">
        <f t="shared" si="23"/>
        <v/>
      </c>
      <c r="B14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0" spans="1:2" x14ac:dyDescent="0.25">
      <c r="A1480" s="1" t="str">
        <f t="shared" si="23"/>
        <v/>
      </c>
      <c r="B14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1" spans="1:2" x14ac:dyDescent="0.25">
      <c r="A1481" s="1" t="str">
        <f t="shared" si="23"/>
        <v/>
      </c>
      <c r="B14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2" spans="1:2" x14ac:dyDescent="0.25">
      <c r="A1482" s="1" t="str">
        <f t="shared" si="23"/>
        <v/>
      </c>
      <c r="B14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3" spans="1:2" x14ac:dyDescent="0.25">
      <c r="A1483" s="1" t="str">
        <f t="shared" si="23"/>
        <v/>
      </c>
      <c r="B14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4" spans="1:2" x14ac:dyDescent="0.25">
      <c r="A1484" s="1" t="str">
        <f t="shared" si="23"/>
        <v/>
      </c>
      <c r="B14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5" spans="1:2" x14ac:dyDescent="0.25">
      <c r="A1485" s="1" t="str">
        <f t="shared" si="23"/>
        <v/>
      </c>
      <c r="B14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6" spans="1:2" x14ac:dyDescent="0.25">
      <c r="A1486" s="1" t="str">
        <f t="shared" si="23"/>
        <v/>
      </c>
      <c r="B14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7" spans="1:2" x14ac:dyDescent="0.25">
      <c r="A1487" s="1" t="str">
        <f t="shared" si="23"/>
        <v/>
      </c>
      <c r="B14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8" spans="1:2" x14ac:dyDescent="0.25">
      <c r="A1488" s="1" t="str">
        <f t="shared" si="23"/>
        <v/>
      </c>
      <c r="B14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9" spans="1:2" x14ac:dyDescent="0.25">
      <c r="A1489" s="1" t="str">
        <f t="shared" si="23"/>
        <v/>
      </c>
      <c r="B14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0" spans="1:2" x14ac:dyDescent="0.25">
      <c r="A1490" s="1" t="str">
        <f t="shared" si="23"/>
        <v/>
      </c>
      <c r="B14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1" spans="1:2" x14ac:dyDescent="0.25">
      <c r="A1491" s="1" t="str">
        <f t="shared" si="23"/>
        <v/>
      </c>
      <c r="B14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2" spans="1:2" x14ac:dyDescent="0.25">
      <c r="A1492" s="1" t="str">
        <f t="shared" si="23"/>
        <v/>
      </c>
      <c r="B14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3" spans="1:2" x14ac:dyDescent="0.25">
      <c r="A1493" s="1" t="str">
        <f t="shared" si="23"/>
        <v/>
      </c>
      <c r="B14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4" spans="1:2" x14ac:dyDescent="0.25">
      <c r="A1494" s="1" t="str">
        <f t="shared" si="23"/>
        <v/>
      </c>
      <c r="B14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5" spans="1:2" x14ac:dyDescent="0.25">
      <c r="A1495" s="1" t="str">
        <f t="shared" si="23"/>
        <v/>
      </c>
      <c r="B14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6" spans="1:2" x14ac:dyDescent="0.25">
      <c r="A1496" s="1" t="str">
        <f t="shared" si="23"/>
        <v/>
      </c>
      <c r="B14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7" spans="1:2" x14ac:dyDescent="0.25">
      <c r="A1497" s="1" t="str">
        <f t="shared" si="23"/>
        <v/>
      </c>
      <c r="B14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8" spans="1:2" x14ac:dyDescent="0.25">
      <c r="A1498" s="1" t="str">
        <f t="shared" si="23"/>
        <v/>
      </c>
      <c r="B14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9" spans="1:2" x14ac:dyDescent="0.25">
      <c r="A1499" s="1" t="str">
        <f t="shared" si="23"/>
        <v/>
      </c>
      <c r="B14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0" spans="1:2" x14ac:dyDescent="0.25">
      <c r="A1500" s="1" t="str">
        <f t="shared" si="23"/>
        <v/>
      </c>
      <c r="B15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1" spans="1:2" x14ac:dyDescent="0.25">
      <c r="A1501" s="1" t="str">
        <f t="shared" si="23"/>
        <v/>
      </c>
      <c r="B15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2" spans="1:2" x14ac:dyDescent="0.25">
      <c r="A1502" s="1" t="str">
        <f t="shared" si="23"/>
        <v/>
      </c>
      <c r="B15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3" spans="1:2" x14ac:dyDescent="0.25">
      <c r="A1503" s="1" t="str">
        <f t="shared" si="23"/>
        <v/>
      </c>
      <c r="B15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4" spans="1:2" x14ac:dyDescent="0.25">
      <c r="A1504" s="1" t="str">
        <f t="shared" si="23"/>
        <v/>
      </c>
      <c r="B15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5" spans="1:2" x14ac:dyDescent="0.25">
      <c r="A1505" s="1" t="str">
        <f t="shared" si="23"/>
        <v/>
      </c>
      <c r="B15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6" spans="1:2" x14ac:dyDescent="0.25">
      <c r="A1506" s="1" t="str">
        <f t="shared" si="23"/>
        <v/>
      </c>
      <c r="B15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7" spans="1:2" x14ac:dyDescent="0.25">
      <c r="A1507" s="1" t="str">
        <f t="shared" si="23"/>
        <v/>
      </c>
      <c r="B15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8" spans="1:2" x14ac:dyDescent="0.25">
      <c r="A1508" s="1" t="str">
        <f t="shared" si="23"/>
        <v/>
      </c>
      <c r="B15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9" spans="1:2" x14ac:dyDescent="0.25">
      <c r="A1509" s="1" t="str">
        <f t="shared" si="23"/>
        <v/>
      </c>
      <c r="B15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0" spans="1:2" x14ac:dyDescent="0.25">
      <c r="A1510" s="1" t="str">
        <f t="shared" si="23"/>
        <v/>
      </c>
      <c r="B15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1" spans="1:2" x14ac:dyDescent="0.25">
      <c r="A1511" s="1" t="str">
        <f t="shared" si="23"/>
        <v/>
      </c>
      <c r="B15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2" spans="1:2" x14ac:dyDescent="0.25">
      <c r="A1512" s="1" t="str">
        <f t="shared" si="23"/>
        <v/>
      </c>
      <c r="B15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3" spans="1:2" x14ac:dyDescent="0.25">
      <c r="A1513" s="1" t="str">
        <f t="shared" si="23"/>
        <v/>
      </c>
      <c r="B15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4" spans="1:2" x14ac:dyDescent="0.25">
      <c r="A1514" s="1" t="str">
        <f t="shared" si="23"/>
        <v/>
      </c>
      <c r="B15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5" spans="1:2" x14ac:dyDescent="0.25">
      <c r="A1515" s="1" t="str">
        <f t="shared" si="23"/>
        <v/>
      </c>
      <c r="B15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6" spans="1:2" x14ac:dyDescent="0.25">
      <c r="A1516" s="1" t="str">
        <f t="shared" si="23"/>
        <v/>
      </c>
      <c r="B15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7" spans="1:2" x14ac:dyDescent="0.25">
      <c r="A1517" s="1" t="str">
        <f t="shared" si="23"/>
        <v/>
      </c>
      <c r="B15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8" spans="1:2" x14ac:dyDescent="0.25">
      <c r="A1518" s="1" t="str">
        <f t="shared" si="23"/>
        <v/>
      </c>
      <c r="B15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9" spans="1:2" x14ac:dyDescent="0.25">
      <c r="A1519" s="1" t="str">
        <f t="shared" si="23"/>
        <v/>
      </c>
      <c r="B15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0" spans="1:2" x14ac:dyDescent="0.25">
      <c r="A1520" s="1" t="str">
        <f t="shared" si="23"/>
        <v/>
      </c>
      <c r="B15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1" spans="1:2" x14ac:dyDescent="0.25">
      <c r="A1521" s="1" t="str">
        <f t="shared" si="23"/>
        <v/>
      </c>
      <c r="B15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2" spans="1:2" x14ac:dyDescent="0.25">
      <c r="A1522" s="1" t="str">
        <f t="shared" si="23"/>
        <v/>
      </c>
      <c r="B15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3" spans="1:2" x14ac:dyDescent="0.25">
      <c r="A1523" s="1" t="str">
        <f t="shared" si="23"/>
        <v/>
      </c>
      <c r="B15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4" spans="1:2" x14ac:dyDescent="0.25">
      <c r="A1524" s="1" t="str">
        <f t="shared" si="23"/>
        <v/>
      </c>
      <c r="B15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5" spans="1:2" x14ac:dyDescent="0.25">
      <c r="A1525" s="1" t="str">
        <f t="shared" si="23"/>
        <v/>
      </c>
      <c r="B15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6" spans="1:2" x14ac:dyDescent="0.25">
      <c r="A1526" s="1" t="str">
        <f t="shared" si="23"/>
        <v/>
      </c>
      <c r="B15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7" spans="1:2" x14ac:dyDescent="0.25">
      <c r="A1527" s="1" t="str">
        <f t="shared" si="23"/>
        <v/>
      </c>
      <c r="B15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8" spans="1:2" x14ac:dyDescent="0.25">
      <c r="A1528" s="1" t="str">
        <f t="shared" si="23"/>
        <v/>
      </c>
      <c r="B15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9" spans="1:2" x14ac:dyDescent="0.25">
      <c r="A1529" s="1" t="str">
        <f t="shared" si="23"/>
        <v/>
      </c>
      <c r="B15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0" spans="1:2" x14ac:dyDescent="0.25">
      <c r="A1530" s="1" t="str">
        <f t="shared" si="23"/>
        <v/>
      </c>
      <c r="B15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1" spans="1:2" x14ac:dyDescent="0.25">
      <c r="A1531" s="1" t="str">
        <f t="shared" si="23"/>
        <v/>
      </c>
      <c r="B15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2" spans="1:2" x14ac:dyDescent="0.25">
      <c r="A1532" s="1" t="str">
        <f t="shared" si="23"/>
        <v/>
      </c>
      <c r="B15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3" spans="1:2" x14ac:dyDescent="0.25">
      <c r="A1533" s="1" t="str">
        <f t="shared" si="23"/>
        <v/>
      </c>
      <c r="B15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4" spans="1:2" x14ac:dyDescent="0.25">
      <c r="A1534" s="1" t="str">
        <f t="shared" si="23"/>
        <v/>
      </c>
      <c r="B15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5" spans="1:2" x14ac:dyDescent="0.25">
      <c r="A1535" s="1" t="str">
        <f t="shared" si="23"/>
        <v/>
      </c>
      <c r="B15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6" spans="1:2" x14ac:dyDescent="0.25">
      <c r="A1536" s="1" t="str">
        <f t="shared" si="23"/>
        <v/>
      </c>
      <c r="B15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7" spans="1:2" x14ac:dyDescent="0.25">
      <c r="A1537" s="1" t="str">
        <f t="shared" si="23"/>
        <v/>
      </c>
      <c r="B15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8" spans="1:2" x14ac:dyDescent="0.25">
      <c r="A1538" s="1" t="str">
        <f t="shared" ref="A1538:A1557" si="24">IFERROR(LEFT(RIGHT(C1538,LEN(C1538)-SEARCH("@",C1538)),SEARCH("/",RIGHT(C1538,LEN(C1538)-SEARCH("@",C1538)-1))),"")</f>
        <v/>
      </c>
      <c r="B15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9" spans="1:2" x14ac:dyDescent="0.25">
      <c r="A1539" s="1" t="str">
        <f t="shared" si="24"/>
        <v/>
      </c>
      <c r="B15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0" spans="1:2" x14ac:dyDescent="0.25">
      <c r="A1540" s="1" t="str">
        <f t="shared" si="24"/>
        <v/>
      </c>
      <c r="B15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1" spans="1:2" x14ac:dyDescent="0.25">
      <c r="A1541" s="1" t="str">
        <f t="shared" si="24"/>
        <v/>
      </c>
      <c r="B15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2" spans="1:2" x14ac:dyDescent="0.25">
      <c r="A1542" s="1" t="str">
        <f t="shared" si="24"/>
        <v/>
      </c>
      <c r="B15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3" spans="1:2" x14ac:dyDescent="0.25">
      <c r="A1543" s="1" t="str">
        <f t="shared" si="24"/>
        <v/>
      </c>
      <c r="B15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4" spans="1:2" x14ac:dyDescent="0.25">
      <c r="A1544" s="1" t="str">
        <f t="shared" si="24"/>
        <v/>
      </c>
      <c r="B15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5" spans="1:2" x14ac:dyDescent="0.25">
      <c r="A1545" s="1" t="str">
        <f t="shared" si="24"/>
        <v/>
      </c>
      <c r="B15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6" spans="1:2" x14ac:dyDescent="0.25">
      <c r="A1546" s="1" t="str">
        <f t="shared" si="24"/>
        <v/>
      </c>
      <c r="B15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7" spans="1:2" x14ac:dyDescent="0.25">
      <c r="A1547" s="1" t="str">
        <f t="shared" si="24"/>
        <v/>
      </c>
      <c r="B15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8" spans="1:2" x14ac:dyDescent="0.25">
      <c r="A1548" s="1" t="str">
        <f t="shared" si="24"/>
        <v/>
      </c>
      <c r="B15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9" spans="1:2" x14ac:dyDescent="0.25">
      <c r="A1549" s="1" t="str">
        <f t="shared" si="24"/>
        <v/>
      </c>
      <c r="B15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0" spans="1:2" x14ac:dyDescent="0.25">
      <c r="A1550" s="1" t="str">
        <f t="shared" si="24"/>
        <v/>
      </c>
      <c r="B15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1" spans="1:2" x14ac:dyDescent="0.25">
      <c r="A1551" s="1" t="str">
        <f t="shared" si="24"/>
        <v/>
      </c>
      <c r="B15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2" spans="1:2" x14ac:dyDescent="0.25">
      <c r="A1552" s="1" t="str">
        <f t="shared" si="24"/>
        <v/>
      </c>
      <c r="B15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3" spans="1:2" x14ac:dyDescent="0.25">
      <c r="A1553" s="1" t="str">
        <f t="shared" si="24"/>
        <v/>
      </c>
      <c r="B15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4" spans="1:2" x14ac:dyDescent="0.25">
      <c r="A1554" s="1" t="str">
        <f t="shared" si="24"/>
        <v/>
      </c>
      <c r="B15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5" spans="1:2" x14ac:dyDescent="0.25">
      <c r="A1555" s="1" t="str">
        <f t="shared" si="24"/>
        <v/>
      </c>
      <c r="B15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6" spans="1:2" x14ac:dyDescent="0.25">
      <c r="A1556" s="1" t="str">
        <f t="shared" si="24"/>
        <v/>
      </c>
      <c r="B15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7" spans="1:2" x14ac:dyDescent="0.25">
      <c r="A1557" s="1" t="str">
        <f t="shared" si="24"/>
        <v/>
      </c>
      <c r="B15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sheetData>
  <conditionalFormatting sqref="A1:J2 A1558:XFD1048576 AI18:XFD38 C39:XFD1557 C3:J10 EO1:XFD10 C19:K38 K5 C11:K13 C14:J18 M15:XFD17 K1:L4 A3:B1557 AH11:XFD14">
    <cfRule type="containsText" dxfId="5" priority="1" operator="containsText" text="ERREUR">
      <formula>NOT(ISERROR(SEARCH("ERREUR",A1)))</formula>
    </cfRule>
    <cfRule type="containsText" dxfId="4" priority="2" operator="containsText" text="OK">
      <formula>NOT(ISERROR(SEARCH("OK",A1)))</formula>
    </cfRule>
  </conditionalFormatting>
  <pageMargins left="0.7" right="0.7" top="0.75" bottom="0.75" header="0.3" footer="0.3"/>
  <pageSetup paperSize="9" orientation="portrait" horizontalDpi="300" verticalDpi="300" r:id="rId2"/>
  <headerFooter>
    <oddFooter>&amp;C&amp;1#&amp;"Arial"&amp;10&amp;K000000Internal</oddFooter>
  </headerFooter>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K74"/>
  <sheetViews>
    <sheetView showGridLines="0" zoomScale="85" zoomScaleNormal="85" zoomScaleSheetLayoutView="40" zoomScalePageLayoutView="30" workbookViewId="0">
      <pane xSplit="1" topLeftCell="D1" activePane="topRight" state="frozen"/>
      <selection pane="topRight" activeCell="O18" sqref="O18"/>
    </sheetView>
  </sheetViews>
  <sheetFormatPr defaultColWidth="9.140625" defaultRowHeight="15" x14ac:dyDescent="0.25"/>
  <cols>
    <col min="1" max="1" width="29.5703125" style="1" customWidth="1"/>
    <col min="2" max="2" width="14.85546875" style="1" customWidth="1"/>
    <col min="3" max="5" width="25.85546875" style="1" bestFit="1" customWidth="1"/>
    <col min="6" max="8" width="26.42578125" style="1" bestFit="1" customWidth="1"/>
    <col min="9" max="9" width="26.42578125" style="1" customWidth="1"/>
    <col min="10" max="10" width="25.85546875" style="1" bestFit="1" customWidth="1"/>
    <col min="11" max="11" width="26.42578125" style="1" bestFit="1" customWidth="1"/>
    <col min="12" max="13" width="26.42578125" style="1" customWidth="1"/>
    <col min="14" max="14" width="18.28515625" bestFit="1" customWidth="1"/>
    <col min="15" max="15" width="14.85546875" customWidth="1"/>
    <col min="16" max="16" width="17.7109375" customWidth="1"/>
    <col min="17" max="18" width="25.85546875" bestFit="1" customWidth="1"/>
    <col min="19" max="36" width="25.85546875" style="1" customWidth="1"/>
    <col min="37" max="37" width="25.85546875" bestFit="1" customWidth="1"/>
  </cols>
  <sheetData>
    <row r="1" spans="1:37" s="1" customFormat="1" ht="27" thickBot="1" x14ac:dyDescent="0.45">
      <c r="A1" s="221" t="s">
        <v>40</v>
      </c>
      <c r="B1" s="222"/>
      <c r="C1" s="222"/>
      <c r="D1" s="222"/>
      <c r="E1" s="222"/>
      <c r="F1" s="222"/>
      <c r="G1" s="222"/>
      <c r="H1" s="222"/>
      <c r="I1" s="222"/>
      <c r="J1" s="222"/>
      <c r="K1" s="222"/>
      <c r="L1" s="222"/>
      <c r="M1" s="222"/>
      <c r="N1" s="222"/>
      <c r="O1" s="222"/>
      <c r="P1" s="222"/>
      <c r="Q1" s="222"/>
      <c r="R1" s="222"/>
      <c r="S1" s="222"/>
      <c r="T1" s="222"/>
      <c r="U1" s="222"/>
      <c r="V1" s="222"/>
      <c r="W1" s="222"/>
      <c r="X1" s="222"/>
      <c r="Y1" s="222"/>
      <c r="Z1" s="222"/>
      <c r="AA1" s="222"/>
      <c r="AB1" s="222"/>
      <c r="AC1" s="222"/>
      <c r="AD1" s="222"/>
      <c r="AE1" s="222"/>
      <c r="AF1" s="222"/>
      <c r="AG1" s="222"/>
      <c r="AH1" s="222"/>
      <c r="AI1" s="222"/>
      <c r="AJ1" s="222"/>
      <c r="AK1" s="223"/>
    </row>
    <row r="2" spans="1:37" ht="15.75" thickBot="1" x14ac:dyDescent="0.3">
      <c r="A2"/>
      <c r="B2"/>
      <c r="C2"/>
      <c r="D2"/>
      <c r="E2"/>
      <c r="F2"/>
      <c r="G2"/>
      <c r="H2"/>
      <c r="I2"/>
      <c r="J2"/>
      <c r="K2"/>
      <c r="L2"/>
      <c r="M2"/>
      <c r="S2"/>
      <c r="T2"/>
      <c r="U2"/>
      <c r="V2"/>
      <c r="W2"/>
      <c r="X2"/>
      <c r="Y2"/>
      <c r="Z2"/>
      <c r="AA2"/>
      <c r="AB2"/>
      <c r="AC2"/>
      <c r="AD2"/>
    </row>
    <row r="3" spans="1:37" ht="15.75" thickBot="1" x14ac:dyDescent="0.3">
      <c r="A3" s="53" t="s">
        <v>17</v>
      </c>
      <c r="B3" s="231" t="s">
        <v>6</v>
      </c>
      <c r="C3" s="232"/>
      <c r="D3" s="232"/>
      <c r="E3" s="232"/>
      <c r="F3" s="232"/>
      <c r="G3" s="232"/>
      <c r="H3" s="232"/>
      <c r="I3" s="232"/>
      <c r="J3" s="232"/>
      <c r="K3" s="232"/>
      <c r="L3" s="232"/>
      <c r="M3" s="232"/>
      <c r="O3" s="231" t="s">
        <v>3</v>
      </c>
      <c r="P3" s="232"/>
      <c r="Q3" s="232"/>
      <c r="R3" s="232"/>
      <c r="S3" s="232"/>
      <c r="T3" s="232"/>
      <c r="U3" s="232"/>
      <c r="V3" s="232"/>
      <c r="W3" s="232"/>
      <c r="X3" s="232"/>
      <c r="Y3" s="232"/>
      <c r="Z3" s="232"/>
      <c r="AA3" s="232"/>
      <c r="AB3" s="232"/>
      <c r="AC3" s="232"/>
      <c r="AD3" s="232"/>
      <c r="AE3" s="232"/>
      <c r="AF3" s="232"/>
      <c r="AG3" s="232"/>
      <c r="AH3" s="232"/>
      <c r="AI3" s="232"/>
      <c r="AJ3" s="232"/>
      <c r="AK3" s="233"/>
    </row>
    <row r="4" spans="1:37" x14ac:dyDescent="0.25">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35" t="s">
        <v>4444</v>
      </c>
      <c r="J4" s="35" t="s">
        <v>4445</v>
      </c>
      <c r="K4" s="35" t="s">
        <v>4446</v>
      </c>
      <c r="L4" s="35" t="s">
        <v>4448</v>
      </c>
      <c r="M4" s="35" t="s">
        <v>4447</v>
      </c>
      <c r="N4" s="3"/>
      <c r="O4" s="36" t="str">
        <f>'Page de garde'!A36</f>
        <v>Testo -30µg/L</v>
      </c>
      <c r="P4" s="36" t="str">
        <f>'Page de garde'!A37</f>
        <v>Testo 30µg/L + EE2 -64ng/L</v>
      </c>
      <c r="Q4" s="36" t="str">
        <f>'Page de garde'!A38</f>
        <v>Testo 30µg/L + FAD-10mg/L</v>
      </c>
      <c r="R4" s="36" t="str">
        <f>'Page de garde'!A39</f>
        <v>estradiol-34ng/L + Testostérone</v>
      </c>
      <c r="S4" s="36" t="str">
        <f>'Page de garde'!A40</f>
        <v>estradiol-68ng/L + Testostérone</v>
      </c>
      <c r="T4" s="36" t="str">
        <f>'Page de garde'!A41</f>
        <v>estradiol-135ng/L + Testostérone</v>
      </c>
      <c r="U4" s="36" t="str">
        <f>'Page de garde'!A42</f>
        <v>estradiol-270ng/L + Testostérone</v>
      </c>
      <c r="V4" s="36" t="str">
        <f>'Page de garde'!A43</f>
        <v>estradiol-540ng/L + Testostérone</v>
      </c>
      <c r="W4" s="36" t="str">
        <f>'Page de garde'!A44</f>
        <v>0-00 + Testostérone</v>
      </c>
      <c r="X4" s="36" t="str">
        <f>'Page de garde'!A45</f>
        <v>0-00 + Testostérone</v>
      </c>
      <c r="Y4" s="36" t="str">
        <f>'Page de garde'!A46</f>
        <v>0-00 + Testostérone</v>
      </c>
      <c r="Z4" s="36" t="str">
        <f>'Page de garde'!A47</f>
        <v>0-00 + Testostérone</v>
      </c>
      <c r="AA4" s="36" t="str">
        <f>'Page de garde'!A48</f>
        <v>0-00 + Testostérone</v>
      </c>
      <c r="AB4" s="36" t="str">
        <f>'Page de garde'!A49</f>
        <v>0-00 + Testostérone</v>
      </c>
      <c r="AC4" s="36" t="str">
        <f>'Page de garde'!A50</f>
        <v>0-00 + Testostérone</v>
      </c>
      <c r="AD4" s="36" t="str">
        <f>'Page de garde'!A51</f>
        <v>0-00 + Testostérone</v>
      </c>
      <c r="AE4" s="36" t="str">
        <f>'Page de garde'!A52</f>
        <v>0-00 + Testostérone</v>
      </c>
      <c r="AF4" s="36" t="str">
        <f>'Page de garde'!A53</f>
        <v>0-00 + Testostérone</v>
      </c>
      <c r="AG4" s="36" t="str">
        <f>'Page de garde'!A54</f>
        <v>0-00 + Testostérone</v>
      </c>
      <c r="AH4" s="36" t="str">
        <f>'Page de garde'!A55</f>
        <v>0-00 + Testostérone</v>
      </c>
      <c r="AI4" s="36" t="str">
        <f>'Page de garde'!A56</f>
        <v>0-00 + Testostérone</v>
      </c>
      <c r="AJ4" s="36" t="str">
        <f>'Page de garde'!A57</f>
        <v>0-00 + Testostérone</v>
      </c>
      <c r="AK4" s="36" t="str">
        <f>'Page de garde'!A58</f>
        <v>0-00 + Testostérone</v>
      </c>
    </row>
    <row r="5" spans="1:37" x14ac:dyDescent="0.25">
      <c r="A5" s="227" t="s">
        <v>33</v>
      </c>
      <c r="B5" s="201">
        <v>209831.33333333334</v>
      </c>
      <c r="C5" s="201">
        <v>249277.33333333334</v>
      </c>
      <c r="D5" s="201">
        <v>151596.66666666666</v>
      </c>
      <c r="E5" s="201">
        <v>575607.33333333337</v>
      </c>
      <c r="F5" s="201">
        <v>2841245.6666666665</v>
      </c>
      <c r="G5" s="201">
        <v>3057292</v>
      </c>
      <c r="H5" s="201">
        <v>4148181</v>
      </c>
      <c r="I5" s="201">
        <v>273380</v>
      </c>
      <c r="J5" s="201">
        <v>134869.33333333334</v>
      </c>
      <c r="K5" s="201">
        <v>531028.33333333337</v>
      </c>
      <c r="L5" s="201">
        <v>2635033.3333333335</v>
      </c>
      <c r="M5" s="201">
        <v>3446053.3333333335</v>
      </c>
      <c r="N5" s="3"/>
      <c r="O5" s="201">
        <v>1690989</v>
      </c>
      <c r="P5" s="201">
        <v>5102852.333333333</v>
      </c>
      <c r="Q5" s="201">
        <v>50181.333333333336</v>
      </c>
      <c r="R5" s="201">
        <v>3529126.3333333335</v>
      </c>
      <c r="S5" s="201">
        <v>2898362.6666666665</v>
      </c>
      <c r="T5" s="201">
        <v>3659389</v>
      </c>
      <c r="U5" s="201">
        <v>4697248.666666667</v>
      </c>
      <c r="V5" s="201">
        <v>6149141.333333333</v>
      </c>
      <c r="W5" s="32"/>
      <c r="X5" s="32"/>
      <c r="Y5" s="32"/>
      <c r="Z5" s="32"/>
      <c r="AA5" s="32"/>
      <c r="AB5" s="32"/>
      <c r="AC5" s="32"/>
      <c r="AD5" s="32"/>
      <c r="AE5" s="4"/>
      <c r="AF5" s="32"/>
      <c r="AG5" s="32"/>
      <c r="AH5" s="32"/>
      <c r="AI5" s="32"/>
      <c r="AJ5" s="32"/>
      <c r="AK5" s="32"/>
    </row>
    <row r="6" spans="1:37" x14ac:dyDescent="0.25">
      <c r="A6" s="228"/>
      <c r="B6" s="201">
        <v>216753.33333333334</v>
      </c>
      <c r="C6" s="201">
        <v>39035</v>
      </c>
      <c r="D6" s="201">
        <v>98070</v>
      </c>
      <c r="E6" s="201">
        <v>1837502.5</v>
      </c>
      <c r="F6" s="201">
        <v>1625371</v>
      </c>
      <c r="G6" s="201">
        <v>458013.33333333331</v>
      </c>
      <c r="H6" s="201">
        <v>3753572.6666666665</v>
      </c>
      <c r="I6" s="201">
        <v>122079.33333333333</v>
      </c>
      <c r="J6" s="201">
        <v>167026</v>
      </c>
      <c r="K6" s="201">
        <v>2517229.3333333335</v>
      </c>
      <c r="L6" s="201">
        <v>2034263</v>
      </c>
      <c r="M6" s="201">
        <v>4096781.3333333335</v>
      </c>
      <c r="N6" s="3"/>
      <c r="O6" s="201">
        <v>72424</v>
      </c>
      <c r="P6" s="201">
        <v>4121381.3333333335</v>
      </c>
      <c r="Q6" s="201">
        <v>133059.66666666666</v>
      </c>
      <c r="R6" s="201">
        <v>2876328.6666666665</v>
      </c>
      <c r="S6" s="201">
        <v>1725957</v>
      </c>
      <c r="T6" s="201">
        <v>729057</v>
      </c>
      <c r="U6" s="201">
        <v>3198037.6666666665</v>
      </c>
      <c r="V6" s="201">
        <v>5061720</v>
      </c>
      <c r="W6" s="32"/>
      <c r="X6" s="32"/>
      <c r="Y6" s="32"/>
      <c r="Z6" s="32"/>
      <c r="AA6" s="32"/>
      <c r="AB6" s="32"/>
      <c r="AC6" s="32"/>
      <c r="AD6" s="32"/>
      <c r="AE6" s="4"/>
      <c r="AF6" s="32"/>
      <c r="AG6" s="32"/>
      <c r="AH6" s="32"/>
      <c r="AI6" s="32"/>
      <c r="AJ6" s="32"/>
      <c r="AK6" s="32"/>
    </row>
    <row r="7" spans="1:37" x14ac:dyDescent="0.25">
      <c r="A7" s="228"/>
      <c r="B7" s="201">
        <v>419093.66666666669</v>
      </c>
      <c r="C7" s="201">
        <v>158482.33333333334</v>
      </c>
      <c r="D7" s="201">
        <v>200970.66666666666</v>
      </c>
      <c r="E7" s="201">
        <v>283315.66666666669</v>
      </c>
      <c r="F7" s="201">
        <v>2885074.6666666665</v>
      </c>
      <c r="G7" s="201">
        <v>3176144.5</v>
      </c>
      <c r="H7" s="201">
        <v>5196171.333333333</v>
      </c>
      <c r="I7" s="201">
        <v>240337</v>
      </c>
      <c r="J7" s="201">
        <v>307339.33333333331</v>
      </c>
      <c r="K7" s="201">
        <v>2018920</v>
      </c>
      <c r="L7" s="201">
        <v>2383145.6666666665</v>
      </c>
      <c r="M7" s="201">
        <v>4508996.666666667</v>
      </c>
      <c r="N7" s="3"/>
      <c r="O7" s="201">
        <v>1480696</v>
      </c>
      <c r="P7" s="201">
        <v>3965228.6666666665</v>
      </c>
      <c r="Q7" s="201">
        <v>87741.5</v>
      </c>
      <c r="R7" s="201">
        <v>899104.33333333337</v>
      </c>
      <c r="S7" s="201">
        <v>2073095.3333333333</v>
      </c>
      <c r="T7" s="201">
        <v>1953432</v>
      </c>
      <c r="U7" s="201">
        <v>2766672.3333333335</v>
      </c>
      <c r="V7" s="201">
        <v>1226927</v>
      </c>
      <c r="W7" s="32"/>
      <c r="X7" s="32"/>
      <c r="Y7" s="32"/>
      <c r="Z7" s="32"/>
      <c r="AA7" s="32"/>
      <c r="AB7" s="32"/>
      <c r="AC7" s="32"/>
      <c r="AD7" s="32"/>
      <c r="AE7" s="4"/>
      <c r="AF7" s="32"/>
      <c r="AG7" s="32"/>
      <c r="AH7" s="32"/>
      <c r="AI7" s="32"/>
      <c r="AJ7" s="32"/>
      <c r="AK7" s="32"/>
    </row>
    <row r="8" spans="1:37" x14ac:dyDescent="0.25">
      <c r="A8" s="228"/>
      <c r="B8" s="201">
        <v>213660.33333333334</v>
      </c>
      <c r="C8" s="201">
        <v>170876</v>
      </c>
      <c r="D8" s="201">
        <v>196478.66666666666</v>
      </c>
      <c r="E8" s="201">
        <v>2692467.3333333335</v>
      </c>
      <c r="F8" s="201">
        <v>2233452.3333333335</v>
      </c>
      <c r="G8" s="201">
        <v>3915479.6666666665</v>
      </c>
      <c r="H8" s="201">
        <v>4267585.333333333</v>
      </c>
      <c r="I8" s="201">
        <v>245030.66666666666</v>
      </c>
      <c r="J8" s="201">
        <v>278485</v>
      </c>
      <c r="K8" s="201">
        <v>2602256.6666666665</v>
      </c>
      <c r="L8" s="201">
        <v>250056</v>
      </c>
      <c r="M8" s="201">
        <v>4014047</v>
      </c>
      <c r="N8" s="3"/>
      <c r="O8" s="201">
        <v>1059713.5</v>
      </c>
      <c r="P8" s="201">
        <v>3489421.3333333335</v>
      </c>
      <c r="Q8" s="201">
        <v>55019.333333333336</v>
      </c>
      <c r="R8" s="201"/>
      <c r="S8" s="201">
        <v>920903.5</v>
      </c>
      <c r="T8" s="201">
        <v>3635142</v>
      </c>
      <c r="U8" s="201">
        <v>4731863.666666667</v>
      </c>
      <c r="V8" s="201">
        <v>2948890</v>
      </c>
      <c r="W8" s="32"/>
      <c r="X8" s="32"/>
      <c r="Y8" s="32"/>
      <c r="Z8" s="32"/>
      <c r="AA8" s="32"/>
      <c r="AB8" s="32"/>
      <c r="AC8" s="32"/>
      <c r="AD8" s="32"/>
      <c r="AE8" s="4"/>
      <c r="AF8" s="32"/>
      <c r="AG8" s="32"/>
      <c r="AH8" s="32"/>
      <c r="AI8" s="32"/>
      <c r="AJ8" s="32"/>
      <c r="AK8" s="32"/>
    </row>
    <row r="9" spans="1:37" x14ac:dyDescent="0.25">
      <c r="A9" s="228"/>
      <c r="B9" s="201">
        <v>297079.33333333331</v>
      </c>
      <c r="C9" s="201"/>
      <c r="D9" s="201">
        <v>122757</v>
      </c>
      <c r="E9" s="201">
        <v>217106.33333333334</v>
      </c>
      <c r="F9" s="201">
        <v>3019374.6666666665</v>
      </c>
      <c r="G9" s="201">
        <v>4671148.666666667</v>
      </c>
      <c r="H9" s="201">
        <v>4224059</v>
      </c>
      <c r="I9" s="201">
        <v>177451.66666666666</v>
      </c>
      <c r="J9" s="201">
        <v>266379.33333333331</v>
      </c>
      <c r="K9" s="201">
        <v>90232.666666666672</v>
      </c>
      <c r="L9" s="201">
        <v>3007925.3333333335</v>
      </c>
      <c r="M9" s="201">
        <v>3949856.6666666665</v>
      </c>
      <c r="N9" s="3"/>
      <c r="O9" s="201">
        <v>337325.33333333331</v>
      </c>
      <c r="P9" s="201">
        <v>1875780.6666666667</v>
      </c>
      <c r="Q9" s="201">
        <v>277677</v>
      </c>
      <c r="R9" s="201">
        <v>40851.666666666664</v>
      </c>
      <c r="S9" s="201">
        <v>3075475.3333333335</v>
      </c>
      <c r="T9" s="201">
        <v>2769095.3333333335</v>
      </c>
      <c r="U9" s="201">
        <v>4052123</v>
      </c>
      <c r="V9" s="201">
        <v>3956756.6666666665</v>
      </c>
      <c r="W9" s="32"/>
      <c r="X9" s="32"/>
      <c r="Y9" s="32"/>
      <c r="Z9" s="32"/>
      <c r="AA9" s="32"/>
      <c r="AB9" s="32"/>
      <c r="AC9" s="32"/>
      <c r="AD9" s="32"/>
      <c r="AE9" s="4"/>
      <c r="AF9" s="32"/>
      <c r="AG9" s="32"/>
      <c r="AH9" s="32"/>
      <c r="AI9" s="32"/>
      <c r="AJ9" s="32"/>
      <c r="AK9" s="32"/>
    </row>
    <row r="10" spans="1:37" x14ac:dyDescent="0.25">
      <c r="A10" s="228"/>
      <c r="B10" s="201">
        <v>125057</v>
      </c>
      <c r="C10" s="201">
        <v>548231.33333333337</v>
      </c>
      <c r="D10" s="201">
        <v>128229.33333333333</v>
      </c>
      <c r="E10" s="201">
        <v>129245.66666666667</v>
      </c>
      <c r="F10" s="201">
        <v>1470371.3333333333</v>
      </c>
      <c r="G10" s="201">
        <v>3020247</v>
      </c>
      <c r="H10" s="201">
        <v>4025316.3333333335</v>
      </c>
      <c r="I10" s="201">
        <v>61443.333333333336</v>
      </c>
      <c r="J10" s="201">
        <v>202773</v>
      </c>
      <c r="K10" s="201">
        <v>638763.5</v>
      </c>
      <c r="L10" s="201">
        <v>146312</v>
      </c>
      <c r="M10" s="201">
        <v>5109125.333333333</v>
      </c>
      <c r="N10" s="3"/>
      <c r="O10" s="201">
        <v>2049014</v>
      </c>
      <c r="P10" s="201">
        <v>2992027.3333333335</v>
      </c>
      <c r="Q10" s="201">
        <v>32127.666666666668</v>
      </c>
      <c r="R10" s="201">
        <v>72676.333333333328</v>
      </c>
      <c r="S10" s="201">
        <v>2294694</v>
      </c>
      <c r="T10" s="201">
        <v>2726506</v>
      </c>
      <c r="U10" s="201">
        <v>4228586.666666667</v>
      </c>
      <c r="V10" s="201">
        <v>5107261.5</v>
      </c>
      <c r="W10" s="32"/>
      <c r="X10" s="32"/>
      <c r="Y10" s="32"/>
      <c r="Z10" s="32"/>
      <c r="AA10" s="32"/>
      <c r="AB10" s="32"/>
      <c r="AC10" s="32"/>
      <c r="AD10" s="32"/>
      <c r="AE10" s="4"/>
      <c r="AF10" s="32"/>
      <c r="AG10" s="32"/>
      <c r="AH10" s="32"/>
      <c r="AI10" s="32"/>
      <c r="AJ10" s="32"/>
      <c r="AK10" s="32"/>
    </row>
    <row r="11" spans="1:37" x14ac:dyDescent="0.25">
      <c r="A11" s="228"/>
      <c r="B11" s="201">
        <v>104083.33333333333</v>
      </c>
      <c r="C11" s="201">
        <v>184849.33333333334</v>
      </c>
      <c r="D11" s="201">
        <v>666510.66666666663</v>
      </c>
      <c r="E11" s="201">
        <v>1235312.3333333333</v>
      </c>
      <c r="F11" s="201">
        <v>2724429.6666666665</v>
      </c>
      <c r="G11" s="201"/>
      <c r="H11" s="201">
        <v>5225458</v>
      </c>
      <c r="I11" s="201">
        <v>284368</v>
      </c>
      <c r="J11" s="201">
        <v>130817.5</v>
      </c>
      <c r="K11" s="201">
        <v>929862</v>
      </c>
      <c r="L11" s="201">
        <v>1432649</v>
      </c>
      <c r="M11" s="201">
        <v>3205255</v>
      </c>
      <c r="N11" s="3"/>
      <c r="O11" s="201">
        <v>24824</v>
      </c>
      <c r="P11" s="201">
        <v>3668877</v>
      </c>
      <c r="Q11" s="201">
        <v>85200</v>
      </c>
      <c r="R11" s="201">
        <v>1097479</v>
      </c>
      <c r="S11" s="201">
        <v>3880749</v>
      </c>
      <c r="T11" s="201">
        <v>2735785</v>
      </c>
      <c r="U11" s="201">
        <v>3339093.3333333335</v>
      </c>
      <c r="V11" s="201">
        <v>2742144.3333333335</v>
      </c>
      <c r="W11" s="32"/>
      <c r="X11" s="32"/>
      <c r="Y11" s="32"/>
      <c r="Z11" s="32"/>
      <c r="AA11" s="32"/>
      <c r="AB11" s="32"/>
      <c r="AC11" s="32"/>
      <c r="AD11" s="32"/>
      <c r="AE11" s="4"/>
      <c r="AF11" s="32"/>
      <c r="AG11" s="32"/>
      <c r="AH11" s="32"/>
      <c r="AI11" s="32"/>
      <c r="AJ11" s="32"/>
      <c r="AK11" s="32"/>
    </row>
    <row r="12" spans="1:37" x14ac:dyDescent="0.25">
      <c r="A12" s="228"/>
      <c r="B12" s="201">
        <v>83080.333333333328</v>
      </c>
      <c r="C12" s="201">
        <v>67319.333333333328</v>
      </c>
      <c r="D12" s="201">
        <v>154502.33333333334</v>
      </c>
      <c r="E12" s="201">
        <v>2268053</v>
      </c>
      <c r="F12" s="201">
        <v>2656165.6666666665</v>
      </c>
      <c r="G12" s="201">
        <v>1460508.3333333333</v>
      </c>
      <c r="H12" s="201">
        <v>3912307.3333333335</v>
      </c>
      <c r="I12" s="201">
        <v>174236</v>
      </c>
      <c r="J12" s="201">
        <v>228389.66666666666</v>
      </c>
      <c r="K12" s="201">
        <v>236069</v>
      </c>
      <c r="L12" s="201">
        <v>320209</v>
      </c>
      <c r="M12" s="201">
        <v>3302842</v>
      </c>
      <c r="N12" s="3"/>
      <c r="O12" s="201">
        <v>484726</v>
      </c>
      <c r="P12" s="201">
        <v>3375410</v>
      </c>
      <c r="Q12" s="201">
        <v>197726</v>
      </c>
      <c r="R12" s="201">
        <v>2244959.6666666665</v>
      </c>
      <c r="S12" s="201">
        <v>2151042.6666666665</v>
      </c>
      <c r="T12" s="201">
        <v>1490227.6666666667</v>
      </c>
      <c r="U12" s="201">
        <v>1306186</v>
      </c>
      <c r="V12" s="201">
        <v>3412418.6666666665</v>
      </c>
      <c r="W12" s="32"/>
      <c r="X12" s="32"/>
      <c r="Y12" s="32"/>
      <c r="Z12" s="32"/>
      <c r="AA12" s="32"/>
      <c r="AB12" s="32"/>
      <c r="AC12" s="32"/>
      <c r="AD12" s="32"/>
      <c r="AE12" s="4"/>
      <c r="AF12" s="32"/>
      <c r="AG12" s="32"/>
      <c r="AH12" s="32"/>
      <c r="AI12" s="32"/>
      <c r="AJ12" s="32"/>
      <c r="AK12" s="32"/>
    </row>
    <row r="13" spans="1:37" ht="16.5" x14ac:dyDescent="0.25">
      <c r="A13" s="228"/>
      <c r="B13" s="14"/>
      <c r="C13" s="13"/>
      <c r="D13" s="16"/>
      <c r="E13" s="16"/>
      <c r="F13" s="16"/>
      <c r="G13" s="16"/>
      <c r="H13" s="16"/>
      <c r="I13" s="32"/>
      <c r="J13" s="16"/>
      <c r="K13" s="13"/>
      <c r="L13" s="13"/>
      <c r="M13" s="13"/>
      <c r="N13" s="3"/>
      <c r="O13" s="201">
        <v>69677</v>
      </c>
      <c r="P13" s="13"/>
      <c r="Q13" s="13"/>
      <c r="R13" s="4"/>
      <c r="S13" s="32"/>
      <c r="T13" s="32"/>
      <c r="U13" s="32"/>
      <c r="V13" s="32"/>
      <c r="W13" s="32"/>
      <c r="X13" s="32"/>
      <c r="Y13" s="32"/>
      <c r="Z13" s="32"/>
      <c r="AA13" s="32"/>
      <c r="AB13" s="32"/>
      <c r="AC13" s="32"/>
      <c r="AD13" s="32"/>
      <c r="AE13" s="4"/>
      <c r="AF13" s="32"/>
      <c r="AG13" s="32"/>
      <c r="AH13" s="32"/>
      <c r="AI13" s="32"/>
      <c r="AJ13" s="32"/>
      <c r="AK13" s="32"/>
    </row>
    <row r="14" spans="1:37" ht="16.5" x14ac:dyDescent="0.25">
      <c r="A14" s="228"/>
      <c r="B14" s="14"/>
      <c r="C14" s="16"/>
      <c r="D14" s="16"/>
      <c r="E14" s="16"/>
      <c r="F14" s="16"/>
      <c r="G14" s="16"/>
      <c r="H14" s="16"/>
      <c r="I14" s="32"/>
      <c r="J14" s="16"/>
      <c r="K14" s="13"/>
      <c r="L14" s="13"/>
      <c r="M14" s="13"/>
      <c r="N14" s="3"/>
      <c r="O14" s="201">
        <v>67434.666666666672</v>
      </c>
      <c r="P14" s="13"/>
      <c r="Q14" s="13"/>
      <c r="R14" s="4"/>
      <c r="S14" s="32"/>
      <c r="T14" s="32"/>
      <c r="U14" s="32"/>
      <c r="V14" s="32"/>
      <c r="W14" s="32"/>
      <c r="X14" s="32"/>
      <c r="Y14" s="32"/>
      <c r="Z14" s="32"/>
      <c r="AA14" s="32"/>
      <c r="AB14" s="32"/>
      <c r="AC14" s="32"/>
      <c r="AD14" s="32"/>
      <c r="AE14" s="4"/>
      <c r="AF14" s="32"/>
      <c r="AG14" s="32"/>
      <c r="AH14" s="32"/>
      <c r="AI14" s="32"/>
      <c r="AJ14" s="32"/>
      <c r="AK14" s="32"/>
    </row>
    <row r="15" spans="1:37" ht="16.5" x14ac:dyDescent="0.25">
      <c r="A15" s="228"/>
      <c r="B15" s="14"/>
      <c r="C15" s="16"/>
      <c r="D15" s="16"/>
      <c r="E15" s="16"/>
      <c r="F15" s="16"/>
      <c r="G15" s="16"/>
      <c r="H15" s="16"/>
      <c r="I15" s="32"/>
      <c r="J15" s="16"/>
      <c r="K15" s="13"/>
      <c r="L15" s="13"/>
      <c r="M15" s="13"/>
      <c r="N15" s="3"/>
      <c r="O15" s="201">
        <v>1772274.3333333333</v>
      </c>
      <c r="P15" s="13"/>
      <c r="Q15" s="13"/>
      <c r="R15" s="4"/>
      <c r="S15" s="32"/>
      <c r="T15" s="32"/>
      <c r="U15" s="32"/>
      <c r="V15" s="32"/>
      <c r="W15" s="32"/>
      <c r="X15" s="32"/>
      <c r="Y15" s="32"/>
      <c r="Z15" s="32"/>
      <c r="AA15" s="32"/>
      <c r="AB15" s="32"/>
      <c r="AC15" s="32"/>
      <c r="AD15" s="32"/>
      <c r="AE15" s="4"/>
      <c r="AF15" s="32"/>
      <c r="AG15" s="32"/>
      <c r="AH15" s="32"/>
      <c r="AI15" s="32"/>
      <c r="AJ15" s="32"/>
      <c r="AK15" s="32"/>
    </row>
    <row r="16" spans="1:37" ht="16.5" x14ac:dyDescent="0.25">
      <c r="A16" s="228"/>
      <c r="B16" s="14"/>
      <c r="C16" s="16"/>
      <c r="D16" s="16"/>
      <c r="E16" s="16"/>
      <c r="F16" s="16"/>
      <c r="G16" s="16"/>
      <c r="H16" s="16"/>
      <c r="I16" s="32"/>
      <c r="J16" s="16"/>
      <c r="K16" s="13"/>
      <c r="L16" s="13"/>
      <c r="M16" s="13"/>
      <c r="N16" s="3"/>
      <c r="O16" s="201"/>
      <c r="P16" s="13"/>
      <c r="Q16" s="13"/>
      <c r="R16" s="4"/>
      <c r="S16" s="32"/>
      <c r="T16" s="32"/>
      <c r="U16" s="32"/>
      <c r="V16" s="32"/>
      <c r="W16" s="32"/>
      <c r="X16" s="32"/>
      <c r="Y16" s="32"/>
      <c r="Z16" s="32"/>
      <c r="AA16" s="32"/>
      <c r="AB16" s="32"/>
      <c r="AC16" s="32"/>
      <c r="AD16" s="32"/>
      <c r="AE16" s="4"/>
      <c r="AF16" s="32"/>
      <c r="AG16" s="32"/>
      <c r="AH16" s="32"/>
      <c r="AI16" s="32"/>
      <c r="AJ16" s="32"/>
      <c r="AK16" s="32"/>
    </row>
    <row r="17" spans="1:37" s="1" customFormat="1" ht="16.5" x14ac:dyDescent="0.25">
      <c r="A17" s="228"/>
      <c r="B17" s="14"/>
      <c r="C17" s="32"/>
      <c r="D17" s="32"/>
      <c r="E17" s="32"/>
      <c r="F17" s="32"/>
      <c r="G17" s="32"/>
      <c r="H17" s="32"/>
      <c r="I17" s="32"/>
      <c r="J17" s="32"/>
      <c r="K17" s="13"/>
      <c r="L17" s="13"/>
      <c r="M17" s="13"/>
      <c r="N17" s="3"/>
      <c r="O17" s="201">
        <v>378660.33333333331</v>
      </c>
      <c r="P17" s="13"/>
      <c r="Q17" s="13"/>
      <c r="R17" s="32"/>
      <c r="S17" s="32"/>
      <c r="T17" s="32"/>
      <c r="U17" s="32"/>
      <c r="V17" s="32"/>
      <c r="W17" s="32"/>
      <c r="X17" s="32"/>
      <c r="Y17" s="32"/>
      <c r="Z17" s="32"/>
      <c r="AA17" s="32"/>
      <c r="AB17" s="32"/>
      <c r="AC17" s="32"/>
      <c r="AD17" s="32"/>
      <c r="AE17" s="32"/>
      <c r="AF17" s="32"/>
      <c r="AG17" s="32"/>
      <c r="AH17" s="32"/>
      <c r="AI17" s="32"/>
      <c r="AJ17" s="32"/>
      <c r="AK17" s="32"/>
    </row>
    <row r="18" spans="1:37" s="1" customFormat="1" ht="16.5" x14ac:dyDescent="0.25">
      <c r="A18" s="228"/>
      <c r="B18" s="14"/>
      <c r="C18" s="32"/>
      <c r="D18" s="32"/>
      <c r="E18" s="32"/>
      <c r="F18" s="32"/>
      <c r="G18" s="32"/>
      <c r="H18" s="32"/>
      <c r="I18" s="32"/>
      <c r="J18" s="32"/>
      <c r="K18" s="13"/>
      <c r="L18" s="13"/>
      <c r="M18" s="13"/>
      <c r="N18" s="3"/>
      <c r="O18" s="201">
        <v>530365</v>
      </c>
      <c r="P18" s="13"/>
      <c r="Q18" s="13"/>
      <c r="R18" s="32"/>
      <c r="S18" s="32"/>
      <c r="T18" s="32"/>
      <c r="U18" s="32"/>
      <c r="V18" s="32"/>
      <c r="W18" s="32"/>
      <c r="X18" s="32"/>
      <c r="Y18" s="32"/>
      <c r="Z18" s="32"/>
      <c r="AA18" s="32"/>
      <c r="AB18" s="32"/>
      <c r="AC18" s="32"/>
      <c r="AD18" s="32"/>
      <c r="AE18" s="32"/>
      <c r="AF18" s="32"/>
      <c r="AG18" s="32"/>
      <c r="AH18" s="32"/>
      <c r="AI18" s="32"/>
      <c r="AJ18" s="32"/>
      <c r="AK18" s="32"/>
    </row>
    <row r="19" spans="1:37" s="1" customFormat="1" ht="16.5" x14ac:dyDescent="0.25">
      <c r="A19" s="228"/>
      <c r="B19" s="14"/>
      <c r="C19" s="32"/>
      <c r="D19" s="32"/>
      <c r="E19" s="32"/>
      <c r="F19" s="32"/>
      <c r="G19" s="32"/>
      <c r="H19" s="32"/>
      <c r="I19" s="32"/>
      <c r="J19" s="32"/>
      <c r="K19" s="13"/>
      <c r="L19" s="13"/>
      <c r="M19" s="13"/>
      <c r="N19" s="3"/>
      <c r="O19" s="201">
        <v>185483.66666666666</v>
      </c>
      <c r="P19" s="13"/>
      <c r="Q19" s="13"/>
      <c r="R19" s="32"/>
      <c r="S19" s="32"/>
      <c r="T19" s="32"/>
      <c r="U19" s="32"/>
      <c r="V19" s="32"/>
      <c r="W19" s="32"/>
      <c r="X19" s="32"/>
      <c r="Y19" s="32"/>
      <c r="Z19" s="32"/>
      <c r="AA19" s="32"/>
      <c r="AB19" s="32"/>
      <c r="AC19" s="32"/>
      <c r="AD19" s="32"/>
      <c r="AE19" s="32"/>
      <c r="AF19" s="32"/>
      <c r="AG19" s="32"/>
      <c r="AH19" s="32"/>
      <c r="AI19" s="32"/>
      <c r="AJ19" s="32"/>
      <c r="AK19" s="32"/>
    </row>
    <row r="20" spans="1:37" ht="16.5" x14ac:dyDescent="0.25">
      <c r="A20" s="228"/>
      <c r="B20" s="14"/>
      <c r="C20" s="16"/>
      <c r="D20" s="16"/>
      <c r="E20" s="16"/>
      <c r="F20" s="16"/>
      <c r="G20" s="16"/>
      <c r="H20" s="16"/>
      <c r="I20" s="32"/>
      <c r="J20" s="16"/>
      <c r="K20" s="13"/>
      <c r="L20" s="13"/>
      <c r="M20" s="13"/>
      <c r="N20" s="3"/>
      <c r="O20" s="201">
        <v>693533.33333333337</v>
      </c>
      <c r="P20" s="13"/>
      <c r="Q20" s="13"/>
      <c r="R20" s="4"/>
      <c r="S20" s="32"/>
      <c r="T20" s="32"/>
      <c r="U20" s="32"/>
      <c r="V20" s="32"/>
      <c r="W20" s="32"/>
      <c r="X20" s="32"/>
      <c r="Y20" s="32"/>
      <c r="Z20" s="32"/>
      <c r="AA20" s="32"/>
      <c r="AB20" s="32"/>
      <c r="AC20" s="32"/>
      <c r="AD20" s="32"/>
      <c r="AE20" s="4"/>
      <c r="AF20" s="32"/>
      <c r="AG20" s="32"/>
      <c r="AH20" s="32"/>
      <c r="AI20" s="32"/>
      <c r="AJ20" s="32"/>
      <c r="AK20" s="32"/>
    </row>
    <row r="21" spans="1:37" s="1" customFormat="1" ht="16.5" x14ac:dyDescent="0.25">
      <c r="A21" s="69"/>
      <c r="B21" s="70"/>
      <c r="C21" s="7"/>
      <c r="D21" s="7"/>
      <c r="E21" s="7"/>
      <c r="F21" s="7"/>
      <c r="G21" s="7"/>
      <c r="H21" s="7"/>
      <c r="I21" s="7"/>
      <c r="J21" s="7"/>
      <c r="K21" s="33"/>
      <c r="L21" s="33"/>
      <c r="M21" s="33"/>
      <c r="N21" s="3"/>
      <c r="O21" s="7"/>
      <c r="P21" s="33"/>
      <c r="Q21" s="33"/>
      <c r="R21" s="7"/>
      <c r="S21" s="7"/>
      <c r="T21" s="7"/>
      <c r="U21" s="7"/>
      <c r="V21" s="7"/>
      <c r="W21" s="7"/>
      <c r="X21" s="7"/>
      <c r="Y21" s="7"/>
      <c r="Z21" s="7"/>
      <c r="AA21" s="7"/>
      <c r="AB21" s="7"/>
      <c r="AC21" s="7"/>
      <c r="AD21" s="7"/>
      <c r="AE21" s="7"/>
      <c r="AF21" s="7"/>
      <c r="AG21" s="7"/>
      <c r="AH21" s="7"/>
      <c r="AI21" s="7"/>
      <c r="AJ21" s="7"/>
      <c r="AK21" s="7"/>
    </row>
    <row r="22" spans="1:37" s="72" customFormat="1" x14ac:dyDescent="0.25">
      <c r="A22" s="71" t="str">
        <f t="shared" ref="A22:M22" si="0">A4</f>
        <v>Noms des groupes</v>
      </c>
      <c r="B22" s="71" t="str">
        <f t="shared" si="0"/>
        <v>Témoin solvant</v>
      </c>
      <c r="C22" s="71" t="str">
        <f t="shared" si="0"/>
        <v>EE2-33.8ng/L</v>
      </c>
      <c r="D22" s="71" t="str">
        <f t="shared" si="0"/>
        <v>EE2-50.6ng/L</v>
      </c>
      <c r="E22" s="71" t="str">
        <f t="shared" si="0"/>
        <v>EE2-76ng/L</v>
      </c>
      <c r="F22" s="71" t="str">
        <f t="shared" si="0"/>
        <v>EE2-114ng/L</v>
      </c>
      <c r="G22" s="71" t="str">
        <f t="shared" si="0"/>
        <v>EE2-170.9ng/L</v>
      </c>
      <c r="H22" s="71" t="str">
        <f t="shared" si="0"/>
        <v>EE2-488ng/L</v>
      </c>
      <c r="I22" s="71" t="str">
        <f t="shared" si="0"/>
        <v>estradiol 34ng/L</v>
      </c>
      <c r="J22" s="71" t="str">
        <f t="shared" si="0"/>
        <v>estradiol 68ng/L</v>
      </c>
      <c r="K22" s="71" t="str">
        <f t="shared" si="0"/>
        <v>estradiol 135ng/L</v>
      </c>
      <c r="L22" s="71" t="str">
        <f t="shared" si="0"/>
        <v>estradiol 270ng/L</v>
      </c>
      <c r="M22" s="71" t="str">
        <f t="shared" si="0"/>
        <v>estradiol 540ng/L</v>
      </c>
      <c r="N22" s="71" t="s">
        <v>47</v>
      </c>
      <c r="O22" s="71" t="str">
        <f t="shared" ref="O22:AE22" si="1">O4</f>
        <v>Testo -30µg/L</v>
      </c>
      <c r="P22" s="71" t="str">
        <f t="shared" si="1"/>
        <v>Testo 30µg/L + EE2 -64ng/L</v>
      </c>
      <c r="Q22" s="71" t="str">
        <f t="shared" si="1"/>
        <v>Testo 30µg/L + FAD-10mg/L</v>
      </c>
      <c r="R22" s="71" t="str">
        <f t="shared" si="1"/>
        <v>estradiol-34ng/L + Testostérone</v>
      </c>
      <c r="S22" s="71" t="str">
        <f t="shared" si="1"/>
        <v>estradiol-68ng/L + Testostérone</v>
      </c>
      <c r="T22" s="71" t="str">
        <f t="shared" si="1"/>
        <v>estradiol-135ng/L + Testostérone</v>
      </c>
      <c r="U22" s="71" t="str">
        <f t="shared" si="1"/>
        <v>estradiol-270ng/L + Testostérone</v>
      </c>
      <c r="V22" s="71" t="str">
        <f t="shared" si="1"/>
        <v>estradiol-540ng/L + Testostérone</v>
      </c>
      <c r="W22" s="71" t="str">
        <f t="shared" si="1"/>
        <v>0-00 + Testostérone</v>
      </c>
      <c r="X22" s="71" t="str">
        <f t="shared" si="1"/>
        <v>0-00 + Testostérone</v>
      </c>
      <c r="Y22" s="71" t="str">
        <f t="shared" si="1"/>
        <v>0-00 + Testostérone</v>
      </c>
      <c r="Z22" s="71" t="str">
        <f t="shared" si="1"/>
        <v>0-00 + Testostérone</v>
      </c>
      <c r="AA22" s="71" t="str">
        <f t="shared" si="1"/>
        <v>0-00 + Testostérone</v>
      </c>
      <c r="AB22" s="71" t="str">
        <f t="shared" si="1"/>
        <v>0-00 + Testostérone</v>
      </c>
      <c r="AC22" s="71" t="str">
        <f t="shared" si="1"/>
        <v>0-00 + Testostérone</v>
      </c>
      <c r="AD22" s="71" t="str">
        <f t="shared" si="1"/>
        <v>0-00 + Testostérone</v>
      </c>
      <c r="AE22" s="71" t="str">
        <f t="shared" si="1"/>
        <v>0-00 + Testostérone</v>
      </c>
      <c r="AF22" s="71" t="str">
        <f t="shared" ref="AF22:AK22" si="2">AF4</f>
        <v>0-00 + Testostérone</v>
      </c>
      <c r="AG22" s="71" t="str">
        <f t="shared" si="2"/>
        <v>0-00 + Testostérone</v>
      </c>
      <c r="AH22" s="71" t="str">
        <f t="shared" si="2"/>
        <v>0-00 + Testostérone</v>
      </c>
      <c r="AI22" s="71" t="str">
        <f t="shared" si="2"/>
        <v>0-00 + Testostérone</v>
      </c>
      <c r="AJ22" s="71" t="str">
        <f t="shared" si="2"/>
        <v>0-00 + Testostérone</v>
      </c>
      <c r="AK22" s="71" t="str">
        <f t="shared" si="2"/>
        <v>0-00 + Testostérone</v>
      </c>
    </row>
    <row r="23" spans="1:37" x14ac:dyDescent="0.25">
      <c r="A23" s="5" t="s">
        <v>0</v>
      </c>
      <c r="B23" s="5">
        <f t="shared" ref="B23:M23" si="3">AVERAGE(B5:B20)</f>
        <v>208579.83333333331</v>
      </c>
      <c r="C23" s="5">
        <f t="shared" si="3"/>
        <v>202581.52380952379</v>
      </c>
      <c r="D23" s="5">
        <f t="shared" si="3"/>
        <v>214889.41666666666</v>
      </c>
      <c r="E23" s="5">
        <f t="shared" si="3"/>
        <v>1154826.2708333335</v>
      </c>
      <c r="F23" s="5">
        <f t="shared" si="3"/>
        <v>2431935.625</v>
      </c>
      <c r="G23" s="5">
        <f t="shared" si="3"/>
        <v>2822690.5</v>
      </c>
      <c r="H23" s="5">
        <f t="shared" si="3"/>
        <v>4344081.375</v>
      </c>
      <c r="I23" s="5">
        <f t="shared" si="3"/>
        <v>197290.74999999997</v>
      </c>
      <c r="J23" s="5">
        <f t="shared" si="3"/>
        <v>214509.89583333334</v>
      </c>
      <c r="K23" s="5">
        <f t="shared" si="3"/>
        <v>1195545.1875</v>
      </c>
      <c r="L23" s="5">
        <f t="shared" si="3"/>
        <v>1526199.1666666667</v>
      </c>
      <c r="M23" s="5">
        <f t="shared" si="3"/>
        <v>3954119.6666666665</v>
      </c>
      <c r="N23" s="5" t="s">
        <v>0</v>
      </c>
      <c r="O23" s="5">
        <f t="shared" ref="O23:AE23" si="4">AVERAGE(O5:O20)</f>
        <v>726476.01111111115</v>
      </c>
      <c r="P23" s="5">
        <f t="shared" si="4"/>
        <v>3573872.333333333</v>
      </c>
      <c r="Q23" s="5">
        <f t="shared" si="4"/>
        <v>114841.56249999999</v>
      </c>
      <c r="R23" s="5">
        <f t="shared" si="4"/>
        <v>1537217.9999999998</v>
      </c>
      <c r="S23" s="5">
        <f t="shared" si="4"/>
        <v>2377534.9375</v>
      </c>
      <c r="T23" s="5">
        <f t="shared" si="4"/>
        <v>2462329.2500000005</v>
      </c>
      <c r="U23" s="5">
        <f t="shared" si="4"/>
        <v>3539976.416666667</v>
      </c>
      <c r="V23" s="5">
        <f t="shared" si="4"/>
        <v>3825657.4375</v>
      </c>
      <c r="W23" s="5" t="e">
        <f t="shared" si="4"/>
        <v>#DIV/0!</v>
      </c>
      <c r="X23" s="5" t="e">
        <f t="shared" si="4"/>
        <v>#DIV/0!</v>
      </c>
      <c r="Y23" s="5" t="e">
        <f t="shared" si="4"/>
        <v>#DIV/0!</v>
      </c>
      <c r="Z23" s="5" t="e">
        <f t="shared" si="4"/>
        <v>#DIV/0!</v>
      </c>
      <c r="AA23" s="5" t="e">
        <f t="shared" si="4"/>
        <v>#DIV/0!</v>
      </c>
      <c r="AB23" s="5" t="e">
        <f t="shared" si="4"/>
        <v>#DIV/0!</v>
      </c>
      <c r="AC23" s="5" t="e">
        <f t="shared" si="4"/>
        <v>#DIV/0!</v>
      </c>
      <c r="AD23" s="5" t="e">
        <f t="shared" si="4"/>
        <v>#DIV/0!</v>
      </c>
      <c r="AE23" s="5" t="e">
        <f t="shared" si="4"/>
        <v>#DIV/0!</v>
      </c>
      <c r="AF23" s="5" t="e">
        <f t="shared" ref="AF23:AK23" si="5">AVERAGE(AF5:AF20)</f>
        <v>#DIV/0!</v>
      </c>
      <c r="AG23" s="5" t="e">
        <f t="shared" si="5"/>
        <v>#DIV/0!</v>
      </c>
      <c r="AH23" s="5" t="e">
        <f t="shared" si="5"/>
        <v>#DIV/0!</v>
      </c>
      <c r="AI23" s="5" t="e">
        <f t="shared" si="5"/>
        <v>#DIV/0!</v>
      </c>
      <c r="AJ23" s="5" t="e">
        <f t="shared" si="5"/>
        <v>#DIV/0!</v>
      </c>
      <c r="AK23" s="5" t="e">
        <f t="shared" si="5"/>
        <v>#DIV/0!</v>
      </c>
    </row>
    <row r="24" spans="1:37" x14ac:dyDescent="0.25">
      <c r="A24" s="3" t="s">
        <v>1</v>
      </c>
      <c r="B24" s="3">
        <f t="shared" ref="B24:M24" si="6">STDEV(B5:B20)</f>
        <v>110768.82365682808</v>
      </c>
      <c r="C24" s="3">
        <f t="shared" si="6"/>
        <v>168306.28057864311</v>
      </c>
      <c r="D24" s="3">
        <f t="shared" si="6"/>
        <v>185854.06762114572</v>
      </c>
      <c r="E24" s="3">
        <f t="shared" si="6"/>
        <v>1007280.5110299048</v>
      </c>
      <c r="F24" s="3">
        <f t="shared" si="6"/>
        <v>593817.45672061597</v>
      </c>
      <c r="G24" s="3">
        <f t="shared" si="6"/>
        <v>1430455.654622599</v>
      </c>
      <c r="H24" s="3">
        <f t="shared" si="6"/>
        <v>560389.7283483994</v>
      </c>
      <c r="I24" s="3">
        <f t="shared" si="6"/>
        <v>77956.479848522082</v>
      </c>
      <c r="J24" s="3">
        <f t="shared" si="6"/>
        <v>66903.679599435593</v>
      </c>
      <c r="K24" s="3">
        <f t="shared" si="6"/>
        <v>1025957.296872634</v>
      </c>
      <c r="L24" s="3">
        <f t="shared" si="6"/>
        <v>1159636.9933916579</v>
      </c>
      <c r="M24" s="3">
        <f t="shared" si="6"/>
        <v>644646.15675068658</v>
      </c>
      <c r="N24" s="3" t="s">
        <v>1</v>
      </c>
      <c r="O24" s="3">
        <f t="shared" ref="O24:AE24" si="7">STDEV(O5:O20)</f>
        <v>702133.26603655564</v>
      </c>
      <c r="P24" s="3">
        <f t="shared" si="7"/>
        <v>931075.39923240442</v>
      </c>
      <c r="Q24" s="3">
        <f t="shared" si="7"/>
        <v>84457.40898072593</v>
      </c>
      <c r="R24" s="3">
        <f t="shared" si="7"/>
        <v>1369085.3631386745</v>
      </c>
      <c r="S24" s="3">
        <f t="shared" si="7"/>
        <v>903580.86308317911</v>
      </c>
      <c r="T24" s="3">
        <f t="shared" si="7"/>
        <v>1018072.7742695096</v>
      </c>
      <c r="U24" s="3">
        <f t="shared" si="7"/>
        <v>1149002.5133237832</v>
      </c>
      <c r="V24" s="3">
        <f t="shared" si="7"/>
        <v>1579014.7022017734</v>
      </c>
      <c r="W24" s="3" t="e">
        <f t="shared" si="7"/>
        <v>#DIV/0!</v>
      </c>
      <c r="X24" s="3" t="e">
        <f t="shared" si="7"/>
        <v>#DIV/0!</v>
      </c>
      <c r="Y24" s="3" t="e">
        <f t="shared" si="7"/>
        <v>#DIV/0!</v>
      </c>
      <c r="Z24" s="3" t="e">
        <f t="shared" si="7"/>
        <v>#DIV/0!</v>
      </c>
      <c r="AA24" s="3" t="e">
        <f t="shared" si="7"/>
        <v>#DIV/0!</v>
      </c>
      <c r="AB24" s="3" t="e">
        <f t="shared" si="7"/>
        <v>#DIV/0!</v>
      </c>
      <c r="AC24" s="3" t="e">
        <f t="shared" si="7"/>
        <v>#DIV/0!</v>
      </c>
      <c r="AD24" s="3" t="e">
        <f t="shared" si="7"/>
        <v>#DIV/0!</v>
      </c>
      <c r="AE24" s="3" t="e">
        <f t="shared" si="7"/>
        <v>#DIV/0!</v>
      </c>
      <c r="AF24" s="3" t="e">
        <f t="shared" ref="AF24:AK24" si="8">STDEV(AF5:AF20)</f>
        <v>#DIV/0!</v>
      </c>
      <c r="AG24" s="3" t="e">
        <f t="shared" si="8"/>
        <v>#DIV/0!</v>
      </c>
      <c r="AH24" s="3" t="e">
        <f t="shared" si="8"/>
        <v>#DIV/0!</v>
      </c>
      <c r="AI24" s="3" t="e">
        <f t="shared" si="8"/>
        <v>#DIV/0!</v>
      </c>
      <c r="AJ24" s="3" t="e">
        <f t="shared" si="8"/>
        <v>#DIV/0!</v>
      </c>
      <c r="AK24" s="3" t="e">
        <f t="shared" si="8"/>
        <v>#DIV/0!</v>
      </c>
    </row>
    <row r="25" spans="1:37" ht="15.75" thickBot="1" x14ac:dyDescent="0.3"/>
    <row r="26" spans="1:37" ht="15.75" thickBot="1" x14ac:dyDescent="0.3">
      <c r="B26" s="231" t="s">
        <v>6</v>
      </c>
      <c r="C26" s="232"/>
      <c r="D26" s="232"/>
      <c r="E26" s="232"/>
      <c r="F26" s="232"/>
      <c r="G26" s="232"/>
      <c r="H26" s="232"/>
      <c r="I26" s="232"/>
      <c r="J26" s="232"/>
      <c r="K26" s="232"/>
      <c r="L26" s="232"/>
      <c r="M26" s="232"/>
      <c r="N26" s="1"/>
      <c r="O26" s="231" t="s">
        <v>3</v>
      </c>
      <c r="P26" s="232"/>
      <c r="Q26" s="232"/>
      <c r="R26" s="232"/>
      <c r="S26" s="232"/>
      <c r="T26" s="232"/>
      <c r="U26" s="232"/>
      <c r="V26" s="232"/>
      <c r="W26" s="232"/>
      <c r="X26" s="232"/>
      <c r="Y26" s="232"/>
      <c r="Z26" s="232"/>
      <c r="AA26" s="232"/>
      <c r="AB26" s="232"/>
      <c r="AC26" s="232"/>
      <c r="AD26" s="232"/>
      <c r="AE26" s="232"/>
      <c r="AF26" s="232"/>
      <c r="AG26" s="232"/>
      <c r="AH26" s="232"/>
      <c r="AI26" s="232"/>
      <c r="AJ26" s="232"/>
      <c r="AK26" s="233"/>
    </row>
    <row r="27" spans="1:37" s="1" customFormat="1" x14ac:dyDescent="0.25">
      <c r="A27" s="34" t="s">
        <v>41</v>
      </c>
      <c r="B27" s="35" t="str">
        <f t="shared" ref="B27:M27" si="9">B4</f>
        <v>Témoin solvant</v>
      </c>
      <c r="C27" s="35" t="str">
        <f t="shared" si="9"/>
        <v>EE2-33.8ng/L</v>
      </c>
      <c r="D27" s="35" t="str">
        <f t="shared" si="9"/>
        <v>EE2-50.6ng/L</v>
      </c>
      <c r="E27" s="35" t="str">
        <f t="shared" si="9"/>
        <v>EE2-76ng/L</v>
      </c>
      <c r="F27" s="35" t="str">
        <f t="shared" si="9"/>
        <v>EE2-114ng/L</v>
      </c>
      <c r="G27" s="35" t="str">
        <f t="shared" si="9"/>
        <v>EE2-170.9ng/L</v>
      </c>
      <c r="H27" s="35" t="str">
        <f t="shared" si="9"/>
        <v>EE2-488ng/L</v>
      </c>
      <c r="I27" s="35" t="str">
        <f t="shared" si="9"/>
        <v>estradiol 34ng/L</v>
      </c>
      <c r="J27" s="35" t="str">
        <f t="shared" si="9"/>
        <v>estradiol 68ng/L</v>
      </c>
      <c r="K27" s="35" t="str">
        <f t="shared" si="9"/>
        <v>estradiol 135ng/L</v>
      </c>
      <c r="L27" s="35" t="str">
        <f t="shared" si="9"/>
        <v>estradiol 270ng/L</v>
      </c>
      <c r="M27" s="35" t="str">
        <f t="shared" si="9"/>
        <v>estradiol 540ng/L</v>
      </c>
      <c r="N27" s="3"/>
      <c r="O27" s="36" t="str">
        <f t="shared" ref="O27:AD27" si="10">O4</f>
        <v>Testo -30µg/L</v>
      </c>
      <c r="P27" s="36" t="str">
        <f t="shared" si="10"/>
        <v>Testo 30µg/L + EE2 -64ng/L</v>
      </c>
      <c r="Q27" s="36" t="str">
        <f t="shared" si="10"/>
        <v>Testo 30µg/L + FAD-10mg/L</v>
      </c>
      <c r="R27" s="36" t="str">
        <f t="shared" si="10"/>
        <v>estradiol-34ng/L + Testostérone</v>
      </c>
      <c r="S27" s="36" t="str">
        <f t="shared" si="10"/>
        <v>estradiol-68ng/L + Testostérone</v>
      </c>
      <c r="T27" s="36" t="str">
        <f t="shared" si="10"/>
        <v>estradiol-135ng/L + Testostérone</v>
      </c>
      <c r="U27" s="36" t="str">
        <f t="shared" si="10"/>
        <v>estradiol-270ng/L + Testostérone</v>
      </c>
      <c r="V27" s="36" t="str">
        <f t="shared" si="10"/>
        <v>estradiol-540ng/L + Testostérone</v>
      </c>
      <c r="W27" s="36" t="str">
        <f t="shared" si="10"/>
        <v>0-00 + Testostérone</v>
      </c>
      <c r="X27" s="36" t="str">
        <f t="shared" si="10"/>
        <v>0-00 + Testostérone</v>
      </c>
      <c r="Y27" s="36" t="str">
        <f t="shared" si="10"/>
        <v>0-00 + Testostérone</v>
      </c>
      <c r="Z27" s="36" t="str">
        <f t="shared" si="10"/>
        <v>0-00 + Testostérone</v>
      </c>
      <c r="AA27" s="36" t="str">
        <f t="shared" si="10"/>
        <v>0-00 + Testostérone</v>
      </c>
      <c r="AB27" s="36" t="str">
        <f t="shared" si="10"/>
        <v>0-00 + Testostérone</v>
      </c>
      <c r="AC27" s="36" t="str">
        <f t="shared" si="10"/>
        <v>0-00 + Testostérone</v>
      </c>
      <c r="AD27" s="36" t="str">
        <f t="shared" si="10"/>
        <v>0-00 + Testostérone</v>
      </c>
      <c r="AE27" s="36" t="str">
        <f t="shared" ref="AE27:AK27" si="11">AE4</f>
        <v>0-00 + Testostérone</v>
      </c>
      <c r="AF27" s="36" t="str">
        <f t="shared" si="11"/>
        <v>0-00 + Testostérone</v>
      </c>
      <c r="AG27" s="36" t="str">
        <f t="shared" si="11"/>
        <v>0-00 + Testostérone</v>
      </c>
      <c r="AH27" s="36" t="str">
        <f t="shared" si="11"/>
        <v>0-00 + Testostérone</v>
      </c>
      <c r="AI27" s="36" t="str">
        <f t="shared" si="11"/>
        <v>0-00 + Testostérone</v>
      </c>
      <c r="AJ27" s="36" t="str">
        <f t="shared" si="11"/>
        <v>0-00 + Testostérone</v>
      </c>
      <c r="AK27" s="36" t="str">
        <f t="shared" si="11"/>
        <v>0-00 + Testostérone</v>
      </c>
    </row>
    <row r="28" spans="1:37" x14ac:dyDescent="0.25">
      <c r="A28" s="229" t="s">
        <v>34</v>
      </c>
      <c r="B28" s="11">
        <f>IF(B5="","",(B5/$O$23))</f>
        <v>0.28883449711217046</v>
      </c>
      <c r="C28" s="11">
        <f>IF(C5="","",(C5/$O$23))</f>
        <v>0.34313222944839611</v>
      </c>
      <c r="D28" s="11">
        <f>IF(D5="","",(D5/$O$23))</f>
        <v>0.20867401586296927</v>
      </c>
      <c r="E28" s="11">
        <f>IF(E5="","",(E5/$O$23))</f>
        <v>0.79232806662530919</v>
      </c>
      <c r="F28" s="11">
        <f>IF(F5="","",(F5/$O$23))</f>
        <v>3.9109972293801056</v>
      </c>
      <c r="G28" s="11">
        <f>IF(G5="","",(G5/$O$23))</f>
        <v>4.2083867233606442</v>
      </c>
      <c r="H28" s="11">
        <f>IF(H5="","",(H5/$O$23))</f>
        <v>5.7100040972523658</v>
      </c>
      <c r="I28" s="11">
        <f>IF(I5="","",(I5/$O$23))</f>
        <v>0.37630974157271629</v>
      </c>
      <c r="J28" s="11">
        <f>IF(J5="","",(J5/$O$23))</f>
        <v>0.18564870865736777</v>
      </c>
      <c r="K28" s="11">
        <f>IF(K5="","",(K5/$O$23))</f>
        <v>0.73096471901549831</v>
      </c>
      <c r="L28" s="11">
        <f>IF(L5="","",(L5/$O$23))</f>
        <v>3.62714431451518</v>
      </c>
      <c r="M28" s="11">
        <f>IF(M5="","",(M5/$O$23))</f>
        <v>4.74351978678932</v>
      </c>
      <c r="N28" s="6"/>
      <c r="O28" s="11">
        <f t="shared" ref="O28:AK28" si="12">IF(O5="","",(O5/$O$23))</f>
        <v>2.3276597907392858</v>
      </c>
      <c r="P28" s="11">
        <f t="shared" si="12"/>
        <v>7.0241167709430057</v>
      </c>
      <c r="Q28" s="11">
        <f t="shared" si="12"/>
        <v>6.9075003944842353E-2</v>
      </c>
      <c r="R28" s="11">
        <f t="shared" si="12"/>
        <v>4.857870431173219</v>
      </c>
      <c r="S28" s="11">
        <f t="shared" si="12"/>
        <v>3.9896192335845422</v>
      </c>
      <c r="T28" s="11">
        <f t="shared" si="12"/>
        <v>5.0371780265712216</v>
      </c>
      <c r="U28" s="11">
        <f t="shared" si="12"/>
        <v>6.465800101895236</v>
      </c>
      <c r="V28" s="11">
        <f t="shared" si="12"/>
        <v>8.4643418905581047</v>
      </c>
      <c r="W28" s="11" t="str">
        <f t="shared" si="12"/>
        <v/>
      </c>
      <c r="X28" s="11" t="str">
        <f t="shared" si="12"/>
        <v/>
      </c>
      <c r="Y28" s="11" t="str">
        <f t="shared" si="12"/>
        <v/>
      </c>
      <c r="Z28" s="11" t="str">
        <f t="shared" si="12"/>
        <v/>
      </c>
      <c r="AA28" s="11" t="str">
        <f t="shared" si="12"/>
        <v/>
      </c>
      <c r="AB28" s="11" t="str">
        <f t="shared" si="12"/>
        <v/>
      </c>
      <c r="AC28" s="11" t="str">
        <f t="shared" si="12"/>
        <v/>
      </c>
      <c r="AD28" s="11" t="str">
        <f t="shared" si="12"/>
        <v/>
      </c>
      <c r="AE28" s="11" t="str">
        <f t="shared" si="12"/>
        <v/>
      </c>
      <c r="AF28" s="11" t="str">
        <f t="shared" si="12"/>
        <v/>
      </c>
      <c r="AG28" s="11" t="str">
        <f t="shared" si="12"/>
        <v/>
      </c>
      <c r="AH28" s="11" t="str">
        <f t="shared" si="12"/>
        <v/>
      </c>
      <c r="AI28" s="11" t="str">
        <f t="shared" si="12"/>
        <v/>
      </c>
      <c r="AJ28" s="11" t="str">
        <f t="shared" si="12"/>
        <v/>
      </c>
      <c r="AK28" s="11" t="str">
        <f t="shared" si="12"/>
        <v/>
      </c>
    </row>
    <row r="29" spans="1:37" x14ac:dyDescent="0.25">
      <c r="A29" s="230"/>
      <c r="B29" s="11">
        <f>IF(B6="","",(B6/$O$23))</f>
        <v>0.29836268509653779</v>
      </c>
      <c r="C29" s="11">
        <f>IF(C6="","",(C6/$O$23))</f>
        <v>5.3731987571479185E-2</v>
      </c>
      <c r="D29" s="11">
        <f>IF(D6="","",(D6/$O$23))</f>
        <v>0.13499413401139909</v>
      </c>
      <c r="E29" s="11">
        <f>IF(E6="","",(E6/$O$23))</f>
        <v>2.5293367873078503</v>
      </c>
      <c r="F29" s="11">
        <f>IF(F6="","",(F6/$O$23))</f>
        <v>2.2373360925078187</v>
      </c>
      <c r="G29" s="11">
        <f>IF(G6="","",(G6/$O$23))</f>
        <v>0.63045899152653828</v>
      </c>
      <c r="H29" s="11">
        <f>IF(H6="","",(H6/$O$23))</f>
        <v>5.1668225918785016</v>
      </c>
      <c r="I29" s="11">
        <f>IF(I6="","",(I6/$O$23))</f>
        <v>0.16804317206099989</v>
      </c>
      <c r="J29" s="11">
        <f>IF(J6="","",(J6/$O$23))</f>
        <v>0.22991261575800903</v>
      </c>
      <c r="K29" s="11">
        <f>IF(K6="","",(K6/$O$23))</f>
        <v>3.4649861727482905</v>
      </c>
      <c r="L29" s="11">
        <f>IF(L6="","",(L6/$O$23))</f>
        <v>2.8001791785095418</v>
      </c>
      <c r="M29" s="11">
        <f>IF(M6="","",(M6/$O$23))</f>
        <v>5.6392520477964547</v>
      </c>
      <c r="N29" s="6"/>
      <c r="O29" s="11">
        <f t="shared" ref="O29:AK29" si="13">IF(O6="","",(O6/$O$23))</f>
        <v>9.9692211294397551E-2</v>
      </c>
      <c r="P29" s="11">
        <f t="shared" si="13"/>
        <v>5.6731141432046366</v>
      </c>
      <c r="Q29" s="11">
        <f t="shared" si="13"/>
        <v>0.183157688115755</v>
      </c>
      <c r="R29" s="11">
        <f t="shared" si="13"/>
        <v>3.9592892575591807</v>
      </c>
      <c r="S29" s="11">
        <f t="shared" si="13"/>
        <v>2.3757935205048675</v>
      </c>
      <c r="T29" s="11">
        <f t="shared" si="13"/>
        <v>1.0035527517074396</v>
      </c>
      <c r="U29" s="11">
        <f t="shared" si="13"/>
        <v>4.4021242515295409</v>
      </c>
      <c r="V29" s="11">
        <f t="shared" si="13"/>
        <v>6.96749778737819</v>
      </c>
      <c r="W29" s="11" t="str">
        <f t="shared" si="13"/>
        <v/>
      </c>
      <c r="X29" s="11" t="str">
        <f t="shared" si="13"/>
        <v/>
      </c>
      <c r="Y29" s="11" t="str">
        <f t="shared" si="13"/>
        <v/>
      </c>
      <c r="Z29" s="11" t="str">
        <f t="shared" si="13"/>
        <v/>
      </c>
      <c r="AA29" s="11" t="str">
        <f t="shared" si="13"/>
        <v/>
      </c>
      <c r="AB29" s="11" t="str">
        <f t="shared" si="13"/>
        <v/>
      </c>
      <c r="AC29" s="11" t="str">
        <f t="shared" si="13"/>
        <v/>
      </c>
      <c r="AD29" s="11" t="str">
        <f t="shared" si="13"/>
        <v/>
      </c>
      <c r="AE29" s="11" t="str">
        <f t="shared" si="13"/>
        <v/>
      </c>
      <c r="AF29" s="11" t="str">
        <f t="shared" si="13"/>
        <v/>
      </c>
      <c r="AG29" s="11" t="str">
        <f t="shared" si="13"/>
        <v/>
      </c>
      <c r="AH29" s="11" t="str">
        <f t="shared" si="13"/>
        <v/>
      </c>
      <c r="AI29" s="11" t="str">
        <f t="shared" si="13"/>
        <v/>
      </c>
      <c r="AJ29" s="11" t="str">
        <f t="shared" si="13"/>
        <v/>
      </c>
      <c r="AK29" s="11" t="str">
        <f t="shared" si="13"/>
        <v/>
      </c>
    </row>
    <row r="30" spans="1:37" x14ac:dyDescent="0.25">
      <c r="A30" s="230"/>
      <c r="B30" s="11">
        <f>IF(B7="","",(B7/$O$23))</f>
        <v>0.57688576120453372</v>
      </c>
      <c r="C30" s="11">
        <f>IF(C7="","",(C7/$O$23))</f>
        <v>0.2181521907253923</v>
      </c>
      <c r="D30" s="11">
        <f>IF(D7="","",(D7/$O$23))</f>
        <v>0.27663771906148893</v>
      </c>
      <c r="E30" s="11">
        <f>IF(E7="","",(E7/$O$23))</f>
        <v>0.38998626566257655</v>
      </c>
      <c r="F30" s="11">
        <f>IF(F7="","",(F7/$O$23))</f>
        <v>3.9713281960323501</v>
      </c>
      <c r="G30" s="11">
        <f>IF(G7="","",(G7/$O$23))</f>
        <v>4.3719881337062114</v>
      </c>
      <c r="H30" s="11">
        <f>IF(H7="","",(H7/$O$23))</f>
        <v>7.1525711157152063</v>
      </c>
      <c r="I30" s="11">
        <f>IF(I7="","",(I7/$O$23))</f>
        <v>0.33082578959822195</v>
      </c>
      <c r="J30" s="11">
        <f>IF(J7="","",(J7/$O$23))</f>
        <v>0.42305503365936631</v>
      </c>
      <c r="K30" s="11">
        <f>IF(K7="","",(K7/$O$23))</f>
        <v>2.7790594171336176</v>
      </c>
      <c r="L30" s="11">
        <f>IF(L7="","",(L7/$O$23))</f>
        <v>3.2804189404984707</v>
      </c>
      <c r="M30" s="11">
        <f>IF(M7="","",(M7/$O$23))</f>
        <v>6.2066697285301506</v>
      </c>
      <c r="N30" s="6"/>
      <c r="O30" s="11">
        <f t="shared" ref="O30:AK30" si="14">IF(O7="","",(O7/$O$23))</f>
        <v>2.0381898057932353</v>
      </c>
      <c r="P30" s="11">
        <f t="shared" si="14"/>
        <v>5.4581687571514363</v>
      </c>
      <c r="Q30" s="11">
        <f t="shared" si="14"/>
        <v>0.12077687171776459</v>
      </c>
      <c r="R30" s="11">
        <f t="shared" si="14"/>
        <v>1.2376242567985076</v>
      </c>
      <c r="S30" s="11">
        <f t="shared" si="14"/>
        <v>2.8536321938044873</v>
      </c>
      <c r="T30" s="11">
        <f t="shared" si="14"/>
        <v>2.6889146649347953</v>
      </c>
      <c r="U30" s="11">
        <f t="shared" si="14"/>
        <v>3.8083464436793135</v>
      </c>
      <c r="V30" s="11">
        <f t="shared" si="14"/>
        <v>1.6888747614989688</v>
      </c>
      <c r="W30" s="11" t="str">
        <f t="shared" si="14"/>
        <v/>
      </c>
      <c r="X30" s="11" t="str">
        <f t="shared" si="14"/>
        <v/>
      </c>
      <c r="Y30" s="11" t="str">
        <f t="shared" si="14"/>
        <v/>
      </c>
      <c r="Z30" s="11" t="str">
        <f t="shared" si="14"/>
        <v/>
      </c>
      <c r="AA30" s="11" t="str">
        <f t="shared" si="14"/>
        <v/>
      </c>
      <c r="AB30" s="11" t="str">
        <f t="shared" si="14"/>
        <v/>
      </c>
      <c r="AC30" s="11" t="str">
        <f t="shared" si="14"/>
        <v/>
      </c>
      <c r="AD30" s="11" t="str">
        <f t="shared" si="14"/>
        <v/>
      </c>
      <c r="AE30" s="11" t="str">
        <f t="shared" si="14"/>
        <v/>
      </c>
      <c r="AF30" s="11" t="str">
        <f t="shared" si="14"/>
        <v/>
      </c>
      <c r="AG30" s="11" t="str">
        <f t="shared" si="14"/>
        <v/>
      </c>
      <c r="AH30" s="11" t="str">
        <f t="shared" si="14"/>
        <v/>
      </c>
      <c r="AI30" s="11" t="str">
        <f t="shared" si="14"/>
        <v/>
      </c>
      <c r="AJ30" s="11" t="str">
        <f t="shared" si="14"/>
        <v/>
      </c>
      <c r="AK30" s="11" t="str">
        <f t="shared" si="14"/>
        <v/>
      </c>
    </row>
    <row r="31" spans="1:37" x14ac:dyDescent="0.25">
      <c r="A31" s="230"/>
      <c r="B31" s="11">
        <f>IF(B8="","",(B8/$O$23))</f>
        <v>0.2941051460275334</v>
      </c>
      <c r="C31" s="11">
        <f>IF(C8="","",(C8/$O$23))</f>
        <v>0.23521217134018388</v>
      </c>
      <c r="D31" s="11">
        <f>IF(D8="","",(D8/$O$23))</f>
        <v>0.27045444537963714</v>
      </c>
      <c r="E31" s="11">
        <f>IF(E8="","",(E8/$O$23))</f>
        <v>3.7062026717376813</v>
      </c>
      <c r="F31" s="11">
        <f>IF(F8="","",(F8/$O$23))</f>
        <v>3.074364878087815</v>
      </c>
      <c r="G31" s="11">
        <f>IF(G8="","",(G8/$O$23))</f>
        <v>5.3896888634741336</v>
      </c>
      <c r="H31" s="11">
        <f>IF(H8="","",(H8/$O$23))</f>
        <v>5.8743651105647112</v>
      </c>
      <c r="I31" s="11">
        <f>IF(I8="","",(I8/$O$23))</f>
        <v>0.33728665904866384</v>
      </c>
      <c r="J31" s="11">
        <f>IF(J8="","",(J8/$O$23))</f>
        <v>0.3833368146238858</v>
      </c>
      <c r="K31" s="11">
        <f>IF(K8="","",(K8/$O$23))</f>
        <v>3.5820269724896168</v>
      </c>
      <c r="L31" s="11">
        <f>IF(L8="","",(L8/$O$23))</f>
        <v>0.34420407030034073</v>
      </c>
      <c r="M31" s="11">
        <f>IF(M8="","",(M8/$O$23))</f>
        <v>5.5253675807693945</v>
      </c>
      <c r="N31" s="6"/>
      <c r="O31" s="11">
        <f t="shared" ref="O31:AK31" si="15">IF(O8="","",(O8/$O$23))</f>
        <v>1.458704050501568</v>
      </c>
      <c r="P31" s="11">
        <f t="shared" si="15"/>
        <v>4.8032161832796465</v>
      </c>
      <c r="Q31" s="11">
        <f t="shared" si="15"/>
        <v>7.5734549375118157E-2</v>
      </c>
      <c r="R31" s="11" t="str">
        <f t="shared" si="15"/>
        <v/>
      </c>
      <c r="S31" s="11">
        <f t="shared" si="15"/>
        <v>1.2676309828751553</v>
      </c>
      <c r="T31" s="11">
        <f t="shared" si="15"/>
        <v>5.0038018384670675</v>
      </c>
      <c r="U31" s="11">
        <f t="shared" si="15"/>
        <v>6.5134479243567895</v>
      </c>
      <c r="V31" s="11">
        <f t="shared" si="15"/>
        <v>4.0591705092778083</v>
      </c>
      <c r="W31" s="11" t="str">
        <f t="shared" si="15"/>
        <v/>
      </c>
      <c r="X31" s="11" t="str">
        <f t="shared" si="15"/>
        <v/>
      </c>
      <c r="Y31" s="11" t="str">
        <f t="shared" si="15"/>
        <v/>
      </c>
      <c r="Z31" s="11" t="str">
        <f t="shared" si="15"/>
        <v/>
      </c>
      <c r="AA31" s="11" t="str">
        <f t="shared" si="15"/>
        <v/>
      </c>
      <c r="AB31" s="11" t="str">
        <f t="shared" si="15"/>
        <v/>
      </c>
      <c r="AC31" s="11" t="str">
        <f t="shared" si="15"/>
        <v/>
      </c>
      <c r="AD31" s="11" t="str">
        <f t="shared" si="15"/>
        <v/>
      </c>
      <c r="AE31" s="11" t="str">
        <f t="shared" si="15"/>
        <v/>
      </c>
      <c r="AF31" s="11" t="str">
        <f t="shared" si="15"/>
        <v/>
      </c>
      <c r="AG31" s="11" t="str">
        <f t="shared" si="15"/>
        <v/>
      </c>
      <c r="AH31" s="11" t="str">
        <f t="shared" si="15"/>
        <v/>
      </c>
      <c r="AI31" s="11" t="str">
        <f t="shared" si="15"/>
        <v/>
      </c>
      <c r="AJ31" s="11" t="str">
        <f t="shared" si="15"/>
        <v/>
      </c>
      <c r="AK31" s="11" t="str">
        <f t="shared" si="15"/>
        <v/>
      </c>
    </row>
    <row r="32" spans="1:37" x14ac:dyDescent="0.25">
      <c r="A32" s="230"/>
      <c r="B32" s="11">
        <f>IF(B9="","",(B9/$O$23))</f>
        <v>0.40893206215985622</v>
      </c>
      <c r="C32" s="11" t="str">
        <f>IF(C9="","",(C9/$O$23))</f>
        <v/>
      </c>
      <c r="D32" s="11">
        <f>IF(D9="","",(D9/$O$23))</f>
        <v>0.16897598561065891</v>
      </c>
      <c r="E32" s="11">
        <f>IF(E9="","",(E9/$O$23))</f>
        <v>0.29884859240056577</v>
      </c>
      <c r="F32" s="11">
        <f>IF(F9="","",(F9/$O$23))</f>
        <v>4.1561932128339292</v>
      </c>
      <c r="G32" s="11">
        <f>IF(G9="","",(G9/$O$23))</f>
        <v>6.4298732445719207</v>
      </c>
      <c r="H32" s="11">
        <f>IF(H9="","",(H9/$O$23))</f>
        <v>5.8144507669833434</v>
      </c>
      <c r="I32" s="11">
        <f>IF(I9="","",(I9/$O$23))</f>
        <v>0.24426362874014604</v>
      </c>
      <c r="J32" s="11">
        <f>IF(J9="","",(J9/$O$23))</f>
        <v>0.36667326829679975</v>
      </c>
      <c r="K32" s="11">
        <f>IF(K9="","",(K9/$O$23))</f>
        <v>0.12420598242281947</v>
      </c>
      <c r="L32" s="11">
        <f>IF(L9="","",(L9/$O$23))</f>
        <v>4.1404331145537103</v>
      </c>
      <c r="M32" s="11">
        <f>IF(M9="","",(M9/$O$23))</f>
        <v>5.4370090770451531</v>
      </c>
      <c r="N32" s="6"/>
      <c r="O32" s="11">
        <f t="shared" ref="O32:AK32" si="16">IF(O9="","",(O9/$O$23))</f>
        <v>0.46433100085081952</v>
      </c>
      <c r="P32" s="11">
        <f t="shared" si="16"/>
        <v>2.5820269877841495</v>
      </c>
      <c r="Q32" s="11">
        <f t="shared" si="16"/>
        <v>0.38222459620560079</v>
      </c>
      <c r="R32" s="11">
        <f t="shared" si="16"/>
        <v>5.6232643668695882E-2</v>
      </c>
      <c r="S32" s="11">
        <f t="shared" si="16"/>
        <v>4.2334162261318689</v>
      </c>
      <c r="T32" s="11">
        <f t="shared" si="16"/>
        <v>3.8116817224262252</v>
      </c>
      <c r="U32" s="11">
        <f t="shared" si="16"/>
        <v>5.5777794972231316</v>
      </c>
      <c r="V32" s="11">
        <f t="shared" si="16"/>
        <v>5.4465069818547649</v>
      </c>
      <c r="W32" s="11" t="str">
        <f t="shared" si="16"/>
        <v/>
      </c>
      <c r="X32" s="11" t="str">
        <f t="shared" si="16"/>
        <v/>
      </c>
      <c r="Y32" s="11" t="str">
        <f t="shared" si="16"/>
        <v/>
      </c>
      <c r="Z32" s="11" t="str">
        <f t="shared" si="16"/>
        <v/>
      </c>
      <c r="AA32" s="11" t="str">
        <f t="shared" si="16"/>
        <v/>
      </c>
      <c r="AB32" s="11" t="str">
        <f t="shared" si="16"/>
        <v/>
      </c>
      <c r="AC32" s="11" t="str">
        <f t="shared" si="16"/>
        <v/>
      </c>
      <c r="AD32" s="11" t="str">
        <f t="shared" si="16"/>
        <v/>
      </c>
      <c r="AE32" s="11" t="str">
        <f t="shared" si="16"/>
        <v/>
      </c>
      <c r="AF32" s="11" t="str">
        <f t="shared" si="16"/>
        <v/>
      </c>
      <c r="AG32" s="11" t="str">
        <f t="shared" si="16"/>
        <v/>
      </c>
      <c r="AH32" s="11" t="str">
        <f t="shared" si="16"/>
        <v/>
      </c>
      <c r="AI32" s="11" t="str">
        <f t="shared" si="16"/>
        <v/>
      </c>
      <c r="AJ32" s="11" t="str">
        <f t="shared" si="16"/>
        <v/>
      </c>
      <c r="AK32" s="11" t="str">
        <f t="shared" si="16"/>
        <v/>
      </c>
    </row>
    <row r="33" spans="1:37" x14ac:dyDescent="0.25">
      <c r="A33" s="230"/>
      <c r="B33" s="11">
        <f>IF(B10="","",(B10/$O$23))</f>
        <v>0.17214195388052958</v>
      </c>
      <c r="C33" s="11">
        <f>IF(C10="","",(C10/$O$23))</f>
        <v>0.7546447851661876</v>
      </c>
      <c r="D33" s="11">
        <f>IF(D10="","",(D10/$O$23))</f>
        <v>0.17650869591304544</v>
      </c>
      <c r="E33" s="11">
        <f>IF(E10="","",(E10/$O$23))</f>
        <v>0.17790768681954336</v>
      </c>
      <c r="F33" s="11">
        <f>IF(F10="","",(F10/$O$23))</f>
        <v>2.0239778201133838</v>
      </c>
      <c r="G33" s="11">
        <f>IF(G10="","",(G10/$O$23))</f>
        <v>4.157393986596575</v>
      </c>
      <c r="H33" s="11">
        <f>IF(H10="","",(H10/$O$23))</f>
        <v>5.5408799076197992</v>
      </c>
      <c r="I33" s="11">
        <f>IF(I10="","",(I10/$O$23))</f>
        <v>8.4577236403661327E-2</v>
      </c>
      <c r="J33" s="11">
        <f>IF(J10="","",(J10/$O$23))</f>
        <v>0.27911864521151658</v>
      </c>
      <c r="K33" s="11">
        <f>IF(K10="","",(K10/$O$23))</f>
        <v>0.87926303171806186</v>
      </c>
      <c r="L33" s="11">
        <f>IF(L10="","",(L10/$O$23))</f>
        <v>0.20139963021796498</v>
      </c>
      <c r="M33" s="11">
        <f>IF(M10="","",(M10/$O$23))</f>
        <v>7.0327516052720922</v>
      </c>
      <c r="N33" s="6"/>
      <c r="O33" s="11">
        <f t="shared" ref="O33:AK33" si="17">IF(O10="","",(O10/$O$23))</f>
        <v>2.8204840471829602</v>
      </c>
      <c r="P33" s="11">
        <f t="shared" si="17"/>
        <v>4.1185493912691866</v>
      </c>
      <c r="Q33" s="11">
        <f t="shared" si="17"/>
        <v>4.422398837028204E-2</v>
      </c>
      <c r="R33" s="11">
        <f t="shared" si="17"/>
        <v>0.10003955013212104</v>
      </c>
      <c r="S33" s="11">
        <f t="shared" si="17"/>
        <v>3.1586645187228863</v>
      </c>
      <c r="T33" s="11">
        <f t="shared" si="17"/>
        <v>3.7530571667878423</v>
      </c>
      <c r="U33" s="11">
        <f t="shared" si="17"/>
        <v>5.8206831361151776</v>
      </c>
      <c r="V33" s="11">
        <f t="shared" si="17"/>
        <v>7.0301860238835445</v>
      </c>
      <c r="W33" s="11" t="str">
        <f t="shared" si="17"/>
        <v/>
      </c>
      <c r="X33" s="11" t="str">
        <f t="shared" si="17"/>
        <v/>
      </c>
      <c r="Y33" s="11" t="str">
        <f t="shared" si="17"/>
        <v/>
      </c>
      <c r="Z33" s="11" t="str">
        <f t="shared" si="17"/>
        <v/>
      </c>
      <c r="AA33" s="11" t="str">
        <f t="shared" si="17"/>
        <v/>
      </c>
      <c r="AB33" s="11" t="str">
        <f t="shared" si="17"/>
        <v/>
      </c>
      <c r="AC33" s="11" t="str">
        <f t="shared" si="17"/>
        <v/>
      </c>
      <c r="AD33" s="11" t="str">
        <f t="shared" si="17"/>
        <v/>
      </c>
      <c r="AE33" s="11" t="str">
        <f t="shared" si="17"/>
        <v/>
      </c>
      <c r="AF33" s="11" t="str">
        <f t="shared" si="17"/>
        <v/>
      </c>
      <c r="AG33" s="11" t="str">
        <f t="shared" si="17"/>
        <v/>
      </c>
      <c r="AH33" s="11" t="str">
        <f t="shared" si="17"/>
        <v/>
      </c>
      <c r="AI33" s="11" t="str">
        <f t="shared" si="17"/>
        <v/>
      </c>
      <c r="AJ33" s="11" t="str">
        <f t="shared" si="17"/>
        <v/>
      </c>
      <c r="AK33" s="11" t="str">
        <f t="shared" si="17"/>
        <v/>
      </c>
    </row>
    <row r="34" spans="1:37" x14ac:dyDescent="0.25">
      <c r="A34" s="230"/>
      <c r="B34" s="11">
        <f>IF(B11="","",(B11/$O$23))</f>
        <v>0.14327153511117693</v>
      </c>
      <c r="C34" s="11">
        <f>IF(C11="","",(C11/$O$23))</f>
        <v>0.25444657566960116</v>
      </c>
      <c r="D34" s="11">
        <f>IF(D11="","",(D11/$O$23))</f>
        <v>0.91745722704218369</v>
      </c>
      <c r="E34" s="11">
        <f>IF(E11="","",(E11/$O$23))</f>
        <v>1.7004172394405435</v>
      </c>
      <c r="F34" s="11">
        <f>IF(F11="","",(F11/$O$23))</f>
        <v>3.7501990774613172</v>
      </c>
      <c r="G34" s="11" t="str">
        <f>IF(G11="","",(G11/$O$23))</f>
        <v/>
      </c>
      <c r="H34" s="11">
        <f>IF(H11="","",(H11/$O$23))</f>
        <v>7.192884445018227</v>
      </c>
      <c r="I34" s="11">
        <f>IF(I11="","",(I11/$O$23))</f>
        <v>0.39143481085503762</v>
      </c>
      <c r="J34" s="11">
        <f>IF(J11="","",(J11/$O$23))</f>
        <v>0.18007132788861224</v>
      </c>
      <c r="K34" s="11">
        <f>IF(K11="","",(K11/$O$23))</f>
        <v>1.2799624292863014</v>
      </c>
      <c r="L34" s="11">
        <f>IF(L11="","",(L11/$O$23))</f>
        <v>1.9720527286356369</v>
      </c>
      <c r="M34" s="11">
        <f>IF(M11="","",(M11/$O$23))</f>
        <v>4.4120589681931985</v>
      </c>
      <c r="N34" s="6"/>
      <c r="O34" s="11">
        <f t="shared" ref="O34:AK34" si="18">IF(O11="","",(O11/$O$23))</f>
        <v>3.4170433187508627E-2</v>
      </c>
      <c r="P34" s="11">
        <f t="shared" si="18"/>
        <v>5.0502383339384105</v>
      </c>
      <c r="Q34" s="11">
        <f t="shared" si="18"/>
        <v>0.11727847677955749</v>
      </c>
      <c r="R34" s="11">
        <f t="shared" si="18"/>
        <v>1.510688561238873</v>
      </c>
      <c r="S34" s="11">
        <f t="shared" si="18"/>
        <v>5.3418818249271238</v>
      </c>
      <c r="T34" s="11">
        <f t="shared" si="18"/>
        <v>3.7658297839948558</v>
      </c>
      <c r="U34" s="11">
        <f t="shared" si="18"/>
        <v>4.5962884971608986</v>
      </c>
      <c r="V34" s="11">
        <f t="shared" si="18"/>
        <v>3.7745834568430578</v>
      </c>
      <c r="W34" s="11" t="str">
        <f t="shared" si="18"/>
        <v/>
      </c>
      <c r="X34" s="11" t="str">
        <f t="shared" si="18"/>
        <v/>
      </c>
      <c r="Y34" s="11" t="str">
        <f t="shared" si="18"/>
        <v/>
      </c>
      <c r="Z34" s="11" t="str">
        <f t="shared" si="18"/>
        <v/>
      </c>
      <c r="AA34" s="11" t="str">
        <f t="shared" si="18"/>
        <v/>
      </c>
      <c r="AB34" s="11" t="str">
        <f t="shared" si="18"/>
        <v/>
      </c>
      <c r="AC34" s="11" t="str">
        <f t="shared" si="18"/>
        <v/>
      </c>
      <c r="AD34" s="11" t="str">
        <f t="shared" si="18"/>
        <v/>
      </c>
      <c r="AE34" s="11" t="str">
        <f t="shared" si="18"/>
        <v/>
      </c>
      <c r="AF34" s="11" t="str">
        <f t="shared" si="18"/>
        <v/>
      </c>
      <c r="AG34" s="11" t="str">
        <f t="shared" si="18"/>
        <v/>
      </c>
      <c r="AH34" s="11" t="str">
        <f t="shared" si="18"/>
        <v/>
      </c>
      <c r="AI34" s="11" t="str">
        <f t="shared" si="18"/>
        <v/>
      </c>
      <c r="AJ34" s="11" t="str">
        <f t="shared" si="18"/>
        <v/>
      </c>
      <c r="AK34" s="11" t="str">
        <f t="shared" si="18"/>
        <v/>
      </c>
    </row>
    <row r="35" spans="1:37" x14ac:dyDescent="0.25">
      <c r="A35" s="230"/>
      <c r="B35" s="11">
        <f>IF(B12="","",(B12/$O$23))</f>
        <v>0.11436073877548392</v>
      </c>
      <c r="C35" s="11">
        <f>IF(C12="","",(C12/$O$23))</f>
        <v>9.2665597079209197E-2</v>
      </c>
      <c r="D35" s="11">
        <f>IF(D12="","",(D12/$O$23))</f>
        <v>0.21267368911057261</v>
      </c>
      <c r="E35" s="11">
        <f>IF(E12="","",(E12/$O$23))</f>
        <v>3.1219929706021796</v>
      </c>
      <c r="F35" s="11">
        <f>IF(F12="","",(F12/$O$23))</f>
        <v>3.656233139211555</v>
      </c>
      <c r="G35" s="11">
        <f>IF(G12="","",(G12/$O$23))</f>
        <v>2.0104013222674126</v>
      </c>
      <c r="H35" s="11">
        <f>IF(H12="","",(H12/$O$23))</f>
        <v>5.385322121441618</v>
      </c>
      <c r="I35" s="11">
        <f>IF(I12="","",(I12/$O$23))</f>
        <v>0.23983723803008192</v>
      </c>
      <c r="J35" s="11">
        <f>IF(J12="","",(J12/$O$23))</f>
        <v>0.31438019036217774</v>
      </c>
      <c r="K35" s="11">
        <f>IF(K12="","",(K12/$O$23))</f>
        <v>0.32495085369569671</v>
      </c>
      <c r="L35" s="11">
        <f>IF(L12="","",(L12/$O$23))</f>
        <v>0.44077023205522681</v>
      </c>
      <c r="M35" s="11">
        <f>IF(M12="","",(M12/$O$23))</f>
        <v>4.5463882488679248</v>
      </c>
      <c r="N35" s="6"/>
      <c r="O35" s="11">
        <f t="shared" ref="O35:AK35" si="19">IF(O12="","",(O12/$O$23))</f>
        <v>0.66722918938318998</v>
      </c>
      <c r="P35" s="11">
        <f t="shared" si="19"/>
        <v>4.6462786773061753</v>
      </c>
      <c r="Q35" s="11">
        <f t="shared" si="19"/>
        <v>0.27217140962106556</v>
      </c>
      <c r="R35" s="11">
        <f t="shared" si="19"/>
        <v>3.0902048138287532</v>
      </c>
      <c r="S35" s="11">
        <f t="shared" si="19"/>
        <v>2.9609273173063859</v>
      </c>
      <c r="T35" s="11">
        <f t="shared" si="19"/>
        <v>2.0513102206739533</v>
      </c>
      <c r="U35" s="11">
        <f t="shared" si="19"/>
        <v>1.7979754045866558</v>
      </c>
      <c r="V35" s="11">
        <f t="shared" si="19"/>
        <v>4.6972214009483002</v>
      </c>
      <c r="W35" s="11" t="str">
        <f t="shared" si="19"/>
        <v/>
      </c>
      <c r="X35" s="11" t="str">
        <f t="shared" si="19"/>
        <v/>
      </c>
      <c r="Y35" s="11" t="str">
        <f t="shared" si="19"/>
        <v/>
      </c>
      <c r="Z35" s="11" t="str">
        <f t="shared" si="19"/>
        <v/>
      </c>
      <c r="AA35" s="11" t="str">
        <f t="shared" si="19"/>
        <v/>
      </c>
      <c r="AB35" s="11" t="str">
        <f t="shared" si="19"/>
        <v/>
      </c>
      <c r="AC35" s="11" t="str">
        <f t="shared" si="19"/>
        <v/>
      </c>
      <c r="AD35" s="11" t="str">
        <f t="shared" si="19"/>
        <v/>
      </c>
      <c r="AE35" s="11" t="str">
        <f t="shared" si="19"/>
        <v/>
      </c>
      <c r="AF35" s="11" t="str">
        <f t="shared" si="19"/>
        <v/>
      </c>
      <c r="AG35" s="11" t="str">
        <f t="shared" si="19"/>
        <v/>
      </c>
      <c r="AH35" s="11" t="str">
        <f t="shared" si="19"/>
        <v/>
      </c>
      <c r="AI35" s="11" t="str">
        <f t="shared" si="19"/>
        <v/>
      </c>
      <c r="AJ35" s="11" t="str">
        <f t="shared" si="19"/>
        <v/>
      </c>
      <c r="AK35" s="11" t="str">
        <f t="shared" si="19"/>
        <v/>
      </c>
    </row>
    <row r="36" spans="1:37" s="1" customFormat="1" x14ac:dyDescent="0.25">
      <c r="A36" s="230"/>
      <c r="B36" s="11" t="str">
        <f>IF(B13="","",(B13/$O$23))</f>
        <v/>
      </c>
      <c r="C36" s="11" t="str">
        <f>IF(C13="","",(C13/$O$23))</f>
        <v/>
      </c>
      <c r="D36" s="11" t="str">
        <f>IF(D13="","",(D13/$O$23))</f>
        <v/>
      </c>
      <c r="E36" s="11" t="str">
        <f>IF(E13="","",(E13/$O$23))</f>
        <v/>
      </c>
      <c r="F36" s="11" t="str">
        <f>IF(F13="","",(F13/$O$23))</f>
        <v/>
      </c>
      <c r="G36" s="11" t="str">
        <f>IF(G13="","",(G13/$O$23))</f>
        <v/>
      </c>
      <c r="H36" s="11" t="str">
        <f>IF(H13="","",(H13/$O$23))</f>
        <v/>
      </c>
      <c r="I36" s="11" t="str">
        <f>IF(I13="","",(I13/$O$23))</f>
        <v/>
      </c>
      <c r="J36" s="11" t="str">
        <f>IF(J13="","",(J13/$O$23))</f>
        <v/>
      </c>
      <c r="K36" s="11" t="str">
        <f>IF(K13="","",(K13/$O$23))</f>
        <v/>
      </c>
      <c r="L36" s="11" t="str">
        <f>IF(L13="","",(L13/$O$23))</f>
        <v/>
      </c>
      <c r="M36" s="11" t="str">
        <f>IF(M13="","",(M13/$O$23))</f>
        <v/>
      </c>
      <c r="N36" s="6"/>
      <c r="O36" s="11">
        <f t="shared" ref="O36:AK36" si="20">IF(O13="","",(O13/$O$23))</f>
        <v>9.591094397381722E-2</v>
      </c>
      <c r="P36" s="11" t="str">
        <f t="shared" si="20"/>
        <v/>
      </c>
      <c r="Q36" s="11" t="str">
        <f t="shared" si="20"/>
        <v/>
      </c>
      <c r="R36" s="11" t="str">
        <f t="shared" si="20"/>
        <v/>
      </c>
      <c r="S36" s="11" t="str">
        <f t="shared" si="20"/>
        <v/>
      </c>
      <c r="T36" s="11" t="str">
        <f t="shared" si="20"/>
        <v/>
      </c>
      <c r="U36" s="11" t="str">
        <f t="shared" si="20"/>
        <v/>
      </c>
      <c r="V36" s="11" t="str">
        <f t="shared" si="20"/>
        <v/>
      </c>
      <c r="W36" s="11" t="str">
        <f t="shared" si="20"/>
        <v/>
      </c>
      <c r="X36" s="11" t="str">
        <f t="shared" si="20"/>
        <v/>
      </c>
      <c r="Y36" s="11" t="str">
        <f t="shared" si="20"/>
        <v/>
      </c>
      <c r="Z36" s="11" t="str">
        <f t="shared" si="20"/>
        <v/>
      </c>
      <c r="AA36" s="11" t="str">
        <f t="shared" si="20"/>
        <v/>
      </c>
      <c r="AB36" s="11" t="str">
        <f t="shared" si="20"/>
        <v/>
      </c>
      <c r="AC36" s="11" t="str">
        <f t="shared" si="20"/>
        <v/>
      </c>
      <c r="AD36" s="11" t="str">
        <f t="shared" si="20"/>
        <v/>
      </c>
      <c r="AE36" s="11" t="str">
        <f t="shared" si="20"/>
        <v/>
      </c>
      <c r="AF36" s="11" t="str">
        <f t="shared" si="20"/>
        <v/>
      </c>
      <c r="AG36" s="11" t="str">
        <f t="shared" si="20"/>
        <v/>
      </c>
      <c r="AH36" s="11" t="str">
        <f t="shared" si="20"/>
        <v/>
      </c>
      <c r="AI36" s="11" t="str">
        <f t="shared" si="20"/>
        <v/>
      </c>
      <c r="AJ36" s="11" t="str">
        <f t="shared" si="20"/>
        <v/>
      </c>
      <c r="AK36" s="11" t="str">
        <f t="shared" si="20"/>
        <v/>
      </c>
    </row>
    <row r="37" spans="1:37" s="1" customFormat="1" x14ac:dyDescent="0.25">
      <c r="A37" s="230"/>
      <c r="B37" s="11" t="str">
        <f>IF(B14="","",(B14/$O$23))</f>
        <v/>
      </c>
      <c r="C37" s="11" t="str">
        <f>IF(C14="","",(C14/$O$23))</f>
        <v/>
      </c>
      <c r="D37" s="11" t="str">
        <f>IF(D14="","",(D14/$O$23))</f>
        <v/>
      </c>
      <c r="E37" s="11" t="str">
        <f>IF(E14="","",(E14/$O$23))</f>
        <v/>
      </c>
      <c r="F37" s="11" t="str">
        <f>IF(F14="","",(F14/$O$23))</f>
        <v/>
      </c>
      <c r="G37" s="11" t="str">
        <f>IF(G14="","",(G14/$O$23))</f>
        <v/>
      </c>
      <c r="H37" s="11" t="str">
        <f>IF(H14="","",(H14/$O$23))</f>
        <v/>
      </c>
      <c r="I37" s="11" t="str">
        <f>IF(I14="","",(I14/$O$23))</f>
        <v/>
      </c>
      <c r="J37" s="11" t="str">
        <f>IF(J14="","",(J14/$O$23))</f>
        <v/>
      </c>
      <c r="K37" s="11" t="str">
        <f>IF(K14="","",(K14/$O$23))</f>
        <v/>
      </c>
      <c r="L37" s="11" t="str">
        <f>IF(L14="","",(L14/$O$23))</f>
        <v/>
      </c>
      <c r="M37" s="11" t="str">
        <f>IF(M14="","",(M14/$O$23))</f>
        <v/>
      </c>
      <c r="N37" s="6"/>
      <c r="O37" s="11">
        <f t="shared" ref="O37:AK37" si="21">IF(O14="","",(O14/$O$23))</f>
        <v>9.2824354328683883E-2</v>
      </c>
      <c r="P37" s="11" t="str">
        <f t="shared" si="21"/>
        <v/>
      </c>
      <c r="Q37" s="11" t="str">
        <f t="shared" si="21"/>
        <v/>
      </c>
      <c r="R37" s="11" t="str">
        <f t="shared" si="21"/>
        <v/>
      </c>
      <c r="S37" s="11" t="str">
        <f t="shared" si="21"/>
        <v/>
      </c>
      <c r="T37" s="11" t="str">
        <f t="shared" si="21"/>
        <v/>
      </c>
      <c r="U37" s="11" t="str">
        <f t="shared" si="21"/>
        <v/>
      </c>
      <c r="V37" s="11" t="str">
        <f t="shared" si="21"/>
        <v/>
      </c>
      <c r="W37" s="11" t="str">
        <f t="shared" si="21"/>
        <v/>
      </c>
      <c r="X37" s="11" t="str">
        <f t="shared" si="21"/>
        <v/>
      </c>
      <c r="Y37" s="11" t="str">
        <f t="shared" si="21"/>
        <v/>
      </c>
      <c r="Z37" s="11" t="str">
        <f t="shared" si="21"/>
        <v/>
      </c>
      <c r="AA37" s="11" t="str">
        <f t="shared" si="21"/>
        <v/>
      </c>
      <c r="AB37" s="11" t="str">
        <f t="shared" si="21"/>
        <v/>
      </c>
      <c r="AC37" s="11" t="str">
        <f t="shared" si="21"/>
        <v/>
      </c>
      <c r="AD37" s="11" t="str">
        <f t="shared" si="21"/>
        <v/>
      </c>
      <c r="AE37" s="11" t="str">
        <f t="shared" si="21"/>
        <v/>
      </c>
      <c r="AF37" s="11" t="str">
        <f t="shared" si="21"/>
        <v/>
      </c>
      <c r="AG37" s="11" t="str">
        <f t="shared" si="21"/>
        <v/>
      </c>
      <c r="AH37" s="11" t="str">
        <f t="shared" si="21"/>
        <v/>
      </c>
      <c r="AI37" s="11" t="str">
        <f t="shared" si="21"/>
        <v/>
      </c>
      <c r="AJ37" s="11" t="str">
        <f t="shared" si="21"/>
        <v/>
      </c>
      <c r="AK37" s="11" t="str">
        <f t="shared" si="21"/>
        <v/>
      </c>
    </row>
    <row r="38" spans="1:37" s="1" customFormat="1" x14ac:dyDescent="0.25">
      <c r="A38" s="230"/>
      <c r="B38" s="11" t="str">
        <f>IF(B15="","",(B15/$O$23))</f>
        <v/>
      </c>
      <c r="C38" s="11" t="str">
        <f>IF(C15="","",(C15/$O$23))</f>
        <v/>
      </c>
      <c r="D38" s="11" t="str">
        <f>IF(D15="","",(D15/$O$23))</f>
        <v/>
      </c>
      <c r="E38" s="11" t="str">
        <f>IF(E15="","",(E15/$O$23))</f>
        <v/>
      </c>
      <c r="F38" s="11" t="str">
        <f>IF(F15="","",(F15/$O$23))</f>
        <v/>
      </c>
      <c r="G38" s="11" t="str">
        <f>IF(G15="","",(G15/$O$23))</f>
        <v/>
      </c>
      <c r="H38" s="11" t="str">
        <f>IF(H15="","",(H15/$O$23))</f>
        <v/>
      </c>
      <c r="I38" s="11" t="str">
        <f>IF(I15="","",(I15/$O$23))</f>
        <v/>
      </c>
      <c r="J38" s="11" t="str">
        <f>IF(J15="","",(J15/$O$23))</f>
        <v/>
      </c>
      <c r="K38" s="11" t="str">
        <f>IF(K15="","",(K15/$O$23))</f>
        <v/>
      </c>
      <c r="L38" s="11" t="str">
        <f>IF(L15="","",(L15/$O$23))</f>
        <v/>
      </c>
      <c r="M38" s="11" t="str">
        <f>IF(M15="","",(M15/$O$23))</f>
        <v/>
      </c>
      <c r="N38" s="6"/>
      <c r="O38" s="11">
        <f t="shared" ref="O38:R38" si="22">IF(O15="","",(O15/$O$23))</f>
        <v>2.4395496977563269</v>
      </c>
      <c r="P38" s="11" t="str">
        <f t="shared" si="22"/>
        <v/>
      </c>
      <c r="Q38" s="11" t="str">
        <f t="shared" si="22"/>
        <v/>
      </c>
      <c r="R38" s="11" t="str">
        <f t="shared" si="22"/>
        <v/>
      </c>
      <c r="S38" s="11" t="str">
        <f t="shared" ref="S38:AK38" si="23">IF(S15="","",(S15/$O$23))</f>
        <v/>
      </c>
      <c r="T38" s="11" t="str">
        <f t="shared" si="23"/>
        <v/>
      </c>
      <c r="U38" s="11" t="str">
        <f t="shared" si="23"/>
        <v/>
      </c>
      <c r="V38" s="11" t="str">
        <f t="shared" si="23"/>
        <v/>
      </c>
      <c r="W38" s="11" t="str">
        <f t="shared" si="23"/>
        <v/>
      </c>
      <c r="X38" s="11" t="str">
        <f t="shared" si="23"/>
        <v/>
      </c>
      <c r="Y38" s="11" t="str">
        <f t="shared" si="23"/>
        <v/>
      </c>
      <c r="Z38" s="11" t="str">
        <f t="shared" si="23"/>
        <v/>
      </c>
      <c r="AA38" s="11" t="str">
        <f t="shared" si="23"/>
        <v/>
      </c>
      <c r="AB38" s="11" t="str">
        <f t="shared" si="23"/>
        <v/>
      </c>
      <c r="AC38" s="11" t="str">
        <f t="shared" si="23"/>
        <v/>
      </c>
      <c r="AD38" s="11" t="str">
        <f t="shared" si="23"/>
        <v/>
      </c>
      <c r="AE38" s="11" t="str">
        <f t="shared" si="23"/>
        <v/>
      </c>
      <c r="AF38" s="11" t="str">
        <f t="shared" si="23"/>
        <v/>
      </c>
      <c r="AG38" s="11" t="str">
        <f t="shared" si="23"/>
        <v/>
      </c>
      <c r="AH38" s="11" t="str">
        <f t="shared" si="23"/>
        <v/>
      </c>
      <c r="AI38" s="11" t="str">
        <f t="shared" si="23"/>
        <v/>
      </c>
      <c r="AJ38" s="11" t="str">
        <f t="shared" si="23"/>
        <v/>
      </c>
      <c r="AK38" s="11" t="str">
        <f t="shared" si="23"/>
        <v/>
      </c>
    </row>
    <row r="39" spans="1:37" s="1" customFormat="1" x14ac:dyDescent="0.25">
      <c r="A39" s="230"/>
      <c r="B39" s="11" t="str">
        <f>IF(B16="","",(B16/$O$23))</f>
        <v/>
      </c>
      <c r="C39" s="11" t="str">
        <f>IF(C16="","",(C16/$O$23))</f>
        <v/>
      </c>
      <c r="D39" s="11" t="str">
        <f>IF(D16="","",(D16/$O$23))</f>
        <v/>
      </c>
      <c r="E39" s="11" t="str">
        <f>IF(E16="","",(E16/$O$23))</f>
        <v/>
      </c>
      <c r="F39" s="11" t="str">
        <f>IF(F16="","",(F16/$O$23))</f>
        <v/>
      </c>
      <c r="G39" s="11" t="str">
        <f>IF(G16="","",(G16/$O$23))</f>
        <v/>
      </c>
      <c r="H39" s="11" t="str">
        <f>IF(H16="","",(H16/$O$23))</f>
        <v/>
      </c>
      <c r="I39" s="11" t="str">
        <f>IF(I16="","",(I16/$O$23))</f>
        <v/>
      </c>
      <c r="J39" s="11" t="str">
        <f>IF(J16="","",(J16/$O$23))</f>
        <v/>
      </c>
      <c r="K39" s="11" t="str">
        <f>IF(K16="","",(K16/$O$23))</f>
        <v/>
      </c>
      <c r="L39" s="11" t="str">
        <f>IF(L16="","",(L16/$O$23))</f>
        <v/>
      </c>
      <c r="M39" s="11" t="str">
        <f>IF(M16="","",(M16/$O$23))</f>
        <v/>
      </c>
      <c r="N39" s="6"/>
      <c r="O39" s="11" t="str">
        <f t="shared" ref="O39:R39" si="24">IF(O16="","",(O16/$O$23))</f>
        <v/>
      </c>
      <c r="P39" s="11" t="str">
        <f t="shared" si="24"/>
        <v/>
      </c>
      <c r="Q39" s="11" t="str">
        <f t="shared" si="24"/>
        <v/>
      </c>
      <c r="R39" s="11" t="str">
        <f t="shared" si="24"/>
        <v/>
      </c>
      <c r="S39" s="11" t="str">
        <f t="shared" ref="S39:AK39" si="25">IF(S16="","",(S16/$O$23))</f>
        <v/>
      </c>
      <c r="T39" s="11" t="str">
        <f t="shared" si="25"/>
        <v/>
      </c>
      <c r="U39" s="11" t="str">
        <f t="shared" si="25"/>
        <v/>
      </c>
      <c r="V39" s="11" t="str">
        <f t="shared" si="25"/>
        <v/>
      </c>
      <c r="W39" s="11" t="str">
        <f t="shared" si="25"/>
        <v/>
      </c>
      <c r="X39" s="11" t="str">
        <f t="shared" si="25"/>
        <v/>
      </c>
      <c r="Y39" s="11" t="str">
        <f t="shared" si="25"/>
        <v/>
      </c>
      <c r="Z39" s="11" t="str">
        <f t="shared" si="25"/>
        <v/>
      </c>
      <c r="AA39" s="11" t="str">
        <f t="shared" si="25"/>
        <v/>
      </c>
      <c r="AB39" s="11" t="str">
        <f t="shared" si="25"/>
        <v/>
      </c>
      <c r="AC39" s="11" t="str">
        <f t="shared" si="25"/>
        <v/>
      </c>
      <c r="AD39" s="11" t="str">
        <f t="shared" si="25"/>
        <v/>
      </c>
      <c r="AE39" s="11" t="str">
        <f t="shared" si="25"/>
        <v/>
      </c>
      <c r="AF39" s="11" t="str">
        <f t="shared" si="25"/>
        <v/>
      </c>
      <c r="AG39" s="11" t="str">
        <f t="shared" si="25"/>
        <v/>
      </c>
      <c r="AH39" s="11" t="str">
        <f t="shared" si="25"/>
        <v/>
      </c>
      <c r="AI39" s="11" t="str">
        <f t="shared" si="25"/>
        <v/>
      </c>
      <c r="AJ39" s="11" t="str">
        <f t="shared" si="25"/>
        <v/>
      </c>
      <c r="AK39" s="11" t="str">
        <f t="shared" si="25"/>
        <v/>
      </c>
    </row>
    <row r="40" spans="1:37" s="1" customFormat="1" x14ac:dyDescent="0.25">
      <c r="A40" s="230"/>
      <c r="B40" s="11" t="str">
        <f>IF(B17="","",(B17/$O$23))</f>
        <v/>
      </c>
      <c r="C40" s="11" t="str">
        <f>IF(C17="","",(C17/$O$23))</f>
        <v/>
      </c>
      <c r="D40" s="11" t="str">
        <f>IF(D17="","",(D17/$O$23))</f>
        <v/>
      </c>
      <c r="E40" s="11" t="str">
        <f>IF(E17="","",(E17/$O$23))</f>
        <v/>
      </c>
      <c r="F40" s="11" t="str">
        <f>IF(F17="","",(F17/$O$23))</f>
        <v/>
      </c>
      <c r="G40" s="11" t="str">
        <f>IF(G17="","",(G17/$O$23))</f>
        <v/>
      </c>
      <c r="H40" s="11" t="str">
        <f>IF(H17="","",(H17/$O$23))</f>
        <v/>
      </c>
      <c r="I40" s="11" t="str">
        <f>IF(I17="","",(I17/$O$23))</f>
        <v/>
      </c>
      <c r="J40" s="11" t="str">
        <f>IF(J17="","",(J17/$O$23))</f>
        <v/>
      </c>
      <c r="K40" s="11" t="str">
        <f>IF(K17="","",(K17/$O$23))</f>
        <v/>
      </c>
      <c r="L40" s="11" t="str">
        <f>IF(L17="","",(L17/$O$23))</f>
        <v/>
      </c>
      <c r="M40" s="11" t="str">
        <f>IF(M17="","",(M17/$O$23))</f>
        <v/>
      </c>
      <c r="N40" s="6"/>
      <c r="O40" s="11">
        <f t="shared" ref="O40:R40" si="26">IF(O17="","",(O17/$O$23))</f>
        <v>0.5212289566921694</v>
      </c>
      <c r="P40" s="11" t="str">
        <f t="shared" si="26"/>
        <v/>
      </c>
      <c r="Q40" s="11" t="str">
        <f t="shared" si="26"/>
        <v/>
      </c>
      <c r="R40" s="11" t="str">
        <f t="shared" si="26"/>
        <v/>
      </c>
      <c r="S40" s="11" t="str">
        <f t="shared" ref="S40:AK40" si="27">IF(S17="","",(S17/$O$23))</f>
        <v/>
      </c>
      <c r="T40" s="11" t="str">
        <f t="shared" si="27"/>
        <v/>
      </c>
      <c r="U40" s="11" t="str">
        <f t="shared" si="27"/>
        <v/>
      </c>
      <c r="V40" s="11" t="str">
        <f t="shared" si="27"/>
        <v/>
      </c>
      <c r="W40" s="11" t="str">
        <f t="shared" si="27"/>
        <v/>
      </c>
      <c r="X40" s="11" t="str">
        <f t="shared" si="27"/>
        <v/>
      </c>
      <c r="Y40" s="11" t="str">
        <f t="shared" si="27"/>
        <v/>
      </c>
      <c r="Z40" s="11" t="str">
        <f t="shared" si="27"/>
        <v/>
      </c>
      <c r="AA40" s="11" t="str">
        <f t="shared" si="27"/>
        <v/>
      </c>
      <c r="AB40" s="11" t="str">
        <f t="shared" si="27"/>
        <v/>
      </c>
      <c r="AC40" s="11" t="str">
        <f t="shared" si="27"/>
        <v/>
      </c>
      <c r="AD40" s="11" t="str">
        <f t="shared" si="27"/>
        <v/>
      </c>
      <c r="AE40" s="11" t="str">
        <f t="shared" si="27"/>
        <v/>
      </c>
      <c r="AF40" s="11" t="str">
        <f t="shared" si="27"/>
        <v/>
      </c>
      <c r="AG40" s="11" t="str">
        <f t="shared" si="27"/>
        <v/>
      </c>
      <c r="AH40" s="11" t="str">
        <f t="shared" si="27"/>
        <v/>
      </c>
      <c r="AI40" s="11" t="str">
        <f t="shared" si="27"/>
        <v/>
      </c>
      <c r="AJ40" s="11" t="str">
        <f t="shared" si="27"/>
        <v/>
      </c>
      <c r="AK40" s="11" t="str">
        <f t="shared" si="27"/>
        <v/>
      </c>
    </row>
    <row r="41" spans="1:37" s="1" customFormat="1" x14ac:dyDescent="0.25">
      <c r="A41" s="230"/>
      <c r="B41" s="11" t="str">
        <f>IF(B18="","",(B18/$O$23))</f>
        <v/>
      </c>
      <c r="C41" s="11" t="str">
        <f>IF(C18="","",(C18/$O$23))</f>
        <v/>
      </c>
      <c r="D41" s="11" t="str">
        <f>IF(D18="","",(D18/$O$23))</f>
        <v/>
      </c>
      <c r="E41" s="11" t="str">
        <f>IF(E18="","",(E18/$O$23))</f>
        <v/>
      </c>
      <c r="F41" s="11" t="str">
        <f>IF(F18="","",(F18/$O$23))</f>
        <v/>
      </c>
      <c r="G41" s="11" t="str">
        <f>IF(G18="","",(G18/$O$23))</f>
        <v/>
      </c>
      <c r="H41" s="11" t="str">
        <f>IF(H18="","",(H18/$O$23))</f>
        <v/>
      </c>
      <c r="I41" s="11" t="str">
        <f>IF(I18="","",(I18/$O$23))</f>
        <v/>
      </c>
      <c r="J41" s="11" t="str">
        <f>IF(J18="","",(J18/$O$23))</f>
        <v/>
      </c>
      <c r="K41" s="11" t="str">
        <f>IF(K18="","",(K18/$O$23))</f>
        <v/>
      </c>
      <c r="L41" s="11" t="str">
        <f>IF(L18="","",(L18/$O$23))</f>
        <v/>
      </c>
      <c r="M41" s="11" t="str">
        <f>IF(M18="","",(M18/$O$23))</f>
        <v/>
      </c>
      <c r="N41" s="6"/>
      <c r="O41" s="11">
        <f t="shared" ref="O41:R41" si="28">IF(O18="","",(O18/$O$23))</f>
        <v>0.73005163541302831</v>
      </c>
      <c r="P41" s="11" t="str">
        <f t="shared" si="28"/>
        <v/>
      </c>
      <c r="Q41" s="11" t="str">
        <f t="shared" si="28"/>
        <v/>
      </c>
      <c r="R41" s="11" t="str">
        <f t="shared" si="28"/>
        <v/>
      </c>
      <c r="S41" s="11" t="str">
        <f t="shared" ref="S41:AK41" si="29">IF(S18="","",(S18/$O$23))</f>
        <v/>
      </c>
      <c r="T41" s="11" t="str">
        <f t="shared" si="29"/>
        <v/>
      </c>
      <c r="U41" s="11" t="str">
        <f t="shared" si="29"/>
        <v/>
      </c>
      <c r="V41" s="11" t="str">
        <f t="shared" si="29"/>
        <v/>
      </c>
      <c r="W41" s="11" t="str">
        <f t="shared" si="29"/>
        <v/>
      </c>
      <c r="X41" s="11" t="str">
        <f t="shared" si="29"/>
        <v/>
      </c>
      <c r="Y41" s="11" t="str">
        <f t="shared" si="29"/>
        <v/>
      </c>
      <c r="Z41" s="11" t="str">
        <f t="shared" si="29"/>
        <v/>
      </c>
      <c r="AA41" s="11" t="str">
        <f t="shared" si="29"/>
        <v/>
      </c>
      <c r="AB41" s="11" t="str">
        <f t="shared" si="29"/>
        <v/>
      </c>
      <c r="AC41" s="11" t="str">
        <f t="shared" si="29"/>
        <v/>
      </c>
      <c r="AD41" s="11" t="str">
        <f t="shared" si="29"/>
        <v/>
      </c>
      <c r="AE41" s="11" t="str">
        <f t="shared" si="29"/>
        <v/>
      </c>
      <c r="AF41" s="11" t="str">
        <f t="shared" si="29"/>
        <v/>
      </c>
      <c r="AG41" s="11" t="str">
        <f t="shared" si="29"/>
        <v/>
      </c>
      <c r="AH41" s="11" t="str">
        <f t="shared" si="29"/>
        <v/>
      </c>
      <c r="AI41" s="11" t="str">
        <f t="shared" si="29"/>
        <v/>
      </c>
      <c r="AJ41" s="11" t="str">
        <f t="shared" si="29"/>
        <v/>
      </c>
      <c r="AK41" s="11" t="str">
        <f t="shared" si="29"/>
        <v/>
      </c>
    </row>
    <row r="42" spans="1:37" s="1" customFormat="1" x14ac:dyDescent="0.25">
      <c r="A42" s="230"/>
      <c r="B42" s="11" t="str">
        <f>IF(B19="","",(B19/$O$23))</f>
        <v/>
      </c>
      <c r="C42" s="11" t="str">
        <f>IF(C19="","",(C19/$O$23))</f>
        <v/>
      </c>
      <c r="D42" s="11" t="str">
        <f>IF(D19="","",(D19/$O$23))</f>
        <v/>
      </c>
      <c r="E42" s="11" t="str">
        <f>IF(E19="","",(E19/$O$23))</f>
        <v/>
      </c>
      <c r="F42" s="11" t="str">
        <f>IF(F19="","",(F19/$O$23))</f>
        <v/>
      </c>
      <c r="G42" s="11" t="str">
        <f>IF(G19="","",(G19/$O$23))</f>
        <v/>
      </c>
      <c r="H42" s="11" t="str">
        <f>IF(H19="","",(H19/$O$23))</f>
        <v/>
      </c>
      <c r="I42" s="11" t="str">
        <f>IF(I19="","",(I19/$O$23))</f>
        <v/>
      </c>
      <c r="J42" s="11" t="str">
        <f>IF(J19="","",(J19/$O$23))</f>
        <v/>
      </c>
      <c r="K42" s="11" t="str">
        <f>IF(K19="","",(K19/$O$23))</f>
        <v/>
      </c>
      <c r="L42" s="11" t="str">
        <f>IF(L19="","",(L19/$O$23))</f>
        <v/>
      </c>
      <c r="M42" s="11" t="str">
        <f>IF(M19="","",(M19/$O$23))</f>
        <v/>
      </c>
      <c r="N42" s="6"/>
      <c r="O42" s="11">
        <f t="shared" ref="O42:R42" si="30">IF(O19="","",(O19/$O$23))</f>
        <v>0.2553197405417118</v>
      </c>
      <c r="P42" s="11" t="str">
        <f t="shared" si="30"/>
        <v/>
      </c>
      <c r="Q42" s="11" t="str">
        <f t="shared" si="30"/>
        <v/>
      </c>
      <c r="R42" s="11" t="str">
        <f t="shared" si="30"/>
        <v/>
      </c>
      <c r="S42" s="11" t="str">
        <f t="shared" ref="S42:AK42" si="31">IF(S19="","",(S19/$O$23))</f>
        <v/>
      </c>
      <c r="T42" s="11" t="str">
        <f t="shared" si="31"/>
        <v/>
      </c>
      <c r="U42" s="11" t="str">
        <f t="shared" si="31"/>
        <v/>
      </c>
      <c r="V42" s="11" t="str">
        <f t="shared" si="31"/>
        <v/>
      </c>
      <c r="W42" s="11" t="str">
        <f t="shared" si="31"/>
        <v/>
      </c>
      <c r="X42" s="11" t="str">
        <f t="shared" si="31"/>
        <v/>
      </c>
      <c r="Y42" s="11" t="str">
        <f t="shared" si="31"/>
        <v/>
      </c>
      <c r="Z42" s="11" t="str">
        <f t="shared" si="31"/>
        <v/>
      </c>
      <c r="AA42" s="11" t="str">
        <f t="shared" si="31"/>
        <v/>
      </c>
      <c r="AB42" s="11" t="str">
        <f t="shared" si="31"/>
        <v/>
      </c>
      <c r="AC42" s="11" t="str">
        <f t="shared" si="31"/>
        <v/>
      </c>
      <c r="AD42" s="11" t="str">
        <f t="shared" si="31"/>
        <v/>
      </c>
      <c r="AE42" s="11" t="str">
        <f t="shared" si="31"/>
        <v/>
      </c>
      <c r="AF42" s="11" t="str">
        <f t="shared" si="31"/>
        <v/>
      </c>
      <c r="AG42" s="11" t="str">
        <f t="shared" si="31"/>
        <v/>
      </c>
      <c r="AH42" s="11" t="str">
        <f t="shared" si="31"/>
        <v/>
      </c>
      <c r="AI42" s="11" t="str">
        <f t="shared" si="31"/>
        <v/>
      </c>
      <c r="AJ42" s="11" t="str">
        <f t="shared" si="31"/>
        <v/>
      </c>
      <c r="AK42" s="11" t="str">
        <f t="shared" si="31"/>
        <v/>
      </c>
    </row>
    <row r="43" spans="1:37" s="1" customFormat="1" x14ac:dyDescent="0.25">
      <c r="A43" s="230"/>
      <c r="B43" s="11" t="str">
        <f>IF(B20="","",(B20/$O$23))</f>
        <v/>
      </c>
      <c r="C43" s="11" t="str">
        <f>IF(C20="","",(C20/$O$23))</f>
        <v/>
      </c>
      <c r="D43" s="11" t="str">
        <f>IF(D20="","",(D20/$O$23))</f>
        <v/>
      </c>
      <c r="E43" s="11" t="str">
        <f>IF(E20="","",(E20/$O$23))</f>
        <v/>
      </c>
      <c r="F43" s="11" t="str">
        <f>IF(F20="","",(F20/$O$23))</f>
        <v/>
      </c>
      <c r="G43" s="11" t="str">
        <f>IF(G20="","",(G20/$O$23))</f>
        <v/>
      </c>
      <c r="H43" s="11" t="str">
        <f>IF(H20="","",(H20/$O$23))</f>
        <v/>
      </c>
      <c r="I43" s="11" t="str">
        <f>IF(I20="","",(I20/$O$23))</f>
        <v/>
      </c>
      <c r="J43" s="11" t="str">
        <f>IF(J20="","",(J20/$O$23))</f>
        <v/>
      </c>
      <c r="K43" s="11" t="str">
        <f>IF(K20="","",(K20/$O$23))</f>
        <v/>
      </c>
      <c r="L43" s="11" t="str">
        <f>IF(L20="","",(L20/$O$23))</f>
        <v/>
      </c>
      <c r="M43" s="11" t="str">
        <f>IF(M20="","",(M20/$O$23))</f>
        <v/>
      </c>
      <c r="N43" s="6"/>
      <c r="O43" s="11">
        <f t="shared" ref="O43:R43" si="32">IF(O20="","",(O20/$O$23))</f>
        <v>0.95465414236129631</v>
      </c>
      <c r="P43" s="11" t="str">
        <f t="shared" si="32"/>
        <v/>
      </c>
      <c r="Q43" s="11" t="str">
        <f t="shared" si="32"/>
        <v/>
      </c>
      <c r="R43" s="11" t="str">
        <f t="shared" si="32"/>
        <v/>
      </c>
      <c r="S43" s="11" t="str">
        <f t="shared" ref="S43:AK43" si="33">IF(S20="","",(S20/$O$23))</f>
        <v/>
      </c>
      <c r="T43" s="11" t="str">
        <f t="shared" si="33"/>
        <v/>
      </c>
      <c r="U43" s="11" t="str">
        <f t="shared" si="33"/>
        <v/>
      </c>
      <c r="V43" s="11" t="str">
        <f t="shared" si="33"/>
        <v/>
      </c>
      <c r="W43" s="11" t="str">
        <f t="shared" si="33"/>
        <v/>
      </c>
      <c r="X43" s="11" t="str">
        <f t="shared" si="33"/>
        <v/>
      </c>
      <c r="Y43" s="11" t="str">
        <f t="shared" si="33"/>
        <v/>
      </c>
      <c r="Z43" s="11" t="str">
        <f t="shared" si="33"/>
        <v/>
      </c>
      <c r="AA43" s="11" t="str">
        <f t="shared" si="33"/>
        <v/>
      </c>
      <c r="AB43" s="11" t="str">
        <f t="shared" si="33"/>
        <v/>
      </c>
      <c r="AC43" s="11" t="str">
        <f t="shared" si="33"/>
        <v/>
      </c>
      <c r="AD43" s="11" t="str">
        <f t="shared" si="33"/>
        <v/>
      </c>
      <c r="AE43" s="11" t="str">
        <f t="shared" si="33"/>
        <v/>
      </c>
      <c r="AF43" s="11" t="str">
        <f t="shared" si="33"/>
        <v/>
      </c>
      <c r="AG43" s="11" t="str">
        <f t="shared" si="33"/>
        <v/>
      </c>
      <c r="AH43" s="11" t="str">
        <f t="shared" si="33"/>
        <v/>
      </c>
      <c r="AI43" s="11" t="str">
        <f t="shared" si="33"/>
        <v/>
      </c>
      <c r="AJ43" s="11" t="str">
        <f t="shared" si="33"/>
        <v/>
      </c>
      <c r="AK43" s="11" t="str">
        <f t="shared" si="33"/>
        <v/>
      </c>
    </row>
    <row r="44" spans="1:37" x14ac:dyDescent="0.25">
      <c r="A44" s="7"/>
      <c r="B44" s="3"/>
      <c r="C44" s="3"/>
      <c r="D44" s="3"/>
      <c r="E44" s="3"/>
      <c r="F44" s="3"/>
      <c r="G44" s="3"/>
      <c r="H44" s="3"/>
      <c r="I44" s="3"/>
      <c r="J44" s="3"/>
      <c r="N44" s="7"/>
      <c r="O44" s="3"/>
      <c r="P44" s="3"/>
      <c r="Q44" s="3"/>
      <c r="R44" s="3"/>
      <c r="S44" s="3"/>
      <c r="T44" s="3"/>
      <c r="U44" s="3"/>
      <c r="V44" s="3"/>
      <c r="W44" s="3"/>
      <c r="X44" s="3"/>
      <c r="Y44" s="3"/>
      <c r="Z44" s="3"/>
      <c r="AA44" s="3"/>
      <c r="AB44" s="3"/>
      <c r="AC44" s="3"/>
      <c r="AD44" s="3"/>
      <c r="AE44" s="3"/>
      <c r="AF44" s="3"/>
      <c r="AG44" s="3"/>
      <c r="AH44" s="3"/>
      <c r="AI44" s="3"/>
      <c r="AJ44" s="3"/>
      <c r="AK44" s="3"/>
    </row>
    <row r="45" spans="1:37" s="72" customFormat="1" x14ac:dyDescent="0.25">
      <c r="A45" s="73" t="str">
        <f t="shared" ref="A45:M45" si="34">A4</f>
        <v>Noms des groupes</v>
      </c>
      <c r="B45" s="73" t="str">
        <f t="shared" si="34"/>
        <v>Témoin solvant</v>
      </c>
      <c r="C45" s="73" t="str">
        <f t="shared" si="34"/>
        <v>EE2-33.8ng/L</v>
      </c>
      <c r="D45" s="73" t="str">
        <f t="shared" si="34"/>
        <v>EE2-50.6ng/L</v>
      </c>
      <c r="E45" s="73" t="str">
        <f t="shared" si="34"/>
        <v>EE2-76ng/L</v>
      </c>
      <c r="F45" s="73" t="str">
        <f t="shared" si="34"/>
        <v>EE2-114ng/L</v>
      </c>
      <c r="G45" s="73" t="str">
        <f t="shared" si="34"/>
        <v>EE2-170.9ng/L</v>
      </c>
      <c r="H45" s="73" t="str">
        <f t="shared" si="34"/>
        <v>EE2-488ng/L</v>
      </c>
      <c r="I45" s="73" t="str">
        <f t="shared" si="34"/>
        <v>estradiol 34ng/L</v>
      </c>
      <c r="J45" s="73" t="str">
        <f t="shared" si="34"/>
        <v>estradiol 68ng/L</v>
      </c>
      <c r="K45" s="73" t="str">
        <f t="shared" si="34"/>
        <v>estradiol 135ng/L</v>
      </c>
      <c r="L45" s="73" t="str">
        <f t="shared" si="34"/>
        <v>estradiol 270ng/L</v>
      </c>
      <c r="M45" s="73" t="str">
        <f t="shared" si="34"/>
        <v>estradiol 540ng/L</v>
      </c>
      <c r="N45" s="73" t="str">
        <f>N22</f>
        <v>Nom des groupes</v>
      </c>
      <c r="O45" s="73" t="str">
        <f t="shared" ref="O45:AD45" si="35">O4</f>
        <v>Testo -30µg/L</v>
      </c>
      <c r="P45" s="73" t="str">
        <f t="shared" si="35"/>
        <v>Testo 30µg/L + EE2 -64ng/L</v>
      </c>
      <c r="Q45" s="73" t="str">
        <f t="shared" si="35"/>
        <v>Testo 30µg/L + FAD-10mg/L</v>
      </c>
      <c r="R45" s="73" t="str">
        <f t="shared" si="35"/>
        <v>estradiol-34ng/L + Testostérone</v>
      </c>
      <c r="S45" s="73" t="str">
        <f t="shared" si="35"/>
        <v>estradiol-68ng/L + Testostérone</v>
      </c>
      <c r="T45" s="73" t="str">
        <f t="shared" si="35"/>
        <v>estradiol-135ng/L + Testostérone</v>
      </c>
      <c r="U45" s="73" t="str">
        <f t="shared" si="35"/>
        <v>estradiol-270ng/L + Testostérone</v>
      </c>
      <c r="V45" s="73" t="str">
        <f t="shared" si="35"/>
        <v>estradiol-540ng/L + Testostérone</v>
      </c>
      <c r="W45" s="73" t="str">
        <f t="shared" si="35"/>
        <v>0-00 + Testostérone</v>
      </c>
      <c r="X45" s="73" t="str">
        <f t="shared" si="35"/>
        <v>0-00 + Testostérone</v>
      </c>
      <c r="Y45" s="73" t="str">
        <f t="shared" si="35"/>
        <v>0-00 + Testostérone</v>
      </c>
      <c r="Z45" s="73" t="str">
        <f t="shared" si="35"/>
        <v>0-00 + Testostérone</v>
      </c>
      <c r="AA45" s="73" t="str">
        <f t="shared" si="35"/>
        <v>0-00 + Testostérone</v>
      </c>
      <c r="AB45" s="73" t="str">
        <f t="shared" si="35"/>
        <v>0-00 + Testostérone</v>
      </c>
      <c r="AC45" s="73" t="str">
        <f t="shared" si="35"/>
        <v>0-00 + Testostérone</v>
      </c>
      <c r="AD45" s="73" t="str">
        <f t="shared" si="35"/>
        <v>0-00 + Testostérone</v>
      </c>
      <c r="AE45" s="73" t="str">
        <f t="shared" ref="AE45:AK45" si="36">AE4</f>
        <v>0-00 + Testostérone</v>
      </c>
      <c r="AF45" s="73" t="str">
        <f t="shared" si="36"/>
        <v>0-00 + Testostérone</v>
      </c>
      <c r="AG45" s="73" t="str">
        <f t="shared" si="36"/>
        <v>0-00 + Testostérone</v>
      </c>
      <c r="AH45" s="73" t="str">
        <f t="shared" si="36"/>
        <v>0-00 + Testostérone</v>
      </c>
      <c r="AI45" s="73" t="str">
        <f t="shared" si="36"/>
        <v>0-00 + Testostérone</v>
      </c>
      <c r="AJ45" s="73" t="str">
        <f t="shared" si="36"/>
        <v>0-00 + Testostérone</v>
      </c>
      <c r="AK45" s="73" t="str">
        <f t="shared" si="36"/>
        <v>0-00 + Testostérone</v>
      </c>
    </row>
    <row r="46" spans="1:37" x14ac:dyDescent="0.25">
      <c r="A46" s="8" t="s">
        <v>0</v>
      </c>
      <c r="B46" s="10">
        <f t="shared" ref="B46:H46" si="37">AVERAGE(B28:B43)</f>
        <v>0.28711179742097781</v>
      </c>
      <c r="C46" s="10">
        <f t="shared" si="37"/>
        <v>0.27885507671434989</v>
      </c>
      <c r="D46" s="10">
        <f t="shared" si="37"/>
        <v>0.29579698899899443</v>
      </c>
      <c r="E46" s="10">
        <f t="shared" si="37"/>
        <v>1.589627535074531</v>
      </c>
      <c r="F46" s="10">
        <f t="shared" si="37"/>
        <v>3.3475787057035342</v>
      </c>
      <c r="G46" s="10">
        <f t="shared" si="37"/>
        <v>3.8854558950719187</v>
      </c>
      <c r="H46" s="10">
        <f t="shared" si="37"/>
        <v>5.9796625195592217</v>
      </c>
      <c r="I46" s="10">
        <f>AVERAGE(I28:I43)</f>
        <v>0.27157228453869109</v>
      </c>
      <c r="J46" s="9">
        <f>AVERAGE(J28:J43)</f>
        <v>0.29527457555721692</v>
      </c>
      <c r="K46" s="9">
        <f>AVERAGE(K28:K43)</f>
        <v>1.6456774473137379</v>
      </c>
      <c r="L46" s="9">
        <f t="shared" ref="L46:M46" si="38">AVERAGE(L28:L43)</f>
        <v>2.1008252761607591</v>
      </c>
      <c r="M46" s="9">
        <f t="shared" si="38"/>
        <v>5.4428771304079619</v>
      </c>
      <c r="N46" s="8" t="s">
        <v>0</v>
      </c>
      <c r="O46" s="10">
        <f>AVERAGE(O28:O43)</f>
        <v>0.99999999999999989</v>
      </c>
      <c r="P46" s="10">
        <f>AVERAGE(P28:P43)</f>
        <v>4.9194636556095812</v>
      </c>
      <c r="Q46" s="10">
        <f>AVERAGE(Q28:Q43)</f>
        <v>0.15808032301624825</v>
      </c>
      <c r="R46" s="10">
        <f>AVERAGE(R28:R43)</f>
        <v>2.115992787771336</v>
      </c>
      <c r="S46" s="10">
        <f t="shared" ref="S46:AD46" si="39">AVERAGE(S28:S43)</f>
        <v>3.2726957272321648</v>
      </c>
      <c r="T46" s="10">
        <f t="shared" si="39"/>
        <v>3.389415771945425</v>
      </c>
      <c r="U46" s="10">
        <f t="shared" si="39"/>
        <v>4.8728056570683433</v>
      </c>
      <c r="V46" s="10">
        <f t="shared" si="39"/>
        <v>5.2660478515303426</v>
      </c>
      <c r="W46" s="10" t="e">
        <f t="shared" si="39"/>
        <v>#DIV/0!</v>
      </c>
      <c r="X46" s="10" t="e">
        <f t="shared" si="39"/>
        <v>#DIV/0!</v>
      </c>
      <c r="Y46" s="10" t="e">
        <f t="shared" si="39"/>
        <v>#DIV/0!</v>
      </c>
      <c r="Z46" s="10" t="e">
        <f t="shared" si="39"/>
        <v>#DIV/0!</v>
      </c>
      <c r="AA46" s="10" t="e">
        <f t="shared" si="39"/>
        <v>#DIV/0!</v>
      </c>
      <c r="AB46" s="10" t="e">
        <f t="shared" si="39"/>
        <v>#DIV/0!</v>
      </c>
      <c r="AC46" s="10" t="e">
        <f t="shared" si="39"/>
        <v>#DIV/0!</v>
      </c>
      <c r="AD46" s="10" t="e">
        <f t="shared" si="39"/>
        <v>#DIV/0!</v>
      </c>
      <c r="AE46" s="10" t="e">
        <f t="shared" ref="AE46:AK46" si="40">AVERAGE(AE28:AE43)</f>
        <v>#DIV/0!</v>
      </c>
      <c r="AF46" s="10" t="e">
        <f t="shared" si="40"/>
        <v>#DIV/0!</v>
      </c>
      <c r="AG46" s="10" t="e">
        <f t="shared" si="40"/>
        <v>#DIV/0!</v>
      </c>
      <c r="AH46" s="10" t="e">
        <f t="shared" si="40"/>
        <v>#DIV/0!</v>
      </c>
      <c r="AI46" s="10" t="e">
        <f t="shared" si="40"/>
        <v>#DIV/0!</v>
      </c>
      <c r="AJ46" s="10" t="e">
        <f t="shared" si="40"/>
        <v>#DIV/0!</v>
      </c>
      <c r="AK46" s="10" t="e">
        <f t="shared" si="40"/>
        <v>#DIV/0!</v>
      </c>
    </row>
    <row r="47" spans="1:37" x14ac:dyDescent="0.25">
      <c r="A47" s="8" t="s">
        <v>1</v>
      </c>
      <c r="B47" s="8">
        <f t="shared" ref="B47:K47" si="41">STDEV(B28:B43)</f>
        <v>0.15247416564713834</v>
      </c>
      <c r="C47" s="8">
        <f t="shared" si="41"/>
        <v>0.23167493214432031</v>
      </c>
      <c r="D47" s="8">
        <f t="shared" si="41"/>
        <v>0.25582960039780328</v>
      </c>
      <c r="E47" s="8">
        <f t="shared" si="41"/>
        <v>1.3865296246868726</v>
      </c>
      <c r="F47" s="8">
        <f t="shared" si="41"/>
        <v>0.81739444611859902</v>
      </c>
      <c r="G47" s="8">
        <f t="shared" si="41"/>
        <v>1.9690335713009768</v>
      </c>
      <c r="H47" s="8">
        <f t="shared" si="41"/>
        <v>0.77138091248368468</v>
      </c>
      <c r="I47" s="8">
        <f>STDEV(I28:I43)</f>
        <v>0.10730771375271046</v>
      </c>
      <c r="J47" s="8">
        <f t="shared" si="41"/>
        <v>9.2093446412785954E-2</v>
      </c>
      <c r="K47" s="8">
        <f t="shared" si="41"/>
        <v>1.4122383687569811</v>
      </c>
      <c r="L47" s="8">
        <f t="shared" ref="L47:M47" si="42">STDEV(L28:L43)</f>
        <v>1.5962495328896649</v>
      </c>
      <c r="M47" s="8">
        <f t="shared" si="42"/>
        <v>0.88736055546379833</v>
      </c>
      <c r="N47" s="8" t="s">
        <v>1</v>
      </c>
      <c r="O47" s="8">
        <f>STDEV(O28:O43)</f>
        <v>0.96649201804017648</v>
      </c>
      <c r="P47" s="8">
        <f>STDEV(P28:P43)</f>
        <v>1.2816326829682434</v>
      </c>
      <c r="Q47" s="8">
        <f>STDEV(Q28:Q43)</f>
        <v>0.11625629434281284</v>
      </c>
      <c r="R47" s="8">
        <f>STDEV(R28:R43)</f>
        <v>1.8845568775832282</v>
      </c>
      <c r="S47" s="8">
        <f t="shared" ref="S47:AD47" si="43">STDEV(S28:S43)</f>
        <v>1.2437862355581348</v>
      </c>
      <c r="T47" s="8">
        <f t="shared" si="43"/>
        <v>1.4013852607636907</v>
      </c>
      <c r="U47" s="8">
        <f t="shared" si="43"/>
        <v>1.5816110866020729</v>
      </c>
      <c r="V47" s="8">
        <f t="shared" si="43"/>
        <v>2.1735262803609223</v>
      </c>
      <c r="W47" s="8" t="e">
        <f t="shared" si="43"/>
        <v>#DIV/0!</v>
      </c>
      <c r="X47" s="8" t="e">
        <f t="shared" si="43"/>
        <v>#DIV/0!</v>
      </c>
      <c r="Y47" s="8" t="e">
        <f t="shared" si="43"/>
        <v>#DIV/0!</v>
      </c>
      <c r="Z47" s="8" t="e">
        <f t="shared" si="43"/>
        <v>#DIV/0!</v>
      </c>
      <c r="AA47" s="8" t="e">
        <f t="shared" si="43"/>
        <v>#DIV/0!</v>
      </c>
      <c r="AB47" s="8" t="e">
        <f t="shared" si="43"/>
        <v>#DIV/0!</v>
      </c>
      <c r="AC47" s="8" t="e">
        <f t="shared" si="43"/>
        <v>#DIV/0!</v>
      </c>
      <c r="AD47" s="8" t="e">
        <f t="shared" si="43"/>
        <v>#DIV/0!</v>
      </c>
      <c r="AE47" s="8" t="e">
        <f t="shared" ref="AE47:AK47" si="44">STDEV(AE28:AE43)</f>
        <v>#DIV/0!</v>
      </c>
      <c r="AF47" s="8" t="e">
        <f t="shared" si="44"/>
        <v>#DIV/0!</v>
      </c>
      <c r="AG47" s="8" t="e">
        <f t="shared" si="44"/>
        <v>#DIV/0!</v>
      </c>
      <c r="AH47" s="8" t="e">
        <f t="shared" si="44"/>
        <v>#DIV/0!</v>
      </c>
      <c r="AI47" s="8" t="e">
        <f t="shared" si="44"/>
        <v>#DIV/0!</v>
      </c>
      <c r="AJ47" s="8" t="e">
        <f t="shared" si="44"/>
        <v>#DIV/0!</v>
      </c>
      <c r="AK47" s="8" t="e">
        <f t="shared" si="44"/>
        <v>#DIV/0!</v>
      </c>
    </row>
    <row r="48" spans="1:37" x14ac:dyDescent="0.25">
      <c r="A48" s="8" t="s">
        <v>2</v>
      </c>
      <c r="B48" s="8">
        <f t="shared" ref="B48:K48" si="45" xml:space="preserve"> B47/SQRT(COUNT(B28:B43))</f>
        <v>5.3907758242426218E-2</v>
      </c>
      <c r="C48" s="8">
        <f t="shared" si="45"/>
        <v>8.7564893637376504E-2</v>
      </c>
      <c r="D48" s="8">
        <f t="shared" si="45"/>
        <v>9.0449422634765686E-2</v>
      </c>
      <c r="E48" s="8">
        <f t="shared" si="45"/>
        <v>0.49021224996606311</v>
      </c>
      <c r="F48" s="8">
        <f t="shared" si="45"/>
        <v>0.28899257787734167</v>
      </c>
      <c r="G48" s="8">
        <f t="shared" si="45"/>
        <v>0.74422473611425033</v>
      </c>
      <c r="H48" s="8">
        <f t="shared" si="45"/>
        <v>0.27272433704754007</v>
      </c>
      <c r="I48" s="8">
        <f xml:space="preserve"> I47/SQRT(COUNT(I28:I43))</f>
        <v>3.7939006034083254E-2</v>
      </c>
      <c r="J48" s="8">
        <f t="shared" si="45"/>
        <v>3.2559950230660439E-2</v>
      </c>
      <c r="K48" s="8">
        <f t="shared" si="45"/>
        <v>0.49930166359994466</v>
      </c>
      <c r="L48" s="8">
        <f t="shared" ref="L48:M48" si="46" xml:space="preserve"> L47/SQRT(COUNT(L28:L43))</f>
        <v>0.56435943458607041</v>
      </c>
      <c r="M48" s="8">
        <f t="shared" si="46"/>
        <v>0.31372933306295664</v>
      </c>
      <c r="N48" s="8" t="s">
        <v>2</v>
      </c>
      <c r="O48" s="8">
        <f xml:space="preserve"> O47/SQRT(COUNT(O28:O43))</f>
        <v>0.24954716600746679</v>
      </c>
      <c r="P48" s="8">
        <f xml:space="preserve"> P47/SQRT(COUNT(P28:P43))</f>
        <v>0.45312558055857671</v>
      </c>
      <c r="Q48" s="8">
        <f xml:space="preserve"> Q47/SQRT(COUNT(Q28:Q43))</f>
        <v>4.1102807042711111E-2</v>
      </c>
      <c r="R48" s="8">
        <f xml:space="preserve"> R47/SQRT(COUNT(R28:R43))</f>
        <v>0.71229554709165954</v>
      </c>
      <c r="S48" s="8">
        <f t="shared" ref="S48:AD48" si="47" xml:space="preserve"> S47/SQRT(COUNT(S28:S43))</f>
        <v>0.43974484075482284</v>
      </c>
      <c r="T48" s="8">
        <f t="shared" si="47"/>
        <v>0.49546451047044193</v>
      </c>
      <c r="U48" s="8">
        <f t="shared" si="47"/>
        <v>0.55918396226807476</v>
      </c>
      <c r="V48" s="8">
        <f t="shared" si="47"/>
        <v>0.76845758596519054</v>
      </c>
      <c r="W48" s="8" t="e">
        <f t="shared" si="47"/>
        <v>#DIV/0!</v>
      </c>
      <c r="X48" s="8" t="e">
        <f t="shared" si="47"/>
        <v>#DIV/0!</v>
      </c>
      <c r="Y48" s="8" t="e">
        <f t="shared" si="47"/>
        <v>#DIV/0!</v>
      </c>
      <c r="Z48" s="8" t="e">
        <f t="shared" si="47"/>
        <v>#DIV/0!</v>
      </c>
      <c r="AA48" s="8" t="e">
        <f t="shared" si="47"/>
        <v>#DIV/0!</v>
      </c>
      <c r="AB48" s="8" t="e">
        <f t="shared" si="47"/>
        <v>#DIV/0!</v>
      </c>
      <c r="AC48" s="8" t="e">
        <f t="shared" si="47"/>
        <v>#DIV/0!</v>
      </c>
      <c r="AD48" s="8" t="e">
        <f t="shared" si="47"/>
        <v>#DIV/0!</v>
      </c>
      <c r="AE48" s="8" t="e">
        <f t="shared" ref="AE48:AK48" si="48" xml:space="preserve"> AE47/SQRT(COUNT(AE28:AE43))</f>
        <v>#DIV/0!</v>
      </c>
      <c r="AF48" s="8" t="e">
        <f t="shared" si="48"/>
        <v>#DIV/0!</v>
      </c>
      <c r="AG48" s="8" t="e">
        <f t="shared" si="48"/>
        <v>#DIV/0!</v>
      </c>
      <c r="AH48" s="8" t="e">
        <f t="shared" si="48"/>
        <v>#DIV/0!</v>
      </c>
      <c r="AI48" s="8" t="e">
        <f t="shared" si="48"/>
        <v>#DIV/0!</v>
      </c>
      <c r="AJ48" s="8" t="e">
        <f t="shared" si="48"/>
        <v>#DIV/0!</v>
      </c>
      <c r="AK48" s="8" t="e">
        <f t="shared" si="48"/>
        <v>#DIV/0!</v>
      </c>
    </row>
    <row r="49" spans="1:37" s="1" customFormat="1" ht="15.75" thickBot="1" x14ac:dyDescent="0.3">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row>
    <row r="50" spans="1:37" ht="27" thickBot="1" x14ac:dyDescent="0.45">
      <c r="A50" s="224" t="s">
        <v>38</v>
      </c>
      <c r="B50" s="225"/>
      <c r="C50" s="225"/>
      <c r="D50" s="225"/>
      <c r="E50" s="225"/>
      <c r="F50" s="225"/>
      <c r="G50" s="225"/>
      <c r="H50" s="225"/>
      <c r="I50" s="225"/>
      <c r="J50" s="225"/>
      <c r="K50" s="225"/>
      <c r="L50" s="225"/>
      <c r="M50" s="225"/>
      <c r="N50" s="225"/>
      <c r="O50" s="225"/>
      <c r="P50" s="225"/>
      <c r="Q50" s="225"/>
      <c r="R50" s="225"/>
      <c r="S50" s="225"/>
      <c r="T50" s="225"/>
      <c r="U50" s="225"/>
      <c r="V50" s="225"/>
      <c r="W50" s="225"/>
      <c r="X50" s="225"/>
      <c r="Y50" s="225"/>
      <c r="Z50" s="225"/>
      <c r="AA50" s="225"/>
      <c r="AB50" s="225"/>
      <c r="AC50" s="225"/>
      <c r="AD50" s="225"/>
      <c r="AE50" s="225"/>
      <c r="AF50" s="225"/>
      <c r="AG50" s="225"/>
      <c r="AH50" s="225"/>
      <c r="AI50" s="225"/>
      <c r="AJ50" s="225"/>
      <c r="AK50" s="226"/>
    </row>
    <row r="51" spans="1:37" ht="15.75" thickBot="1" x14ac:dyDescent="0.3">
      <c r="A51"/>
      <c r="B51"/>
      <c r="C51"/>
      <c r="D51"/>
      <c r="E51"/>
      <c r="F51"/>
      <c r="G51"/>
      <c r="H51"/>
      <c r="I51"/>
      <c r="J51"/>
      <c r="K51"/>
      <c r="L51"/>
      <c r="M51"/>
      <c r="S51"/>
      <c r="T51"/>
      <c r="U51"/>
      <c r="V51"/>
      <c r="W51"/>
      <c r="X51"/>
      <c r="Y51"/>
      <c r="Z51"/>
      <c r="AA51"/>
      <c r="AB51"/>
      <c r="AC51"/>
      <c r="AD51"/>
    </row>
    <row r="52" spans="1:37" x14ac:dyDescent="0.25">
      <c r="A52" s="45" t="str">
        <f t="shared" ref="A52:H52" si="49">A27</f>
        <v>Noms des groupes</v>
      </c>
      <c r="B52" s="46" t="str">
        <f t="shared" si="49"/>
        <v>Témoin solvant</v>
      </c>
      <c r="C52" s="46" t="str">
        <f t="shared" si="49"/>
        <v>EE2-33.8ng/L</v>
      </c>
      <c r="D52" s="46" t="str">
        <f t="shared" si="49"/>
        <v>EE2-50.6ng/L</v>
      </c>
      <c r="E52" s="46" t="str">
        <f t="shared" si="49"/>
        <v>EE2-76ng/L</v>
      </c>
      <c r="F52" s="46" t="str">
        <f t="shared" si="49"/>
        <v>EE2-114ng/L</v>
      </c>
      <c r="G52" s="46" t="str">
        <f t="shared" si="49"/>
        <v>EE2-170.9ng/L</v>
      </c>
      <c r="H52" s="46" t="str">
        <f t="shared" si="49"/>
        <v>EE2-488ng/L</v>
      </c>
      <c r="I52" s="46" t="str">
        <f>I4</f>
        <v>estradiol 34ng/L</v>
      </c>
      <c r="J52" s="46" t="str">
        <f>J4</f>
        <v>estradiol 68ng/L</v>
      </c>
      <c r="K52" s="46" t="str">
        <f>K27</f>
        <v>estradiol 135ng/L</v>
      </c>
      <c r="L52" s="46" t="str">
        <f t="shared" ref="L52:M52" si="50">L27</f>
        <v>estradiol 270ng/L</v>
      </c>
      <c r="M52" s="46" t="str">
        <f t="shared" si="50"/>
        <v>estradiol 540ng/L</v>
      </c>
      <c r="N52" s="47"/>
      <c r="O52" s="46" t="str">
        <f>O27</f>
        <v>Testo -30µg/L</v>
      </c>
      <c r="P52" s="46" t="str">
        <f>P27</f>
        <v>Testo 30µg/L + EE2 -64ng/L</v>
      </c>
      <c r="Q52" s="46" t="str">
        <f>Q27</f>
        <v>Testo 30µg/L + FAD-10mg/L</v>
      </c>
      <c r="R52" s="46" t="str">
        <f>R27</f>
        <v>estradiol-34ng/L + Testostérone</v>
      </c>
      <c r="S52" s="46" t="str">
        <f t="shared" ref="S52:AD52" si="51">S27</f>
        <v>estradiol-68ng/L + Testostérone</v>
      </c>
      <c r="T52" s="46" t="str">
        <f t="shared" si="51"/>
        <v>estradiol-135ng/L + Testostérone</v>
      </c>
      <c r="U52" s="46" t="str">
        <f t="shared" si="51"/>
        <v>estradiol-270ng/L + Testostérone</v>
      </c>
      <c r="V52" s="46" t="str">
        <f t="shared" si="51"/>
        <v>estradiol-540ng/L + Testostérone</v>
      </c>
      <c r="W52" s="46" t="str">
        <f t="shared" si="51"/>
        <v>0-00 + Testostérone</v>
      </c>
      <c r="X52" s="46" t="str">
        <f t="shared" si="51"/>
        <v>0-00 + Testostérone</v>
      </c>
      <c r="Y52" s="46" t="str">
        <f t="shared" si="51"/>
        <v>0-00 + Testostérone</v>
      </c>
      <c r="Z52" s="46" t="str">
        <f t="shared" si="51"/>
        <v>0-00 + Testostérone</v>
      </c>
      <c r="AA52" s="46" t="str">
        <f t="shared" si="51"/>
        <v>0-00 + Testostérone</v>
      </c>
      <c r="AB52" s="46" t="str">
        <f t="shared" si="51"/>
        <v>0-00 + Testostérone</v>
      </c>
      <c r="AC52" s="46" t="str">
        <f t="shared" si="51"/>
        <v>0-00 + Testostérone</v>
      </c>
      <c r="AD52" s="46" t="str">
        <f t="shared" si="51"/>
        <v>0-00 + Testostérone</v>
      </c>
      <c r="AE52" s="46" t="str">
        <f t="shared" ref="AE52:AK52" si="52">AE27</f>
        <v>0-00 + Testostérone</v>
      </c>
      <c r="AF52" s="46" t="str">
        <f t="shared" si="52"/>
        <v>0-00 + Testostérone</v>
      </c>
      <c r="AG52" s="46" t="str">
        <f t="shared" si="52"/>
        <v>0-00 + Testostérone</v>
      </c>
      <c r="AH52" s="46" t="str">
        <f t="shared" si="52"/>
        <v>0-00 + Testostérone</v>
      </c>
      <c r="AI52" s="46" t="str">
        <f t="shared" si="52"/>
        <v>0-00 + Testostérone</v>
      </c>
      <c r="AJ52" s="46" t="str">
        <f t="shared" si="52"/>
        <v>0-00 + Testostérone</v>
      </c>
      <c r="AK52" s="48" t="str">
        <f t="shared" si="52"/>
        <v>0-00 + Testostérone</v>
      </c>
    </row>
    <row r="53" spans="1:37" s="3" customFormat="1" x14ac:dyDescent="0.25">
      <c r="A53" s="64" t="s">
        <v>32</v>
      </c>
      <c r="B53" s="145">
        <f t="shared" ref="B53:M53" si="53">B46</f>
        <v>0.28711179742097781</v>
      </c>
      <c r="C53" s="145">
        <f t="shared" si="53"/>
        <v>0.27885507671434989</v>
      </c>
      <c r="D53" s="145">
        <f t="shared" si="53"/>
        <v>0.29579698899899443</v>
      </c>
      <c r="E53" s="145">
        <f t="shared" si="53"/>
        <v>1.589627535074531</v>
      </c>
      <c r="F53" s="145">
        <f t="shared" si="53"/>
        <v>3.3475787057035342</v>
      </c>
      <c r="G53" s="145">
        <f t="shared" si="53"/>
        <v>3.8854558950719187</v>
      </c>
      <c r="H53" s="145">
        <f t="shared" si="53"/>
        <v>5.9796625195592217</v>
      </c>
      <c r="I53" s="145">
        <f t="shared" si="53"/>
        <v>0.27157228453869109</v>
      </c>
      <c r="J53" s="145">
        <f t="shared" si="53"/>
        <v>0.29527457555721692</v>
      </c>
      <c r="K53" s="145">
        <f t="shared" si="53"/>
        <v>1.6456774473137379</v>
      </c>
      <c r="L53" s="145">
        <f t="shared" si="53"/>
        <v>2.1008252761607591</v>
      </c>
      <c r="M53" s="145">
        <f t="shared" si="53"/>
        <v>5.4428771304079619</v>
      </c>
      <c r="N53" s="145"/>
      <c r="O53" s="145">
        <f t="shared" ref="O53:AK53" si="54">O46</f>
        <v>0.99999999999999989</v>
      </c>
      <c r="P53" s="145">
        <f t="shared" si="54"/>
        <v>4.9194636556095812</v>
      </c>
      <c r="Q53" s="145">
        <f t="shared" si="54"/>
        <v>0.15808032301624825</v>
      </c>
      <c r="R53" s="145">
        <f t="shared" si="54"/>
        <v>2.115992787771336</v>
      </c>
      <c r="S53" s="145">
        <f t="shared" si="54"/>
        <v>3.2726957272321648</v>
      </c>
      <c r="T53" s="145">
        <f t="shared" si="54"/>
        <v>3.389415771945425</v>
      </c>
      <c r="U53" s="145">
        <f t="shared" si="54"/>
        <v>4.8728056570683433</v>
      </c>
      <c r="V53" s="145">
        <f t="shared" si="54"/>
        <v>5.2660478515303426</v>
      </c>
      <c r="W53" s="145" t="e">
        <f t="shared" si="54"/>
        <v>#DIV/0!</v>
      </c>
      <c r="X53" s="145" t="e">
        <f t="shared" si="54"/>
        <v>#DIV/0!</v>
      </c>
      <c r="Y53" s="145" t="e">
        <f t="shared" si="54"/>
        <v>#DIV/0!</v>
      </c>
      <c r="Z53" s="145" t="e">
        <f t="shared" si="54"/>
        <v>#DIV/0!</v>
      </c>
      <c r="AA53" s="145" t="e">
        <f t="shared" si="54"/>
        <v>#DIV/0!</v>
      </c>
      <c r="AB53" s="145" t="e">
        <f t="shared" si="54"/>
        <v>#DIV/0!</v>
      </c>
      <c r="AC53" s="145" t="e">
        <f t="shared" si="54"/>
        <v>#DIV/0!</v>
      </c>
      <c r="AD53" s="145" t="e">
        <f t="shared" si="54"/>
        <v>#DIV/0!</v>
      </c>
      <c r="AE53" s="145" t="e">
        <f t="shared" si="54"/>
        <v>#DIV/0!</v>
      </c>
      <c r="AF53" s="145" t="e">
        <f t="shared" si="54"/>
        <v>#DIV/0!</v>
      </c>
      <c r="AG53" s="145" t="e">
        <f t="shared" si="54"/>
        <v>#DIV/0!</v>
      </c>
      <c r="AH53" s="145" t="e">
        <f t="shared" si="54"/>
        <v>#DIV/0!</v>
      </c>
      <c r="AI53" s="145" t="e">
        <f t="shared" si="54"/>
        <v>#DIV/0!</v>
      </c>
      <c r="AJ53" s="145" t="e">
        <f t="shared" si="54"/>
        <v>#DIV/0!</v>
      </c>
      <c r="AK53" s="145" t="e">
        <f t="shared" si="54"/>
        <v>#DIV/0!</v>
      </c>
    </row>
    <row r="54" spans="1:37" s="3" customFormat="1" x14ac:dyDescent="0.25">
      <c r="A54" s="64" t="s">
        <v>2</v>
      </c>
      <c r="B54" s="145">
        <f t="shared" ref="B54:M54" si="55">B48</f>
        <v>5.3907758242426218E-2</v>
      </c>
      <c r="C54" s="145">
        <f t="shared" si="55"/>
        <v>8.7564893637376504E-2</v>
      </c>
      <c r="D54" s="145">
        <f t="shared" si="55"/>
        <v>9.0449422634765686E-2</v>
      </c>
      <c r="E54" s="145">
        <f t="shared" si="55"/>
        <v>0.49021224996606311</v>
      </c>
      <c r="F54" s="145">
        <f t="shared" si="55"/>
        <v>0.28899257787734167</v>
      </c>
      <c r="G54" s="145">
        <f t="shared" si="55"/>
        <v>0.74422473611425033</v>
      </c>
      <c r="H54" s="145">
        <f t="shared" si="55"/>
        <v>0.27272433704754007</v>
      </c>
      <c r="I54" s="145">
        <f t="shared" si="55"/>
        <v>3.7939006034083254E-2</v>
      </c>
      <c r="J54" s="145">
        <f t="shared" si="55"/>
        <v>3.2559950230660439E-2</v>
      </c>
      <c r="K54" s="145">
        <f t="shared" si="55"/>
        <v>0.49930166359994466</v>
      </c>
      <c r="L54" s="145">
        <f t="shared" si="55"/>
        <v>0.56435943458607041</v>
      </c>
      <c r="M54" s="145">
        <f t="shared" si="55"/>
        <v>0.31372933306295664</v>
      </c>
      <c r="N54" s="145"/>
      <c r="O54" s="145">
        <f t="shared" ref="O54:AK54" si="56">O48</f>
        <v>0.24954716600746679</v>
      </c>
      <c r="P54" s="145">
        <f t="shared" si="56"/>
        <v>0.45312558055857671</v>
      </c>
      <c r="Q54" s="145">
        <f t="shared" si="56"/>
        <v>4.1102807042711111E-2</v>
      </c>
      <c r="R54" s="145">
        <f t="shared" si="56"/>
        <v>0.71229554709165954</v>
      </c>
      <c r="S54" s="145">
        <f t="shared" si="56"/>
        <v>0.43974484075482284</v>
      </c>
      <c r="T54" s="145">
        <f t="shared" si="56"/>
        <v>0.49546451047044193</v>
      </c>
      <c r="U54" s="145">
        <f t="shared" si="56"/>
        <v>0.55918396226807476</v>
      </c>
      <c r="V54" s="145">
        <f t="shared" si="56"/>
        <v>0.76845758596519054</v>
      </c>
      <c r="W54" s="145" t="e">
        <f t="shared" si="56"/>
        <v>#DIV/0!</v>
      </c>
      <c r="X54" s="145" t="e">
        <f t="shared" si="56"/>
        <v>#DIV/0!</v>
      </c>
      <c r="Y54" s="145" t="e">
        <f t="shared" si="56"/>
        <v>#DIV/0!</v>
      </c>
      <c r="Z54" s="145" t="e">
        <f t="shared" si="56"/>
        <v>#DIV/0!</v>
      </c>
      <c r="AA54" s="145" t="e">
        <f t="shared" si="56"/>
        <v>#DIV/0!</v>
      </c>
      <c r="AB54" s="145" t="e">
        <f t="shared" si="56"/>
        <v>#DIV/0!</v>
      </c>
      <c r="AC54" s="145" t="e">
        <f t="shared" si="56"/>
        <v>#DIV/0!</v>
      </c>
      <c r="AD54" s="145" t="e">
        <f t="shared" si="56"/>
        <v>#DIV/0!</v>
      </c>
      <c r="AE54" s="145" t="e">
        <f t="shared" si="56"/>
        <v>#DIV/0!</v>
      </c>
      <c r="AF54" s="145" t="e">
        <f t="shared" si="56"/>
        <v>#DIV/0!</v>
      </c>
      <c r="AG54" s="145" t="e">
        <f t="shared" si="56"/>
        <v>#DIV/0!</v>
      </c>
      <c r="AH54" s="145" t="e">
        <f t="shared" si="56"/>
        <v>#DIV/0!</v>
      </c>
      <c r="AI54" s="145" t="e">
        <f t="shared" si="56"/>
        <v>#DIV/0!</v>
      </c>
      <c r="AJ54" s="145" t="e">
        <f t="shared" si="56"/>
        <v>#DIV/0!</v>
      </c>
      <c r="AK54" s="145" t="e">
        <f t="shared" si="56"/>
        <v>#DIV/0!</v>
      </c>
    </row>
    <row r="55" spans="1:37" s="3" customFormat="1" x14ac:dyDescent="0.25">
      <c r="A55" s="64" t="s">
        <v>79</v>
      </c>
      <c r="B55" s="145">
        <f t="shared" ref="B55:M55" si="57">(B53*100/$B$53)-100</f>
        <v>0</v>
      </c>
      <c r="C55" s="145">
        <f t="shared" si="57"/>
        <v>-2.875785941502599</v>
      </c>
      <c r="D55" s="145">
        <f t="shared" si="57"/>
        <v>3.0250207953948802</v>
      </c>
      <c r="E55" s="145">
        <f t="shared" si="57"/>
        <v>453.66151769226633</v>
      </c>
      <c r="F55" s="145">
        <f t="shared" si="57"/>
        <v>1065.9495484942213</v>
      </c>
      <c r="G55" s="145">
        <f t="shared" si="57"/>
        <v>1253.2902270034092</v>
      </c>
      <c r="H55" s="145">
        <f t="shared" si="57"/>
        <v>1982.694815494307</v>
      </c>
      <c r="I55" s="145">
        <f t="shared" si="57"/>
        <v>-5.4123561002621869</v>
      </c>
      <c r="J55" s="145">
        <f t="shared" si="57"/>
        <v>2.8430660842091555</v>
      </c>
      <c r="K55" s="145">
        <f t="shared" si="57"/>
        <v>473.18349928364751</v>
      </c>
      <c r="L55" s="145">
        <f t="shared" si="57"/>
        <v>631.70984091622779</v>
      </c>
      <c r="M55" s="145">
        <f t="shared" si="57"/>
        <v>1795.734407049579</v>
      </c>
      <c r="N55" s="145"/>
      <c r="O55" s="145">
        <f>(O53*100/$O$53)-100</f>
        <v>0</v>
      </c>
      <c r="P55" s="145">
        <f t="shared" ref="P55:AK55" si="58">(P53*100/$O$53)-100</f>
        <v>391.94636556095816</v>
      </c>
      <c r="Q55" s="145">
        <f t="shared" si="58"/>
        <v>-84.19196769837518</v>
      </c>
      <c r="R55" s="145">
        <f t="shared" si="58"/>
        <v>111.59927877713363</v>
      </c>
      <c r="S55" s="145">
        <f t="shared" si="58"/>
        <v>227.26957272321653</v>
      </c>
      <c r="T55" s="145">
        <f t="shared" si="58"/>
        <v>238.94157719454256</v>
      </c>
      <c r="U55" s="145">
        <f t="shared" si="58"/>
        <v>387.28056570683441</v>
      </c>
      <c r="V55" s="145">
        <f t="shared" si="58"/>
        <v>426.60478515303441</v>
      </c>
      <c r="W55" s="145" t="e">
        <f t="shared" si="58"/>
        <v>#DIV/0!</v>
      </c>
      <c r="X55" s="145" t="e">
        <f t="shared" si="58"/>
        <v>#DIV/0!</v>
      </c>
      <c r="Y55" s="145" t="e">
        <f t="shared" si="58"/>
        <v>#DIV/0!</v>
      </c>
      <c r="Z55" s="145" t="e">
        <f t="shared" si="58"/>
        <v>#DIV/0!</v>
      </c>
      <c r="AA55" s="145" t="e">
        <f t="shared" si="58"/>
        <v>#DIV/0!</v>
      </c>
      <c r="AB55" s="145" t="e">
        <f t="shared" si="58"/>
        <v>#DIV/0!</v>
      </c>
      <c r="AC55" s="145" t="e">
        <f t="shared" si="58"/>
        <v>#DIV/0!</v>
      </c>
      <c r="AD55" s="145" t="e">
        <f t="shared" si="58"/>
        <v>#DIV/0!</v>
      </c>
      <c r="AE55" s="145" t="e">
        <f t="shared" si="58"/>
        <v>#DIV/0!</v>
      </c>
      <c r="AF55" s="145" t="e">
        <f t="shared" si="58"/>
        <v>#DIV/0!</v>
      </c>
      <c r="AG55" s="145" t="e">
        <f t="shared" si="58"/>
        <v>#DIV/0!</v>
      </c>
      <c r="AH55" s="145" t="e">
        <f t="shared" si="58"/>
        <v>#DIV/0!</v>
      </c>
      <c r="AI55" s="145" t="e">
        <f t="shared" si="58"/>
        <v>#DIV/0!</v>
      </c>
      <c r="AJ55" s="145" t="e">
        <f t="shared" si="58"/>
        <v>#DIV/0!</v>
      </c>
      <c r="AK55" s="145" t="e">
        <f t="shared" si="58"/>
        <v>#DIV/0!</v>
      </c>
    </row>
    <row r="56" spans="1:37" s="3" customFormat="1" x14ac:dyDescent="0.25">
      <c r="A56" s="64" t="s">
        <v>81</v>
      </c>
      <c r="B56" s="145" t="e">
        <f ca="1">[1]!SWTEST(B28:B43)</f>
        <v>#NAME?</v>
      </c>
      <c r="C56" s="145" t="e">
        <f ca="1">[1]!SWTEST(C28:C43)</f>
        <v>#NAME?</v>
      </c>
      <c r="D56" s="145" t="e">
        <f ca="1">[1]!SWTEST(D28:D43)</f>
        <v>#NAME?</v>
      </c>
      <c r="E56" s="145" t="e">
        <f ca="1">[1]!SWTEST(E28:E43)</f>
        <v>#NAME?</v>
      </c>
      <c r="F56" s="145" t="e">
        <f ca="1">[1]!SWTEST(F28:F43)</f>
        <v>#NAME?</v>
      </c>
      <c r="G56" s="145" t="e">
        <f ca="1">[1]!SWTEST(G28:G43)</f>
        <v>#NAME?</v>
      </c>
      <c r="H56" s="145" t="e">
        <f ca="1">[1]!SWTEST(H28:H43)</f>
        <v>#NAME?</v>
      </c>
      <c r="I56" s="145" t="e">
        <f ca="1">[1]!SWTEST(I28:I43)</f>
        <v>#NAME?</v>
      </c>
      <c r="J56" s="145" t="e">
        <f ca="1">[1]!SWTEST(J28:J43)</f>
        <v>#NAME?</v>
      </c>
      <c r="K56" s="145" t="e">
        <f ca="1">[1]!SWTEST(K28:K43)</f>
        <v>#NAME?</v>
      </c>
      <c r="L56" s="145" t="e">
        <f ca="1">[1]!SWTEST(L28:L43)</f>
        <v>#NAME?</v>
      </c>
      <c r="M56" s="145" t="e">
        <f ca="1">[1]!SWTEST(M28:M43)</f>
        <v>#NAME?</v>
      </c>
      <c r="N56" s="145"/>
      <c r="O56" s="145" t="e">
        <f ca="1">[1]!SWTEST(O28:O43)</f>
        <v>#NAME?</v>
      </c>
      <c r="P56" s="145" t="e">
        <f ca="1">[1]!SWTEST(P28:P43)</f>
        <v>#NAME?</v>
      </c>
      <c r="Q56" s="145" t="e">
        <f ca="1">[1]!SWTEST(Q28:Q43)</f>
        <v>#NAME?</v>
      </c>
      <c r="R56" s="145" t="e">
        <f ca="1">[1]!SWTEST(R28:R43)</f>
        <v>#NAME?</v>
      </c>
      <c r="S56" s="145" t="e">
        <f ca="1">[1]!SWTEST(S28:S43)</f>
        <v>#NAME?</v>
      </c>
      <c r="T56" s="145" t="e">
        <f ca="1">[1]!SWTEST(T28:T43)</f>
        <v>#NAME?</v>
      </c>
      <c r="U56" s="145" t="e">
        <f ca="1">[1]!SWTEST(U28:U43)</f>
        <v>#NAME?</v>
      </c>
      <c r="V56" s="145" t="e">
        <f ca="1">[1]!SWTEST(V28:V43)</f>
        <v>#NAME?</v>
      </c>
      <c r="W56" s="145" t="e">
        <f ca="1">[1]!SWTEST(W28:W43)</f>
        <v>#NAME?</v>
      </c>
      <c r="X56" s="145" t="e">
        <f ca="1">[1]!SWTEST(X28:X43)</f>
        <v>#NAME?</v>
      </c>
      <c r="Y56" s="145" t="e">
        <f ca="1">[1]!SWTEST(Y28:Y43)</f>
        <v>#NAME?</v>
      </c>
      <c r="Z56" s="145" t="e">
        <f ca="1">[1]!SWTEST(Z28:Z43)</f>
        <v>#NAME?</v>
      </c>
      <c r="AA56" s="145" t="e">
        <f ca="1">[1]!SWTEST(AA28:AA43)</f>
        <v>#NAME?</v>
      </c>
      <c r="AB56" s="145" t="e">
        <f ca="1">[1]!SWTEST(AB28:AB43)</f>
        <v>#NAME?</v>
      </c>
      <c r="AC56" s="145" t="e">
        <f ca="1">[1]!SWTEST(AC28:AC43)</f>
        <v>#NAME?</v>
      </c>
      <c r="AD56" s="145" t="e">
        <f ca="1">[1]!SWTEST(AD28:AD43)</f>
        <v>#NAME?</v>
      </c>
      <c r="AE56" s="145" t="e">
        <f ca="1">[1]!SWTEST(AE28:AE43)</f>
        <v>#NAME?</v>
      </c>
      <c r="AF56" s="145" t="e">
        <f ca="1">[1]!SWTEST(AF28:AF43)</f>
        <v>#NAME?</v>
      </c>
      <c r="AG56" s="145" t="e">
        <f ca="1">[1]!SWTEST(AG28:AG43)</f>
        <v>#NAME?</v>
      </c>
      <c r="AH56" s="145" t="e">
        <f ca="1">[1]!SWTEST(AH28:AH43)</f>
        <v>#NAME?</v>
      </c>
      <c r="AI56" s="145" t="e">
        <f ca="1">[1]!SWTEST(AI28:AI43)</f>
        <v>#NAME?</v>
      </c>
      <c r="AJ56" s="145" t="e">
        <f ca="1">[1]!SWTEST(AJ28:AJ43)</f>
        <v>#NAME?</v>
      </c>
      <c r="AK56" s="145" t="e">
        <f ca="1">[1]!SWTEST(AK28:AK43)</f>
        <v>#NAME?</v>
      </c>
    </row>
    <row r="57" spans="1:37" s="3" customFormat="1" x14ac:dyDescent="0.25">
      <c r="A57" s="64" t="s">
        <v>85</v>
      </c>
      <c r="B57" s="145" t="e">
        <f t="shared" ref="B57:M57" ca="1" si="59">IF(B56&gt;0.05,"Oui","Non")</f>
        <v>#NAME?</v>
      </c>
      <c r="C57" s="145" t="e">
        <f t="shared" ca="1" si="59"/>
        <v>#NAME?</v>
      </c>
      <c r="D57" s="145" t="e">
        <f t="shared" ca="1" si="59"/>
        <v>#NAME?</v>
      </c>
      <c r="E57" s="145" t="e">
        <f t="shared" ca="1" si="59"/>
        <v>#NAME?</v>
      </c>
      <c r="F57" s="145" t="e">
        <f t="shared" ca="1" si="59"/>
        <v>#NAME?</v>
      </c>
      <c r="G57" s="145" t="e">
        <f t="shared" ca="1" si="59"/>
        <v>#NAME?</v>
      </c>
      <c r="H57" s="145" t="e">
        <f t="shared" ca="1" si="59"/>
        <v>#NAME?</v>
      </c>
      <c r="I57" s="145" t="e">
        <f t="shared" ca="1" si="59"/>
        <v>#NAME?</v>
      </c>
      <c r="J57" s="145" t="e">
        <f t="shared" ca="1" si="59"/>
        <v>#NAME?</v>
      </c>
      <c r="K57" s="145" t="e">
        <f t="shared" ca="1" si="59"/>
        <v>#NAME?</v>
      </c>
      <c r="L57" s="145" t="e">
        <f t="shared" ca="1" si="59"/>
        <v>#NAME?</v>
      </c>
      <c r="M57" s="145" t="e">
        <f t="shared" ca="1" si="59"/>
        <v>#NAME?</v>
      </c>
      <c r="N57" s="145"/>
      <c r="O57" s="145" t="e">
        <f t="shared" ref="O57:AK57" ca="1" si="60">IF(O56&gt;0.05,"Oui","Non")</f>
        <v>#NAME?</v>
      </c>
      <c r="P57" s="145" t="e">
        <f t="shared" ca="1" si="60"/>
        <v>#NAME?</v>
      </c>
      <c r="Q57" s="145" t="e">
        <f t="shared" ca="1" si="60"/>
        <v>#NAME?</v>
      </c>
      <c r="R57" s="145" t="e">
        <f t="shared" ca="1" si="60"/>
        <v>#NAME?</v>
      </c>
      <c r="S57" s="145" t="e">
        <f t="shared" ca="1" si="60"/>
        <v>#NAME?</v>
      </c>
      <c r="T57" s="145" t="e">
        <f t="shared" ca="1" si="60"/>
        <v>#NAME?</v>
      </c>
      <c r="U57" s="145" t="e">
        <f t="shared" ca="1" si="60"/>
        <v>#NAME?</v>
      </c>
      <c r="V57" s="145" t="e">
        <f t="shared" ca="1" si="60"/>
        <v>#NAME?</v>
      </c>
      <c r="W57" s="145" t="e">
        <f t="shared" ca="1" si="60"/>
        <v>#NAME?</v>
      </c>
      <c r="X57" s="145" t="e">
        <f t="shared" ca="1" si="60"/>
        <v>#NAME?</v>
      </c>
      <c r="Y57" s="145" t="e">
        <f t="shared" ca="1" si="60"/>
        <v>#NAME?</v>
      </c>
      <c r="Z57" s="145" t="e">
        <f t="shared" ca="1" si="60"/>
        <v>#NAME?</v>
      </c>
      <c r="AA57" s="145" t="e">
        <f t="shared" ca="1" si="60"/>
        <v>#NAME?</v>
      </c>
      <c r="AB57" s="145" t="e">
        <f t="shared" ca="1" si="60"/>
        <v>#NAME?</v>
      </c>
      <c r="AC57" s="145" t="e">
        <f t="shared" ca="1" si="60"/>
        <v>#NAME?</v>
      </c>
      <c r="AD57" s="145" t="e">
        <f t="shared" ca="1" si="60"/>
        <v>#NAME?</v>
      </c>
      <c r="AE57" s="145" t="e">
        <f t="shared" ca="1" si="60"/>
        <v>#NAME?</v>
      </c>
      <c r="AF57" s="145" t="e">
        <f t="shared" ca="1" si="60"/>
        <v>#NAME?</v>
      </c>
      <c r="AG57" s="145" t="e">
        <f t="shared" ca="1" si="60"/>
        <v>#NAME?</v>
      </c>
      <c r="AH57" s="145" t="e">
        <f t="shared" ca="1" si="60"/>
        <v>#NAME?</v>
      </c>
      <c r="AI57" s="145" t="e">
        <f t="shared" ca="1" si="60"/>
        <v>#NAME?</v>
      </c>
      <c r="AJ57" s="145" t="e">
        <f t="shared" ca="1" si="60"/>
        <v>#NAME?</v>
      </c>
      <c r="AK57" s="145" t="e">
        <f t="shared" ca="1" si="60"/>
        <v>#NAME?</v>
      </c>
    </row>
    <row r="58" spans="1:37" s="3" customFormat="1" x14ac:dyDescent="0.25">
      <c r="A58" s="64"/>
      <c r="B58" s="145"/>
      <c r="C58" s="145"/>
      <c r="D58" s="145"/>
      <c r="E58" s="145"/>
      <c r="F58" s="145"/>
      <c r="G58" s="145"/>
      <c r="H58" s="145"/>
      <c r="I58" s="145"/>
      <c r="J58" s="145"/>
      <c r="K58" s="145"/>
      <c r="L58" s="145"/>
      <c r="M58" s="145"/>
      <c r="N58" s="152"/>
      <c r="O58" s="153"/>
      <c r="P58" s="145"/>
      <c r="Q58" s="145"/>
      <c r="R58" s="145"/>
      <c r="S58" s="145"/>
      <c r="T58" s="145"/>
      <c r="U58" s="145"/>
      <c r="V58" s="145"/>
      <c r="W58" s="145"/>
      <c r="X58" s="145"/>
      <c r="Y58" s="145"/>
      <c r="Z58" s="145"/>
      <c r="AA58" s="145"/>
      <c r="AB58" s="145"/>
      <c r="AC58" s="145"/>
      <c r="AD58" s="145"/>
      <c r="AE58" s="154"/>
      <c r="AF58" s="154"/>
      <c r="AG58" s="154"/>
      <c r="AH58" s="154"/>
      <c r="AI58" s="154"/>
      <c r="AJ58" s="154"/>
      <c r="AK58" s="155"/>
    </row>
    <row r="59" spans="1:37" s="3" customFormat="1" x14ac:dyDescent="0.25">
      <c r="A59" s="64" t="s">
        <v>82</v>
      </c>
      <c r="B59" s="156"/>
      <c r="C59" s="156" t="e">
        <f t="shared" ref="C59:M59" ca="1" si="61">IF($B57="Non",IF(C$57="Non","Mann Withney",IF(C$57="Oui","Mann Withney","")),IF($B$57="Oui",IF(C$57="Oui","T-Test Welch",IF(C$57="Non","Mann Withney",""))))</f>
        <v>#NAME?</v>
      </c>
      <c r="D59" s="156" t="e">
        <f t="shared" ca="1" si="61"/>
        <v>#NAME?</v>
      </c>
      <c r="E59" s="156" t="e">
        <f t="shared" ca="1" si="61"/>
        <v>#NAME?</v>
      </c>
      <c r="F59" s="156" t="e">
        <f t="shared" ca="1" si="61"/>
        <v>#NAME?</v>
      </c>
      <c r="G59" s="156" t="e">
        <f t="shared" ca="1" si="61"/>
        <v>#NAME?</v>
      </c>
      <c r="H59" s="156" t="e">
        <f t="shared" ca="1" si="61"/>
        <v>#NAME?</v>
      </c>
      <c r="I59" s="156" t="e">
        <f t="shared" ca="1" si="61"/>
        <v>#NAME?</v>
      </c>
      <c r="J59" s="156" t="e">
        <f t="shared" ca="1" si="61"/>
        <v>#NAME?</v>
      </c>
      <c r="K59" s="156" t="e">
        <f t="shared" ca="1" si="61"/>
        <v>#NAME?</v>
      </c>
      <c r="L59" s="156" t="e">
        <f t="shared" ca="1" si="61"/>
        <v>#NAME?</v>
      </c>
      <c r="M59" s="156" t="e">
        <f t="shared" ca="1" si="61"/>
        <v>#NAME?</v>
      </c>
      <c r="N59" s="156"/>
      <c r="O59" s="156" t="e">
        <f ca="1">IF($B57="Non",IF(O$57="Non","Mann Withney",IF(O$57="Oui","Mann Withney","")),IF($B$57="Oui",IF(O$57="Oui","T-Test Welch",IF(O$57="Non","Mann Withney",""))))</f>
        <v>#NAME?</v>
      </c>
      <c r="P59" s="156" t="e">
        <f ca="1">IF($O57="Non",IF(P$57="Non","Mann Withney",IF(P$57="Oui","Mann Withney","")),IF($O$57="Oui",IF(P$57="Oui","T-Test Welch",IF(P$57="Non","Mann Withney",""))))</f>
        <v>#NAME?</v>
      </c>
      <c r="Q59" s="156" t="e">
        <f t="shared" ref="Q59:AK59" ca="1" si="62">IF($O57="Non",IF(Q$57="Non","Mann Withney",IF(Q$57="Oui","Mann Withney","")),IF($O$57="Oui",IF(Q$57="Oui","T-Test Welch",IF(Q$57="Non","Mann Withney",""))))</f>
        <v>#NAME?</v>
      </c>
      <c r="R59" s="156" t="e">
        <f t="shared" ca="1" si="62"/>
        <v>#NAME?</v>
      </c>
      <c r="S59" s="156" t="e">
        <f t="shared" ca="1" si="62"/>
        <v>#NAME?</v>
      </c>
      <c r="T59" s="156" t="e">
        <f t="shared" ca="1" si="62"/>
        <v>#NAME?</v>
      </c>
      <c r="U59" s="156" t="e">
        <f t="shared" ca="1" si="62"/>
        <v>#NAME?</v>
      </c>
      <c r="V59" s="156" t="e">
        <f t="shared" ca="1" si="62"/>
        <v>#NAME?</v>
      </c>
      <c r="W59" s="156" t="e">
        <f t="shared" ca="1" si="62"/>
        <v>#NAME?</v>
      </c>
      <c r="X59" s="156" t="e">
        <f t="shared" ca="1" si="62"/>
        <v>#NAME?</v>
      </c>
      <c r="Y59" s="156" t="e">
        <f t="shared" ca="1" si="62"/>
        <v>#NAME?</v>
      </c>
      <c r="Z59" s="156" t="e">
        <f t="shared" ca="1" si="62"/>
        <v>#NAME?</v>
      </c>
      <c r="AA59" s="156" t="e">
        <f t="shared" ca="1" si="62"/>
        <v>#NAME?</v>
      </c>
      <c r="AB59" s="156" t="e">
        <f t="shared" ca="1" si="62"/>
        <v>#NAME?</v>
      </c>
      <c r="AC59" s="156" t="e">
        <f t="shared" ca="1" si="62"/>
        <v>#NAME?</v>
      </c>
      <c r="AD59" s="156" t="e">
        <f t="shared" ca="1" si="62"/>
        <v>#NAME?</v>
      </c>
      <c r="AE59" s="156" t="e">
        <f t="shared" ca="1" si="62"/>
        <v>#NAME?</v>
      </c>
      <c r="AF59" s="156" t="e">
        <f t="shared" ca="1" si="62"/>
        <v>#NAME?</v>
      </c>
      <c r="AG59" s="156" t="e">
        <f t="shared" ca="1" si="62"/>
        <v>#NAME?</v>
      </c>
      <c r="AH59" s="156" t="e">
        <f t="shared" ca="1" si="62"/>
        <v>#NAME?</v>
      </c>
      <c r="AI59" s="156" t="e">
        <f t="shared" ca="1" si="62"/>
        <v>#NAME?</v>
      </c>
      <c r="AJ59" s="156" t="e">
        <f t="shared" ca="1" si="62"/>
        <v>#NAME?</v>
      </c>
      <c r="AK59" s="156" t="e">
        <f t="shared" ca="1" si="62"/>
        <v>#NAME?</v>
      </c>
    </row>
    <row r="60" spans="1:37" s="3" customFormat="1" x14ac:dyDescent="0.25">
      <c r="A60" s="64" t="s">
        <v>83</v>
      </c>
      <c r="B60" s="157"/>
      <c r="C60" s="157" t="e">
        <f ca="1">IF(C59="Mann Withney",[1]!MTEST($B28:$B43,C28:C43,2), IF(C59="T-Test Welch",_xlfn.T.TEST($B28:$B43,C28:C43,2,3),""))</f>
        <v>#NAME?</v>
      </c>
      <c r="D60" s="157" t="e">
        <f ca="1">IF(D59="Mann Withney",[1]!MTEST($B28:$B43,D28:D43,2), IF(D59="T-Test Welch",_xlfn.T.TEST($B28:$B43,D28:D43,2,3),""))</f>
        <v>#NAME?</v>
      </c>
      <c r="E60" s="157" t="e">
        <f ca="1">IF(E59="Mann Withney",[1]!MTEST($B28:$B43,E28:E43,2), IF(E59="T-Test Welch",_xlfn.T.TEST($B28:$B43,E28:E43,2,3),""))</f>
        <v>#NAME?</v>
      </c>
      <c r="F60" s="157" t="e">
        <f ca="1">IF(F59="Mann Withney",[1]!MTEST($B28:$B43,F28:F43,2), IF(F59="T-Test Welch",_xlfn.T.TEST($B28:$B43,F28:F43,2,3),""))</f>
        <v>#NAME?</v>
      </c>
      <c r="G60" s="157" t="e">
        <f ca="1">IF(G59="Mann Withney",[1]!MTEST($B28:$B43,G28:G43,2), IF(G59="T-Test Welch",_xlfn.T.TEST($B28:$B43,G28:G43,2,3),""))</f>
        <v>#NAME?</v>
      </c>
      <c r="H60" s="157" t="e">
        <f ca="1">IF(H59="Mann Withney",[1]!MTEST($B28:$B43,H28:H43,2), IF(H59="T-Test Welch",_xlfn.T.TEST($B28:$B43,H28:H43,2,3),""))</f>
        <v>#NAME?</v>
      </c>
      <c r="I60" s="157" t="e">
        <f ca="1">IF(I59="Mann Withney",[1]!MTEST($B28:$B43,I28:I43,2), IF(I59="T-Test Welch",_xlfn.T.TEST($B28:$B43,I28:I43,2,3),""))</f>
        <v>#NAME?</v>
      </c>
      <c r="J60" s="157" t="e">
        <f ca="1">IF(J59="Mann Withney",[1]!MTEST($B28:$B43,J28:J43,2), IF(J59="T-Test Welch",_xlfn.T.TEST($B28:$B43,J28:J43,2,3),""))</f>
        <v>#NAME?</v>
      </c>
      <c r="K60" s="157" t="e">
        <f ca="1">IF(K59="Mann Withney",[1]!MTEST($B28:$B43,K28:K43,2), IF(K59="T-Test Welch",_xlfn.T.TEST($B28:$B43,K28:K43,2,3),""))</f>
        <v>#NAME?</v>
      </c>
      <c r="L60" s="157" t="e">
        <f ca="1">IF(L59="Mann Withney",[1]!MTEST($B28:$B43,L28:L43,2), IF(L59="T-Test Welch",_xlfn.T.TEST($B28:$B43,L28:L43,2,3),""))</f>
        <v>#NAME?</v>
      </c>
      <c r="M60" s="157" t="e">
        <f ca="1">IF(M59="Mann Withney",[1]!MTEST($B28:$B43,M28:M43,2), IF(M59="T-Test Welch",_xlfn.T.TEST($B28:$B43,M28:M43,2,3),""))</f>
        <v>#NAME?</v>
      </c>
      <c r="N60" s="157"/>
      <c r="O60" s="157" t="e">
        <f ca="1">IF(O59="Mann Withney",[1]!MTEST($B28:$B43,O28:O43,2), IF(O59="T-Test Welch",_xlfn.T.TEST($B28:$B43,O28:O43,2,3),""))</f>
        <v>#NAME?</v>
      </c>
      <c r="P60" s="157" t="e">
        <f ca="1">IF(P59="Mann Withney",[1]!MTEST($O28:$O43,P28:P43,2), IF(P59="T-Test Welch",_xlfn.T.TEST($O28:$O43,P28:P43,2,3),""))</f>
        <v>#NAME?</v>
      </c>
      <c r="Q60" s="157" t="e">
        <f ca="1">IF(Q59="Mann Withney",[1]!MTEST($O28:$O43,Q28:Q43,2), IF(Q59="T-Test Welch",_xlfn.T.TEST($O28:$O43,Q28:Q43,2,3),""))</f>
        <v>#NAME?</v>
      </c>
      <c r="R60" s="157" t="e">
        <f ca="1">IF(R59="Mann Withney",[1]!MTEST($O28:$O43,R28:R43,2), IF(R59="T-Test Welch",_xlfn.T.TEST($O28:$O43,R28:R43,2,3),""))</f>
        <v>#NAME?</v>
      </c>
      <c r="S60" s="157" t="e">
        <f ca="1">IF(S59="Mann Withney",[1]!MTEST($O28:$O43,S28:S43,2), IF(S59="T-Test Welch",_xlfn.T.TEST($O28:$O43,S28:S43,2,3),""))</f>
        <v>#NAME?</v>
      </c>
      <c r="T60" s="157" t="e">
        <f ca="1">IF(T59="Mann Withney",[1]!MTEST($O28:$O43,T28:T43,2), IF(T59="T-Test Welch",_xlfn.T.TEST($O28:$O43,T28:T43,2,3),""))</f>
        <v>#NAME?</v>
      </c>
      <c r="U60" s="157" t="e">
        <f ca="1">IF(U59="Mann Withney",[1]!MTEST($O28:$O43,U28:U43,2), IF(U59="T-Test Welch",_xlfn.T.TEST($O28:$O43,U28:U43,2,3),""))</f>
        <v>#NAME?</v>
      </c>
      <c r="V60" s="157" t="e">
        <f ca="1">IF(V59="Mann Withney",[1]!MTEST($O28:$O43,V28:V43,2), IF(V59="T-Test Welch",_xlfn.T.TEST($O28:$O43,V28:V43,2,3),""))</f>
        <v>#NAME?</v>
      </c>
      <c r="W60" s="157" t="e">
        <f ca="1">IF(W59="Mann Withney",[1]!MTEST($O28:$O43,W28:W43,2), IF(W59="T-Test Welch",_xlfn.T.TEST($O28:$O43,W28:W43,2,3),""))</f>
        <v>#NAME?</v>
      </c>
      <c r="X60" s="157" t="e">
        <f ca="1">IF(X59="Mann Withney",[1]!MTEST($O28:$O43,X28:X43,2), IF(X59="T-Test Welch",_xlfn.T.TEST($O28:$O43,X28:X43,2,3),""))</f>
        <v>#NAME?</v>
      </c>
      <c r="Y60" s="157" t="e">
        <f ca="1">IF(Y59="Mann Withney",[1]!MTEST($O28:$O43,Y28:Y43,2), IF(Y59="T-Test Welch",_xlfn.T.TEST($O28:$O43,Y28:Y43,2,3),""))</f>
        <v>#NAME?</v>
      </c>
      <c r="Z60" s="157" t="e">
        <f ca="1">IF(Z59="Mann Withney",[1]!MTEST($O28:$O43,Z28:Z43,2), IF(Z59="T-Test Welch",_xlfn.T.TEST($O28:$O43,Z28:Z43,2,3),""))</f>
        <v>#NAME?</v>
      </c>
      <c r="AA60" s="157" t="e">
        <f ca="1">IF(AA59="Mann Withney",[1]!MTEST($O28:$O43,AA28:AA43,2), IF(AA59="T-Test Welch",_xlfn.T.TEST($O28:$O43,AA28:AA43,2,3),""))</f>
        <v>#NAME?</v>
      </c>
      <c r="AB60" s="157" t="e">
        <f ca="1">IF(AB59="Mann Withney",[1]!MTEST($O28:$O43,AB28:AB43,2), IF(AB59="T-Test Welch",_xlfn.T.TEST($O28:$O43,AB28:AB43,2,3),""))</f>
        <v>#NAME?</v>
      </c>
      <c r="AC60" s="157" t="e">
        <f ca="1">IF(AC59="Mann Withney",[1]!MTEST($O28:$O43,AC28:AC43,2), IF(AC59="T-Test Welch",_xlfn.T.TEST($O28:$O43,AC28:AC43,2,3),""))</f>
        <v>#NAME?</v>
      </c>
      <c r="AD60" s="157" t="e">
        <f ca="1">IF(AD59="Mann Withney",[1]!MTEST($O28:$O43,AD28:AD43,2), IF(AD59="T-Test Welch",_xlfn.T.TEST($O28:$O43,AD28:AD43,2,3),""))</f>
        <v>#NAME?</v>
      </c>
      <c r="AE60" s="157" t="e">
        <f ca="1">IF(AE59="Mann Withney",[1]!MTEST($O28:$O43,AE28:AE43,2), IF(AE59="T-Test Welch",_xlfn.T.TEST($O28:$O43,AE28:AE43,2,3),""))</f>
        <v>#NAME?</v>
      </c>
      <c r="AF60" s="157" t="e">
        <f ca="1">IF(AF59="Mann Withney",[1]!MTEST($O28:$O43,AF28:AF43,2), IF(AF59="T-Test Welch",_xlfn.T.TEST($O28:$O43,AF28:AF43,2,3),""))</f>
        <v>#NAME?</v>
      </c>
      <c r="AG60" s="157" t="e">
        <f ca="1">IF(AG59="Mann Withney",[1]!MTEST($O28:$O43,AG28:AG43,2), IF(AG59="T-Test Welch",_xlfn.T.TEST($O28:$O43,AG28:AG43,2,3),""))</f>
        <v>#NAME?</v>
      </c>
      <c r="AH60" s="157" t="e">
        <f ca="1">IF(AH59="Mann Withney",[1]!MTEST($O28:$O43,AH28:AH43,2), IF(AH59="T-Test Welch",_xlfn.T.TEST($O28:$O43,AH28:AH43,2,3),""))</f>
        <v>#NAME?</v>
      </c>
      <c r="AI60" s="157" t="e">
        <f ca="1">IF(AI59="Mann Withney",[1]!MTEST($O28:$O43,AI28:AI43,2), IF(AI59="T-Test Welch",_xlfn.T.TEST($O28:$O43,AI28:AI43,2,3),""))</f>
        <v>#NAME?</v>
      </c>
      <c r="AJ60" s="157" t="e">
        <f ca="1">IF(AJ59="Mann Withney",[1]!MTEST($O28:$O43,AJ28:AJ43,2), IF(AJ59="T-Test Welch",_xlfn.T.TEST($O28:$O43,AJ28:AJ43,2,3),""))</f>
        <v>#NAME?</v>
      </c>
      <c r="AK60" s="157" t="e">
        <f ca="1">IF(AK59="Mann Withney",[1]!MTEST($O28:$O43,AK28:AK43,2), IF(AK59="T-Test Welch",_xlfn.T.TEST($O28:$O43,AK28:AK43,2,3),""))</f>
        <v>#NAME?</v>
      </c>
    </row>
    <row r="61" spans="1:37" s="3" customFormat="1" ht="15.75" thickBot="1" x14ac:dyDescent="0.3">
      <c r="A61" s="65" t="s">
        <v>84</v>
      </c>
      <c r="B61" s="146"/>
      <c r="C61" s="146" t="e">
        <f t="shared" ref="C61:M61" ca="1" si="63">IF(C60&gt;0.05,"NS",IF(C60&gt;0.01,"*",IF(C60&gt;0.001,"**","***")))</f>
        <v>#NAME?</v>
      </c>
      <c r="D61" s="146" t="e">
        <f t="shared" ca="1" si="63"/>
        <v>#NAME?</v>
      </c>
      <c r="E61" s="146" t="e">
        <f t="shared" ca="1" si="63"/>
        <v>#NAME?</v>
      </c>
      <c r="F61" s="146" t="e">
        <f t="shared" ca="1" si="63"/>
        <v>#NAME?</v>
      </c>
      <c r="G61" s="146" t="e">
        <f t="shared" ca="1" si="63"/>
        <v>#NAME?</v>
      </c>
      <c r="H61" s="146" t="e">
        <f t="shared" ca="1" si="63"/>
        <v>#NAME?</v>
      </c>
      <c r="I61" s="146" t="e">
        <f t="shared" ca="1" si="63"/>
        <v>#NAME?</v>
      </c>
      <c r="J61" s="146" t="e">
        <f t="shared" ca="1" si="63"/>
        <v>#NAME?</v>
      </c>
      <c r="K61" s="146" t="e">
        <f t="shared" ca="1" si="63"/>
        <v>#NAME?</v>
      </c>
      <c r="L61" s="146" t="e">
        <f t="shared" ca="1" si="63"/>
        <v>#NAME?</v>
      </c>
      <c r="M61" s="146" t="e">
        <f t="shared" ca="1" si="63"/>
        <v>#NAME?</v>
      </c>
      <c r="N61" s="146"/>
      <c r="O61" s="146" t="e">
        <f ca="1">IF(O60&gt;0.05,"NS",IF(O60&gt;0.01,"*",IF(O60&gt;0.001,"**","***")))</f>
        <v>#NAME?</v>
      </c>
      <c r="P61" s="146" t="e">
        <f ca="1">IF(P60&gt;0.05,"NS",IF(P60&gt;0.01,"*",IF(P60&gt;0.001,"**","***")))</f>
        <v>#NAME?</v>
      </c>
      <c r="Q61" s="146" t="e">
        <f t="shared" ref="Q61" ca="1" si="64">IF(Q60&gt;0.05,"NS",IF(Q60&gt;0.01,"*",IF(Q60&gt;0.001,"**","***")))</f>
        <v>#NAME?</v>
      </c>
      <c r="R61" s="146" t="e">
        <f t="shared" ref="R61" ca="1" si="65">IF(R60&gt;0.05,"NS",IF(R60&gt;0.01,"*",IF(R60&gt;0.001,"**","***")))</f>
        <v>#NAME?</v>
      </c>
      <c r="S61" s="146" t="e">
        <f t="shared" ref="S61" ca="1" si="66">IF(S60&gt;0.05,"NS",IF(S60&gt;0.01,"*",IF(S60&gt;0.001,"**","***")))</f>
        <v>#NAME?</v>
      </c>
      <c r="T61" s="146" t="e">
        <f t="shared" ref="T61" ca="1" si="67">IF(T60&gt;0.05,"NS",IF(T60&gt;0.01,"*",IF(T60&gt;0.001,"**","***")))</f>
        <v>#NAME?</v>
      </c>
      <c r="U61" s="146" t="e">
        <f t="shared" ref="U61" ca="1" si="68">IF(U60&gt;0.05,"NS",IF(U60&gt;0.01,"*",IF(U60&gt;0.001,"**","***")))</f>
        <v>#NAME?</v>
      </c>
      <c r="V61" s="146" t="e">
        <f t="shared" ref="V61" ca="1" si="69">IF(V60&gt;0.05,"NS",IF(V60&gt;0.01,"*",IF(V60&gt;0.001,"**","***")))</f>
        <v>#NAME?</v>
      </c>
      <c r="W61" s="146" t="e">
        <f t="shared" ref="W61" ca="1" si="70">IF(W60&gt;0.05,"NS",IF(W60&gt;0.01,"*",IF(W60&gt;0.001,"**","***")))</f>
        <v>#NAME?</v>
      </c>
      <c r="X61" s="146" t="e">
        <f t="shared" ref="X61" ca="1" si="71">IF(X60&gt;0.05,"NS",IF(X60&gt;0.01,"*",IF(X60&gt;0.001,"**","***")))</f>
        <v>#NAME?</v>
      </c>
      <c r="Y61" s="146" t="e">
        <f t="shared" ref="Y61" ca="1" si="72">IF(Y60&gt;0.05,"NS",IF(Y60&gt;0.01,"*",IF(Y60&gt;0.001,"**","***")))</f>
        <v>#NAME?</v>
      </c>
      <c r="Z61" s="146" t="e">
        <f t="shared" ref="Z61" ca="1" si="73">IF(Z60&gt;0.05,"NS",IF(Z60&gt;0.01,"*",IF(Z60&gt;0.001,"**","***")))</f>
        <v>#NAME?</v>
      </c>
      <c r="AA61" s="146" t="e">
        <f t="shared" ref="AA61" ca="1" si="74">IF(AA60&gt;0.05,"NS",IF(AA60&gt;0.01,"*",IF(AA60&gt;0.001,"**","***")))</f>
        <v>#NAME?</v>
      </c>
      <c r="AB61" s="146" t="e">
        <f t="shared" ref="AB61" ca="1" si="75">IF(AB60&gt;0.05,"NS",IF(AB60&gt;0.01,"*",IF(AB60&gt;0.001,"**","***")))</f>
        <v>#NAME?</v>
      </c>
      <c r="AC61" s="146" t="e">
        <f t="shared" ref="AC61" ca="1" si="76">IF(AC60&gt;0.05,"NS",IF(AC60&gt;0.01,"*",IF(AC60&gt;0.001,"**","***")))</f>
        <v>#NAME?</v>
      </c>
      <c r="AD61" s="146" t="e">
        <f t="shared" ref="AD61" ca="1" si="77">IF(AD60&gt;0.05,"NS",IF(AD60&gt;0.01,"*",IF(AD60&gt;0.001,"**","***")))</f>
        <v>#NAME?</v>
      </c>
      <c r="AE61" s="146" t="e">
        <f t="shared" ref="AE61" ca="1" si="78">IF(AE60&gt;0.05,"NS",IF(AE60&gt;0.01,"*",IF(AE60&gt;0.001,"**","***")))</f>
        <v>#NAME?</v>
      </c>
      <c r="AF61" s="146" t="e">
        <f t="shared" ref="AF61" ca="1" si="79">IF(AF60&gt;0.05,"NS",IF(AF60&gt;0.01,"*",IF(AF60&gt;0.001,"**","***")))</f>
        <v>#NAME?</v>
      </c>
      <c r="AG61" s="146" t="e">
        <f t="shared" ref="AG61" ca="1" si="80">IF(AG60&gt;0.05,"NS",IF(AG60&gt;0.01,"*",IF(AG60&gt;0.001,"**","***")))</f>
        <v>#NAME?</v>
      </c>
      <c r="AH61" s="146" t="e">
        <f t="shared" ref="AH61" ca="1" si="81">IF(AH60&gt;0.05,"NS",IF(AH60&gt;0.01,"*",IF(AH60&gt;0.001,"**","***")))</f>
        <v>#NAME?</v>
      </c>
      <c r="AI61" s="146" t="e">
        <f t="shared" ref="AI61" ca="1" si="82">IF(AI60&gt;0.05,"NS",IF(AI60&gt;0.01,"*",IF(AI60&gt;0.001,"**","***")))</f>
        <v>#NAME?</v>
      </c>
      <c r="AJ61" s="146" t="e">
        <f t="shared" ref="AJ61" ca="1" si="83">IF(AJ60&gt;0.05,"NS",IF(AJ60&gt;0.01,"*",IF(AJ60&gt;0.001,"**","***")))</f>
        <v>#NAME?</v>
      </c>
      <c r="AK61" s="146" t="e">
        <f t="shared" ref="AK61" ca="1" si="84">IF(AK60&gt;0.05,"NS",IF(AK60&gt;0.01,"*",IF(AK60&gt;0.001,"**","***")))</f>
        <v>#NAME?</v>
      </c>
    </row>
    <row r="63" spans="1:37" x14ac:dyDescent="0.25">
      <c r="A63" s="2" t="s">
        <v>39</v>
      </c>
    </row>
    <row r="64" spans="1:37" x14ac:dyDescent="0.25">
      <c r="A64" s="1" t="s">
        <v>23</v>
      </c>
      <c r="B64" s="1">
        <f>B46+(3*B47)</f>
        <v>0.74453429436239282</v>
      </c>
    </row>
    <row r="65" spans="1:37" x14ac:dyDescent="0.25">
      <c r="A65" s="1" t="s">
        <v>24</v>
      </c>
      <c r="B65" s="1">
        <f>B46+(10*B47)</f>
        <v>1.8118534538923612</v>
      </c>
    </row>
    <row r="66" spans="1:37" ht="15.75" thickBot="1" x14ac:dyDescent="0.3"/>
    <row r="67" spans="1:37" s="1" customFormat="1" ht="27" thickBot="1" x14ac:dyDescent="0.45">
      <c r="A67" s="224" t="s">
        <v>52</v>
      </c>
      <c r="B67" s="225"/>
      <c r="C67" s="225"/>
      <c r="D67" s="225"/>
      <c r="E67" s="225"/>
      <c r="F67" s="225"/>
      <c r="G67" s="225"/>
      <c r="H67" s="225"/>
      <c r="I67" s="225"/>
      <c r="J67" s="225"/>
      <c r="K67" s="225"/>
      <c r="L67" s="225"/>
      <c r="M67" s="225"/>
      <c r="N67" s="225"/>
      <c r="O67" s="225"/>
      <c r="P67" s="225"/>
      <c r="Q67" s="225"/>
      <c r="R67" s="225"/>
      <c r="S67" s="225"/>
      <c r="T67" s="225"/>
      <c r="U67" s="225"/>
      <c r="V67" s="225"/>
      <c r="W67" s="225"/>
      <c r="X67" s="225"/>
      <c r="Y67" s="225"/>
      <c r="Z67" s="225"/>
      <c r="AA67" s="225"/>
      <c r="AB67" s="225"/>
      <c r="AC67" s="225"/>
      <c r="AD67" s="225"/>
      <c r="AE67" s="225"/>
      <c r="AF67" s="225"/>
      <c r="AG67" s="225"/>
      <c r="AH67" s="225"/>
      <c r="AI67" s="225"/>
      <c r="AJ67" s="225"/>
      <c r="AK67" s="226"/>
    </row>
    <row r="68" spans="1:37" ht="16.5" x14ac:dyDescent="0.25">
      <c r="A68" s="12"/>
      <c r="B68" s="12"/>
      <c r="C68" s="12"/>
      <c r="D68" s="12"/>
      <c r="E68" s="12"/>
      <c r="F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row>
    <row r="69" spans="1:37" ht="16.5" x14ac:dyDescent="0.25">
      <c r="A69" s="12"/>
      <c r="B69" s="12"/>
      <c r="C69" s="12"/>
      <c r="D69" s="12"/>
      <c r="E69" s="12"/>
      <c r="F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row>
    <row r="70" spans="1:37" ht="16.5" x14ac:dyDescent="0.25">
      <c r="A70" s="12"/>
      <c r="B70" s="12"/>
      <c r="C70" s="12"/>
      <c r="D70" s="12"/>
      <c r="E70" s="12"/>
      <c r="F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row>
    <row r="71" spans="1:37" ht="16.5" x14ac:dyDescent="0.25">
      <c r="A71" s="12"/>
      <c r="B71" s="12"/>
      <c r="C71" s="12"/>
      <c r="D71" s="12"/>
      <c r="E71" s="12"/>
      <c r="F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row>
    <row r="72" spans="1:37" ht="16.5" x14ac:dyDescent="0.25">
      <c r="A72" s="12"/>
      <c r="B72" s="12"/>
      <c r="C72" s="12"/>
      <c r="D72" s="12"/>
      <c r="E72" s="12"/>
      <c r="F72" s="12"/>
      <c r="N72" s="12"/>
      <c r="O72" s="12"/>
      <c r="P72" s="12"/>
      <c r="Q72" s="12"/>
      <c r="R72" s="12"/>
      <c r="S72" s="12"/>
      <c r="T72" s="12"/>
      <c r="U72" s="12"/>
      <c r="V72" s="12"/>
      <c r="W72" s="12"/>
      <c r="X72" s="12"/>
      <c r="Y72" s="12"/>
      <c r="Z72" s="12"/>
      <c r="AA72" s="12"/>
      <c r="AB72" s="12"/>
      <c r="AC72" s="12"/>
      <c r="AD72" s="12"/>
      <c r="AE72" s="12"/>
      <c r="AF72" s="12"/>
      <c r="AG72" s="12"/>
      <c r="AH72" s="12"/>
      <c r="AI72" s="12"/>
      <c r="AJ72" s="12"/>
      <c r="AK72" s="12"/>
    </row>
    <row r="73" spans="1:37" ht="16.5" x14ac:dyDescent="0.25">
      <c r="A73" s="12"/>
      <c r="B73" s="12"/>
      <c r="C73" s="12"/>
      <c r="D73" s="12"/>
      <c r="E73" s="12"/>
      <c r="F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row>
    <row r="74" spans="1:37" ht="16.5" x14ac:dyDescent="0.25">
      <c r="A74" s="12"/>
      <c r="B74" s="12"/>
      <c r="C74" s="12"/>
      <c r="D74" s="12"/>
      <c r="E74" s="12"/>
      <c r="F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row>
  </sheetData>
  <protectedRanges>
    <protectedRange sqref="O51:AK51" name="Plage2"/>
    <protectedRange sqref="R5:AK21" name="Plage1"/>
    <protectedRange sqref="B51:J51" name="Plage2_1"/>
    <protectedRange sqref="O5:O21 J5:J12 B13:J21" name="Plage1_1"/>
    <protectedRange sqref="B5:I12" name="Plage1_1_1"/>
  </protectedRanges>
  <mergeCells count="9">
    <mergeCell ref="A1:AK1"/>
    <mergeCell ref="A67:AK67"/>
    <mergeCell ref="A50:AK50"/>
    <mergeCell ref="A5:A20"/>
    <mergeCell ref="A28:A43"/>
    <mergeCell ref="B3:M3"/>
    <mergeCell ref="B26:M26"/>
    <mergeCell ref="O26:AK26"/>
    <mergeCell ref="O3:AK3"/>
  </mergeCells>
  <pageMargins left="0.7" right="0.7" top="0.75" bottom="0.75" header="0.3" footer="0.3"/>
  <pageSetup paperSize="9" scale="21" orientation="landscape" r:id="rId1"/>
  <headerFooter>
    <oddHeader>&amp;C&amp;"-,Gras"&amp;14Données brutes et normalisées R1&amp;R&amp;"-,Gras"&amp;14Page : &amp;P/&amp;P</oddHeader>
    <oddFooter>&amp;C&amp;1#&amp;"Arial"&amp;10&amp;K000000Internal</oddFooter>
  </headerFooter>
  <colBreaks count="1" manualBreakCount="1">
    <brk id="1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N1531"/>
  <sheetViews>
    <sheetView showGridLines="0" topLeftCell="K1" zoomScale="80" zoomScaleNormal="80" workbookViewId="0">
      <selection activeCell="Z5" sqref="Z5:AD12"/>
    </sheetView>
  </sheetViews>
  <sheetFormatPr defaultColWidth="11.42578125" defaultRowHeight="15" x14ac:dyDescent="0.25"/>
  <cols>
    <col min="1" max="2" width="15" style="1" customWidth="1"/>
    <col min="3" max="3" width="25.42578125" style="1" customWidth="1"/>
    <col min="4" max="4" width="14" style="1" customWidth="1"/>
    <col min="5" max="5" width="21.140625" style="1" customWidth="1"/>
    <col min="6" max="6" width="11.42578125" style="1"/>
    <col min="7" max="7" width="21.42578125" style="1" customWidth="1"/>
    <col min="8" max="8" width="12.28515625" style="1" customWidth="1"/>
    <col min="9" max="9" width="17.140625" style="1" customWidth="1"/>
    <col min="10" max="10" width="11.42578125" style="1"/>
    <col min="11" max="11" width="37.42578125" style="1" bestFit="1" customWidth="1"/>
    <col min="12" max="12" width="38.42578125" style="1" bestFit="1" customWidth="1"/>
    <col min="13" max="14" width="12.85546875" style="1" customWidth="1"/>
    <col min="15" max="25" width="12.28515625" style="1" customWidth="1"/>
    <col min="26" max="16384" width="11.42578125" style="1"/>
  </cols>
  <sheetData>
    <row r="1" spans="1:144" x14ac:dyDescent="0.25">
      <c r="A1" s="1" t="s">
        <v>107</v>
      </c>
      <c r="B1" s="1" t="s">
        <v>108</v>
      </c>
      <c r="C1" s="1" t="s">
        <v>109</v>
      </c>
      <c r="D1" s="1" t="s">
        <v>110</v>
      </c>
      <c r="E1" s="1" t="s">
        <v>111</v>
      </c>
      <c r="F1" s="1" t="s">
        <v>112</v>
      </c>
      <c r="G1" s="1" t="s">
        <v>113</v>
      </c>
      <c r="H1" s="1" t="s">
        <v>117</v>
      </c>
      <c r="I1" s="1" t="s">
        <v>118</v>
      </c>
      <c r="J1" s="1" t="s">
        <v>1677</v>
      </c>
      <c r="K1" s="122"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25">
      <c r="A2" s="1" t="str">
        <f t="shared" ref="A2:A65" si="0">IFERROR(LEFT(RIGHT(C2,LEN(C2)-SEARCH("@",C2)),SEARCH("/",RIGHT(C2,LEN(C2)-SEARCH("@",C2)-1))),"")</f>
        <v>1</v>
      </c>
      <c r="B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 s="1" t="s">
        <v>1711</v>
      </c>
      <c r="D2" s="1" t="s">
        <v>227</v>
      </c>
      <c r="E2" s="1" t="s">
        <v>1712</v>
      </c>
      <c r="F2" s="1" t="s">
        <v>112</v>
      </c>
      <c r="G2" s="1">
        <v>1319</v>
      </c>
      <c r="K2" s="161" t="s">
        <v>120</v>
      </c>
      <c r="L2" s="161"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25">
      <c r="A3" s="1" t="str">
        <f t="shared" si="0"/>
        <v>1</v>
      </c>
      <c r="B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 s="1" t="s">
        <v>1713</v>
      </c>
      <c r="D3" s="1" t="s">
        <v>1714</v>
      </c>
      <c r="E3" s="1" t="s">
        <v>1715</v>
      </c>
      <c r="F3" s="1" t="s">
        <v>112</v>
      </c>
      <c r="G3" s="1">
        <v>45185</v>
      </c>
      <c r="K3" s="122" t="s">
        <v>154</v>
      </c>
      <c r="L3" s="122"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25">
      <c r="A4" s="1" t="str">
        <f t="shared" si="0"/>
        <v>1</v>
      </c>
      <c r="B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 s="1" t="s">
        <v>1716</v>
      </c>
      <c r="D4" s="1">
        <v>0</v>
      </c>
      <c r="E4" s="1">
        <v>0</v>
      </c>
      <c r="F4" s="1" t="s">
        <v>112</v>
      </c>
      <c r="G4" s="1">
        <v>0</v>
      </c>
      <c r="K4" s="122" t="s">
        <v>100</v>
      </c>
      <c r="L4" s="1" t="s">
        <v>1678</v>
      </c>
      <c r="M4" s="1" t="s">
        <v>1679</v>
      </c>
      <c r="N4" s="1" t="s">
        <v>1680</v>
      </c>
      <c r="O4" s="1" t="s">
        <v>1681</v>
      </c>
      <c r="P4" s="1" t="s">
        <v>1682</v>
      </c>
      <c r="Q4" s="1" t="s">
        <v>1683</v>
      </c>
      <c r="R4" s="1" t="s">
        <v>1684</v>
      </c>
      <c r="S4" s="1" t="s">
        <v>1685</v>
      </c>
      <c r="T4" s="1" t="s">
        <v>1686</v>
      </c>
      <c r="U4" s="1" t="s">
        <v>1687</v>
      </c>
      <c r="V4" s="1" t="s">
        <v>1688</v>
      </c>
      <c r="W4" s="1" t="s">
        <v>1689</v>
      </c>
      <c r="X4" s="1" t="s">
        <v>1690</v>
      </c>
      <c r="Y4" s="1" t="s">
        <v>1691</v>
      </c>
      <c r="Z4" s="1" t="s">
        <v>1692</v>
      </c>
      <c r="AA4" s="1" t="s">
        <v>1693</v>
      </c>
      <c r="AB4" s="1" t="s">
        <v>1694</v>
      </c>
      <c r="AC4" s="1" t="s">
        <v>1695</v>
      </c>
      <c r="AD4" s="1" t="s">
        <v>1696</v>
      </c>
      <c r="AE4" s="1" t="s">
        <v>1697</v>
      </c>
      <c r="AF4" s="1" t="s">
        <v>1698</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25">
      <c r="A5" s="1" t="str">
        <f t="shared" si="0"/>
        <v>1</v>
      </c>
      <c r="B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 s="1" t="s">
        <v>1717</v>
      </c>
      <c r="D5" s="1" t="s">
        <v>1646</v>
      </c>
      <c r="E5" s="1" t="s">
        <v>1718</v>
      </c>
      <c r="F5" s="1" t="s">
        <v>112</v>
      </c>
      <c r="G5" s="1">
        <v>22257</v>
      </c>
      <c r="K5" s="149" t="s">
        <v>164</v>
      </c>
      <c r="L5" s="44">
        <v>15501.333333333334</v>
      </c>
      <c r="M5" s="44">
        <v>1089548</v>
      </c>
      <c r="N5" s="44"/>
      <c r="O5" s="44">
        <v>4298855</v>
      </c>
      <c r="P5" s="44">
        <v>203876.33333333334</v>
      </c>
      <c r="Q5" s="44"/>
      <c r="R5" s="44">
        <v>103939</v>
      </c>
      <c r="S5" s="44">
        <v>21500</v>
      </c>
      <c r="T5" s="44">
        <v>681.5</v>
      </c>
      <c r="U5" s="44">
        <v>2371169.6666666665</v>
      </c>
      <c r="V5" s="44">
        <v>4905797</v>
      </c>
      <c r="W5" s="44">
        <v>294195.33333333331</v>
      </c>
      <c r="X5" s="44">
        <v>2219039.6666666665</v>
      </c>
      <c r="Y5" s="44">
        <v>3874505.3333333335</v>
      </c>
      <c r="Z5" s="44">
        <v>2594491.6666666665</v>
      </c>
      <c r="AA5" s="44">
        <v>2778619.5</v>
      </c>
      <c r="AB5" s="44">
        <v>2341068.5</v>
      </c>
      <c r="AC5" s="44">
        <v>4563237</v>
      </c>
      <c r="AD5" s="44">
        <v>3788267</v>
      </c>
      <c r="AE5" s="44">
        <v>241173</v>
      </c>
      <c r="AF5" s="44">
        <v>197005.33333333334</v>
      </c>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25">
      <c r="A6" s="1" t="str">
        <f t="shared" si="0"/>
        <v>1</v>
      </c>
      <c r="B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 s="1" t="s">
        <v>1719</v>
      </c>
      <c r="D6" s="1">
        <v>0</v>
      </c>
      <c r="E6" s="1">
        <v>0</v>
      </c>
      <c r="F6" s="1" t="s">
        <v>112</v>
      </c>
      <c r="G6" s="1">
        <v>0</v>
      </c>
      <c r="K6" s="149" t="s">
        <v>1699</v>
      </c>
      <c r="L6" s="44">
        <v>147826</v>
      </c>
      <c r="M6" s="44">
        <v>2689627</v>
      </c>
      <c r="N6" s="44">
        <v>2816868.3333333335</v>
      </c>
      <c r="O6" s="44">
        <v>2413161</v>
      </c>
      <c r="P6" s="44">
        <v>241851</v>
      </c>
      <c r="Q6" s="44">
        <v>137385.66666666666</v>
      </c>
      <c r="R6" s="44">
        <v>27935</v>
      </c>
      <c r="S6" s="44">
        <v>76425.333333333328</v>
      </c>
      <c r="T6" s="44">
        <v>1144610.6666666667</v>
      </c>
      <c r="U6" s="44">
        <v>2254022.6666666665</v>
      </c>
      <c r="V6" s="44">
        <v>3645697.3333333335</v>
      </c>
      <c r="W6" s="44">
        <v>276527</v>
      </c>
      <c r="X6" s="44">
        <v>1764675</v>
      </c>
      <c r="Y6" s="44">
        <v>1346850</v>
      </c>
      <c r="Z6" s="44">
        <v>2177178.6666666665</v>
      </c>
      <c r="AA6" s="44">
        <v>2290519</v>
      </c>
      <c r="AB6" s="44">
        <v>3986836.6666666665</v>
      </c>
      <c r="AC6" s="44">
        <v>3468591.5</v>
      </c>
      <c r="AD6" s="44">
        <v>5099550.666666667</v>
      </c>
      <c r="AE6" s="44">
        <v>161835</v>
      </c>
      <c r="AF6" s="44">
        <v>157455</v>
      </c>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25">
      <c r="A7" s="1" t="str">
        <f t="shared" si="0"/>
        <v>1</v>
      </c>
      <c r="B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 s="1" t="s">
        <v>1720</v>
      </c>
      <c r="D7" s="1" t="s">
        <v>1721</v>
      </c>
      <c r="E7" s="1" t="s">
        <v>1722</v>
      </c>
      <c r="F7" s="1" t="s">
        <v>112</v>
      </c>
      <c r="G7" s="1">
        <v>421221</v>
      </c>
      <c r="K7" s="149" t="s">
        <v>1700</v>
      </c>
      <c r="L7" s="44">
        <v>92294.666666666672</v>
      </c>
      <c r="M7" s="44">
        <v>403289.66666666669</v>
      </c>
      <c r="N7" s="44">
        <v>1682056</v>
      </c>
      <c r="O7" s="44">
        <v>1623864</v>
      </c>
      <c r="P7" s="44">
        <v>219377.66666666666</v>
      </c>
      <c r="Q7" s="44">
        <v>212513.66666666666</v>
      </c>
      <c r="R7" s="44">
        <v>233105</v>
      </c>
      <c r="S7" s="44"/>
      <c r="T7" s="44">
        <v>30144.666666666668</v>
      </c>
      <c r="U7" s="44">
        <v>2903604.3333333335</v>
      </c>
      <c r="V7" s="44">
        <v>4604478.333333333</v>
      </c>
      <c r="W7" s="44">
        <v>431069.33333333331</v>
      </c>
      <c r="X7" s="44">
        <v>3114164</v>
      </c>
      <c r="Y7" s="44">
        <v>3447278.6666666665</v>
      </c>
      <c r="Z7" s="44">
        <v>1425626</v>
      </c>
      <c r="AA7" s="44">
        <v>2421813</v>
      </c>
      <c r="AB7" s="44">
        <v>3236798.6666666665</v>
      </c>
      <c r="AC7" s="44">
        <v>4255822.5</v>
      </c>
      <c r="AD7" s="44">
        <v>3708842</v>
      </c>
      <c r="AE7" s="44">
        <v>105013.5</v>
      </c>
      <c r="AF7" s="44">
        <v>104277.5</v>
      </c>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25">
      <c r="A8" s="1" t="str">
        <f t="shared" si="0"/>
        <v>1</v>
      </c>
      <c r="B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8" s="1" t="s">
        <v>1723</v>
      </c>
      <c r="D8" s="1" t="s">
        <v>1724</v>
      </c>
      <c r="E8" s="1" t="s">
        <v>1725</v>
      </c>
      <c r="F8" s="1" t="s">
        <v>112</v>
      </c>
      <c r="G8" s="1">
        <v>6640</v>
      </c>
      <c r="K8" s="149" t="s">
        <v>1701</v>
      </c>
      <c r="L8" s="44">
        <v>162750.66666666666</v>
      </c>
      <c r="M8" s="44">
        <v>1163580.3333333333</v>
      </c>
      <c r="N8" s="44">
        <v>3321443.3333333335</v>
      </c>
      <c r="O8" s="44">
        <v>2701833.3333333335</v>
      </c>
      <c r="P8" s="44">
        <v>26345.333333333332</v>
      </c>
      <c r="Q8" s="44">
        <v>183155</v>
      </c>
      <c r="R8" s="44">
        <v>57867.333333333336</v>
      </c>
      <c r="S8" s="44">
        <v>103859.66666666667</v>
      </c>
      <c r="T8" s="44">
        <v>0</v>
      </c>
      <c r="U8" s="44"/>
      <c r="V8" s="44">
        <v>4401373.666666667</v>
      </c>
      <c r="W8" s="44">
        <v>1465994.6666666667</v>
      </c>
      <c r="X8" s="44">
        <v>3281504</v>
      </c>
      <c r="Y8" s="44">
        <v>2923150.6666666665</v>
      </c>
      <c r="Z8" s="44">
        <v>2078200</v>
      </c>
      <c r="AA8" s="44">
        <v>2539558.3333333335</v>
      </c>
      <c r="AB8" s="44">
        <v>2527943.3333333335</v>
      </c>
      <c r="AC8" s="44">
        <v>3620498.3333333335</v>
      </c>
      <c r="AD8" s="44">
        <v>5339620.666666667</v>
      </c>
      <c r="AE8" s="44">
        <v>267309.66666666669</v>
      </c>
      <c r="AF8" s="44">
        <v>94248.666666666672</v>
      </c>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25">
      <c r="A9" s="1" t="str">
        <f t="shared" si="0"/>
        <v>1</v>
      </c>
      <c r="B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9" s="1" t="s">
        <v>1726</v>
      </c>
      <c r="D9" s="1" t="s">
        <v>1727</v>
      </c>
      <c r="E9" s="1" t="s">
        <v>1728</v>
      </c>
      <c r="F9" s="1" t="s">
        <v>112</v>
      </c>
      <c r="G9" s="1">
        <v>15660</v>
      </c>
      <c r="K9" s="149" t="s">
        <v>1702</v>
      </c>
      <c r="L9" s="44">
        <v>119656.33333333333</v>
      </c>
      <c r="M9" s="44">
        <v>2416528</v>
      </c>
      <c r="N9" s="44">
        <v>100096</v>
      </c>
      <c r="O9" s="44">
        <v>5410689.333333333</v>
      </c>
      <c r="P9" s="44">
        <v>44182.666666666664</v>
      </c>
      <c r="Q9" s="44">
        <v>305468.5</v>
      </c>
      <c r="R9" s="44">
        <v>190653.33333333334</v>
      </c>
      <c r="S9" s="44">
        <v>140464.66666666666</v>
      </c>
      <c r="T9" s="44">
        <v>512109.33333333331</v>
      </c>
      <c r="U9" s="44">
        <v>4632590</v>
      </c>
      <c r="V9" s="44">
        <v>3895566</v>
      </c>
      <c r="W9" s="44">
        <v>205484</v>
      </c>
      <c r="X9" s="44">
        <v>1629899</v>
      </c>
      <c r="Y9" s="44">
        <v>4088864.6666666665</v>
      </c>
      <c r="Z9" s="44">
        <v>2307131</v>
      </c>
      <c r="AA9" s="44">
        <v>3203834.3333333335</v>
      </c>
      <c r="AB9" s="44">
        <v>3014558</v>
      </c>
      <c r="AC9" s="44">
        <v>4117524.6666666665</v>
      </c>
      <c r="AD9" s="44">
        <v>4071200.3333333335</v>
      </c>
      <c r="AE9" s="44">
        <v>82720</v>
      </c>
      <c r="AF9" s="44">
        <v>257915</v>
      </c>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25">
      <c r="A10" s="1" t="str">
        <f t="shared" si="0"/>
        <v>1</v>
      </c>
      <c r="B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 s="1" t="s">
        <v>1729</v>
      </c>
      <c r="D10" s="1" t="s">
        <v>291</v>
      </c>
      <c r="E10" s="1" t="s">
        <v>1730</v>
      </c>
      <c r="F10" s="1" t="s">
        <v>112</v>
      </c>
      <c r="G10" s="1">
        <v>254584</v>
      </c>
      <c r="K10" s="149" t="s">
        <v>1703</v>
      </c>
      <c r="L10" s="44">
        <v>879.66666666666663</v>
      </c>
      <c r="M10" s="44">
        <v>2694465</v>
      </c>
      <c r="N10" s="44">
        <v>890474</v>
      </c>
      <c r="O10" s="44">
        <v>4275610</v>
      </c>
      <c r="P10" s="44">
        <v>327642.66666666669</v>
      </c>
      <c r="Q10" s="44">
        <v>0</v>
      </c>
      <c r="R10" s="44">
        <v>118467</v>
      </c>
      <c r="S10" s="44">
        <v>182570.66666666666</v>
      </c>
      <c r="T10" s="44">
        <v>7412</v>
      </c>
      <c r="U10" s="44">
        <v>2242097</v>
      </c>
      <c r="V10" s="44">
        <v>3894419.3333333335</v>
      </c>
      <c r="W10" s="44">
        <v>2504511</v>
      </c>
      <c r="X10" s="44">
        <v>3208052</v>
      </c>
      <c r="Y10" s="44">
        <v>4291771</v>
      </c>
      <c r="Z10" s="44">
        <v>2169143.5</v>
      </c>
      <c r="AA10" s="44">
        <v>3221347.3333333335</v>
      </c>
      <c r="AB10" s="44">
        <v>3300289</v>
      </c>
      <c r="AC10" s="44">
        <v>3358531.3333333335</v>
      </c>
      <c r="AD10" s="44">
        <v>4182428.6666666665</v>
      </c>
      <c r="AE10" s="44">
        <v>283697.66666666669</v>
      </c>
      <c r="AF10" s="44">
        <v>196053.33333333334</v>
      </c>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25">
      <c r="A11" s="1" t="str">
        <f t="shared" si="0"/>
        <v>1</v>
      </c>
      <c r="B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 s="1" t="s">
        <v>1731</v>
      </c>
      <c r="D11" s="1" t="s">
        <v>1732</v>
      </c>
      <c r="E11" s="1" t="s">
        <v>1733</v>
      </c>
      <c r="F11" s="1" t="s">
        <v>112</v>
      </c>
      <c r="G11" s="1">
        <v>162549</v>
      </c>
      <c r="K11" s="149" t="s">
        <v>1704</v>
      </c>
      <c r="L11" s="44">
        <v>230113.33333333334</v>
      </c>
      <c r="M11" s="44">
        <v>1236184.6666666667</v>
      </c>
      <c r="N11" s="44">
        <v>252262.33333333334</v>
      </c>
      <c r="O11" s="44">
        <v>3285227.6666666665</v>
      </c>
      <c r="P11" s="44">
        <v>138900</v>
      </c>
      <c r="Q11" s="44">
        <v>62618.5</v>
      </c>
      <c r="R11" s="44">
        <v>144480.66666666666</v>
      </c>
      <c r="S11" s="44">
        <v>476138.5</v>
      </c>
      <c r="T11" s="44">
        <v>178756.66666666666</v>
      </c>
      <c r="U11" s="44">
        <v>2650166.6666666665</v>
      </c>
      <c r="V11" s="44">
        <v>4533409.666666667</v>
      </c>
      <c r="W11" s="44">
        <v>474397.5</v>
      </c>
      <c r="X11" s="44">
        <v>3119514</v>
      </c>
      <c r="Y11" s="44">
        <v>3307189.3333333335</v>
      </c>
      <c r="Z11" s="44">
        <v>1834265.3333333333</v>
      </c>
      <c r="AA11" s="44">
        <v>3076319</v>
      </c>
      <c r="AB11" s="44">
        <v>3170629</v>
      </c>
      <c r="AC11" s="44">
        <v>3619431</v>
      </c>
      <c r="AD11" s="44">
        <v>4282286.333333333</v>
      </c>
      <c r="AE11" s="44">
        <v>266675</v>
      </c>
      <c r="AF11" s="44">
        <v>261065.33333333334</v>
      </c>
      <c r="AG11"/>
    </row>
    <row r="12" spans="1:144" x14ac:dyDescent="0.25">
      <c r="A12" s="1" t="str">
        <f t="shared" si="0"/>
        <v>1</v>
      </c>
      <c r="B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2" s="1" t="s">
        <v>1734</v>
      </c>
      <c r="D12" s="1" t="s">
        <v>1735</v>
      </c>
      <c r="E12" s="1" t="s">
        <v>1736</v>
      </c>
      <c r="F12" s="1" t="s">
        <v>112</v>
      </c>
      <c r="G12" s="1">
        <v>143623</v>
      </c>
      <c r="K12" s="149" t="s">
        <v>1705</v>
      </c>
      <c r="L12" s="44"/>
      <c r="M12" s="44">
        <v>183991</v>
      </c>
      <c r="N12" s="44">
        <v>894519</v>
      </c>
      <c r="O12" s="44">
        <v>3774690.6666666665</v>
      </c>
      <c r="P12" s="44">
        <v>168309.33333333334</v>
      </c>
      <c r="Q12" s="44">
        <v>142750.33333333334</v>
      </c>
      <c r="R12" s="44">
        <v>8565.3333333333339</v>
      </c>
      <c r="S12" s="44">
        <v>199478.33333333334</v>
      </c>
      <c r="T12" s="44">
        <v>131236</v>
      </c>
      <c r="U12" s="44">
        <v>2647989.3333333335</v>
      </c>
      <c r="V12" s="44">
        <v>5059268.333333333</v>
      </c>
      <c r="W12" s="44">
        <v>1366425.5</v>
      </c>
      <c r="X12" s="44">
        <v>3594088</v>
      </c>
      <c r="Y12" s="44">
        <v>4620239.333333333</v>
      </c>
      <c r="Z12" s="44">
        <v>2718106.6666666665</v>
      </c>
      <c r="AA12" s="44">
        <v>2051401</v>
      </c>
      <c r="AB12" s="44">
        <v>3087451.3333333335</v>
      </c>
      <c r="AC12" s="44">
        <v>4359173.666666667</v>
      </c>
      <c r="AD12" s="44">
        <v>4616302.333333333</v>
      </c>
      <c r="AE12" s="44">
        <v>219276.66666666666</v>
      </c>
      <c r="AF12" s="44">
        <v>405690.33333333331</v>
      </c>
      <c r="AG12"/>
    </row>
    <row r="13" spans="1:144" x14ac:dyDescent="0.25">
      <c r="A13" s="1" t="str">
        <f t="shared" si="0"/>
        <v>1</v>
      </c>
      <c r="B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3" s="1" t="s">
        <v>1737</v>
      </c>
      <c r="D13" s="1" t="s">
        <v>147</v>
      </c>
      <c r="E13" s="1" t="s">
        <v>1738</v>
      </c>
      <c r="F13" s="1" t="s">
        <v>112</v>
      </c>
      <c r="G13" s="1">
        <v>182080</v>
      </c>
      <c r="K13"/>
      <c r="L13"/>
      <c r="M13"/>
      <c r="N13"/>
      <c r="O13"/>
      <c r="P13"/>
      <c r="Q13"/>
      <c r="R13"/>
      <c r="S13"/>
      <c r="T13"/>
      <c r="U13"/>
      <c r="V13"/>
      <c r="W13"/>
      <c r="X13"/>
      <c r="Y13"/>
      <c r="Z13"/>
      <c r="AA13"/>
      <c r="AB13"/>
      <c r="AC13"/>
      <c r="AD13"/>
      <c r="AE13"/>
      <c r="AF13"/>
      <c r="AG13"/>
    </row>
    <row r="14" spans="1:144" x14ac:dyDescent="0.25">
      <c r="A14" s="1" t="str">
        <f t="shared" si="0"/>
        <v>1</v>
      </c>
      <c r="B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 s="1" t="s">
        <v>1739</v>
      </c>
      <c r="D14" s="1" t="s">
        <v>224</v>
      </c>
      <c r="E14" s="1" t="s">
        <v>1740</v>
      </c>
      <c r="F14" s="1" t="s">
        <v>112</v>
      </c>
      <c r="G14" s="1">
        <v>143644</v>
      </c>
      <c r="K14"/>
      <c r="L14"/>
      <c r="M14"/>
      <c r="N14"/>
      <c r="O14"/>
      <c r="P14"/>
      <c r="Q14"/>
      <c r="R14"/>
      <c r="S14"/>
      <c r="T14"/>
      <c r="U14"/>
      <c r="V14"/>
      <c r="W14"/>
      <c r="X14"/>
      <c r="Y14"/>
      <c r="Z14"/>
      <c r="AA14"/>
      <c r="AB14"/>
      <c r="AC14"/>
      <c r="AD14"/>
      <c r="AE14"/>
      <c r="AF14"/>
      <c r="AG14"/>
    </row>
    <row r="15" spans="1:144" x14ac:dyDescent="0.25">
      <c r="A15" s="1" t="str">
        <f t="shared" si="0"/>
        <v>1</v>
      </c>
      <c r="B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5" s="1" t="s">
        <v>1741</v>
      </c>
      <c r="D15" s="1" t="s">
        <v>610</v>
      </c>
      <c r="E15" s="1" t="s">
        <v>1742</v>
      </c>
      <c r="F15" s="1" t="s">
        <v>112</v>
      </c>
      <c r="G15" s="1">
        <v>135511</v>
      </c>
    </row>
    <row r="16" spans="1:144" x14ac:dyDescent="0.25">
      <c r="A16" s="1" t="str">
        <f t="shared" si="0"/>
        <v>1</v>
      </c>
      <c r="B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6" s="1" t="s">
        <v>1743</v>
      </c>
      <c r="D16" s="1" t="s">
        <v>1744</v>
      </c>
      <c r="E16" s="1" t="s">
        <v>1745</v>
      </c>
      <c r="F16" s="1" t="s">
        <v>112</v>
      </c>
      <c r="G16" s="1">
        <v>79814</v>
      </c>
    </row>
    <row r="17" spans="1:10" x14ac:dyDescent="0.25">
      <c r="A17" s="1" t="str">
        <f t="shared" si="0"/>
        <v>1</v>
      </c>
      <c r="B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7" s="1" t="s">
        <v>1746</v>
      </c>
      <c r="D17" s="1" t="s">
        <v>549</v>
      </c>
      <c r="E17" s="1">
        <v>30</v>
      </c>
      <c r="F17" s="1" t="s">
        <v>112</v>
      </c>
      <c r="G17" s="1">
        <v>649</v>
      </c>
    </row>
    <row r="18" spans="1:10" x14ac:dyDescent="0.25">
      <c r="A18" s="1" t="str">
        <f t="shared" si="0"/>
        <v>1</v>
      </c>
      <c r="B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 s="1" t="s">
        <v>1747</v>
      </c>
      <c r="D18" s="1">
        <v>0</v>
      </c>
      <c r="E18" s="1">
        <v>0</v>
      </c>
      <c r="F18" s="1" t="s">
        <v>112</v>
      </c>
      <c r="G18" s="1">
        <v>0</v>
      </c>
    </row>
    <row r="19" spans="1:10" x14ac:dyDescent="0.25">
      <c r="A19" s="1" t="str">
        <f t="shared" si="0"/>
        <v>1</v>
      </c>
      <c r="B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9" s="1" t="s">
        <v>1748</v>
      </c>
      <c r="D19" s="1" t="s">
        <v>717</v>
      </c>
      <c r="E19" s="1" t="s">
        <v>1597</v>
      </c>
      <c r="F19" s="1" t="s">
        <v>112</v>
      </c>
      <c r="G19" s="1">
        <v>1990</v>
      </c>
    </row>
    <row r="20" spans="1:10" x14ac:dyDescent="0.25">
      <c r="A20" s="1" t="str">
        <f t="shared" si="0"/>
        <v>1</v>
      </c>
      <c r="B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0" s="1" t="s">
        <v>1749</v>
      </c>
      <c r="D20" s="1" t="s">
        <v>224</v>
      </c>
      <c r="E20" s="1" t="s">
        <v>1750</v>
      </c>
      <c r="F20" s="1" t="s">
        <v>112</v>
      </c>
      <c r="G20" s="1">
        <v>144682</v>
      </c>
    </row>
    <row r="21" spans="1:10" x14ac:dyDescent="0.25">
      <c r="A21" s="1" t="str">
        <f t="shared" si="0"/>
        <v>1</v>
      </c>
      <c r="B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1" s="1" t="s">
        <v>1751</v>
      </c>
      <c r="D21" s="1" t="s">
        <v>1752</v>
      </c>
      <c r="E21" s="1" t="s">
        <v>1753</v>
      </c>
      <c r="F21" s="1" t="s">
        <v>112</v>
      </c>
      <c r="G21" s="1">
        <v>304203</v>
      </c>
    </row>
    <row r="22" spans="1:10" x14ac:dyDescent="0.25">
      <c r="A22" s="1" t="str">
        <f t="shared" si="0"/>
        <v>1</v>
      </c>
      <c r="B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2" s="1" t="s">
        <v>1754</v>
      </c>
      <c r="D22" s="1" t="s">
        <v>1755</v>
      </c>
      <c r="E22" s="1" t="s">
        <v>1756</v>
      </c>
      <c r="F22" s="1" t="s">
        <v>112</v>
      </c>
      <c r="G22" s="1">
        <v>241455</v>
      </c>
    </row>
    <row r="23" spans="1:10" x14ac:dyDescent="0.25">
      <c r="A23" s="1" t="str">
        <f t="shared" si="0"/>
        <v>1</v>
      </c>
      <c r="B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3" s="1" t="s">
        <v>1757</v>
      </c>
    </row>
    <row r="24" spans="1:10" x14ac:dyDescent="0.25">
      <c r="A24" s="1" t="str">
        <f t="shared" si="0"/>
        <v>1</v>
      </c>
      <c r="B2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4" s="1" t="s">
        <v>1758</v>
      </c>
    </row>
    <row r="25" spans="1:10" x14ac:dyDescent="0.25">
      <c r="A25" s="1" t="str">
        <f t="shared" si="0"/>
        <v>1</v>
      </c>
      <c r="B2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 s="1" t="s">
        <v>1759</v>
      </c>
    </row>
    <row r="26" spans="1:10" x14ac:dyDescent="0.25">
      <c r="A26" s="1" t="str">
        <f t="shared" si="0"/>
        <v/>
      </c>
      <c r="B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 s="1" t="s">
        <v>112</v>
      </c>
    </row>
    <row r="27" spans="1:10" x14ac:dyDescent="0.25">
      <c r="A27" s="1" t="str">
        <f t="shared" si="0"/>
        <v/>
      </c>
      <c r="B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7" s="1" t="s">
        <v>237</v>
      </c>
      <c r="D27" s="1" t="s">
        <v>112</v>
      </c>
      <c r="E27" s="1" t="s">
        <v>238</v>
      </c>
      <c r="F27" s="1" t="s">
        <v>239</v>
      </c>
      <c r="G27" s="1" t="s">
        <v>240</v>
      </c>
      <c r="H27" s="1" t="s">
        <v>241</v>
      </c>
      <c r="I27" s="1" t="s">
        <v>242</v>
      </c>
      <c r="J27" s="1" t="s">
        <v>243</v>
      </c>
    </row>
    <row r="28" spans="1:10" x14ac:dyDescent="0.25">
      <c r="A28" s="1" t="str">
        <f t="shared" si="0"/>
        <v>1</v>
      </c>
      <c r="B2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8" s="1" t="s">
        <v>1760</v>
      </c>
      <c r="D28" s="1" t="s">
        <v>112</v>
      </c>
      <c r="E28" s="1" t="s">
        <v>1761</v>
      </c>
      <c r="F28" s="1" t="s">
        <v>1762</v>
      </c>
      <c r="G28" s="1" t="s">
        <v>1763</v>
      </c>
      <c r="H28" s="1" t="s">
        <v>1764</v>
      </c>
      <c r="I28" s="1">
        <v>18</v>
      </c>
      <c r="J28" s="1">
        <v>24</v>
      </c>
    </row>
    <row r="29" spans="1:10" x14ac:dyDescent="0.25">
      <c r="A29" s="1" t="str">
        <f t="shared" si="0"/>
        <v/>
      </c>
      <c r="B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 s="1" t="s">
        <v>112</v>
      </c>
    </row>
    <row r="30" spans="1:10" x14ac:dyDescent="0.25">
      <c r="A30" s="1" t="str">
        <f t="shared" si="0"/>
        <v/>
      </c>
      <c r="B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0" s="1" t="s">
        <v>112</v>
      </c>
    </row>
    <row r="31" spans="1:10" x14ac:dyDescent="0.25">
      <c r="A31" s="1" t="str">
        <f t="shared" si="0"/>
        <v/>
      </c>
      <c r="B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1" s="1" t="s">
        <v>112</v>
      </c>
    </row>
    <row r="32" spans="1:10" x14ac:dyDescent="0.25">
      <c r="A32" s="1" t="str">
        <f t="shared" si="0"/>
        <v/>
      </c>
      <c r="B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 s="1" t="s">
        <v>112</v>
      </c>
    </row>
    <row r="33" spans="1:7" x14ac:dyDescent="0.25">
      <c r="A33" s="1" t="str">
        <f t="shared" si="0"/>
        <v/>
      </c>
      <c r="B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3" s="1" t="s">
        <v>112</v>
      </c>
    </row>
    <row r="34" spans="1:7" x14ac:dyDescent="0.25">
      <c r="A34" s="1" t="str">
        <f t="shared" si="0"/>
        <v/>
      </c>
      <c r="B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4" s="1" t="s">
        <v>249</v>
      </c>
      <c r="D34" s="1" t="s">
        <v>110</v>
      </c>
      <c r="E34" s="1" t="s">
        <v>111</v>
      </c>
      <c r="F34" s="1" t="s">
        <v>112</v>
      </c>
      <c r="G34" s="1" t="s">
        <v>113</v>
      </c>
    </row>
    <row r="35" spans="1:7" x14ac:dyDescent="0.25">
      <c r="A35" s="1" t="str">
        <f t="shared" si="0"/>
        <v>13</v>
      </c>
      <c r="B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5" s="1" t="s">
        <v>1765</v>
      </c>
      <c r="D35" s="1" t="s">
        <v>1766</v>
      </c>
      <c r="E35" s="1" t="s">
        <v>1767</v>
      </c>
      <c r="F35" s="1" t="s">
        <v>112</v>
      </c>
      <c r="G35" s="1">
        <v>1006590</v>
      </c>
    </row>
    <row r="36" spans="1:7" x14ac:dyDescent="0.25">
      <c r="A36" s="1" t="str">
        <f t="shared" si="0"/>
        <v>13</v>
      </c>
      <c r="B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 s="1" t="s">
        <v>1768</v>
      </c>
      <c r="D36" s="1" t="s">
        <v>1769</v>
      </c>
      <c r="E36" s="1" t="s">
        <v>1770</v>
      </c>
      <c r="F36" s="1" t="s">
        <v>112</v>
      </c>
      <c r="G36" s="1">
        <v>1131027</v>
      </c>
    </row>
    <row r="37" spans="1:7" x14ac:dyDescent="0.25">
      <c r="A37" s="1" t="str">
        <f t="shared" si="0"/>
        <v>13</v>
      </c>
      <c r="B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7" s="1" t="s">
        <v>1771</v>
      </c>
      <c r="D37" s="1" t="s">
        <v>1772</v>
      </c>
      <c r="E37" s="1" t="s">
        <v>1773</v>
      </c>
      <c r="F37" s="1" t="s">
        <v>112</v>
      </c>
      <c r="G37" s="1">
        <v>1131027</v>
      </c>
    </row>
    <row r="38" spans="1:7" x14ac:dyDescent="0.25">
      <c r="A38" s="1" t="str">
        <f t="shared" si="0"/>
        <v>13</v>
      </c>
      <c r="B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8" s="1" t="s">
        <v>1774</v>
      </c>
      <c r="D38" s="1" t="s">
        <v>1775</v>
      </c>
      <c r="E38" s="1" t="s">
        <v>1776</v>
      </c>
      <c r="F38" s="1" t="s">
        <v>112</v>
      </c>
      <c r="G38" s="1">
        <v>2509133</v>
      </c>
    </row>
    <row r="39" spans="1:7" x14ac:dyDescent="0.25">
      <c r="A39" s="1" t="str">
        <f t="shared" si="0"/>
        <v>13</v>
      </c>
      <c r="B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9" s="1" t="s">
        <v>1777</v>
      </c>
      <c r="D39" s="1" t="s">
        <v>1778</v>
      </c>
      <c r="E39" s="1" t="s">
        <v>1779</v>
      </c>
      <c r="F39" s="1" t="s">
        <v>112</v>
      </c>
      <c r="G39" s="1">
        <v>2985769</v>
      </c>
    </row>
    <row r="40" spans="1:7" x14ac:dyDescent="0.25">
      <c r="A40" s="1" t="str">
        <f t="shared" si="0"/>
        <v>13</v>
      </c>
      <c r="B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 s="1" t="s">
        <v>1780</v>
      </c>
      <c r="D40" s="1" t="s">
        <v>1781</v>
      </c>
      <c r="E40" s="1" t="s">
        <v>1782</v>
      </c>
      <c r="F40" s="1" t="s">
        <v>112</v>
      </c>
      <c r="G40" s="1">
        <v>2573979</v>
      </c>
    </row>
    <row r="41" spans="1:7" x14ac:dyDescent="0.25">
      <c r="A41" s="1" t="str">
        <f t="shared" si="0"/>
        <v>13</v>
      </c>
      <c r="B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1" s="1" t="s">
        <v>1783</v>
      </c>
      <c r="D41" s="1" t="s">
        <v>1784</v>
      </c>
      <c r="E41" s="1" t="s">
        <v>1785</v>
      </c>
      <c r="F41" s="1" t="s">
        <v>112</v>
      </c>
      <c r="G41" s="1">
        <v>558246</v>
      </c>
    </row>
    <row r="42" spans="1:7" x14ac:dyDescent="0.25">
      <c r="A42" s="1" t="str">
        <f t="shared" si="0"/>
        <v>13</v>
      </c>
      <c r="B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2" s="1" t="s">
        <v>1786</v>
      </c>
      <c r="D42" s="1" t="s">
        <v>1787</v>
      </c>
      <c r="E42" s="1" t="s">
        <v>1788</v>
      </c>
      <c r="F42" s="1" t="s">
        <v>112</v>
      </c>
      <c r="G42" s="1">
        <v>224151</v>
      </c>
    </row>
    <row r="43" spans="1:7" x14ac:dyDescent="0.25">
      <c r="A43" s="1" t="str">
        <f t="shared" si="0"/>
        <v>13</v>
      </c>
      <c r="B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 s="1" t="s">
        <v>1789</v>
      </c>
      <c r="D43" s="1" t="s">
        <v>1790</v>
      </c>
      <c r="E43" s="1" t="s">
        <v>1791</v>
      </c>
      <c r="F43" s="1" t="s">
        <v>112</v>
      </c>
      <c r="G43" s="1">
        <v>427472</v>
      </c>
    </row>
    <row r="44" spans="1:7" x14ac:dyDescent="0.25">
      <c r="A44" s="1" t="str">
        <f t="shared" si="0"/>
        <v>13</v>
      </c>
      <c r="B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 s="1" t="s">
        <v>1792</v>
      </c>
      <c r="D44" s="1" t="s">
        <v>1793</v>
      </c>
      <c r="E44" s="1" t="s">
        <v>1794</v>
      </c>
      <c r="F44" s="1" t="s">
        <v>112</v>
      </c>
      <c r="G44" s="1">
        <v>1064667</v>
      </c>
    </row>
    <row r="45" spans="1:7" x14ac:dyDescent="0.25">
      <c r="A45" s="1" t="str">
        <f t="shared" si="0"/>
        <v>13</v>
      </c>
      <c r="B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5" s="1" t="s">
        <v>1795</v>
      </c>
      <c r="D45" s="1" t="s">
        <v>1796</v>
      </c>
      <c r="E45" s="1" t="s">
        <v>1797</v>
      </c>
      <c r="F45" s="1" t="s">
        <v>112</v>
      </c>
      <c r="G45" s="1">
        <v>1389483</v>
      </c>
    </row>
    <row r="46" spans="1:7" x14ac:dyDescent="0.25">
      <c r="A46" s="1" t="str">
        <f t="shared" si="0"/>
        <v>13</v>
      </c>
      <c r="B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6" s="1" t="s">
        <v>1798</v>
      </c>
      <c r="D46" s="1" t="s">
        <v>1799</v>
      </c>
      <c r="E46" s="1" t="s">
        <v>1800</v>
      </c>
      <c r="F46" s="1" t="s">
        <v>112</v>
      </c>
      <c r="G46" s="1">
        <v>1036591</v>
      </c>
    </row>
    <row r="47" spans="1:7" x14ac:dyDescent="0.25">
      <c r="A47" s="1" t="str">
        <f t="shared" si="0"/>
        <v>13</v>
      </c>
      <c r="B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 s="1" t="s">
        <v>1801</v>
      </c>
      <c r="D47" s="1" t="s">
        <v>1802</v>
      </c>
      <c r="E47" s="1" t="s">
        <v>1803</v>
      </c>
      <c r="F47" s="1" t="s">
        <v>112</v>
      </c>
      <c r="G47" s="1">
        <v>1830257</v>
      </c>
    </row>
    <row r="48" spans="1:7" x14ac:dyDescent="0.25">
      <c r="A48" s="1" t="str">
        <f t="shared" si="0"/>
        <v>13</v>
      </c>
      <c r="B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8" s="1" t="s">
        <v>1804</v>
      </c>
      <c r="D48" s="1" t="s">
        <v>1350</v>
      </c>
      <c r="E48" s="1" t="s">
        <v>1805</v>
      </c>
      <c r="F48" s="1" t="s">
        <v>112</v>
      </c>
      <c r="G48" s="1">
        <v>2748900</v>
      </c>
    </row>
    <row r="49" spans="1:10" x14ac:dyDescent="0.25">
      <c r="A49" s="1" t="str">
        <f t="shared" si="0"/>
        <v>13</v>
      </c>
      <c r="B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9" s="1" t="s">
        <v>1806</v>
      </c>
      <c r="D49" s="1" t="s">
        <v>1807</v>
      </c>
      <c r="E49" s="1" t="s">
        <v>1808</v>
      </c>
      <c r="F49" s="1" t="s">
        <v>112</v>
      </c>
      <c r="G49" s="1">
        <v>2670427</v>
      </c>
    </row>
    <row r="50" spans="1:10" x14ac:dyDescent="0.25">
      <c r="A50" s="1" t="str">
        <f t="shared" si="0"/>
        <v>13</v>
      </c>
      <c r="B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0" s="1" t="s">
        <v>1809</v>
      </c>
      <c r="D50" s="1" t="s">
        <v>1810</v>
      </c>
      <c r="E50" s="1" t="s">
        <v>1811</v>
      </c>
      <c r="F50" s="1" t="s">
        <v>112</v>
      </c>
      <c r="G50" s="1">
        <v>2957607</v>
      </c>
    </row>
    <row r="51" spans="1:10" x14ac:dyDescent="0.25">
      <c r="A51" s="1" t="str">
        <f t="shared" si="0"/>
        <v>13</v>
      </c>
      <c r="B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 s="1" t="s">
        <v>1812</v>
      </c>
      <c r="D51" s="1" t="s">
        <v>1813</v>
      </c>
      <c r="E51" s="1" t="s">
        <v>1814</v>
      </c>
      <c r="F51" s="1" t="s">
        <v>112</v>
      </c>
      <c r="G51" s="1">
        <v>2671833</v>
      </c>
    </row>
    <row r="52" spans="1:10" x14ac:dyDescent="0.25">
      <c r="A52" s="1" t="str">
        <f t="shared" si="0"/>
        <v>13</v>
      </c>
      <c r="B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2" s="1" t="s">
        <v>1815</v>
      </c>
      <c r="D52" s="1" t="s">
        <v>1816</v>
      </c>
      <c r="E52" s="1" t="s">
        <v>1817</v>
      </c>
      <c r="F52" s="1" t="s">
        <v>112</v>
      </c>
      <c r="G52" s="1">
        <v>2453955</v>
      </c>
    </row>
    <row r="53" spans="1:10" x14ac:dyDescent="0.25">
      <c r="A53" s="1" t="str">
        <f t="shared" si="0"/>
        <v>13</v>
      </c>
      <c r="B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3" s="1" t="s">
        <v>1818</v>
      </c>
      <c r="D53" s="1" t="s">
        <v>1819</v>
      </c>
      <c r="E53" s="1" t="s">
        <v>1820</v>
      </c>
      <c r="F53" s="1" t="s">
        <v>112</v>
      </c>
      <c r="G53" s="1">
        <v>1199616</v>
      </c>
    </row>
    <row r="54" spans="1:10" x14ac:dyDescent="0.25">
      <c r="A54" s="1" t="str">
        <f t="shared" si="0"/>
        <v>13</v>
      </c>
      <c r="B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4" s="1" t="s">
        <v>1821</v>
      </c>
      <c r="D54" s="1" t="s">
        <v>1822</v>
      </c>
      <c r="E54" s="1" t="s">
        <v>1823</v>
      </c>
      <c r="F54" s="1" t="s">
        <v>112</v>
      </c>
      <c r="G54" s="1">
        <v>1508404</v>
      </c>
    </row>
    <row r="55" spans="1:10" x14ac:dyDescent="0.25">
      <c r="A55" s="1" t="str">
        <f t="shared" si="0"/>
        <v>13</v>
      </c>
      <c r="B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5" s="1" t="s">
        <v>1824</v>
      </c>
      <c r="D55" s="1" t="s">
        <v>1825</v>
      </c>
      <c r="E55" s="1" t="s">
        <v>1826</v>
      </c>
      <c r="F55" s="1" t="s">
        <v>112</v>
      </c>
      <c r="G55" s="1">
        <v>1000534</v>
      </c>
    </row>
    <row r="56" spans="1:10" x14ac:dyDescent="0.25">
      <c r="A56" s="1" t="str">
        <f t="shared" si="0"/>
        <v>13</v>
      </c>
      <c r="B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6" s="1" t="s">
        <v>1827</v>
      </c>
      <c r="D56" s="1" t="s">
        <v>1670</v>
      </c>
      <c r="E56" s="1" t="s">
        <v>1828</v>
      </c>
      <c r="F56" s="1" t="s">
        <v>112</v>
      </c>
      <c r="G56" s="1">
        <v>150111</v>
      </c>
    </row>
    <row r="57" spans="1:10" x14ac:dyDescent="0.25">
      <c r="A57" s="1" t="str">
        <f t="shared" si="0"/>
        <v>13</v>
      </c>
      <c r="B5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7" s="1" t="s">
        <v>1829</v>
      </c>
      <c r="D57" s="1" t="s">
        <v>1830</v>
      </c>
      <c r="E57" s="1" t="s">
        <v>1831</v>
      </c>
      <c r="F57" s="1" t="s">
        <v>112</v>
      </c>
      <c r="G57" s="1">
        <v>252637</v>
      </c>
    </row>
    <row r="58" spans="1:10" x14ac:dyDescent="0.25">
      <c r="A58" s="1" t="str">
        <f t="shared" si="0"/>
        <v>13</v>
      </c>
      <c r="B5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 s="1" t="s">
        <v>1832</v>
      </c>
      <c r="D58" s="1" t="s">
        <v>625</v>
      </c>
      <c r="E58" s="1" t="s">
        <v>1833</v>
      </c>
      <c r="F58" s="1" t="s">
        <v>112</v>
      </c>
      <c r="G58" s="1">
        <v>149225</v>
      </c>
    </row>
    <row r="59" spans="1:10" x14ac:dyDescent="0.25">
      <c r="A59" s="1" t="str">
        <f t="shared" si="0"/>
        <v/>
      </c>
      <c r="B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 s="1" t="s">
        <v>112</v>
      </c>
    </row>
    <row r="60" spans="1:10" x14ac:dyDescent="0.25">
      <c r="A60" s="1" t="str">
        <f t="shared" si="0"/>
        <v/>
      </c>
      <c r="B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0" s="1" t="s">
        <v>237</v>
      </c>
      <c r="D60" s="1" t="s">
        <v>112</v>
      </c>
      <c r="E60" s="1" t="s">
        <v>238</v>
      </c>
      <c r="F60" s="1" t="s">
        <v>239</v>
      </c>
      <c r="G60" s="1" t="s">
        <v>240</v>
      </c>
      <c r="H60" s="1" t="s">
        <v>241</v>
      </c>
      <c r="I60" s="1" t="s">
        <v>242</v>
      </c>
      <c r="J60" s="1" t="s">
        <v>243</v>
      </c>
    </row>
    <row r="61" spans="1:10" x14ac:dyDescent="0.25">
      <c r="A61" s="1" t="str">
        <f t="shared" si="0"/>
        <v>13</v>
      </c>
      <c r="B6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1" s="1" t="s">
        <v>1834</v>
      </c>
      <c r="D61" s="1" t="s">
        <v>112</v>
      </c>
      <c r="E61" s="1" t="s">
        <v>1835</v>
      </c>
      <c r="F61" s="1" t="s">
        <v>1836</v>
      </c>
      <c r="G61" s="1" t="s">
        <v>1837</v>
      </c>
      <c r="H61" s="1" t="s">
        <v>1838</v>
      </c>
      <c r="I61" s="1">
        <v>24</v>
      </c>
      <c r="J61" s="1">
        <v>24</v>
      </c>
    </row>
    <row r="62" spans="1:10" x14ac:dyDescent="0.25">
      <c r="A62" s="1" t="str">
        <f t="shared" si="0"/>
        <v/>
      </c>
      <c r="B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 s="1" t="s">
        <v>112</v>
      </c>
    </row>
    <row r="63" spans="1:10" x14ac:dyDescent="0.25">
      <c r="A63" s="1" t="str">
        <f t="shared" si="0"/>
        <v/>
      </c>
      <c r="B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3" s="1" t="s">
        <v>112</v>
      </c>
    </row>
    <row r="64" spans="1:10" x14ac:dyDescent="0.25">
      <c r="A64" s="1" t="str">
        <f t="shared" si="0"/>
        <v/>
      </c>
      <c r="B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4" s="1" t="s">
        <v>112</v>
      </c>
    </row>
    <row r="65" spans="1:7" x14ac:dyDescent="0.25">
      <c r="A65" s="1" t="str">
        <f t="shared" si="0"/>
        <v/>
      </c>
      <c r="B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 s="1" t="s">
        <v>112</v>
      </c>
    </row>
    <row r="66" spans="1:7" x14ac:dyDescent="0.25">
      <c r="A66" s="1" t="str">
        <f t="shared" ref="A66:A129" si="1">IFERROR(LEFT(RIGHT(C66,LEN(C66)-SEARCH("@",C66)),SEARCH("/",RIGHT(C66,LEN(C66)-SEARCH("@",C66)-1))),"")</f>
        <v/>
      </c>
      <c r="B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6" s="1" t="s">
        <v>112</v>
      </c>
    </row>
    <row r="67" spans="1:7" x14ac:dyDescent="0.25">
      <c r="A67" s="1" t="str">
        <f t="shared" si="1"/>
        <v/>
      </c>
      <c r="B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7" s="1" t="s">
        <v>249</v>
      </c>
      <c r="D67" s="1" t="s">
        <v>110</v>
      </c>
      <c r="E67" s="1" t="s">
        <v>111</v>
      </c>
      <c r="F67" s="1" t="s">
        <v>112</v>
      </c>
      <c r="G67" s="1" t="s">
        <v>113</v>
      </c>
    </row>
    <row r="68" spans="1:7" x14ac:dyDescent="0.25">
      <c r="A68" s="1" t="str">
        <f t="shared" si="1"/>
        <v>14</v>
      </c>
      <c r="B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8" s="1" t="s">
        <v>1839</v>
      </c>
    </row>
    <row r="69" spans="1:7" x14ac:dyDescent="0.25">
      <c r="A69" s="1" t="str">
        <f t="shared" si="1"/>
        <v>14</v>
      </c>
      <c r="B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9" s="1" t="s">
        <v>1840</v>
      </c>
    </row>
    <row r="70" spans="1:7" x14ac:dyDescent="0.25">
      <c r="A70" s="1" t="str">
        <f t="shared" si="1"/>
        <v>14</v>
      </c>
      <c r="B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70" s="1" t="s">
        <v>1841</v>
      </c>
    </row>
    <row r="71" spans="1:7" x14ac:dyDescent="0.25">
      <c r="A71" s="1" t="str">
        <f t="shared" si="1"/>
        <v>14</v>
      </c>
      <c r="B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1" s="1" t="s">
        <v>1842</v>
      </c>
      <c r="D71" s="1" t="s">
        <v>1194</v>
      </c>
      <c r="E71" s="1" t="s">
        <v>1843</v>
      </c>
      <c r="F71" s="1" t="s">
        <v>112</v>
      </c>
      <c r="G71" s="1">
        <v>2739599</v>
      </c>
    </row>
    <row r="72" spans="1:7" x14ac:dyDescent="0.25">
      <c r="A72" s="1" t="str">
        <f t="shared" si="1"/>
        <v>14</v>
      </c>
      <c r="B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2" s="1" t="s">
        <v>1844</v>
      </c>
      <c r="D72" s="1" t="s">
        <v>824</v>
      </c>
      <c r="E72" s="1" t="s">
        <v>1845</v>
      </c>
      <c r="F72" s="1" t="s">
        <v>112</v>
      </c>
      <c r="G72" s="1">
        <v>2738020</v>
      </c>
    </row>
    <row r="73" spans="1:7" x14ac:dyDescent="0.25">
      <c r="A73" s="1" t="str">
        <f t="shared" si="1"/>
        <v>14</v>
      </c>
      <c r="B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3" s="1" t="s">
        <v>1846</v>
      </c>
      <c r="D73" s="1" t="s">
        <v>1847</v>
      </c>
      <c r="E73" s="1" t="s">
        <v>1848</v>
      </c>
      <c r="F73" s="1" t="s">
        <v>112</v>
      </c>
      <c r="G73" s="1">
        <v>2972986</v>
      </c>
    </row>
    <row r="74" spans="1:7" x14ac:dyDescent="0.25">
      <c r="A74" s="1" t="str">
        <f t="shared" si="1"/>
        <v>14</v>
      </c>
      <c r="B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4" s="1" t="s">
        <v>1849</v>
      </c>
      <c r="D74" s="1" t="s">
        <v>1850</v>
      </c>
      <c r="E74" s="1" t="s">
        <v>1851</v>
      </c>
      <c r="F74" s="1" t="s">
        <v>112</v>
      </c>
      <c r="G74" s="1">
        <v>1673959</v>
      </c>
    </row>
    <row r="75" spans="1:7" x14ac:dyDescent="0.25">
      <c r="A75" s="1" t="str">
        <f t="shared" si="1"/>
        <v>14</v>
      </c>
      <c r="B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5" s="1" t="s">
        <v>1852</v>
      </c>
      <c r="D75" s="1" t="s">
        <v>1853</v>
      </c>
      <c r="E75" s="1" t="s">
        <v>1854</v>
      </c>
      <c r="F75" s="1" t="s">
        <v>112</v>
      </c>
      <c r="G75" s="1">
        <v>1464625</v>
      </c>
    </row>
    <row r="76" spans="1:7" x14ac:dyDescent="0.25">
      <c r="A76" s="1" t="str">
        <f t="shared" si="1"/>
        <v>14</v>
      </c>
      <c r="B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6" s="1" t="s">
        <v>1855</v>
      </c>
      <c r="D76" s="1" t="s">
        <v>1856</v>
      </c>
      <c r="E76" s="1" t="s">
        <v>1857</v>
      </c>
      <c r="F76" s="1" t="s">
        <v>112</v>
      </c>
      <c r="G76" s="1">
        <v>1907584</v>
      </c>
    </row>
    <row r="77" spans="1:7" x14ac:dyDescent="0.25">
      <c r="A77" s="1" t="str">
        <f t="shared" si="1"/>
        <v>14</v>
      </c>
      <c r="B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77" s="1" t="s">
        <v>1858</v>
      </c>
      <c r="D77" s="1" t="s">
        <v>1859</v>
      </c>
      <c r="E77" s="1" t="s">
        <v>1860</v>
      </c>
      <c r="F77" s="1" t="s">
        <v>112</v>
      </c>
      <c r="G77" s="1">
        <v>3194584</v>
      </c>
    </row>
    <row r="78" spans="1:7" x14ac:dyDescent="0.25">
      <c r="A78" s="1" t="str">
        <f t="shared" si="1"/>
        <v>14</v>
      </c>
      <c r="B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78" s="1" t="s">
        <v>1861</v>
      </c>
      <c r="D78" s="1" t="s">
        <v>1862</v>
      </c>
      <c r="E78" s="1" t="s">
        <v>1863</v>
      </c>
      <c r="F78" s="1" t="s">
        <v>112</v>
      </c>
      <c r="G78" s="1">
        <v>3334638</v>
      </c>
    </row>
    <row r="79" spans="1:7" x14ac:dyDescent="0.25">
      <c r="A79" s="1" t="str">
        <f t="shared" si="1"/>
        <v>14</v>
      </c>
      <c r="B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79" s="1" t="s">
        <v>1864</v>
      </c>
      <c r="D79" s="1" t="s">
        <v>1865</v>
      </c>
      <c r="E79" s="1" t="s">
        <v>1866</v>
      </c>
      <c r="F79" s="1" t="s">
        <v>112</v>
      </c>
      <c r="G79" s="1">
        <v>3435108</v>
      </c>
    </row>
    <row r="80" spans="1:7" x14ac:dyDescent="0.25">
      <c r="A80" s="1" t="str">
        <f t="shared" si="1"/>
        <v>14</v>
      </c>
      <c r="B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0" s="1" t="s">
        <v>1867</v>
      </c>
      <c r="D80" s="1" t="s">
        <v>1868</v>
      </c>
      <c r="E80" s="1" t="s">
        <v>1869</v>
      </c>
      <c r="F80" s="1" t="s">
        <v>112</v>
      </c>
      <c r="G80" s="1">
        <v>72439</v>
      </c>
    </row>
    <row r="81" spans="1:10" x14ac:dyDescent="0.25">
      <c r="A81" s="1" t="str">
        <f t="shared" si="1"/>
        <v>14</v>
      </c>
      <c r="B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1" s="1" t="s">
        <v>1870</v>
      </c>
      <c r="D81" s="1" t="s">
        <v>1871</v>
      </c>
      <c r="E81" s="1" t="s">
        <v>1872</v>
      </c>
      <c r="F81" s="1" t="s">
        <v>112</v>
      </c>
      <c r="G81" s="1">
        <v>208274</v>
      </c>
    </row>
    <row r="82" spans="1:10" x14ac:dyDescent="0.25">
      <c r="A82" s="1" t="str">
        <f t="shared" si="1"/>
        <v>14</v>
      </c>
      <c r="B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2" s="1" t="s">
        <v>1873</v>
      </c>
      <c r="D82" s="1" t="s">
        <v>1874</v>
      </c>
      <c r="E82" s="1" t="s">
        <v>1875</v>
      </c>
      <c r="F82" s="1" t="s">
        <v>112</v>
      </c>
      <c r="G82" s="1">
        <v>19575</v>
      </c>
    </row>
    <row r="83" spans="1:10" x14ac:dyDescent="0.25">
      <c r="A83" s="1" t="str">
        <f t="shared" si="1"/>
        <v>14</v>
      </c>
      <c r="B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83" s="1" t="s">
        <v>1876</v>
      </c>
      <c r="D83" s="1" t="s">
        <v>1877</v>
      </c>
      <c r="E83" s="1" t="s">
        <v>1878</v>
      </c>
      <c r="F83" s="1" t="s">
        <v>112</v>
      </c>
      <c r="G83" s="1">
        <v>1064148</v>
      </c>
    </row>
    <row r="84" spans="1:10" x14ac:dyDescent="0.25">
      <c r="A84" s="1" t="str">
        <f t="shared" si="1"/>
        <v>14</v>
      </c>
      <c r="B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84" s="1" t="s">
        <v>1879</v>
      </c>
      <c r="D84" s="1" t="s">
        <v>1880</v>
      </c>
      <c r="E84" s="1" t="s">
        <v>1881</v>
      </c>
      <c r="F84" s="1" t="s">
        <v>112</v>
      </c>
      <c r="G84" s="1">
        <v>841835</v>
      </c>
    </row>
    <row r="85" spans="1:10" x14ac:dyDescent="0.25">
      <c r="A85" s="1" t="str">
        <f t="shared" si="1"/>
        <v>14</v>
      </c>
      <c r="B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85" s="1" t="s">
        <v>1882</v>
      </c>
      <c r="D85" s="1" t="s">
        <v>1883</v>
      </c>
      <c r="E85" s="1" t="s">
        <v>1884</v>
      </c>
      <c r="F85" s="1" t="s">
        <v>112</v>
      </c>
      <c r="G85" s="1">
        <v>765439</v>
      </c>
    </row>
    <row r="86" spans="1:10" x14ac:dyDescent="0.25">
      <c r="A86" s="1" t="str">
        <f t="shared" si="1"/>
        <v>14</v>
      </c>
      <c r="B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86" s="1" t="s">
        <v>1885</v>
      </c>
      <c r="D86" s="1" t="s">
        <v>607</v>
      </c>
      <c r="E86" s="1" t="s">
        <v>1886</v>
      </c>
      <c r="F86" s="1" t="s">
        <v>112</v>
      </c>
      <c r="G86" s="1">
        <v>292350</v>
      </c>
    </row>
    <row r="87" spans="1:10" x14ac:dyDescent="0.25">
      <c r="A87" s="1" t="str">
        <f t="shared" si="1"/>
        <v>14</v>
      </c>
      <c r="B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87" s="1" t="s">
        <v>1887</v>
      </c>
      <c r="D87" s="1" t="s">
        <v>1888</v>
      </c>
      <c r="E87" s="1" t="s">
        <v>1889</v>
      </c>
      <c r="F87" s="1" t="s">
        <v>112</v>
      </c>
      <c r="G87" s="1">
        <v>169795</v>
      </c>
    </row>
    <row r="88" spans="1:10" x14ac:dyDescent="0.25">
      <c r="A88" s="1" t="str">
        <f t="shared" si="1"/>
        <v>14</v>
      </c>
      <c r="B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88" s="1" t="s">
        <v>1890</v>
      </c>
      <c r="D88" s="1" t="s">
        <v>1891</v>
      </c>
      <c r="E88" s="1" t="s">
        <v>1892</v>
      </c>
      <c r="F88" s="1" t="s">
        <v>112</v>
      </c>
      <c r="G88" s="1">
        <v>294642</v>
      </c>
    </row>
    <row r="89" spans="1:10" x14ac:dyDescent="0.25">
      <c r="A89" s="1" t="str">
        <f t="shared" si="1"/>
        <v>14</v>
      </c>
      <c r="B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89" s="1" t="s">
        <v>1893</v>
      </c>
      <c r="D89" s="1" t="s">
        <v>1894</v>
      </c>
      <c r="E89" s="1" t="s">
        <v>1895</v>
      </c>
      <c r="F89" s="1" t="s">
        <v>112</v>
      </c>
      <c r="G89" s="1">
        <v>718567</v>
      </c>
    </row>
    <row r="90" spans="1:10" x14ac:dyDescent="0.25">
      <c r="A90" s="1" t="str">
        <f t="shared" si="1"/>
        <v>14</v>
      </c>
      <c r="B9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90" s="1" t="s">
        <v>1896</v>
      </c>
      <c r="D90" s="1" t="s">
        <v>1897</v>
      </c>
      <c r="E90" s="1" t="s">
        <v>1898</v>
      </c>
      <c r="F90" s="1" t="s">
        <v>112</v>
      </c>
      <c r="G90" s="1">
        <v>875600</v>
      </c>
    </row>
    <row r="91" spans="1:10" x14ac:dyDescent="0.25">
      <c r="A91" s="1" t="str">
        <f t="shared" si="1"/>
        <v>14</v>
      </c>
      <c r="B9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91" s="1" t="s">
        <v>1899</v>
      </c>
      <c r="D91" s="1" t="s">
        <v>1900</v>
      </c>
      <c r="E91" s="1" t="s">
        <v>1901</v>
      </c>
      <c r="F91" s="1" t="s">
        <v>112</v>
      </c>
      <c r="G91" s="1">
        <v>1089390</v>
      </c>
    </row>
    <row r="92" spans="1:10" x14ac:dyDescent="0.25">
      <c r="A92" s="1" t="str">
        <f t="shared" si="1"/>
        <v/>
      </c>
      <c r="B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2" s="1" t="s">
        <v>112</v>
      </c>
    </row>
    <row r="93" spans="1:10" x14ac:dyDescent="0.25">
      <c r="A93" s="1" t="str">
        <f t="shared" si="1"/>
        <v/>
      </c>
      <c r="B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3" s="1" t="s">
        <v>237</v>
      </c>
      <c r="D93" s="1" t="s">
        <v>112</v>
      </c>
      <c r="E93" s="1" t="s">
        <v>238</v>
      </c>
      <c r="F93" s="1" t="s">
        <v>239</v>
      </c>
      <c r="G93" s="1" t="s">
        <v>240</v>
      </c>
      <c r="H93" s="1" t="s">
        <v>241</v>
      </c>
      <c r="I93" s="1" t="s">
        <v>242</v>
      </c>
      <c r="J93" s="1" t="s">
        <v>243</v>
      </c>
    </row>
    <row r="94" spans="1:10" x14ac:dyDescent="0.25">
      <c r="A94" s="1" t="str">
        <f t="shared" si="1"/>
        <v>14</v>
      </c>
      <c r="B9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94" s="1" t="s">
        <v>1902</v>
      </c>
      <c r="D94" s="1" t="s">
        <v>112</v>
      </c>
      <c r="E94" s="1" t="s">
        <v>1903</v>
      </c>
      <c r="F94" s="1" t="s">
        <v>1904</v>
      </c>
      <c r="G94" s="1" t="s">
        <v>1905</v>
      </c>
      <c r="H94" s="1" t="s">
        <v>1906</v>
      </c>
      <c r="I94" s="1">
        <v>24</v>
      </c>
      <c r="J94" s="1">
        <v>24</v>
      </c>
    </row>
    <row r="95" spans="1:10" x14ac:dyDescent="0.25">
      <c r="A95" s="1" t="str">
        <f t="shared" si="1"/>
        <v/>
      </c>
      <c r="B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5" s="1" t="s">
        <v>112</v>
      </c>
    </row>
    <row r="96" spans="1:10" x14ac:dyDescent="0.25">
      <c r="A96" s="1" t="str">
        <f t="shared" si="1"/>
        <v/>
      </c>
      <c r="B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6" s="1" t="s">
        <v>112</v>
      </c>
    </row>
    <row r="97" spans="1:7" x14ac:dyDescent="0.25">
      <c r="A97" s="1" t="str">
        <f t="shared" si="1"/>
        <v/>
      </c>
      <c r="B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7" s="1" t="s">
        <v>112</v>
      </c>
    </row>
    <row r="98" spans="1:7" x14ac:dyDescent="0.25">
      <c r="A98" s="1" t="str">
        <f t="shared" si="1"/>
        <v/>
      </c>
      <c r="B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8" s="1" t="s">
        <v>112</v>
      </c>
    </row>
    <row r="99" spans="1:7" x14ac:dyDescent="0.25">
      <c r="A99" s="1" t="str">
        <f t="shared" si="1"/>
        <v/>
      </c>
      <c r="B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9" s="1" t="s">
        <v>112</v>
      </c>
    </row>
    <row r="100" spans="1:7" x14ac:dyDescent="0.25">
      <c r="A100" s="1" t="str">
        <f t="shared" si="1"/>
        <v/>
      </c>
      <c r="B1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00" s="1" t="s">
        <v>249</v>
      </c>
      <c r="D100" s="1" t="s">
        <v>110</v>
      </c>
      <c r="E100" s="1" t="s">
        <v>111</v>
      </c>
      <c r="F100" s="1" t="s">
        <v>112</v>
      </c>
      <c r="G100" s="1" t="s">
        <v>113</v>
      </c>
    </row>
    <row r="101" spans="1:7" x14ac:dyDescent="0.25">
      <c r="A101" s="1" t="str">
        <f t="shared" si="1"/>
        <v>15</v>
      </c>
      <c r="B1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01" s="1" t="s">
        <v>1907</v>
      </c>
      <c r="D101" s="1" t="s">
        <v>1908</v>
      </c>
      <c r="E101" s="1" t="s">
        <v>1909</v>
      </c>
      <c r="F101" s="1" t="s">
        <v>112</v>
      </c>
      <c r="G101" s="1">
        <v>4775016</v>
      </c>
    </row>
    <row r="102" spans="1:7" x14ac:dyDescent="0.25">
      <c r="A102" s="1" t="str">
        <f t="shared" si="1"/>
        <v>15</v>
      </c>
      <c r="B1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02" s="1" t="s">
        <v>1910</v>
      </c>
      <c r="D102" s="1" t="s">
        <v>1911</v>
      </c>
      <c r="E102" s="1" t="s">
        <v>1912</v>
      </c>
      <c r="F102" s="1" t="s">
        <v>112</v>
      </c>
      <c r="G102" s="1">
        <v>4019721</v>
      </c>
    </row>
    <row r="103" spans="1:7" x14ac:dyDescent="0.25">
      <c r="A103" s="1" t="str">
        <f t="shared" si="1"/>
        <v>15</v>
      </c>
      <c r="B1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03" s="1" t="s">
        <v>1913</v>
      </c>
      <c r="D103" s="1" t="s">
        <v>1914</v>
      </c>
      <c r="E103" s="1" t="s">
        <v>1915</v>
      </c>
      <c r="F103" s="1" t="s">
        <v>112</v>
      </c>
      <c r="G103" s="1">
        <v>4101828</v>
      </c>
    </row>
    <row r="104" spans="1:7" x14ac:dyDescent="0.25">
      <c r="A104" s="1" t="str">
        <f t="shared" si="1"/>
        <v>15</v>
      </c>
      <c r="B1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04" s="1" t="s">
        <v>1916</v>
      </c>
      <c r="D104" s="1" t="s">
        <v>1917</v>
      </c>
      <c r="E104" s="1" t="s">
        <v>1918</v>
      </c>
      <c r="F104" s="1" t="s">
        <v>112</v>
      </c>
      <c r="G104" s="1">
        <v>2381884</v>
      </c>
    </row>
    <row r="105" spans="1:7" x14ac:dyDescent="0.25">
      <c r="A105" s="1" t="str">
        <f t="shared" si="1"/>
        <v>15</v>
      </c>
      <c r="B1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05" s="1" t="s">
        <v>1919</v>
      </c>
      <c r="D105" s="1" t="s">
        <v>1920</v>
      </c>
      <c r="E105" s="1" t="s">
        <v>1921</v>
      </c>
      <c r="F105" s="1" t="s">
        <v>112</v>
      </c>
      <c r="G105" s="1">
        <v>2375525</v>
      </c>
    </row>
    <row r="106" spans="1:7" x14ac:dyDescent="0.25">
      <c r="A106" s="1" t="str">
        <f t="shared" si="1"/>
        <v>15</v>
      </c>
      <c r="B1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06" s="1" t="s">
        <v>1922</v>
      </c>
      <c r="D106" s="1" t="s">
        <v>1923</v>
      </c>
      <c r="E106" s="1" t="s">
        <v>1924</v>
      </c>
      <c r="F106" s="1" t="s">
        <v>112</v>
      </c>
      <c r="G106" s="1">
        <v>2482074</v>
      </c>
    </row>
    <row r="107" spans="1:7" x14ac:dyDescent="0.25">
      <c r="A107" s="1" t="str">
        <f t="shared" si="1"/>
        <v>15</v>
      </c>
      <c r="B1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7" s="1" t="s">
        <v>1925</v>
      </c>
      <c r="D107" s="1" t="s">
        <v>1926</v>
      </c>
      <c r="E107" s="1" t="s">
        <v>1927</v>
      </c>
      <c r="F107" s="1" t="s">
        <v>112</v>
      </c>
      <c r="G107" s="1">
        <v>1623864</v>
      </c>
    </row>
    <row r="108" spans="1:7" x14ac:dyDescent="0.25">
      <c r="A108" s="1" t="str">
        <f t="shared" si="1"/>
        <v>15</v>
      </c>
      <c r="B1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8" s="1" t="s">
        <v>1928</v>
      </c>
    </row>
    <row r="109" spans="1:7" x14ac:dyDescent="0.25">
      <c r="A109" s="1" t="str">
        <f t="shared" si="1"/>
        <v>15</v>
      </c>
      <c r="B1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9" s="1" t="s">
        <v>1929</v>
      </c>
    </row>
    <row r="110" spans="1:7" x14ac:dyDescent="0.25">
      <c r="A110" s="1" t="str">
        <f t="shared" si="1"/>
        <v>15</v>
      </c>
      <c r="B1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0" s="1" t="s">
        <v>1930</v>
      </c>
      <c r="D110" s="1" t="s">
        <v>1931</v>
      </c>
      <c r="E110" s="1" t="s">
        <v>1932</v>
      </c>
      <c r="F110" s="1" t="s">
        <v>112</v>
      </c>
      <c r="G110" s="1">
        <v>2927347</v>
      </c>
    </row>
    <row r="111" spans="1:7" x14ac:dyDescent="0.25">
      <c r="A111" s="1" t="str">
        <f t="shared" si="1"/>
        <v>15</v>
      </c>
      <c r="B1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1" s="1" t="s">
        <v>1933</v>
      </c>
      <c r="D111" s="1" t="s">
        <v>1934</v>
      </c>
      <c r="E111" s="1" t="s">
        <v>1935</v>
      </c>
      <c r="F111" s="1" t="s">
        <v>112</v>
      </c>
      <c r="G111" s="1">
        <v>2406542</v>
      </c>
    </row>
    <row r="112" spans="1:7" x14ac:dyDescent="0.25">
      <c r="A112" s="1" t="str">
        <f t="shared" si="1"/>
        <v>15</v>
      </c>
      <c r="B1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2" s="1" t="s">
        <v>1936</v>
      </c>
      <c r="D112" s="1" t="s">
        <v>1445</v>
      </c>
      <c r="E112" s="1" t="s">
        <v>1937</v>
      </c>
      <c r="F112" s="1" t="s">
        <v>112</v>
      </c>
      <c r="G112" s="1">
        <v>2771611</v>
      </c>
    </row>
    <row r="113" spans="1:10" x14ac:dyDescent="0.25">
      <c r="A113" s="1" t="str">
        <f t="shared" si="1"/>
        <v>15</v>
      </c>
      <c r="B1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13" s="1" t="s">
        <v>1938</v>
      </c>
      <c r="D113" s="1" t="s">
        <v>1939</v>
      </c>
      <c r="E113" s="1" t="s">
        <v>1940</v>
      </c>
      <c r="F113" s="1" t="s">
        <v>112</v>
      </c>
      <c r="G113" s="1">
        <v>5309685</v>
      </c>
    </row>
    <row r="114" spans="1:10" x14ac:dyDescent="0.25">
      <c r="A114" s="1" t="str">
        <f t="shared" si="1"/>
        <v>15</v>
      </c>
      <c r="B1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14" s="1" t="s">
        <v>1941</v>
      </c>
      <c r="D114" s="1" t="s">
        <v>1942</v>
      </c>
      <c r="E114" s="1" t="s">
        <v>1943</v>
      </c>
      <c r="F114" s="1" t="s">
        <v>112</v>
      </c>
      <c r="G114" s="1">
        <v>5245617</v>
      </c>
    </row>
    <row r="115" spans="1:10" x14ac:dyDescent="0.25">
      <c r="A115" s="1" t="str">
        <f t="shared" si="1"/>
        <v>15</v>
      </c>
      <c r="B1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15" s="1" t="s">
        <v>1944</v>
      </c>
      <c r="D115" s="1" t="s">
        <v>1945</v>
      </c>
      <c r="E115" s="1" t="s">
        <v>1946</v>
      </c>
      <c r="F115" s="1" t="s">
        <v>112</v>
      </c>
      <c r="G115" s="1">
        <v>5676766</v>
      </c>
    </row>
    <row r="116" spans="1:10" x14ac:dyDescent="0.25">
      <c r="A116" s="1" t="str">
        <f t="shared" si="1"/>
        <v>15</v>
      </c>
      <c r="B1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16" s="1" t="s">
        <v>1947</v>
      </c>
      <c r="D116" s="1" t="s">
        <v>1948</v>
      </c>
      <c r="E116" s="1" t="s">
        <v>1949</v>
      </c>
      <c r="F116" s="1" t="s">
        <v>112</v>
      </c>
      <c r="G116" s="1">
        <v>4233857</v>
      </c>
    </row>
    <row r="117" spans="1:10" x14ac:dyDescent="0.25">
      <c r="A117" s="1" t="str">
        <f t="shared" si="1"/>
        <v>15</v>
      </c>
      <c r="B1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17" s="1" t="s">
        <v>1950</v>
      </c>
      <c r="D117" s="1" t="s">
        <v>1951</v>
      </c>
      <c r="E117" s="1" t="s">
        <v>1952</v>
      </c>
      <c r="F117" s="1" t="s">
        <v>112</v>
      </c>
      <c r="G117" s="1">
        <v>4513229</v>
      </c>
    </row>
    <row r="118" spans="1:10" x14ac:dyDescent="0.25">
      <c r="A118" s="1" t="str">
        <f t="shared" si="1"/>
        <v>15</v>
      </c>
      <c r="B1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18" s="1" t="s">
        <v>1953</v>
      </c>
      <c r="D118" s="1" t="s">
        <v>1418</v>
      </c>
      <c r="E118" s="1" t="s">
        <v>1954</v>
      </c>
      <c r="F118" s="1" t="s">
        <v>112</v>
      </c>
      <c r="G118" s="1">
        <v>4079744</v>
      </c>
    </row>
    <row r="119" spans="1:10" x14ac:dyDescent="0.25">
      <c r="A119" s="1" t="str">
        <f t="shared" si="1"/>
        <v>15</v>
      </c>
      <c r="B1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19" s="1" t="s">
        <v>1955</v>
      </c>
      <c r="D119" s="1" t="s">
        <v>1956</v>
      </c>
      <c r="E119" s="1" t="s">
        <v>1957</v>
      </c>
      <c r="F119" s="1" t="s">
        <v>112</v>
      </c>
      <c r="G119" s="1">
        <v>3378654</v>
      </c>
    </row>
    <row r="120" spans="1:10" x14ac:dyDescent="0.25">
      <c r="A120" s="1" t="str">
        <f t="shared" si="1"/>
        <v>15</v>
      </c>
      <c r="B1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20" s="1" t="s">
        <v>1958</v>
      </c>
      <c r="D120" s="1" t="s">
        <v>1959</v>
      </c>
      <c r="E120" s="1" t="s">
        <v>1960</v>
      </c>
      <c r="F120" s="1" t="s">
        <v>112</v>
      </c>
      <c r="G120" s="1">
        <v>3620347</v>
      </c>
    </row>
    <row r="121" spans="1:10" x14ac:dyDescent="0.25">
      <c r="A121" s="1" t="str">
        <f t="shared" si="1"/>
        <v>15</v>
      </c>
      <c r="B1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21" s="1" t="s">
        <v>1961</v>
      </c>
      <c r="D121" s="1" t="s">
        <v>1962</v>
      </c>
      <c r="E121" s="1" t="s">
        <v>1963</v>
      </c>
      <c r="F121" s="1" t="s">
        <v>112</v>
      </c>
      <c r="G121" s="1">
        <v>2856682</v>
      </c>
    </row>
    <row r="122" spans="1:10" x14ac:dyDescent="0.25">
      <c r="A122" s="1" t="str">
        <f t="shared" si="1"/>
        <v>15</v>
      </c>
      <c r="B1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22" s="1" t="s">
        <v>1964</v>
      </c>
      <c r="D122" s="1" t="s">
        <v>1965</v>
      </c>
      <c r="E122" s="1" t="s">
        <v>1966</v>
      </c>
      <c r="F122" s="1" t="s">
        <v>112</v>
      </c>
      <c r="G122" s="1">
        <v>3742837</v>
      </c>
    </row>
    <row r="123" spans="1:10" x14ac:dyDescent="0.25">
      <c r="A123" s="1" t="str">
        <f t="shared" si="1"/>
        <v>15</v>
      </c>
      <c r="B1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23" s="1" t="s">
        <v>1967</v>
      </c>
      <c r="D123" s="1" t="s">
        <v>1138</v>
      </c>
      <c r="E123" s="1" t="s">
        <v>1968</v>
      </c>
      <c r="F123" s="1" t="s">
        <v>112</v>
      </c>
      <c r="G123" s="1">
        <v>4071741</v>
      </c>
    </row>
    <row r="124" spans="1:10" x14ac:dyDescent="0.25">
      <c r="A124" s="1" t="str">
        <f t="shared" si="1"/>
        <v>15</v>
      </c>
      <c r="B12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24" s="1" t="s">
        <v>1969</v>
      </c>
      <c r="D124" s="1" t="s">
        <v>1970</v>
      </c>
      <c r="E124" s="1" t="s">
        <v>1971</v>
      </c>
      <c r="F124" s="1" t="s">
        <v>112</v>
      </c>
      <c r="G124" s="1">
        <v>3509494</v>
      </c>
    </row>
    <row r="125" spans="1:10" x14ac:dyDescent="0.25">
      <c r="A125" s="1" t="str">
        <f t="shared" si="1"/>
        <v/>
      </c>
      <c r="B1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5" s="1" t="s">
        <v>112</v>
      </c>
    </row>
    <row r="126" spans="1:10" x14ac:dyDescent="0.25">
      <c r="A126" s="1" t="str">
        <f t="shared" si="1"/>
        <v/>
      </c>
      <c r="B1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6" s="1" t="s">
        <v>237</v>
      </c>
      <c r="D126" s="1" t="s">
        <v>112</v>
      </c>
      <c r="E126" s="1" t="s">
        <v>238</v>
      </c>
      <c r="F126" s="1" t="s">
        <v>239</v>
      </c>
      <c r="G126" s="1" t="s">
        <v>240</v>
      </c>
      <c r="H126" s="1" t="s">
        <v>241</v>
      </c>
      <c r="I126" s="1" t="s">
        <v>242</v>
      </c>
      <c r="J126" s="1" t="s">
        <v>243</v>
      </c>
    </row>
    <row r="127" spans="1:10" x14ac:dyDescent="0.25">
      <c r="A127" s="1" t="str">
        <f t="shared" si="1"/>
        <v>15</v>
      </c>
      <c r="B12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27" s="1" t="s">
        <v>1972</v>
      </c>
      <c r="D127" s="1" t="s">
        <v>112</v>
      </c>
      <c r="E127" s="1" t="s">
        <v>1973</v>
      </c>
      <c r="F127" s="1" t="s">
        <v>1974</v>
      </c>
      <c r="G127" s="1" t="s">
        <v>1975</v>
      </c>
      <c r="H127" s="1" t="s">
        <v>1976</v>
      </c>
      <c r="I127" s="1">
        <v>24</v>
      </c>
      <c r="J127" s="1">
        <v>24</v>
      </c>
    </row>
    <row r="128" spans="1:10" x14ac:dyDescent="0.25">
      <c r="A128" s="1" t="str">
        <f t="shared" si="1"/>
        <v/>
      </c>
      <c r="B1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8" s="1" t="s">
        <v>112</v>
      </c>
    </row>
    <row r="129" spans="1:7" x14ac:dyDescent="0.25">
      <c r="A129" s="1" t="str">
        <f t="shared" si="1"/>
        <v/>
      </c>
      <c r="B1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9" s="1" t="s">
        <v>112</v>
      </c>
    </row>
    <row r="130" spans="1:7" x14ac:dyDescent="0.25">
      <c r="A130" s="1" t="str">
        <f t="shared" ref="A130:A193" si="2">IFERROR(LEFT(RIGHT(C130,LEN(C130)-SEARCH("@",C130)),SEARCH("/",RIGHT(C130,LEN(C130)-SEARCH("@",C130)-1))),"")</f>
        <v/>
      </c>
      <c r="B1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0" s="1" t="s">
        <v>112</v>
      </c>
    </row>
    <row r="131" spans="1:7" x14ac:dyDescent="0.25">
      <c r="A131" s="1" t="str">
        <f t="shared" si="2"/>
        <v/>
      </c>
      <c r="B1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1" s="1" t="s">
        <v>112</v>
      </c>
    </row>
    <row r="132" spans="1:7" x14ac:dyDescent="0.25">
      <c r="A132" s="1" t="str">
        <f t="shared" si="2"/>
        <v/>
      </c>
      <c r="B1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2" s="1" t="s">
        <v>112</v>
      </c>
    </row>
    <row r="133" spans="1:7" x14ac:dyDescent="0.25">
      <c r="A133" s="1" t="str">
        <f t="shared" si="2"/>
        <v/>
      </c>
      <c r="B1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3" s="1" t="s">
        <v>249</v>
      </c>
      <c r="D133" s="1" t="s">
        <v>110</v>
      </c>
      <c r="E133" s="1" t="s">
        <v>111</v>
      </c>
      <c r="F133" s="1" t="s">
        <v>112</v>
      </c>
      <c r="G133" s="1" t="s">
        <v>113</v>
      </c>
    </row>
    <row r="134" spans="1:7" x14ac:dyDescent="0.25">
      <c r="A134" s="1" t="str">
        <f t="shared" si="2"/>
        <v>16</v>
      </c>
      <c r="B1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34" s="1" t="s">
        <v>1977</v>
      </c>
      <c r="D134" s="1" t="s">
        <v>303</v>
      </c>
      <c r="E134" s="1" t="s">
        <v>1978</v>
      </c>
      <c r="F134" s="1" t="s">
        <v>112</v>
      </c>
      <c r="G134" s="1">
        <v>4110</v>
      </c>
    </row>
    <row r="135" spans="1:7" x14ac:dyDescent="0.25">
      <c r="A135" s="1" t="str">
        <f t="shared" si="2"/>
        <v>16</v>
      </c>
      <c r="B1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35" s="1" t="s">
        <v>1979</v>
      </c>
      <c r="D135" s="1" t="s">
        <v>1980</v>
      </c>
      <c r="E135" s="1" t="s">
        <v>1981</v>
      </c>
      <c r="F135" s="1" t="s">
        <v>112</v>
      </c>
      <c r="G135" s="1">
        <v>345343</v>
      </c>
    </row>
    <row r="136" spans="1:7" x14ac:dyDescent="0.25">
      <c r="A136" s="1" t="str">
        <f t="shared" si="2"/>
        <v>16</v>
      </c>
      <c r="B1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36" s="1" t="s">
        <v>1982</v>
      </c>
      <c r="D136" s="1" t="s">
        <v>1983</v>
      </c>
      <c r="E136" s="1" t="s">
        <v>1984</v>
      </c>
      <c r="F136" s="1" t="s">
        <v>112</v>
      </c>
      <c r="G136" s="1">
        <v>262176</v>
      </c>
    </row>
    <row r="137" spans="1:7" x14ac:dyDescent="0.25">
      <c r="A137" s="1" t="str">
        <f t="shared" si="2"/>
        <v>16</v>
      </c>
      <c r="B1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37" s="1" t="s">
        <v>1985</v>
      </c>
      <c r="D137" s="1" t="s">
        <v>1986</v>
      </c>
      <c r="E137" s="1" t="s">
        <v>1987</v>
      </c>
      <c r="F137" s="1" t="s">
        <v>112</v>
      </c>
      <c r="G137" s="1">
        <v>68091</v>
      </c>
    </row>
    <row r="138" spans="1:7" x14ac:dyDescent="0.25">
      <c r="A138" s="1" t="str">
        <f t="shared" si="2"/>
        <v>16</v>
      </c>
      <c r="B1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38" s="1" t="s">
        <v>1988</v>
      </c>
      <c r="D138" s="1" t="s">
        <v>1989</v>
      </c>
      <c r="E138" s="1" t="s">
        <v>1990</v>
      </c>
      <c r="F138" s="1" t="s">
        <v>112</v>
      </c>
      <c r="G138" s="1">
        <v>245932</v>
      </c>
    </row>
    <row r="139" spans="1:7" x14ac:dyDescent="0.25">
      <c r="A139" s="1" t="str">
        <f t="shared" si="2"/>
        <v>16</v>
      </c>
      <c r="B1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39" s="1" t="s">
        <v>1991</v>
      </c>
      <c r="D139" s="1" t="s">
        <v>1992</v>
      </c>
      <c r="E139" s="1" t="s">
        <v>1993</v>
      </c>
      <c r="F139" s="1" t="s">
        <v>112</v>
      </c>
      <c r="G139" s="1">
        <v>411530</v>
      </c>
    </row>
    <row r="140" spans="1:7" x14ac:dyDescent="0.25">
      <c r="A140" s="1" t="str">
        <f t="shared" si="2"/>
        <v>16</v>
      </c>
      <c r="B1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40" s="1" t="s">
        <v>1994</v>
      </c>
      <c r="D140" s="1" t="s">
        <v>263</v>
      </c>
      <c r="E140" s="1" t="s">
        <v>1995</v>
      </c>
      <c r="F140" s="1" t="s">
        <v>112</v>
      </c>
      <c r="G140" s="1">
        <v>47218</v>
      </c>
    </row>
    <row r="141" spans="1:7" x14ac:dyDescent="0.25">
      <c r="A141" s="1" t="str">
        <f t="shared" si="2"/>
        <v>16</v>
      </c>
      <c r="B1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41" s="1" t="s">
        <v>1996</v>
      </c>
      <c r="D141" s="1" t="s">
        <v>1997</v>
      </c>
      <c r="E141" s="1" t="s">
        <v>1998</v>
      </c>
      <c r="F141" s="1" t="s">
        <v>112</v>
      </c>
      <c r="G141" s="1">
        <v>365437</v>
      </c>
    </row>
    <row r="142" spans="1:7" x14ac:dyDescent="0.25">
      <c r="A142" s="1" t="str">
        <f t="shared" si="2"/>
        <v>16</v>
      </c>
      <c r="B1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42" s="1" t="s">
        <v>1999</v>
      </c>
      <c r="D142" s="1" t="s">
        <v>2000</v>
      </c>
      <c r="E142" s="1" t="s">
        <v>2001</v>
      </c>
      <c r="F142" s="1" t="s">
        <v>112</v>
      </c>
      <c r="G142" s="1">
        <v>245478</v>
      </c>
    </row>
    <row r="143" spans="1:7" x14ac:dyDescent="0.25">
      <c r="A143" s="1" t="str">
        <f t="shared" si="2"/>
        <v>16</v>
      </c>
      <c r="B1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43" s="1" t="s">
        <v>2002</v>
      </c>
      <c r="D143" s="1" t="s">
        <v>2003</v>
      </c>
      <c r="E143" s="1" t="s">
        <v>2004</v>
      </c>
      <c r="F143" s="1" t="s">
        <v>112</v>
      </c>
      <c r="G143" s="1">
        <v>11529</v>
      </c>
    </row>
    <row r="144" spans="1:7" x14ac:dyDescent="0.25">
      <c r="A144" s="1" t="str">
        <f t="shared" si="2"/>
        <v>16</v>
      </c>
      <c r="B1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44" s="1" t="s">
        <v>2005</v>
      </c>
      <c r="D144" s="1" t="s">
        <v>2006</v>
      </c>
      <c r="E144" s="1" t="s">
        <v>2007</v>
      </c>
      <c r="F144" s="1" t="s">
        <v>112</v>
      </c>
      <c r="G144" s="1">
        <v>8176</v>
      </c>
    </row>
    <row r="145" spans="1:10" x14ac:dyDescent="0.25">
      <c r="A145" s="1" t="str">
        <f t="shared" si="2"/>
        <v>16</v>
      </c>
      <c r="B1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45" s="1" t="s">
        <v>2008</v>
      </c>
      <c r="D145" s="1" t="s">
        <v>2009</v>
      </c>
      <c r="E145" s="1" t="s">
        <v>2010</v>
      </c>
      <c r="F145" s="1" t="s">
        <v>112</v>
      </c>
      <c r="G145" s="1">
        <v>59331</v>
      </c>
    </row>
    <row r="146" spans="1:10" x14ac:dyDescent="0.25">
      <c r="A146" s="1" t="str">
        <f t="shared" si="2"/>
        <v>16</v>
      </c>
      <c r="B1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6" s="1" t="s">
        <v>2011</v>
      </c>
      <c r="D146" s="1" t="s">
        <v>549</v>
      </c>
      <c r="E146" s="1">
        <v>30</v>
      </c>
      <c r="F146" s="1" t="s">
        <v>112</v>
      </c>
      <c r="G146" s="1">
        <v>649</v>
      </c>
    </row>
    <row r="147" spans="1:10" x14ac:dyDescent="0.25">
      <c r="A147" s="1" t="str">
        <f t="shared" si="2"/>
        <v>16</v>
      </c>
      <c r="B1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7" s="1" t="s">
        <v>2012</v>
      </c>
      <c r="D147" s="1">
        <v>0</v>
      </c>
      <c r="E147" s="1">
        <v>0</v>
      </c>
      <c r="F147" s="1" t="s">
        <v>112</v>
      </c>
      <c r="G147" s="1">
        <v>0</v>
      </c>
    </row>
    <row r="148" spans="1:10" x14ac:dyDescent="0.25">
      <c r="A148" s="1" t="str">
        <f t="shared" si="2"/>
        <v>16</v>
      </c>
      <c r="B1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8" s="1" t="s">
        <v>2013</v>
      </c>
      <c r="D148" s="1" t="s">
        <v>2014</v>
      </c>
      <c r="E148" s="1" t="s">
        <v>2015</v>
      </c>
      <c r="F148" s="1" t="s">
        <v>112</v>
      </c>
      <c r="G148" s="1">
        <v>131899</v>
      </c>
    </row>
    <row r="149" spans="1:10" x14ac:dyDescent="0.25">
      <c r="A149" s="1" t="str">
        <f t="shared" si="2"/>
        <v>16</v>
      </c>
      <c r="B1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49" s="1" t="s">
        <v>2016</v>
      </c>
      <c r="D149" s="1" t="s">
        <v>691</v>
      </c>
      <c r="E149" s="1" t="s">
        <v>2017</v>
      </c>
      <c r="F149" s="1" t="s">
        <v>112</v>
      </c>
      <c r="G149" s="1">
        <v>409692</v>
      </c>
    </row>
    <row r="150" spans="1:10" x14ac:dyDescent="0.25">
      <c r="A150" s="1" t="str">
        <f t="shared" si="2"/>
        <v>16</v>
      </c>
      <c r="B1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50" s="1" t="s">
        <v>2018</v>
      </c>
      <c r="D150" s="1" t="s">
        <v>2019</v>
      </c>
      <c r="E150" s="1" t="s">
        <v>2020</v>
      </c>
      <c r="F150" s="1" t="s">
        <v>112</v>
      </c>
      <c r="G150" s="1">
        <v>262176</v>
      </c>
    </row>
    <row r="151" spans="1:10" x14ac:dyDescent="0.25">
      <c r="A151" s="1" t="str">
        <f t="shared" si="2"/>
        <v>16</v>
      </c>
      <c r="B1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51" s="1" t="s">
        <v>2021</v>
      </c>
      <c r="D151" s="1" t="s">
        <v>2022</v>
      </c>
      <c r="E151" s="1" t="s">
        <v>2023</v>
      </c>
      <c r="F151" s="1" t="s">
        <v>112</v>
      </c>
      <c r="G151" s="1">
        <v>311060</v>
      </c>
    </row>
    <row r="152" spans="1:10" x14ac:dyDescent="0.25">
      <c r="A152" s="1" t="str">
        <f t="shared" si="2"/>
        <v>16</v>
      </c>
      <c r="B1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52" s="1" t="s">
        <v>2024</v>
      </c>
      <c r="D152" s="1" t="s">
        <v>2025</v>
      </c>
      <c r="E152" s="1" t="s">
        <v>2026</v>
      </c>
      <c r="F152" s="1" t="s">
        <v>112</v>
      </c>
      <c r="G152" s="1">
        <v>194691</v>
      </c>
    </row>
    <row r="153" spans="1:10" x14ac:dyDescent="0.25">
      <c r="A153" s="1" t="str">
        <f t="shared" si="2"/>
        <v>16</v>
      </c>
      <c r="B1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53" s="1" t="s">
        <v>2027</v>
      </c>
      <c r="D153" s="1" t="s">
        <v>2028</v>
      </c>
      <c r="E153" s="1" t="s">
        <v>2029</v>
      </c>
      <c r="F153" s="1" t="s">
        <v>112</v>
      </c>
      <c r="G153" s="1">
        <v>153983</v>
      </c>
    </row>
    <row r="154" spans="1:10" x14ac:dyDescent="0.25">
      <c r="A154" s="1" t="str">
        <f t="shared" si="2"/>
        <v>16</v>
      </c>
      <c r="B1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54" s="1" t="s">
        <v>2030</v>
      </c>
      <c r="D154" s="1" t="s">
        <v>2031</v>
      </c>
      <c r="E154" s="1" t="s">
        <v>2032</v>
      </c>
      <c r="F154" s="1" t="s">
        <v>112</v>
      </c>
      <c r="G154" s="1">
        <v>68026</v>
      </c>
    </row>
    <row r="155" spans="1:10" x14ac:dyDescent="0.25">
      <c r="A155" s="1" t="str">
        <f t="shared" si="2"/>
        <v>16</v>
      </c>
      <c r="B1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55" s="1" t="s">
        <v>2033</v>
      </c>
      <c r="D155" s="1" t="s">
        <v>2034</v>
      </c>
      <c r="E155" s="1" t="s">
        <v>2035</v>
      </c>
      <c r="F155" s="1" t="s">
        <v>112</v>
      </c>
      <c r="G155" s="1">
        <v>229450</v>
      </c>
    </row>
    <row r="156" spans="1:10" x14ac:dyDescent="0.25">
      <c r="A156" s="1" t="str">
        <f t="shared" si="2"/>
        <v>16</v>
      </c>
      <c r="B1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56" s="1" t="s">
        <v>2036</v>
      </c>
      <c r="D156" s="1" t="s">
        <v>232</v>
      </c>
      <c r="E156" s="1" t="s">
        <v>2037</v>
      </c>
      <c r="F156" s="1" t="s">
        <v>112</v>
      </c>
      <c r="G156" s="1">
        <v>113124</v>
      </c>
    </row>
    <row r="157" spans="1:10" x14ac:dyDescent="0.25">
      <c r="A157" s="1" t="str">
        <f t="shared" si="2"/>
        <v>16</v>
      </c>
      <c r="B15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57" s="1" t="s">
        <v>2038</v>
      </c>
      <c r="D157" s="1" t="s">
        <v>2028</v>
      </c>
      <c r="E157" s="1" t="s">
        <v>2039</v>
      </c>
      <c r="F157" s="1" t="s">
        <v>112</v>
      </c>
      <c r="G157" s="1">
        <v>162354</v>
      </c>
    </row>
    <row r="158" spans="1:10" x14ac:dyDescent="0.25">
      <c r="A158" s="1" t="str">
        <f t="shared" si="2"/>
        <v/>
      </c>
      <c r="B1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58" s="1" t="s">
        <v>112</v>
      </c>
    </row>
    <row r="159" spans="1:10" x14ac:dyDescent="0.25">
      <c r="A159" s="1" t="str">
        <f t="shared" si="2"/>
        <v/>
      </c>
      <c r="B1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59" s="1" t="s">
        <v>237</v>
      </c>
      <c r="D159" s="1" t="s">
        <v>112</v>
      </c>
      <c r="E159" s="1" t="s">
        <v>238</v>
      </c>
      <c r="F159" s="1" t="s">
        <v>239</v>
      </c>
      <c r="G159" s="1" t="s">
        <v>240</v>
      </c>
      <c r="H159" s="1" t="s">
        <v>241</v>
      </c>
      <c r="I159" s="1" t="s">
        <v>242</v>
      </c>
      <c r="J159" s="1" t="s">
        <v>243</v>
      </c>
    </row>
    <row r="160" spans="1:10" x14ac:dyDescent="0.25">
      <c r="A160" s="1" t="str">
        <f t="shared" si="2"/>
        <v>16</v>
      </c>
      <c r="B16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60" s="1" t="s">
        <v>2040</v>
      </c>
      <c r="D160" s="1" t="s">
        <v>112</v>
      </c>
      <c r="E160" s="1" t="s">
        <v>2041</v>
      </c>
      <c r="F160" s="1" t="s">
        <v>2042</v>
      </c>
      <c r="G160" s="1" t="s">
        <v>2043</v>
      </c>
      <c r="H160" s="1" t="s">
        <v>2044</v>
      </c>
      <c r="I160" s="1">
        <v>23</v>
      </c>
      <c r="J160" s="1">
        <v>24</v>
      </c>
    </row>
    <row r="161" spans="1:7" x14ac:dyDescent="0.25">
      <c r="A161" s="1" t="str">
        <f t="shared" si="2"/>
        <v/>
      </c>
      <c r="B1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1" s="1" t="s">
        <v>112</v>
      </c>
    </row>
    <row r="162" spans="1:7" x14ac:dyDescent="0.25">
      <c r="A162" s="1" t="str">
        <f t="shared" si="2"/>
        <v/>
      </c>
      <c r="B1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2" s="1" t="s">
        <v>112</v>
      </c>
    </row>
    <row r="163" spans="1:7" x14ac:dyDescent="0.25">
      <c r="A163" s="1" t="str">
        <f t="shared" si="2"/>
        <v/>
      </c>
      <c r="B1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3" s="1" t="s">
        <v>112</v>
      </c>
    </row>
    <row r="164" spans="1:7" x14ac:dyDescent="0.25">
      <c r="A164" s="1" t="str">
        <f t="shared" si="2"/>
        <v/>
      </c>
      <c r="B1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4" s="1" t="s">
        <v>112</v>
      </c>
    </row>
    <row r="165" spans="1:7" x14ac:dyDescent="0.25">
      <c r="A165" s="1" t="str">
        <f t="shared" si="2"/>
        <v/>
      </c>
      <c r="B1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5" s="1" t="s">
        <v>112</v>
      </c>
    </row>
    <row r="166" spans="1:7" x14ac:dyDescent="0.25">
      <c r="A166" s="1" t="str">
        <f t="shared" si="2"/>
        <v/>
      </c>
      <c r="B1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6" s="1" t="s">
        <v>249</v>
      </c>
      <c r="D166" s="1" t="s">
        <v>110</v>
      </c>
      <c r="E166" s="1" t="s">
        <v>111</v>
      </c>
      <c r="F166" s="1" t="s">
        <v>112</v>
      </c>
      <c r="G166" s="1" t="s">
        <v>113</v>
      </c>
    </row>
    <row r="167" spans="1:7" x14ac:dyDescent="0.25">
      <c r="A167" s="1" t="str">
        <f t="shared" si="2"/>
        <v>2</v>
      </c>
      <c r="B1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67" s="1" t="s">
        <v>2045</v>
      </c>
    </row>
    <row r="168" spans="1:7" x14ac:dyDescent="0.25">
      <c r="A168" s="1" t="str">
        <f t="shared" si="2"/>
        <v>2</v>
      </c>
      <c r="B1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68" s="1" t="s">
        <v>2046</v>
      </c>
    </row>
    <row r="169" spans="1:7" x14ac:dyDescent="0.25">
      <c r="A169" s="1" t="str">
        <f t="shared" si="2"/>
        <v>2</v>
      </c>
      <c r="B1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69" s="1" t="s">
        <v>2047</v>
      </c>
    </row>
    <row r="170" spans="1:7" x14ac:dyDescent="0.25">
      <c r="A170" s="1" t="str">
        <f t="shared" si="2"/>
        <v>2</v>
      </c>
      <c r="B1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70" s="1" t="s">
        <v>2048</v>
      </c>
      <c r="D170" s="1" t="s">
        <v>2049</v>
      </c>
      <c r="E170" s="1" t="s">
        <v>2050</v>
      </c>
      <c r="F170" s="1" t="s">
        <v>112</v>
      </c>
      <c r="G170" s="1">
        <v>177062</v>
      </c>
    </row>
    <row r="171" spans="1:7" x14ac:dyDescent="0.25">
      <c r="A171" s="1" t="str">
        <f t="shared" si="2"/>
        <v>2</v>
      </c>
      <c r="B1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71" s="1" t="s">
        <v>2051</v>
      </c>
      <c r="D171" s="1" t="s">
        <v>662</v>
      </c>
      <c r="E171" s="1" t="s">
        <v>2052</v>
      </c>
      <c r="F171" s="1" t="s">
        <v>112</v>
      </c>
      <c r="G171" s="1">
        <v>120500</v>
      </c>
    </row>
    <row r="172" spans="1:7" x14ac:dyDescent="0.25">
      <c r="A172" s="1" t="str">
        <f t="shared" si="2"/>
        <v>2</v>
      </c>
      <c r="B1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72" s="1" t="s">
        <v>2053</v>
      </c>
      <c r="D172" s="1" t="s">
        <v>2054</v>
      </c>
      <c r="E172" s="1" t="s">
        <v>2055</v>
      </c>
      <c r="F172" s="1" t="s">
        <v>112</v>
      </c>
      <c r="G172" s="1">
        <v>114595</v>
      </c>
    </row>
    <row r="173" spans="1:7" x14ac:dyDescent="0.25">
      <c r="A173" s="1" t="str">
        <f t="shared" si="2"/>
        <v>2</v>
      </c>
      <c r="B1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73" s="1" t="s">
        <v>2056</v>
      </c>
      <c r="D173" s="1" t="s">
        <v>2057</v>
      </c>
      <c r="E173" s="1" t="s">
        <v>2058</v>
      </c>
      <c r="F173" s="1" t="s">
        <v>112</v>
      </c>
      <c r="G173" s="1">
        <v>351702</v>
      </c>
    </row>
    <row r="174" spans="1:7" x14ac:dyDescent="0.25">
      <c r="A174" s="1" t="str">
        <f t="shared" si="2"/>
        <v>2</v>
      </c>
      <c r="B1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74" s="1" t="s">
        <v>2059</v>
      </c>
      <c r="D174" s="1" t="s">
        <v>2060</v>
      </c>
      <c r="E174" s="1" t="s">
        <v>2061</v>
      </c>
      <c r="F174" s="1" t="s">
        <v>112</v>
      </c>
      <c r="G174" s="1">
        <v>101552</v>
      </c>
    </row>
    <row r="175" spans="1:7" x14ac:dyDescent="0.25">
      <c r="A175" s="1" t="str">
        <f t="shared" si="2"/>
        <v>2</v>
      </c>
      <c r="B1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75" s="1" t="s">
        <v>2062</v>
      </c>
      <c r="D175" s="1" t="s">
        <v>2063</v>
      </c>
      <c r="E175" s="1" t="s">
        <v>2064</v>
      </c>
      <c r="F175" s="1" t="s">
        <v>112</v>
      </c>
      <c r="G175" s="1">
        <v>184287</v>
      </c>
    </row>
    <row r="176" spans="1:7" x14ac:dyDescent="0.25">
      <c r="A176" s="1" t="str">
        <f t="shared" si="2"/>
        <v>2</v>
      </c>
      <c r="B1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76" s="1" t="s">
        <v>2065</v>
      </c>
      <c r="D176" s="1" t="s">
        <v>2066</v>
      </c>
      <c r="E176" s="1" t="s">
        <v>2067</v>
      </c>
      <c r="F176" s="1" t="s">
        <v>112</v>
      </c>
      <c r="G176" s="1">
        <v>285904</v>
      </c>
    </row>
    <row r="177" spans="1:10" x14ac:dyDescent="0.25">
      <c r="A177" s="1" t="str">
        <f t="shared" si="2"/>
        <v>2</v>
      </c>
      <c r="B1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77" s="1" t="s">
        <v>2068</v>
      </c>
      <c r="D177" s="1" t="s">
        <v>483</v>
      </c>
      <c r="E177" s="1" t="s">
        <v>2069</v>
      </c>
      <c r="F177" s="1" t="s">
        <v>112</v>
      </c>
      <c r="G177" s="1">
        <v>226422</v>
      </c>
    </row>
    <row r="178" spans="1:10" x14ac:dyDescent="0.25">
      <c r="A178" s="1" t="str">
        <f t="shared" si="2"/>
        <v>2</v>
      </c>
      <c r="B1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78" s="1" t="s">
        <v>2070</v>
      </c>
      <c r="D178" s="1" t="s">
        <v>229</v>
      </c>
      <c r="E178" s="1" t="s">
        <v>2071</v>
      </c>
      <c r="F178" s="1" t="s">
        <v>112</v>
      </c>
      <c r="G178" s="1">
        <v>37139</v>
      </c>
    </row>
    <row r="179" spans="1:10" x14ac:dyDescent="0.25">
      <c r="A179" s="1" t="str">
        <f t="shared" si="2"/>
        <v>2</v>
      </c>
      <c r="B1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79" s="1" t="s">
        <v>2072</v>
      </c>
      <c r="D179" s="1" t="s">
        <v>2073</v>
      </c>
      <c r="E179" s="1" t="s">
        <v>2074</v>
      </c>
      <c r="F179" s="1" t="s">
        <v>112</v>
      </c>
      <c r="G179" s="1">
        <v>603669</v>
      </c>
    </row>
    <row r="180" spans="1:10" x14ac:dyDescent="0.25">
      <c r="A180" s="1" t="str">
        <f t="shared" si="2"/>
        <v>2</v>
      </c>
      <c r="B1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80" s="1" t="s">
        <v>2075</v>
      </c>
      <c r="D180" s="1" t="s">
        <v>309</v>
      </c>
      <c r="E180" s="1" t="s">
        <v>2076</v>
      </c>
      <c r="F180" s="1" t="s">
        <v>112</v>
      </c>
      <c r="G180" s="1">
        <v>7268</v>
      </c>
    </row>
    <row r="181" spans="1:10" x14ac:dyDescent="0.25">
      <c r="A181" s="1" t="str">
        <f t="shared" si="2"/>
        <v>2</v>
      </c>
      <c r="B1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81" s="1" t="s">
        <v>2077</v>
      </c>
    </row>
    <row r="182" spans="1:10" x14ac:dyDescent="0.25">
      <c r="A182" s="1" t="str">
        <f t="shared" si="2"/>
        <v>2</v>
      </c>
      <c r="B1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2" s="1" t="s">
        <v>2078</v>
      </c>
      <c r="D182" s="1">
        <v>0</v>
      </c>
      <c r="E182" s="1">
        <v>0</v>
      </c>
      <c r="F182" s="1" t="s">
        <v>112</v>
      </c>
      <c r="G182" s="1">
        <v>0</v>
      </c>
    </row>
    <row r="183" spans="1:10" x14ac:dyDescent="0.25">
      <c r="A183" s="1" t="str">
        <f t="shared" si="2"/>
        <v>2</v>
      </c>
      <c r="B1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3" s="1" t="s">
        <v>2079</v>
      </c>
    </row>
    <row r="184" spans="1:10" x14ac:dyDescent="0.25">
      <c r="A184" s="1" t="str">
        <f t="shared" si="2"/>
        <v>2</v>
      </c>
      <c r="B1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4" s="1" t="s">
        <v>2080</v>
      </c>
    </row>
    <row r="185" spans="1:10" x14ac:dyDescent="0.25">
      <c r="A185" s="1" t="str">
        <f t="shared" si="2"/>
        <v>2</v>
      </c>
      <c r="B1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85" s="1" t="s">
        <v>2081</v>
      </c>
    </row>
    <row r="186" spans="1:10" x14ac:dyDescent="0.25">
      <c r="A186" s="1" t="str">
        <f t="shared" si="2"/>
        <v>2</v>
      </c>
      <c r="B1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86" s="1" t="s">
        <v>2082</v>
      </c>
      <c r="D186" s="1" t="s">
        <v>2083</v>
      </c>
      <c r="E186" s="1" t="s">
        <v>2084</v>
      </c>
      <c r="F186" s="1" t="s">
        <v>112</v>
      </c>
      <c r="G186" s="1">
        <v>125237</v>
      </c>
    </row>
    <row r="187" spans="1:10" x14ac:dyDescent="0.25">
      <c r="A187" s="1" t="str">
        <f t="shared" si="2"/>
        <v>2</v>
      </c>
      <c r="B1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87" s="1" t="s">
        <v>2085</v>
      </c>
      <c r="D187" s="1">
        <v>0</v>
      </c>
      <c r="E187" s="1">
        <v>0</v>
      </c>
      <c r="F187" s="1" t="s">
        <v>112</v>
      </c>
      <c r="G187" s="1">
        <v>0</v>
      </c>
    </row>
    <row r="188" spans="1:10" x14ac:dyDescent="0.25">
      <c r="A188" s="1" t="str">
        <f t="shared" si="2"/>
        <v>2</v>
      </c>
      <c r="B1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88" s="1" t="s">
        <v>2086</v>
      </c>
      <c r="D188" s="1" t="s">
        <v>2087</v>
      </c>
      <c r="E188" s="1" t="s">
        <v>2088</v>
      </c>
      <c r="F188" s="1" t="s">
        <v>112</v>
      </c>
      <c r="G188" s="1">
        <v>147754</v>
      </c>
    </row>
    <row r="189" spans="1:10" x14ac:dyDescent="0.25">
      <c r="A189" s="1" t="str">
        <f t="shared" si="2"/>
        <v>2</v>
      </c>
      <c r="B1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89" s="1" t="s">
        <v>2089</v>
      </c>
      <c r="D189" s="1" t="s">
        <v>2090</v>
      </c>
      <c r="E189" s="1" t="s">
        <v>2091</v>
      </c>
      <c r="F189" s="1" t="s">
        <v>112</v>
      </c>
      <c r="G189" s="1">
        <v>145959</v>
      </c>
    </row>
    <row r="190" spans="1:10" x14ac:dyDescent="0.25">
      <c r="A190" s="1" t="str">
        <f t="shared" si="2"/>
        <v>2</v>
      </c>
      <c r="B19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90" s="1" t="s">
        <v>2092</v>
      </c>
      <c r="D190" s="1" t="s">
        <v>2093</v>
      </c>
      <c r="E190" s="1" t="s">
        <v>2094</v>
      </c>
      <c r="F190" s="1" t="s">
        <v>112</v>
      </c>
      <c r="G190" s="1">
        <v>134538</v>
      </c>
    </row>
    <row r="191" spans="1:10" x14ac:dyDescent="0.25">
      <c r="A191" s="1" t="str">
        <f t="shared" si="2"/>
        <v/>
      </c>
      <c r="B1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1" s="1" t="s">
        <v>112</v>
      </c>
    </row>
    <row r="192" spans="1:10" x14ac:dyDescent="0.25">
      <c r="A192" s="1" t="str">
        <f t="shared" si="2"/>
        <v/>
      </c>
      <c r="B1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2" s="1" t="s">
        <v>237</v>
      </c>
      <c r="D192" s="1" t="s">
        <v>112</v>
      </c>
      <c r="E192" s="1" t="s">
        <v>238</v>
      </c>
      <c r="F192" s="1" t="s">
        <v>239</v>
      </c>
      <c r="G192" s="1" t="s">
        <v>240</v>
      </c>
      <c r="H192" s="1" t="s">
        <v>241</v>
      </c>
      <c r="I192" s="1" t="s">
        <v>242</v>
      </c>
      <c r="J192" s="1" t="s">
        <v>243</v>
      </c>
    </row>
    <row r="193" spans="1:10" x14ac:dyDescent="0.25">
      <c r="A193" s="1" t="str">
        <f t="shared" si="2"/>
        <v>2</v>
      </c>
      <c r="B19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93" s="1" t="s">
        <v>2095</v>
      </c>
      <c r="D193" s="1" t="s">
        <v>112</v>
      </c>
      <c r="E193" s="1" t="s">
        <v>2096</v>
      </c>
      <c r="F193" s="1" t="s">
        <v>2097</v>
      </c>
      <c r="G193" s="1" t="s">
        <v>2098</v>
      </c>
      <c r="H193" s="1" t="s">
        <v>2099</v>
      </c>
      <c r="I193" s="1">
        <v>21</v>
      </c>
      <c r="J193" s="1">
        <v>24</v>
      </c>
    </row>
    <row r="194" spans="1:10" x14ac:dyDescent="0.25">
      <c r="A194" s="1" t="str">
        <f t="shared" ref="A194:A257" si="3">IFERROR(LEFT(RIGHT(C194,LEN(C194)-SEARCH("@",C194)),SEARCH("/",RIGHT(C194,LEN(C194)-SEARCH("@",C194)-1))),"")</f>
        <v/>
      </c>
      <c r="B1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4" s="1" t="s">
        <v>112</v>
      </c>
    </row>
    <row r="195" spans="1:10" x14ac:dyDescent="0.25">
      <c r="A195" s="1" t="str">
        <f t="shared" si="3"/>
        <v/>
      </c>
      <c r="B1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5" s="1" t="s">
        <v>112</v>
      </c>
    </row>
    <row r="196" spans="1:10" x14ac:dyDescent="0.25">
      <c r="A196" s="1" t="str">
        <f t="shared" si="3"/>
        <v/>
      </c>
      <c r="B1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6" s="1" t="s">
        <v>112</v>
      </c>
    </row>
    <row r="197" spans="1:10" x14ac:dyDescent="0.25">
      <c r="A197" s="1" t="str">
        <f t="shared" si="3"/>
        <v/>
      </c>
      <c r="B1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7" s="1" t="s">
        <v>112</v>
      </c>
    </row>
    <row r="198" spans="1:10" x14ac:dyDescent="0.25">
      <c r="A198" s="1" t="str">
        <f t="shared" si="3"/>
        <v/>
      </c>
      <c r="B1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8" s="1" t="s">
        <v>112</v>
      </c>
    </row>
    <row r="199" spans="1:10" x14ac:dyDescent="0.25">
      <c r="A199" s="1" t="str">
        <f t="shared" si="3"/>
        <v/>
      </c>
      <c r="B1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9" s="1" t="s">
        <v>249</v>
      </c>
      <c r="D199" s="1" t="s">
        <v>110</v>
      </c>
      <c r="E199" s="1" t="s">
        <v>111</v>
      </c>
      <c r="F199" s="1" t="s">
        <v>112</v>
      </c>
      <c r="G199" s="1" t="s">
        <v>113</v>
      </c>
    </row>
    <row r="200" spans="1:10" x14ac:dyDescent="0.25">
      <c r="A200" s="1" t="str">
        <f t="shared" si="3"/>
        <v>3</v>
      </c>
      <c r="B2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00" s="1" t="s">
        <v>2100</v>
      </c>
      <c r="D200" s="1" t="s">
        <v>2101</v>
      </c>
      <c r="E200" s="1" t="s">
        <v>2102</v>
      </c>
      <c r="F200" s="1" t="s">
        <v>112</v>
      </c>
      <c r="G200" s="1">
        <v>269552</v>
      </c>
    </row>
    <row r="201" spans="1:10" x14ac:dyDescent="0.25">
      <c r="A201" s="1" t="str">
        <f t="shared" si="3"/>
        <v>3</v>
      </c>
      <c r="B2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01" s="1" t="s">
        <v>2103</v>
      </c>
      <c r="D201" s="1" t="s">
        <v>2104</v>
      </c>
      <c r="E201" s="1" t="s">
        <v>2105</v>
      </c>
      <c r="F201" s="1" t="s">
        <v>112</v>
      </c>
      <c r="G201" s="1">
        <v>22690</v>
      </c>
    </row>
    <row r="202" spans="1:10" x14ac:dyDescent="0.25">
      <c r="A202" s="1" t="str">
        <f t="shared" si="3"/>
        <v>3</v>
      </c>
      <c r="B2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02" s="1" t="s">
        <v>2106</v>
      </c>
      <c r="D202" s="1" t="s">
        <v>1874</v>
      </c>
      <c r="E202" s="1" t="s">
        <v>1875</v>
      </c>
      <c r="F202" s="1" t="s">
        <v>112</v>
      </c>
      <c r="G202" s="1">
        <v>19575</v>
      </c>
    </row>
    <row r="203" spans="1:10" x14ac:dyDescent="0.25">
      <c r="A203" s="1" t="str">
        <f t="shared" si="3"/>
        <v>3</v>
      </c>
      <c r="B2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03" s="1" t="s">
        <v>2107</v>
      </c>
      <c r="D203" s="1" t="s">
        <v>613</v>
      </c>
      <c r="E203" s="1" t="s">
        <v>2108</v>
      </c>
      <c r="F203" s="1" t="s">
        <v>112</v>
      </c>
      <c r="G203" s="1">
        <v>35733</v>
      </c>
    </row>
    <row r="204" spans="1:10" x14ac:dyDescent="0.25">
      <c r="A204" s="1" t="str">
        <f t="shared" si="3"/>
        <v>3</v>
      </c>
      <c r="B2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04" s="1" t="s">
        <v>2109</v>
      </c>
      <c r="D204" s="1" t="s">
        <v>1874</v>
      </c>
      <c r="E204" s="1" t="s">
        <v>2110</v>
      </c>
      <c r="F204" s="1" t="s">
        <v>112</v>
      </c>
      <c r="G204" s="1">
        <v>20137</v>
      </c>
    </row>
    <row r="205" spans="1:10" x14ac:dyDescent="0.25">
      <c r="A205" s="1" t="str">
        <f t="shared" si="3"/>
        <v>3</v>
      </c>
      <c r="B2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05" s="1" t="s">
        <v>2111</v>
      </c>
    </row>
    <row r="206" spans="1:10" x14ac:dyDescent="0.25">
      <c r="A206" s="1" t="str">
        <f t="shared" si="3"/>
        <v>3</v>
      </c>
      <c r="B2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06" s="1" t="s">
        <v>2112</v>
      </c>
      <c r="D206" s="1" t="s">
        <v>2113</v>
      </c>
      <c r="E206" s="1" t="s">
        <v>2114</v>
      </c>
      <c r="F206" s="1" t="s">
        <v>112</v>
      </c>
      <c r="G206" s="1">
        <v>233105</v>
      </c>
    </row>
    <row r="207" spans="1:10" x14ac:dyDescent="0.25">
      <c r="A207" s="1" t="str">
        <f t="shared" si="3"/>
        <v>3</v>
      </c>
      <c r="B2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07" s="1" t="s">
        <v>2115</v>
      </c>
    </row>
    <row r="208" spans="1:10" x14ac:dyDescent="0.25">
      <c r="A208" s="1" t="str">
        <f t="shared" si="3"/>
        <v>3</v>
      </c>
      <c r="B2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08" s="1" t="s">
        <v>2116</v>
      </c>
    </row>
    <row r="209" spans="1:7" x14ac:dyDescent="0.25">
      <c r="A209" s="1" t="str">
        <f t="shared" si="3"/>
        <v>3</v>
      </c>
      <c r="B2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09" s="1" t="s">
        <v>2117</v>
      </c>
      <c r="D209" s="1" t="s">
        <v>520</v>
      </c>
      <c r="E209" s="1" t="s">
        <v>2118</v>
      </c>
      <c r="F209" s="1" t="s">
        <v>112</v>
      </c>
      <c r="G209" s="1">
        <v>18234</v>
      </c>
    </row>
    <row r="210" spans="1:7" x14ac:dyDescent="0.25">
      <c r="A210" s="1" t="str">
        <f t="shared" si="3"/>
        <v>3</v>
      </c>
      <c r="B2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10" s="1" t="s">
        <v>2119</v>
      </c>
      <c r="D210" s="1" t="s">
        <v>2009</v>
      </c>
      <c r="E210" s="1">
        <v>32</v>
      </c>
      <c r="F210" s="1" t="s">
        <v>112</v>
      </c>
      <c r="G210" s="1">
        <v>56757</v>
      </c>
    </row>
    <row r="211" spans="1:7" x14ac:dyDescent="0.25">
      <c r="A211" s="1" t="str">
        <f t="shared" si="3"/>
        <v>3</v>
      </c>
      <c r="B2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11" s="1" t="s">
        <v>2120</v>
      </c>
      <c r="D211" s="1" t="s">
        <v>648</v>
      </c>
      <c r="E211" s="1" t="s">
        <v>2121</v>
      </c>
      <c r="F211" s="1" t="s">
        <v>112</v>
      </c>
      <c r="G211" s="1">
        <v>98611</v>
      </c>
    </row>
    <row r="212" spans="1:7" x14ac:dyDescent="0.25">
      <c r="A212" s="1" t="str">
        <f t="shared" si="3"/>
        <v>3</v>
      </c>
      <c r="B2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12" s="1" t="s">
        <v>2122</v>
      </c>
      <c r="D212" s="1" t="s">
        <v>557</v>
      </c>
      <c r="E212" s="1" t="s">
        <v>2123</v>
      </c>
      <c r="F212" s="1" t="s">
        <v>112</v>
      </c>
      <c r="G212" s="1">
        <v>217186</v>
      </c>
    </row>
    <row r="213" spans="1:7" x14ac:dyDescent="0.25">
      <c r="A213" s="1" t="str">
        <f t="shared" si="3"/>
        <v>3</v>
      </c>
      <c r="B2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13" s="1" t="s">
        <v>2124</v>
      </c>
      <c r="D213" s="1" t="s">
        <v>2028</v>
      </c>
      <c r="E213" s="1" t="s">
        <v>2125</v>
      </c>
      <c r="F213" s="1" t="s">
        <v>112</v>
      </c>
      <c r="G213" s="1">
        <v>165945</v>
      </c>
    </row>
    <row r="214" spans="1:7" x14ac:dyDescent="0.25">
      <c r="A214" s="1" t="str">
        <f t="shared" si="3"/>
        <v>3</v>
      </c>
      <c r="B2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14" s="1" t="s">
        <v>2126</v>
      </c>
      <c r="D214" s="1" t="s">
        <v>1574</v>
      </c>
      <c r="E214" s="1" t="s">
        <v>2127</v>
      </c>
      <c r="F214" s="1" t="s">
        <v>112</v>
      </c>
      <c r="G214" s="1">
        <v>188829</v>
      </c>
    </row>
    <row r="215" spans="1:7" x14ac:dyDescent="0.25">
      <c r="A215" s="1" t="str">
        <f t="shared" si="3"/>
        <v>3</v>
      </c>
      <c r="B2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15" s="1" t="s">
        <v>2128</v>
      </c>
      <c r="D215" s="1">
        <v>0</v>
      </c>
      <c r="E215" s="1">
        <v>0</v>
      </c>
      <c r="F215" s="1" t="s">
        <v>112</v>
      </c>
      <c r="G215" s="1">
        <v>0</v>
      </c>
    </row>
    <row r="216" spans="1:7" x14ac:dyDescent="0.25">
      <c r="A216" s="1" t="str">
        <f t="shared" si="3"/>
        <v>3</v>
      </c>
      <c r="B2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16" s="1" t="s">
        <v>2129</v>
      </c>
      <c r="D216" s="1" t="s">
        <v>2130</v>
      </c>
      <c r="E216" s="1" t="s">
        <v>2131</v>
      </c>
      <c r="F216" s="1" t="s">
        <v>112</v>
      </c>
      <c r="G216" s="1">
        <v>216429</v>
      </c>
    </row>
    <row r="217" spans="1:7" x14ac:dyDescent="0.25">
      <c r="A217" s="1" t="str">
        <f t="shared" si="3"/>
        <v>3</v>
      </c>
      <c r="B2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17" s="1" t="s">
        <v>2132</v>
      </c>
      <c r="D217" s="1" t="s">
        <v>151</v>
      </c>
      <c r="E217" s="1" t="s">
        <v>2133</v>
      </c>
      <c r="F217" s="1" t="s">
        <v>112</v>
      </c>
      <c r="G217" s="1">
        <v>138972</v>
      </c>
    </row>
    <row r="218" spans="1:7" x14ac:dyDescent="0.25">
      <c r="A218" s="1" t="str">
        <f t="shared" si="3"/>
        <v>3</v>
      </c>
      <c r="B2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18" s="1" t="s">
        <v>2134</v>
      </c>
      <c r="D218" s="1" t="s">
        <v>227</v>
      </c>
      <c r="E218" s="1">
        <v>32</v>
      </c>
      <c r="F218" s="1" t="s">
        <v>112</v>
      </c>
      <c r="G218" s="1">
        <v>1384</v>
      </c>
    </row>
    <row r="219" spans="1:7" x14ac:dyDescent="0.25">
      <c r="A219" s="1" t="str">
        <f t="shared" si="3"/>
        <v>3</v>
      </c>
      <c r="B2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19" s="1" t="s">
        <v>2135</v>
      </c>
      <c r="D219" s="1" t="s">
        <v>2136</v>
      </c>
      <c r="E219" s="1" t="s">
        <v>2137</v>
      </c>
      <c r="F219" s="1" t="s">
        <v>112</v>
      </c>
      <c r="G219" s="1">
        <v>212990</v>
      </c>
    </row>
    <row r="220" spans="1:7" x14ac:dyDescent="0.25">
      <c r="A220" s="1" t="str">
        <f t="shared" si="3"/>
        <v>3</v>
      </c>
      <c r="B2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20" s="1" t="s">
        <v>2138</v>
      </c>
      <c r="D220" s="1" t="s">
        <v>2139</v>
      </c>
      <c r="E220" s="1" t="s">
        <v>2140</v>
      </c>
      <c r="F220" s="1" t="s">
        <v>112</v>
      </c>
      <c r="G220" s="1">
        <v>219068</v>
      </c>
    </row>
    <row r="221" spans="1:7" x14ac:dyDescent="0.25">
      <c r="A221" s="1" t="str">
        <f t="shared" si="3"/>
        <v>3</v>
      </c>
      <c r="B2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21" s="1" t="s">
        <v>2141</v>
      </c>
      <c r="D221" s="1">
        <v>0</v>
      </c>
      <c r="E221" s="1">
        <v>0</v>
      </c>
      <c r="F221" s="1" t="s">
        <v>112</v>
      </c>
      <c r="G221" s="1">
        <v>0</v>
      </c>
    </row>
    <row r="222" spans="1:7" x14ac:dyDescent="0.25">
      <c r="A222" s="1" t="str">
        <f t="shared" si="3"/>
        <v>3</v>
      </c>
      <c r="B2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22" s="1" t="s">
        <v>2142</v>
      </c>
      <c r="D222" s="1" t="s">
        <v>309</v>
      </c>
      <c r="E222" s="1" t="s">
        <v>1616</v>
      </c>
      <c r="F222" s="1" t="s">
        <v>112</v>
      </c>
      <c r="G222" s="1">
        <v>7051</v>
      </c>
    </row>
    <row r="223" spans="1:7" x14ac:dyDescent="0.25">
      <c r="A223" s="1" t="str">
        <f t="shared" si="3"/>
        <v>3</v>
      </c>
      <c r="B2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23" s="1" t="s">
        <v>2143</v>
      </c>
      <c r="D223" s="1" t="s">
        <v>520</v>
      </c>
      <c r="E223" s="1" t="s">
        <v>2144</v>
      </c>
      <c r="F223" s="1" t="s">
        <v>112</v>
      </c>
      <c r="G223" s="1">
        <v>18645</v>
      </c>
    </row>
    <row r="224" spans="1:7" x14ac:dyDescent="0.25">
      <c r="A224" s="1" t="str">
        <f t="shared" si="3"/>
        <v/>
      </c>
      <c r="B2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4" s="1" t="s">
        <v>112</v>
      </c>
    </row>
    <row r="225" spans="1:10" x14ac:dyDescent="0.25">
      <c r="A225" s="1" t="str">
        <f t="shared" si="3"/>
        <v/>
      </c>
      <c r="B2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5" s="1" t="s">
        <v>237</v>
      </c>
      <c r="D225" s="1" t="s">
        <v>112</v>
      </c>
      <c r="E225" s="1" t="s">
        <v>238</v>
      </c>
      <c r="F225" s="1" t="s">
        <v>239</v>
      </c>
      <c r="G225" s="1" t="s">
        <v>240</v>
      </c>
      <c r="H225" s="1" t="s">
        <v>241</v>
      </c>
      <c r="I225" s="1" t="s">
        <v>242</v>
      </c>
      <c r="J225" s="1" t="s">
        <v>243</v>
      </c>
    </row>
    <row r="226" spans="1:10" x14ac:dyDescent="0.25">
      <c r="A226" s="1" t="str">
        <f t="shared" si="3"/>
        <v>3</v>
      </c>
      <c r="B22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26" s="1" t="s">
        <v>2145</v>
      </c>
      <c r="D226" s="1" t="s">
        <v>112</v>
      </c>
      <c r="E226" s="1" t="s">
        <v>2146</v>
      </c>
      <c r="F226" s="1" t="s">
        <v>2147</v>
      </c>
      <c r="G226" s="1" t="s">
        <v>2148</v>
      </c>
      <c r="H226" s="1" t="s">
        <v>2149</v>
      </c>
      <c r="I226" s="1">
        <v>21</v>
      </c>
      <c r="J226" s="1">
        <v>24</v>
      </c>
    </row>
    <row r="227" spans="1:10" x14ac:dyDescent="0.25">
      <c r="A227" s="1" t="str">
        <f t="shared" si="3"/>
        <v/>
      </c>
      <c r="B2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7" s="1" t="s">
        <v>112</v>
      </c>
    </row>
    <row r="228" spans="1:10" x14ac:dyDescent="0.25">
      <c r="A228" s="1" t="str">
        <f t="shared" si="3"/>
        <v/>
      </c>
      <c r="B2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8" s="1" t="s">
        <v>112</v>
      </c>
    </row>
    <row r="229" spans="1:10" x14ac:dyDescent="0.25">
      <c r="A229" s="1" t="str">
        <f t="shared" si="3"/>
        <v/>
      </c>
      <c r="B2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9" s="1" t="s">
        <v>112</v>
      </c>
    </row>
    <row r="230" spans="1:10" x14ac:dyDescent="0.25">
      <c r="A230" s="1" t="str">
        <f t="shared" si="3"/>
        <v/>
      </c>
      <c r="B2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30" s="1" t="s">
        <v>112</v>
      </c>
    </row>
    <row r="231" spans="1:10" x14ac:dyDescent="0.25">
      <c r="A231" s="1" t="str">
        <f t="shared" si="3"/>
        <v/>
      </c>
      <c r="B2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31" s="1" t="s">
        <v>112</v>
      </c>
    </row>
    <row r="232" spans="1:10" x14ac:dyDescent="0.25">
      <c r="A232" s="1" t="str">
        <f t="shared" si="3"/>
        <v/>
      </c>
      <c r="B2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32" s="1" t="s">
        <v>249</v>
      </c>
      <c r="D232" s="1" t="s">
        <v>110</v>
      </c>
      <c r="E232" s="1" t="s">
        <v>111</v>
      </c>
      <c r="F232" s="1" t="s">
        <v>112</v>
      </c>
      <c r="G232" s="1" t="s">
        <v>113</v>
      </c>
    </row>
    <row r="233" spans="1:10" x14ac:dyDescent="0.25">
      <c r="A233" s="1" t="str">
        <f t="shared" si="3"/>
        <v>4</v>
      </c>
      <c r="B2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33" s="1" t="s">
        <v>2150</v>
      </c>
      <c r="D233" s="1" t="s">
        <v>2151</v>
      </c>
      <c r="E233" s="1" t="s">
        <v>2152</v>
      </c>
      <c r="F233" s="1" t="s">
        <v>112</v>
      </c>
      <c r="G233" s="1">
        <v>3374</v>
      </c>
    </row>
    <row r="234" spans="1:10" x14ac:dyDescent="0.25">
      <c r="A234" s="1" t="str">
        <f t="shared" si="3"/>
        <v>4</v>
      </c>
      <c r="B2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34" s="1" t="s">
        <v>2153</v>
      </c>
      <c r="D234" s="1" t="s">
        <v>469</v>
      </c>
      <c r="E234" s="1" t="s">
        <v>2154</v>
      </c>
      <c r="F234" s="1" t="s">
        <v>112</v>
      </c>
      <c r="G234" s="1">
        <v>39626</v>
      </c>
    </row>
    <row r="235" spans="1:10" x14ac:dyDescent="0.25">
      <c r="A235" s="1" t="str">
        <f t="shared" si="3"/>
        <v>4</v>
      </c>
      <c r="B2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35" s="1" t="s">
        <v>2155</v>
      </c>
    </row>
    <row r="236" spans="1:10" x14ac:dyDescent="0.25">
      <c r="A236" s="1" t="str">
        <f t="shared" si="3"/>
        <v>4</v>
      </c>
      <c r="B2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36" s="1" t="s">
        <v>2156</v>
      </c>
      <c r="D236" s="1" t="s">
        <v>2157</v>
      </c>
      <c r="E236" s="1" t="s">
        <v>2158</v>
      </c>
      <c r="F236" s="1" t="s">
        <v>112</v>
      </c>
      <c r="G236" s="1">
        <v>73563</v>
      </c>
    </row>
    <row r="237" spans="1:10" x14ac:dyDescent="0.25">
      <c r="A237" s="1" t="str">
        <f t="shared" si="3"/>
        <v>4</v>
      </c>
      <c r="B2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37" s="1" t="s">
        <v>2159</v>
      </c>
      <c r="D237" s="1" t="s">
        <v>2160</v>
      </c>
      <c r="E237" s="1" t="s">
        <v>2161</v>
      </c>
      <c r="F237" s="1" t="s">
        <v>112</v>
      </c>
      <c r="G237" s="1">
        <v>44752</v>
      </c>
    </row>
    <row r="238" spans="1:10" x14ac:dyDescent="0.25">
      <c r="A238" s="1" t="str">
        <f t="shared" si="3"/>
        <v>4</v>
      </c>
      <c r="B2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38" s="1" t="s">
        <v>2162</v>
      </c>
      <c r="D238" s="1" t="s">
        <v>2060</v>
      </c>
      <c r="E238" s="1" t="s">
        <v>2163</v>
      </c>
      <c r="F238" s="1" t="s">
        <v>112</v>
      </c>
      <c r="G238" s="1">
        <v>110961</v>
      </c>
    </row>
    <row r="239" spans="1:10" x14ac:dyDescent="0.25">
      <c r="A239" s="1" t="str">
        <f t="shared" si="3"/>
        <v>4</v>
      </c>
      <c r="B2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39" s="1" t="s">
        <v>2164</v>
      </c>
    </row>
    <row r="240" spans="1:10" x14ac:dyDescent="0.25">
      <c r="A240" s="1" t="str">
        <f t="shared" si="3"/>
        <v>4</v>
      </c>
      <c r="B2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40" s="1" t="s">
        <v>2165</v>
      </c>
    </row>
    <row r="241" spans="1:7" x14ac:dyDescent="0.25">
      <c r="A241" s="1" t="str">
        <f t="shared" si="3"/>
        <v>4</v>
      </c>
      <c r="B2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41" s="1" t="s">
        <v>2166</v>
      </c>
    </row>
    <row r="242" spans="1:7" x14ac:dyDescent="0.25">
      <c r="A242" s="1" t="str">
        <f t="shared" si="3"/>
        <v>4</v>
      </c>
      <c r="B2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42" s="1" t="s">
        <v>2167</v>
      </c>
      <c r="D242" s="1" t="s">
        <v>2168</v>
      </c>
      <c r="E242" s="1" t="s">
        <v>2169</v>
      </c>
      <c r="F242" s="1" t="s">
        <v>112</v>
      </c>
      <c r="G242" s="1">
        <v>5321</v>
      </c>
    </row>
    <row r="243" spans="1:7" x14ac:dyDescent="0.25">
      <c r="A243" s="1" t="str">
        <f t="shared" si="3"/>
        <v>4</v>
      </c>
      <c r="B2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43" s="1" t="s">
        <v>2170</v>
      </c>
      <c r="D243" s="1" t="s">
        <v>1670</v>
      </c>
      <c r="E243" s="1" t="s">
        <v>2171</v>
      </c>
      <c r="F243" s="1" t="s">
        <v>112</v>
      </c>
      <c r="G243" s="1">
        <v>161943</v>
      </c>
    </row>
    <row r="244" spans="1:7" x14ac:dyDescent="0.25">
      <c r="A244" s="1" t="str">
        <f t="shared" si="3"/>
        <v>4</v>
      </c>
      <c r="B2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44" s="1" t="s">
        <v>2172</v>
      </c>
      <c r="D244" s="1" t="s">
        <v>372</v>
      </c>
      <c r="E244" s="1" t="s">
        <v>2173</v>
      </c>
      <c r="F244" s="1" t="s">
        <v>112</v>
      </c>
      <c r="G244" s="1">
        <v>144315</v>
      </c>
    </row>
    <row r="245" spans="1:7" x14ac:dyDescent="0.25">
      <c r="A245" s="1" t="str">
        <f t="shared" si="3"/>
        <v>4</v>
      </c>
      <c r="B2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45" s="1" t="s">
        <v>2174</v>
      </c>
      <c r="D245" s="1" t="s">
        <v>2025</v>
      </c>
      <c r="E245" s="1" t="s">
        <v>2175</v>
      </c>
      <c r="F245" s="1" t="s">
        <v>112</v>
      </c>
      <c r="G245" s="1">
        <v>195599</v>
      </c>
    </row>
    <row r="246" spans="1:7" x14ac:dyDescent="0.25">
      <c r="A246" s="1" t="str">
        <f t="shared" si="3"/>
        <v>4</v>
      </c>
      <c r="B2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46" s="1" t="s">
        <v>2176</v>
      </c>
      <c r="D246" s="1" t="s">
        <v>2177</v>
      </c>
      <c r="E246" s="1" t="s">
        <v>2178</v>
      </c>
      <c r="F246" s="1" t="s">
        <v>112</v>
      </c>
      <c r="G246" s="1">
        <v>9496</v>
      </c>
    </row>
    <row r="247" spans="1:7" x14ac:dyDescent="0.25">
      <c r="A247" s="1" t="str">
        <f t="shared" si="3"/>
        <v>4</v>
      </c>
      <c r="B2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47" s="1" t="s">
        <v>2179</v>
      </c>
      <c r="D247" s="1" t="s">
        <v>2180</v>
      </c>
      <c r="E247" s="1" t="s">
        <v>2181</v>
      </c>
      <c r="F247" s="1" t="s">
        <v>112</v>
      </c>
      <c r="G247" s="1">
        <v>216299</v>
      </c>
    </row>
    <row r="248" spans="1:7" x14ac:dyDescent="0.25">
      <c r="A248" s="1" t="str">
        <f t="shared" si="3"/>
        <v>4</v>
      </c>
      <c r="B2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48" s="1" t="s">
        <v>2182</v>
      </c>
      <c r="D248" s="1" t="s">
        <v>1602</v>
      </c>
      <c r="E248" s="1" t="s">
        <v>2183</v>
      </c>
      <c r="F248" s="1" t="s">
        <v>112</v>
      </c>
      <c r="G248" s="1">
        <v>233387</v>
      </c>
    </row>
    <row r="249" spans="1:7" x14ac:dyDescent="0.25">
      <c r="A249" s="1" t="str">
        <f t="shared" si="3"/>
        <v>4</v>
      </c>
      <c r="B2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49" s="1" t="s">
        <v>2184</v>
      </c>
      <c r="D249" s="1" t="s">
        <v>2185</v>
      </c>
      <c r="E249" s="1" t="s">
        <v>2186</v>
      </c>
      <c r="F249" s="1" t="s">
        <v>112</v>
      </c>
      <c r="G249" s="1">
        <v>160169</v>
      </c>
    </row>
    <row r="250" spans="1:7" x14ac:dyDescent="0.25">
      <c r="A250" s="1" t="str">
        <f t="shared" si="3"/>
        <v>4</v>
      </c>
      <c r="B2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50" s="1" t="s">
        <v>2187</v>
      </c>
      <c r="D250" s="1" t="s">
        <v>2188</v>
      </c>
      <c r="E250" s="1" t="s">
        <v>2189</v>
      </c>
      <c r="F250" s="1" t="s">
        <v>112</v>
      </c>
      <c r="G250" s="1">
        <v>154156</v>
      </c>
    </row>
    <row r="251" spans="1:7" x14ac:dyDescent="0.25">
      <c r="A251" s="1" t="str">
        <f t="shared" si="3"/>
        <v>4</v>
      </c>
      <c r="B2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51" s="1" t="s">
        <v>2190</v>
      </c>
      <c r="D251" s="1" t="s">
        <v>2191</v>
      </c>
      <c r="E251" s="1" t="s">
        <v>2192</v>
      </c>
      <c r="F251" s="1" t="s">
        <v>112</v>
      </c>
      <c r="G251" s="1">
        <v>496795</v>
      </c>
    </row>
    <row r="252" spans="1:7" x14ac:dyDescent="0.25">
      <c r="A252" s="1" t="str">
        <f t="shared" si="3"/>
        <v>4</v>
      </c>
      <c r="B2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52" s="1" t="s">
        <v>2193</v>
      </c>
      <c r="D252" s="1" t="s">
        <v>2194</v>
      </c>
      <c r="E252" s="1" t="s">
        <v>2195</v>
      </c>
      <c r="F252" s="1" t="s">
        <v>112</v>
      </c>
      <c r="G252" s="1">
        <v>455482</v>
      </c>
    </row>
    <row r="253" spans="1:7" x14ac:dyDescent="0.25">
      <c r="A253" s="1" t="str">
        <f t="shared" si="3"/>
        <v>4</v>
      </c>
      <c r="B2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53" s="1" t="s">
        <v>2196</v>
      </c>
    </row>
    <row r="254" spans="1:7" x14ac:dyDescent="0.25">
      <c r="A254" s="1" t="str">
        <f t="shared" si="3"/>
        <v>4</v>
      </c>
      <c r="B2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4" s="1" t="s">
        <v>2197</v>
      </c>
      <c r="D254" s="1" t="s">
        <v>2198</v>
      </c>
      <c r="E254" s="1" t="s">
        <v>2199</v>
      </c>
      <c r="F254" s="1" t="s">
        <v>112</v>
      </c>
      <c r="G254" s="1">
        <v>142801</v>
      </c>
    </row>
    <row r="255" spans="1:7" x14ac:dyDescent="0.25">
      <c r="A255" s="1" t="str">
        <f t="shared" si="3"/>
        <v>4</v>
      </c>
      <c r="B2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5" s="1" t="s">
        <v>2200</v>
      </c>
      <c r="D255" s="1" t="s">
        <v>2201</v>
      </c>
      <c r="E255" s="1" t="s">
        <v>2202</v>
      </c>
      <c r="F255" s="1" t="s">
        <v>112</v>
      </c>
      <c r="G255" s="1">
        <v>95691</v>
      </c>
    </row>
    <row r="256" spans="1:7" x14ac:dyDescent="0.25">
      <c r="A256" s="1" t="str">
        <f t="shared" si="3"/>
        <v>4</v>
      </c>
      <c r="B2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6" s="1" t="s">
        <v>2203</v>
      </c>
      <c r="D256" s="1" t="s">
        <v>2204</v>
      </c>
      <c r="E256" s="1" t="s">
        <v>2205</v>
      </c>
      <c r="F256" s="1" t="s">
        <v>112</v>
      </c>
      <c r="G256" s="1">
        <v>359943</v>
      </c>
    </row>
    <row r="257" spans="1:10" x14ac:dyDescent="0.25">
      <c r="A257" s="1" t="str">
        <f t="shared" si="3"/>
        <v/>
      </c>
      <c r="B2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57" s="1" t="s">
        <v>112</v>
      </c>
    </row>
    <row r="258" spans="1:10" x14ac:dyDescent="0.25">
      <c r="A258" s="1" t="str">
        <f t="shared" ref="A258:A321" si="4">IFERROR(LEFT(RIGHT(C258,LEN(C258)-SEARCH("@",C258)),SEARCH("/",RIGHT(C258,LEN(C258)-SEARCH("@",C258)-1))),"")</f>
        <v/>
      </c>
      <c r="B2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58" s="1" t="s">
        <v>237</v>
      </c>
      <c r="D258" s="1" t="s">
        <v>112</v>
      </c>
      <c r="E258" s="1" t="s">
        <v>238</v>
      </c>
      <c r="F258" s="1" t="s">
        <v>239</v>
      </c>
      <c r="G258" s="1" t="s">
        <v>240</v>
      </c>
      <c r="H258" s="1" t="s">
        <v>241</v>
      </c>
      <c r="I258" s="1" t="s">
        <v>242</v>
      </c>
      <c r="J258" s="1" t="s">
        <v>243</v>
      </c>
    </row>
    <row r="259" spans="1:10" x14ac:dyDescent="0.25">
      <c r="A259" s="1" t="str">
        <f t="shared" si="4"/>
        <v>4</v>
      </c>
      <c r="B25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59" s="1" t="s">
        <v>2206</v>
      </c>
      <c r="D259" s="1" t="s">
        <v>112</v>
      </c>
      <c r="E259" s="1" t="s">
        <v>2207</v>
      </c>
      <c r="F259" s="1" t="s">
        <v>2208</v>
      </c>
      <c r="G259" s="1" t="s">
        <v>2209</v>
      </c>
      <c r="H259" s="1" t="s">
        <v>2210</v>
      </c>
      <c r="I259" s="1">
        <v>22</v>
      </c>
      <c r="J259" s="1">
        <v>24</v>
      </c>
    </row>
    <row r="260" spans="1:10" x14ac:dyDescent="0.25">
      <c r="A260" s="1" t="str">
        <f t="shared" si="4"/>
        <v/>
      </c>
      <c r="B2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0" s="1" t="s">
        <v>112</v>
      </c>
    </row>
    <row r="261" spans="1:10" x14ac:dyDescent="0.25">
      <c r="A261" s="1" t="str">
        <f t="shared" si="4"/>
        <v/>
      </c>
      <c r="B2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1" s="1" t="s">
        <v>112</v>
      </c>
    </row>
    <row r="262" spans="1:10" x14ac:dyDescent="0.25">
      <c r="A262" s="1" t="str">
        <f t="shared" si="4"/>
        <v/>
      </c>
      <c r="B2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2" s="1" t="s">
        <v>112</v>
      </c>
    </row>
    <row r="263" spans="1:10" x14ac:dyDescent="0.25">
      <c r="A263" s="1" t="str">
        <f t="shared" si="4"/>
        <v/>
      </c>
      <c r="B2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3" s="1" t="s">
        <v>112</v>
      </c>
    </row>
    <row r="264" spans="1:10" x14ac:dyDescent="0.25">
      <c r="A264" s="1" t="str">
        <f t="shared" si="4"/>
        <v/>
      </c>
      <c r="B2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4" s="1" t="s">
        <v>112</v>
      </c>
    </row>
    <row r="265" spans="1:10" x14ac:dyDescent="0.25">
      <c r="A265" s="1" t="str">
        <f t="shared" si="4"/>
        <v/>
      </c>
      <c r="B2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5" s="1" t="s">
        <v>249</v>
      </c>
      <c r="D265" s="1" t="s">
        <v>110</v>
      </c>
      <c r="E265" s="1" t="s">
        <v>111</v>
      </c>
      <c r="F265" s="1" t="s">
        <v>112</v>
      </c>
      <c r="G265" s="1" t="s">
        <v>113</v>
      </c>
    </row>
    <row r="266" spans="1:10" x14ac:dyDescent="0.25">
      <c r="A266" s="1" t="str">
        <f t="shared" si="4"/>
        <v>5</v>
      </c>
      <c r="B2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66" s="1" t="s">
        <v>2211</v>
      </c>
      <c r="D266" s="1" t="s">
        <v>227</v>
      </c>
      <c r="E266" s="1" t="s">
        <v>2007</v>
      </c>
      <c r="F266" s="1" t="s">
        <v>112</v>
      </c>
      <c r="G266" s="1">
        <v>1363</v>
      </c>
    </row>
    <row r="267" spans="1:10" x14ac:dyDescent="0.25">
      <c r="A267" s="1" t="str">
        <f t="shared" si="4"/>
        <v>5</v>
      </c>
      <c r="B2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67" s="1" t="s">
        <v>2212</v>
      </c>
      <c r="D267" s="1">
        <v>0</v>
      </c>
      <c r="E267" s="1">
        <v>0</v>
      </c>
      <c r="F267" s="1" t="s">
        <v>112</v>
      </c>
      <c r="G267" s="1">
        <v>0</v>
      </c>
    </row>
    <row r="268" spans="1:10" x14ac:dyDescent="0.25">
      <c r="A268" s="1" t="str">
        <f t="shared" si="4"/>
        <v>5</v>
      </c>
      <c r="B2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68" s="1" t="s">
        <v>2213</v>
      </c>
    </row>
    <row r="269" spans="1:10" x14ac:dyDescent="0.25">
      <c r="A269" s="1" t="str">
        <f t="shared" si="4"/>
        <v>5</v>
      </c>
      <c r="B2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69" s="1" t="s">
        <v>2214</v>
      </c>
      <c r="D269" s="1" t="s">
        <v>2215</v>
      </c>
      <c r="E269" s="1" t="s">
        <v>2216</v>
      </c>
      <c r="F269" s="1" t="s">
        <v>112</v>
      </c>
      <c r="G269" s="1">
        <v>846097</v>
      </c>
    </row>
    <row r="270" spans="1:10" x14ac:dyDescent="0.25">
      <c r="A270" s="1" t="str">
        <f t="shared" si="4"/>
        <v>5</v>
      </c>
      <c r="B2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70" s="1" t="s">
        <v>2217</v>
      </c>
      <c r="D270" s="1" t="s">
        <v>2218</v>
      </c>
      <c r="E270" s="1" t="s">
        <v>2219</v>
      </c>
      <c r="F270" s="1" t="s">
        <v>112</v>
      </c>
      <c r="G270" s="1">
        <v>1385243</v>
      </c>
    </row>
    <row r="271" spans="1:10" x14ac:dyDescent="0.25">
      <c r="A271" s="1" t="str">
        <f t="shared" si="4"/>
        <v>5</v>
      </c>
      <c r="B2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71" s="1" t="s">
        <v>2220</v>
      </c>
      <c r="D271" s="1" t="s">
        <v>2221</v>
      </c>
      <c r="E271" s="1" t="s">
        <v>2222</v>
      </c>
      <c r="F271" s="1" t="s">
        <v>112</v>
      </c>
      <c r="G271" s="1">
        <v>1202492</v>
      </c>
    </row>
    <row r="272" spans="1:10" x14ac:dyDescent="0.25">
      <c r="A272" s="1" t="str">
        <f t="shared" si="4"/>
        <v>5</v>
      </c>
      <c r="B2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72" s="1" t="s">
        <v>2223</v>
      </c>
      <c r="D272" s="1" t="s">
        <v>2224</v>
      </c>
      <c r="E272" s="1" t="s">
        <v>2225</v>
      </c>
      <c r="F272" s="1" t="s">
        <v>112</v>
      </c>
      <c r="G272" s="1">
        <v>68653</v>
      </c>
    </row>
    <row r="273" spans="1:7" x14ac:dyDescent="0.25">
      <c r="A273" s="1" t="str">
        <f t="shared" si="4"/>
        <v>5</v>
      </c>
      <c r="B2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73" s="1" t="s">
        <v>2226</v>
      </c>
      <c r="D273" s="1" t="s">
        <v>2104</v>
      </c>
      <c r="E273" s="1" t="s">
        <v>2227</v>
      </c>
      <c r="F273" s="1" t="s">
        <v>112</v>
      </c>
      <c r="G273" s="1">
        <v>21781</v>
      </c>
    </row>
    <row r="274" spans="1:7" x14ac:dyDescent="0.25">
      <c r="A274" s="1" t="str">
        <f t="shared" si="4"/>
        <v>5</v>
      </c>
      <c r="B2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74" s="1" t="s">
        <v>2228</v>
      </c>
      <c r="D274" s="1">
        <v>0</v>
      </c>
      <c r="E274" s="1">
        <v>0</v>
      </c>
      <c r="F274" s="1" t="s">
        <v>112</v>
      </c>
      <c r="G274" s="1">
        <v>0</v>
      </c>
    </row>
    <row r="275" spans="1:7" x14ac:dyDescent="0.25">
      <c r="A275" s="1" t="str">
        <f t="shared" si="4"/>
        <v>5</v>
      </c>
      <c r="B2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75" s="1" t="s">
        <v>2229</v>
      </c>
      <c r="D275" s="1">
        <v>0</v>
      </c>
      <c r="E275" s="1">
        <v>0</v>
      </c>
      <c r="F275" s="1" t="s">
        <v>112</v>
      </c>
      <c r="G275" s="1">
        <v>0</v>
      </c>
    </row>
    <row r="276" spans="1:7" x14ac:dyDescent="0.25">
      <c r="A276" s="1" t="str">
        <f t="shared" si="4"/>
        <v>5</v>
      </c>
      <c r="B2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76" s="1" t="s">
        <v>2230</v>
      </c>
    </row>
    <row r="277" spans="1:7" x14ac:dyDescent="0.25">
      <c r="A277" s="1" t="str">
        <f t="shared" si="4"/>
        <v>5</v>
      </c>
      <c r="B2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77" s="1" t="s">
        <v>2231</v>
      </c>
      <c r="D277" s="1">
        <v>0</v>
      </c>
      <c r="E277" s="1">
        <v>0</v>
      </c>
      <c r="F277" s="1" t="s">
        <v>112</v>
      </c>
      <c r="G277" s="1">
        <v>0</v>
      </c>
    </row>
    <row r="278" spans="1:7" x14ac:dyDescent="0.25">
      <c r="A278" s="1" t="str">
        <f t="shared" si="4"/>
        <v>5</v>
      </c>
      <c r="B2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78" s="1" t="s">
        <v>2232</v>
      </c>
      <c r="D278" s="1" t="s">
        <v>2233</v>
      </c>
      <c r="E278" s="1" t="s">
        <v>2234</v>
      </c>
      <c r="F278" s="1" t="s">
        <v>112</v>
      </c>
      <c r="G278" s="1">
        <v>977260</v>
      </c>
    </row>
    <row r="279" spans="1:7" x14ac:dyDescent="0.25">
      <c r="A279" s="1" t="str">
        <f t="shared" si="4"/>
        <v>5</v>
      </c>
      <c r="B2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79" s="1" t="s">
        <v>2235</v>
      </c>
      <c r="D279" s="1" t="s">
        <v>643</v>
      </c>
      <c r="E279" s="1" t="s">
        <v>2236</v>
      </c>
      <c r="F279" s="1" t="s">
        <v>112</v>
      </c>
      <c r="G279" s="1">
        <v>110680</v>
      </c>
    </row>
    <row r="280" spans="1:7" x14ac:dyDescent="0.25">
      <c r="A280" s="1" t="str">
        <f t="shared" si="4"/>
        <v>5</v>
      </c>
      <c r="B2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80" s="1" t="s">
        <v>2237</v>
      </c>
      <c r="D280" s="1" t="s">
        <v>2238</v>
      </c>
      <c r="E280" s="1" t="s">
        <v>2239</v>
      </c>
      <c r="F280" s="1" t="s">
        <v>112</v>
      </c>
      <c r="G280" s="1">
        <v>448388</v>
      </c>
    </row>
    <row r="281" spans="1:7" x14ac:dyDescent="0.25">
      <c r="A281" s="1" t="str">
        <f t="shared" si="4"/>
        <v>5</v>
      </c>
      <c r="B2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81" s="1" t="s">
        <v>2240</v>
      </c>
      <c r="D281" s="1">
        <v>0</v>
      </c>
      <c r="E281" s="1">
        <v>0</v>
      </c>
      <c r="F281" s="1" t="s">
        <v>112</v>
      </c>
      <c r="G281" s="1">
        <v>0</v>
      </c>
    </row>
    <row r="282" spans="1:7" x14ac:dyDescent="0.25">
      <c r="A282" s="1" t="str">
        <f t="shared" si="4"/>
        <v>5</v>
      </c>
      <c r="B2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82" s="1" t="s">
        <v>2241</v>
      </c>
      <c r="D282" s="1" t="s">
        <v>2242</v>
      </c>
      <c r="E282" s="1" t="s">
        <v>2243</v>
      </c>
      <c r="F282" s="1" t="s">
        <v>112</v>
      </c>
      <c r="G282" s="1">
        <v>22236</v>
      </c>
    </row>
    <row r="283" spans="1:7" x14ac:dyDescent="0.25">
      <c r="A283" s="1" t="str">
        <f t="shared" si="4"/>
        <v>5</v>
      </c>
      <c r="B2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83" s="1" t="s">
        <v>2244</v>
      </c>
      <c r="D283" s="1">
        <v>0</v>
      </c>
      <c r="E283" s="1">
        <v>0</v>
      </c>
      <c r="F283" s="1" t="s">
        <v>112</v>
      </c>
      <c r="G283" s="1">
        <v>0</v>
      </c>
    </row>
    <row r="284" spans="1:7" x14ac:dyDescent="0.25">
      <c r="A284" s="1" t="str">
        <f t="shared" si="4"/>
        <v>5</v>
      </c>
      <c r="B2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84" s="1" t="s">
        <v>2245</v>
      </c>
      <c r="D284" s="1" t="s">
        <v>2246</v>
      </c>
      <c r="E284" s="1" t="s">
        <v>2247</v>
      </c>
      <c r="F284" s="1" t="s">
        <v>112</v>
      </c>
      <c r="G284" s="1">
        <v>259040</v>
      </c>
    </row>
    <row r="285" spans="1:7" x14ac:dyDescent="0.25">
      <c r="A285" s="1" t="str">
        <f t="shared" si="4"/>
        <v>5</v>
      </c>
      <c r="B2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85" s="1" t="s">
        <v>2248</v>
      </c>
      <c r="D285" s="1" t="s">
        <v>1031</v>
      </c>
      <c r="E285" s="1" t="s">
        <v>2249</v>
      </c>
      <c r="F285" s="1" t="s">
        <v>112</v>
      </c>
      <c r="G285" s="1">
        <v>144509</v>
      </c>
    </row>
    <row r="286" spans="1:7" x14ac:dyDescent="0.25">
      <c r="A286" s="1" t="str">
        <f t="shared" si="4"/>
        <v>5</v>
      </c>
      <c r="B2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86" s="1" t="s">
        <v>2250</v>
      </c>
      <c r="D286" s="1" t="s">
        <v>176</v>
      </c>
      <c r="E286" s="1" t="s">
        <v>2251</v>
      </c>
      <c r="F286" s="1" t="s">
        <v>112</v>
      </c>
      <c r="G286" s="1">
        <v>132721</v>
      </c>
    </row>
    <row r="287" spans="1:7" x14ac:dyDescent="0.25">
      <c r="A287" s="1" t="str">
        <f t="shared" si="4"/>
        <v>5</v>
      </c>
      <c r="B2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87" s="1" t="s">
        <v>2252</v>
      </c>
      <c r="D287" s="1" t="s">
        <v>2253</v>
      </c>
      <c r="E287" s="1" t="s">
        <v>2254</v>
      </c>
      <c r="F287" s="1" t="s">
        <v>112</v>
      </c>
      <c r="G287" s="1">
        <v>90781</v>
      </c>
    </row>
    <row r="288" spans="1:7" x14ac:dyDescent="0.25">
      <c r="A288" s="1" t="str">
        <f t="shared" si="4"/>
        <v>5</v>
      </c>
      <c r="B2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88" s="1" t="s">
        <v>2255</v>
      </c>
      <c r="D288" s="1" t="s">
        <v>1649</v>
      </c>
      <c r="E288" s="1" t="s">
        <v>2256</v>
      </c>
      <c r="F288" s="1" t="s">
        <v>112</v>
      </c>
      <c r="G288" s="1">
        <v>219327</v>
      </c>
    </row>
    <row r="289" spans="1:10" x14ac:dyDescent="0.25">
      <c r="A289" s="1" t="str">
        <f t="shared" si="4"/>
        <v>5</v>
      </c>
      <c r="B2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89" s="1" t="s">
        <v>2257</v>
      </c>
      <c r="D289" s="1" t="s">
        <v>502</v>
      </c>
      <c r="E289" s="1" t="s">
        <v>2258</v>
      </c>
      <c r="F289" s="1" t="s">
        <v>112</v>
      </c>
      <c r="G289" s="1">
        <v>83600</v>
      </c>
    </row>
    <row r="290" spans="1:10" x14ac:dyDescent="0.25">
      <c r="A290" s="1" t="str">
        <f t="shared" si="4"/>
        <v/>
      </c>
      <c r="B2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0" s="1" t="s">
        <v>112</v>
      </c>
    </row>
    <row r="291" spans="1:10" x14ac:dyDescent="0.25">
      <c r="A291" s="1" t="str">
        <f t="shared" si="4"/>
        <v/>
      </c>
      <c r="B2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1" s="1" t="s">
        <v>237</v>
      </c>
      <c r="D291" s="1" t="s">
        <v>112</v>
      </c>
      <c r="E291" s="1" t="s">
        <v>238</v>
      </c>
      <c r="F291" s="1" t="s">
        <v>239</v>
      </c>
      <c r="G291" s="1" t="s">
        <v>240</v>
      </c>
      <c r="H291" s="1" t="s">
        <v>241</v>
      </c>
      <c r="I291" s="1" t="s">
        <v>242</v>
      </c>
      <c r="J291" s="1" t="s">
        <v>243</v>
      </c>
    </row>
    <row r="292" spans="1:10" x14ac:dyDescent="0.25">
      <c r="A292" s="1" t="str">
        <f t="shared" si="4"/>
        <v>5</v>
      </c>
      <c r="B29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92" s="1" t="s">
        <v>2259</v>
      </c>
      <c r="D292" s="1" t="s">
        <v>112</v>
      </c>
      <c r="E292" s="1" t="s">
        <v>2260</v>
      </c>
      <c r="F292" s="1" t="s">
        <v>2261</v>
      </c>
      <c r="G292" s="1" t="s">
        <v>2262</v>
      </c>
      <c r="H292" s="1" t="s">
        <v>2263</v>
      </c>
      <c r="I292" s="1">
        <v>17</v>
      </c>
      <c r="J292" s="1">
        <v>24</v>
      </c>
    </row>
    <row r="293" spans="1:10" x14ac:dyDescent="0.25">
      <c r="A293" s="1" t="str">
        <f t="shared" si="4"/>
        <v/>
      </c>
      <c r="B2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3" s="1" t="s">
        <v>112</v>
      </c>
    </row>
    <row r="294" spans="1:10" x14ac:dyDescent="0.25">
      <c r="A294" s="1" t="str">
        <f t="shared" si="4"/>
        <v/>
      </c>
      <c r="B2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4" s="1" t="s">
        <v>112</v>
      </c>
    </row>
    <row r="295" spans="1:10" x14ac:dyDescent="0.25">
      <c r="A295" s="1" t="str">
        <f t="shared" si="4"/>
        <v/>
      </c>
      <c r="B2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5" s="1" t="s">
        <v>112</v>
      </c>
    </row>
    <row r="296" spans="1:10" x14ac:dyDescent="0.25">
      <c r="A296" s="1" t="str">
        <f t="shared" si="4"/>
        <v/>
      </c>
      <c r="B2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6" s="1" t="s">
        <v>112</v>
      </c>
    </row>
    <row r="297" spans="1:10" x14ac:dyDescent="0.25">
      <c r="A297" s="1" t="str">
        <f t="shared" si="4"/>
        <v/>
      </c>
      <c r="B2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7" s="1" t="s">
        <v>112</v>
      </c>
    </row>
    <row r="298" spans="1:10" x14ac:dyDescent="0.25">
      <c r="A298" s="1" t="str">
        <f t="shared" si="4"/>
        <v/>
      </c>
      <c r="B2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8" s="1" t="s">
        <v>249</v>
      </c>
      <c r="D298" s="1" t="s">
        <v>110</v>
      </c>
      <c r="E298" s="1" t="s">
        <v>111</v>
      </c>
      <c r="F298" s="1" t="s">
        <v>112</v>
      </c>
      <c r="G298" s="1" t="s">
        <v>113</v>
      </c>
    </row>
    <row r="299" spans="1:10" x14ac:dyDescent="0.25">
      <c r="A299" s="1" t="str">
        <f t="shared" si="4"/>
        <v>6</v>
      </c>
      <c r="B2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99" s="1" t="s">
        <v>2264</v>
      </c>
      <c r="D299" s="1" t="s">
        <v>2265</v>
      </c>
      <c r="E299" s="1" t="s">
        <v>2266</v>
      </c>
      <c r="F299" s="1" t="s">
        <v>112</v>
      </c>
      <c r="G299" s="1">
        <v>2138980</v>
      </c>
    </row>
    <row r="300" spans="1:10" x14ac:dyDescent="0.25">
      <c r="A300" s="1" t="str">
        <f t="shared" si="4"/>
        <v>6</v>
      </c>
      <c r="B3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00" s="1" t="s">
        <v>2267</v>
      </c>
      <c r="D300" s="1" t="s">
        <v>2268</v>
      </c>
      <c r="E300" s="1" t="s">
        <v>2269</v>
      </c>
      <c r="F300" s="1" t="s">
        <v>112</v>
      </c>
      <c r="G300" s="1">
        <v>2197013</v>
      </c>
    </row>
    <row r="301" spans="1:10" x14ac:dyDescent="0.25">
      <c r="A301" s="1" t="str">
        <f t="shared" si="4"/>
        <v>6</v>
      </c>
      <c r="B3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01" s="1" t="s">
        <v>2270</v>
      </c>
      <c r="D301" s="1" t="s">
        <v>2271</v>
      </c>
      <c r="E301" s="1" t="s">
        <v>2272</v>
      </c>
      <c r="F301" s="1" t="s">
        <v>112</v>
      </c>
      <c r="G301" s="1">
        <v>2777516</v>
      </c>
    </row>
    <row r="302" spans="1:10" x14ac:dyDescent="0.25">
      <c r="A302" s="1" t="str">
        <f t="shared" si="4"/>
        <v>6</v>
      </c>
      <c r="B3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02" s="1" t="s">
        <v>2273</v>
      </c>
      <c r="D302" s="1" t="s">
        <v>2274</v>
      </c>
      <c r="E302" s="1" t="s">
        <v>2275</v>
      </c>
      <c r="F302" s="1" t="s">
        <v>112</v>
      </c>
      <c r="G302" s="1">
        <v>2349180</v>
      </c>
    </row>
    <row r="303" spans="1:10" x14ac:dyDescent="0.25">
      <c r="A303" s="1" t="str">
        <f t="shared" si="4"/>
        <v>6</v>
      </c>
      <c r="B3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03" s="1" t="s">
        <v>2276</v>
      </c>
      <c r="D303" s="1" t="s">
        <v>2277</v>
      </c>
      <c r="E303" s="1" t="s">
        <v>2278</v>
      </c>
      <c r="F303" s="1" t="s">
        <v>112</v>
      </c>
      <c r="G303" s="1">
        <v>2259762</v>
      </c>
    </row>
    <row r="304" spans="1:10" x14ac:dyDescent="0.25">
      <c r="A304" s="1" t="str">
        <f t="shared" si="4"/>
        <v>6</v>
      </c>
      <c r="B3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04" s="1" t="s">
        <v>2279</v>
      </c>
      <c r="D304" s="1" t="s">
        <v>2280</v>
      </c>
      <c r="E304" s="1" t="s">
        <v>2281</v>
      </c>
      <c r="F304" s="1" t="s">
        <v>112</v>
      </c>
      <c r="G304" s="1">
        <v>2153126</v>
      </c>
    </row>
    <row r="305" spans="1:7" x14ac:dyDescent="0.25">
      <c r="A305" s="1" t="str">
        <f t="shared" si="4"/>
        <v>6</v>
      </c>
      <c r="B3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05" s="1" t="s">
        <v>2282</v>
      </c>
      <c r="D305" s="1" t="s">
        <v>2283</v>
      </c>
      <c r="E305" s="1" t="s">
        <v>2284</v>
      </c>
      <c r="F305" s="1" t="s">
        <v>112</v>
      </c>
      <c r="G305" s="1">
        <v>2835376</v>
      </c>
    </row>
    <row r="306" spans="1:7" x14ac:dyDescent="0.25">
      <c r="A306" s="1" t="str">
        <f t="shared" si="4"/>
        <v>6</v>
      </c>
      <c r="B3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06" s="1" t="s">
        <v>2285</v>
      </c>
      <c r="D306" s="1" t="s">
        <v>2286</v>
      </c>
      <c r="E306" s="1" t="s">
        <v>2287</v>
      </c>
      <c r="F306" s="1" t="s">
        <v>112</v>
      </c>
      <c r="G306" s="1">
        <v>2890230</v>
      </c>
    </row>
    <row r="307" spans="1:7" x14ac:dyDescent="0.25">
      <c r="A307" s="1" t="str">
        <f t="shared" si="4"/>
        <v>6</v>
      </c>
      <c r="B3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07" s="1" t="s">
        <v>2288</v>
      </c>
      <c r="D307" s="1" t="s">
        <v>2289</v>
      </c>
      <c r="E307" s="1" t="s">
        <v>2290</v>
      </c>
      <c r="F307" s="1" t="s">
        <v>112</v>
      </c>
      <c r="G307" s="1">
        <v>2985207</v>
      </c>
    </row>
    <row r="308" spans="1:7" x14ac:dyDescent="0.25">
      <c r="A308" s="1" t="str">
        <f t="shared" si="4"/>
        <v>6</v>
      </c>
      <c r="B3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08" s="1" t="s">
        <v>2291</v>
      </c>
    </row>
    <row r="309" spans="1:7" x14ac:dyDescent="0.25">
      <c r="A309" s="1" t="str">
        <f t="shared" si="4"/>
        <v>6</v>
      </c>
      <c r="B3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09" s="1" t="s">
        <v>2292</v>
      </c>
    </row>
    <row r="310" spans="1:7" x14ac:dyDescent="0.25">
      <c r="A310" s="1" t="str">
        <f t="shared" si="4"/>
        <v>6</v>
      </c>
      <c r="B3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10" s="1" t="s">
        <v>2293</v>
      </c>
    </row>
    <row r="311" spans="1:7" x14ac:dyDescent="0.25">
      <c r="A311" s="1" t="str">
        <f t="shared" si="4"/>
        <v>6</v>
      </c>
      <c r="B3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11" s="1" t="s">
        <v>2294</v>
      </c>
      <c r="D311" s="1" t="s">
        <v>2295</v>
      </c>
      <c r="E311" s="1" t="s">
        <v>2296</v>
      </c>
      <c r="F311" s="1" t="s">
        <v>112</v>
      </c>
      <c r="G311" s="1">
        <v>4977017</v>
      </c>
    </row>
    <row r="312" spans="1:7" x14ac:dyDescent="0.25">
      <c r="A312" s="1" t="str">
        <f t="shared" si="4"/>
        <v>6</v>
      </c>
      <c r="B3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12" s="1" t="s">
        <v>2297</v>
      </c>
      <c r="D312" s="1" t="s">
        <v>2298</v>
      </c>
      <c r="E312" s="1" t="s">
        <v>2299</v>
      </c>
      <c r="F312" s="1" t="s">
        <v>112</v>
      </c>
      <c r="G312" s="1">
        <v>4680039</v>
      </c>
    </row>
    <row r="313" spans="1:7" x14ac:dyDescent="0.25">
      <c r="A313" s="1" t="str">
        <f t="shared" si="4"/>
        <v>6</v>
      </c>
      <c r="B3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13" s="1" t="s">
        <v>2300</v>
      </c>
      <c r="D313" s="1" t="s">
        <v>947</v>
      </c>
      <c r="E313" s="1" t="s">
        <v>2301</v>
      </c>
      <c r="F313" s="1" t="s">
        <v>112</v>
      </c>
      <c r="G313" s="1">
        <v>4240714</v>
      </c>
    </row>
    <row r="314" spans="1:7" x14ac:dyDescent="0.25">
      <c r="A314" s="1" t="str">
        <f t="shared" si="4"/>
        <v>6</v>
      </c>
      <c r="B3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14" s="1" t="s">
        <v>2302</v>
      </c>
      <c r="D314" s="1" t="s">
        <v>2303</v>
      </c>
      <c r="E314" s="1" t="s">
        <v>2304</v>
      </c>
      <c r="F314" s="1" t="s">
        <v>112</v>
      </c>
      <c r="G314" s="1">
        <v>2138050</v>
      </c>
    </row>
    <row r="315" spans="1:7" x14ac:dyDescent="0.25">
      <c r="A315" s="1" t="str">
        <f t="shared" si="4"/>
        <v>6</v>
      </c>
      <c r="B3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15" s="1" t="s">
        <v>2305</v>
      </c>
      <c r="D315" s="1" t="s">
        <v>2306</v>
      </c>
      <c r="E315" s="1" t="s">
        <v>2307</v>
      </c>
      <c r="F315" s="1" t="s">
        <v>112</v>
      </c>
      <c r="G315" s="1">
        <v>2138353</v>
      </c>
    </row>
    <row r="316" spans="1:7" x14ac:dyDescent="0.25">
      <c r="A316" s="1" t="str">
        <f t="shared" si="4"/>
        <v>6</v>
      </c>
      <c r="B3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16" s="1" t="s">
        <v>2308</v>
      </c>
      <c r="D316" s="1" t="s">
        <v>2309</v>
      </c>
      <c r="E316" s="1" t="s">
        <v>2310</v>
      </c>
      <c r="F316" s="1" t="s">
        <v>112</v>
      </c>
      <c r="G316" s="1">
        <v>2449888</v>
      </c>
    </row>
    <row r="317" spans="1:7" x14ac:dyDescent="0.25">
      <c r="A317" s="1" t="str">
        <f t="shared" si="4"/>
        <v>6</v>
      </c>
      <c r="B3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17" s="1" t="s">
        <v>2311</v>
      </c>
      <c r="D317" s="1" t="s">
        <v>2312</v>
      </c>
      <c r="E317" s="1" t="s">
        <v>2313</v>
      </c>
      <c r="F317" s="1" t="s">
        <v>112</v>
      </c>
      <c r="G317" s="1">
        <v>2931262</v>
      </c>
    </row>
    <row r="318" spans="1:7" x14ac:dyDescent="0.25">
      <c r="A318" s="1" t="str">
        <f t="shared" si="4"/>
        <v>6</v>
      </c>
      <c r="B3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18" s="1" t="s">
        <v>2314</v>
      </c>
      <c r="D318" s="1" t="s">
        <v>2315</v>
      </c>
      <c r="E318" s="1" t="s">
        <v>2316</v>
      </c>
      <c r="F318" s="1" t="s">
        <v>112</v>
      </c>
      <c r="G318" s="1">
        <v>2709079</v>
      </c>
    </row>
    <row r="319" spans="1:7" x14ac:dyDescent="0.25">
      <c r="A319" s="1" t="str">
        <f t="shared" si="4"/>
        <v>6</v>
      </c>
      <c r="B3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19" s="1" t="s">
        <v>2317</v>
      </c>
      <c r="D319" s="1" t="s">
        <v>2318</v>
      </c>
      <c r="E319" s="1" t="s">
        <v>2319</v>
      </c>
      <c r="F319" s="1" t="s">
        <v>112</v>
      </c>
      <c r="G319" s="1">
        <v>2310159</v>
      </c>
    </row>
    <row r="320" spans="1:7" x14ac:dyDescent="0.25">
      <c r="A320" s="1" t="str">
        <f t="shared" si="4"/>
        <v>6</v>
      </c>
      <c r="B3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20" s="1" t="s">
        <v>2320</v>
      </c>
      <c r="D320" s="1" t="s">
        <v>2321</v>
      </c>
      <c r="E320" s="1" t="s">
        <v>2322</v>
      </c>
      <c r="F320" s="1" t="s">
        <v>112</v>
      </c>
      <c r="G320" s="1">
        <v>2920577</v>
      </c>
    </row>
    <row r="321" spans="1:10" x14ac:dyDescent="0.25">
      <c r="A321" s="1" t="str">
        <f t="shared" si="4"/>
        <v>6</v>
      </c>
      <c r="B3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21" s="1" t="s">
        <v>2323</v>
      </c>
      <c r="D321" s="1" t="s">
        <v>2324</v>
      </c>
      <c r="E321" s="1" t="s">
        <v>2325</v>
      </c>
      <c r="F321" s="1" t="s">
        <v>112</v>
      </c>
      <c r="G321" s="1">
        <v>2517222</v>
      </c>
    </row>
    <row r="322" spans="1:10" x14ac:dyDescent="0.25">
      <c r="A322" s="1" t="str">
        <f t="shared" ref="A322:A385" si="5">IFERROR(LEFT(RIGHT(C322,LEN(C322)-SEARCH("@",C322)),SEARCH("/",RIGHT(C322,LEN(C322)-SEARCH("@",C322)-1))),"")</f>
        <v>6</v>
      </c>
      <c r="B3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22" s="1" t="s">
        <v>2326</v>
      </c>
      <c r="D322" s="1" t="s">
        <v>2327</v>
      </c>
      <c r="E322" s="1" t="s">
        <v>2328</v>
      </c>
      <c r="F322" s="1" t="s">
        <v>112</v>
      </c>
      <c r="G322" s="1">
        <v>2506169</v>
      </c>
    </row>
    <row r="323" spans="1:10" x14ac:dyDescent="0.25">
      <c r="A323" s="1" t="str">
        <f t="shared" si="5"/>
        <v/>
      </c>
      <c r="B3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3" s="1" t="s">
        <v>112</v>
      </c>
    </row>
    <row r="324" spans="1:10" x14ac:dyDescent="0.25">
      <c r="A324" s="1" t="str">
        <f t="shared" si="5"/>
        <v/>
      </c>
      <c r="B3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4" s="1" t="s">
        <v>237</v>
      </c>
      <c r="D324" s="1" t="s">
        <v>112</v>
      </c>
      <c r="E324" s="1" t="s">
        <v>238</v>
      </c>
      <c r="F324" s="1" t="s">
        <v>239</v>
      </c>
      <c r="G324" s="1" t="s">
        <v>240</v>
      </c>
      <c r="H324" s="1" t="s">
        <v>241</v>
      </c>
      <c r="I324" s="1" t="s">
        <v>242</v>
      </c>
      <c r="J324" s="1" t="s">
        <v>243</v>
      </c>
    </row>
    <row r="325" spans="1:10" x14ac:dyDescent="0.25">
      <c r="A325" s="1" t="str">
        <f t="shared" si="5"/>
        <v>6</v>
      </c>
      <c r="B32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325" s="1" t="s">
        <v>2329</v>
      </c>
      <c r="D325" s="1" t="s">
        <v>112</v>
      </c>
      <c r="E325" s="1" t="s">
        <v>2330</v>
      </c>
      <c r="F325" s="1" t="s">
        <v>2331</v>
      </c>
      <c r="G325" s="1" t="s">
        <v>2332</v>
      </c>
      <c r="H325" s="1" t="s">
        <v>2333</v>
      </c>
      <c r="I325" s="1">
        <v>24</v>
      </c>
      <c r="J325" s="1">
        <v>24</v>
      </c>
    </row>
    <row r="326" spans="1:10" x14ac:dyDescent="0.25">
      <c r="A326" s="1" t="str">
        <f t="shared" si="5"/>
        <v/>
      </c>
      <c r="B3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6" s="1" t="s">
        <v>112</v>
      </c>
    </row>
    <row r="327" spans="1:10" x14ac:dyDescent="0.25">
      <c r="A327" s="1" t="str">
        <f t="shared" si="5"/>
        <v/>
      </c>
      <c r="B3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7" s="1" t="s">
        <v>112</v>
      </c>
    </row>
    <row r="328" spans="1:10" x14ac:dyDescent="0.25">
      <c r="A328" s="1" t="str">
        <f t="shared" si="5"/>
        <v/>
      </c>
      <c r="B3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8" s="1" t="s">
        <v>112</v>
      </c>
    </row>
    <row r="329" spans="1:10" x14ac:dyDescent="0.25">
      <c r="A329" s="1" t="str">
        <f t="shared" si="5"/>
        <v/>
      </c>
      <c r="B3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9" s="1" t="s">
        <v>112</v>
      </c>
    </row>
    <row r="330" spans="1:10" x14ac:dyDescent="0.25">
      <c r="A330" s="1" t="str">
        <f t="shared" si="5"/>
        <v/>
      </c>
      <c r="B3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30" s="1" t="s">
        <v>112</v>
      </c>
    </row>
    <row r="331" spans="1:10" x14ac:dyDescent="0.25">
      <c r="A331" s="1" t="str">
        <f t="shared" si="5"/>
        <v/>
      </c>
      <c r="B3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31" s="1" t="s">
        <v>249</v>
      </c>
      <c r="D331" s="1" t="s">
        <v>110</v>
      </c>
      <c r="E331" s="1" t="s">
        <v>111</v>
      </c>
      <c r="F331" s="1" t="s">
        <v>112</v>
      </c>
      <c r="G331" s="1" t="s">
        <v>113</v>
      </c>
    </row>
    <row r="332" spans="1:10" x14ac:dyDescent="0.25">
      <c r="A332" s="1" t="str">
        <f t="shared" si="5"/>
        <v>7</v>
      </c>
      <c r="B3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32" s="1" t="s">
        <v>2334</v>
      </c>
      <c r="D332" s="1" t="s">
        <v>2335</v>
      </c>
      <c r="E332" s="1" t="s">
        <v>2336</v>
      </c>
      <c r="F332" s="1" t="s">
        <v>112</v>
      </c>
      <c r="G332" s="1">
        <v>4757019</v>
      </c>
    </row>
    <row r="333" spans="1:10" x14ac:dyDescent="0.25">
      <c r="A333" s="1" t="str">
        <f t="shared" si="5"/>
        <v>7</v>
      </c>
      <c r="B3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33" s="1" t="s">
        <v>2337</v>
      </c>
      <c r="D333" s="1" t="s">
        <v>2338</v>
      </c>
      <c r="E333" s="1" t="s">
        <v>2339</v>
      </c>
      <c r="F333" s="1" t="s">
        <v>112</v>
      </c>
      <c r="G333" s="1">
        <v>4845940</v>
      </c>
    </row>
    <row r="334" spans="1:10" x14ac:dyDescent="0.25">
      <c r="A334" s="1" t="str">
        <f t="shared" si="5"/>
        <v>7</v>
      </c>
      <c r="B3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34" s="1" t="s">
        <v>2340</v>
      </c>
      <c r="D334" s="1" t="s">
        <v>2341</v>
      </c>
      <c r="E334" s="1" t="s">
        <v>2342</v>
      </c>
      <c r="F334" s="1" t="s">
        <v>112</v>
      </c>
      <c r="G334" s="1">
        <v>5114432</v>
      </c>
    </row>
    <row r="335" spans="1:10" x14ac:dyDescent="0.25">
      <c r="A335" s="1" t="str">
        <f t="shared" si="5"/>
        <v>7</v>
      </c>
      <c r="B3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35" s="1" t="s">
        <v>2343</v>
      </c>
      <c r="D335" s="1" t="s">
        <v>2344</v>
      </c>
      <c r="E335" s="1" t="s">
        <v>2345</v>
      </c>
      <c r="F335" s="1" t="s">
        <v>112</v>
      </c>
      <c r="G335" s="1">
        <v>3660881</v>
      </c>
    </row>
    <row r="336" spans="1:10" x14ac:dyDescent="0.25">
      <c r="A336" s="1" t="str">
        <f t="shared" si="5"/>
        <v>7</v>
      </c>
      <c r="B3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36" s="1" t="s">
        <v>2346</v>
      </c>
      <c r="D336" s="1" t="s">
        <v>2347</v>
      </c>
      <c r="E336" s="1" t="s">
        <v>2348</v>
      </c>
      <c r="F336" s="1" t="s">
        <v>112</v>
      </c>
      <c r="G336" s="1">
        <v>3654674</v>
      </c>
    </row>
    <row r="337" spans="1:7" x14ac:dyDescent="0.25">
      <c r="A337" s="1" t="str">
        <f t="shared" si="5"/>
        <v>7</v>
      </c>
      <c r="B3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37" s="1" t="s">
        <v>2349</v>
      </c>
      <c r="D337" s="1" t="s">
        <v>2350</v>
      </c>
      <c r="E337" s="1" t="s">
        <v>2351</v>
      </c>
      <c r="F337" s="1" t="s">
        <v>112</v>
      </c>
      <c r="G337" s="1">
        <v>3621537</v>
      </c>
    </row>
    <row r="338" spans="1:7" x14ac:dyDescent="0.25">
      <c r="A338" s="1" t="str">
        <f t="shared" si="5"/>
        <v>7</v>
      </c>
      <c r="B3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38" s="1" t="s">
        <v>2352</v>
      </c>
      <c r="D338" s="1" t="s">
        <v>2353</v>
      </c>
      <c r="E338" s="1" t="s">
        <v>2354</v>
      </c>
      <c r="F338" s="1" t="s">
        <v>112</v>
      </c>
      <c r="G338" s="1">
        <v>4894326</v>
      </c>
    </row>
    <row r="339" spans="1:7" x14ac:dyDescent="0.25">
      <c r="A339" s="1" t="str">
        <f t="shared" si="5"/>
        <v>7</v>
      </c>
      <c r="B3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39" s="1" t="s">
        <v>2355</v>
      </c>
      <c r="D339" s="1" t="s">
        <v>2356</v>
      </c>
      <c r="E339" s="1" t="s">
        <v>2357</v>
      </c>
      <c r="F339" s="1" t="s">
        <v>112</v>
      </c>
      <c r="G339" s="1">
        <v>4358078</v>
      </c>
    </row>
    <row r="340" spans="1:7" x14ac:dyDescent="0.25">
      <c r="A340" s="1" t="str">
        <f t="shared" si="5"/>
        <v>7</v>
      </c>
      <c r="B3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40" s="1" t="s">
        <v>2358</v>
      </c>
      <c r="D340" s="1" t="s">
        <v>2359</v>
      </c>
      <c r="E340" s="1" t="s">
        <v>2360</v>
      </c>
      <c r="F340" s="1" t="s">
        <v>112</v>
      </c>
      <c r="G340" s="1">
        <v>4561031</v>
      </c>
    </row>
    <row r="341" spans="1:7" x14ac:dyDescent="0.25">
      <c r="A341" s="1" t="str">
        <f t="shared" si="5"/>
        <v>7</v>
      </c>
      <c r="B3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41" s="1" t="s">
        <v>2361</v>
      </c>
      <c r="D341" s="1" t="s">
        <v>2362</v>
      </c>
      <c r="E341" s="1" t="s">
        <v>2363</v>
      </c>
      <c r="F341" s="1" t="s">
        <v>112</v>
      </c>
      <c r="G341" s="1">
        <v>4334999</v>
      </c>
    </row>
    <row r="342" spans="1:7" x14ac:dyDescent="0.25">
      <c r="A342" s="1" t="str">
        <f t="shared" si="5"/>
        <v>7</v>
      </c>
      <c r="B3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42" s="1" t="s">
        <v>2364</v>
      </c>
      <c r="D342" s="1" t="s">
        <v>2365</v>
      </c>
      <c r="E342" s="1" t="s">
        <v>2366</v>
      </c>
      <c r="F342" s="1" t="s">
        <v>112</v>
      </c>
      <c r="G342" s="1">
        <v>4601976</v>
      </c>
    </row>
    <row r="343" spans="1:7" x14ac:dyDescent="0.25">
      <c r="A343" s="1" t="str">
        <f t="shared" si="5"/>
        <v>7</v>
      </c>
      <c r="B3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43" s="1" t="s">
        <v>2367</v>
      </c>
      <c r="D343" s="1" t="s">
        <v>2368</v>
      </c>
      <c r="E343" s="1" t="s">
        <v>2369</v>
      </c>
      <c r="F343" s="1" t="s">
        <v>112</v>
      </c>
      <c r="G343" s="1">
        <v>4267146</v>
      </c>
    </row>
    <row r="344" spans="1:7" x14ac:dyDescent="0.25">
      <c r="A344" s="1" t="str">
        <f t="shared" si="5"/>
        <v>7</v>
      </c>
      <c r="B3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44" s="1" t="s">
        <v>2370</v>
      </c>
    </row>
    <row r="345" spans="1:7" x14ac:dyDescent="0.25">
      <c r="A345" s="1" t="str">
        <f t="shared" si="5"/>
        <v>7</v>
      </c>
      <c r="B3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45" s="1" t="s">
        <v>2371</v>
      </c>
      <c r="D345" s="1" t="s">
        <v>996</v>
      </c>
      <c r="E345" s="1" t="s">
        <v>2372</v>
      </c>
      <c r="F345" s="1" t="s">
        <v>112</v>
      </c>
      <c r="G345" s="1">
        <v>3895566</v>
      </c>
    </row>
    <row r="346" spans="1:7" x14ac:dyDescent="0.25">
      <c r="A346" s="1" t="str">
        <f t="shared" si="5"/>
        <v>7</v>
      </c>
      <c r="B3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46" s="1" t="s">
        <v>2373</v>
      </c>
    </row>
    <row r="347" spans="1:7" x14ac:dyDescent="0.25">
      <c r="A347" s="1" t="str">
        <f t="shared" si="5"/>
        <v>7</v>
      </c>
      <c r="B3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47" s="1" t="s">
        <v>2374</v>
      </c>
      <c r="D347" s="1" t="s">
        <v>2375</v>
      </c>
      <c r="E347" s="1" t="s">
        <v>2376</v>
      </c>
      <c r="F347" s="1" t="s">
        <v>112</v>
      </c>
      <c r="G347" s="1">
        <v>4292604</v>
      </c>
    </row>
    <row r="348" spans="1:7" x14ac:dyDescent="0.25">
      <c r="A348" s="1" t="str">
        <f t="shared" si="5"/>
        <v>7</v>
      </c>
      <c r="B3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48" s="1" t="s">
        <v>2377</v>
      </c>
      <c r="D348" s="1" t="s">
        <v>830</v>
      </c>
      <c r="E348" s="1" t="s">
        <v>2378</v>
      </c>
      <c r="F348" s="1" t="s">
        <v>112</v>
      </c>
      <c r="G348" s="1">
        <v>3729967</v>
      </c>
    </row>
    <row r="349" spans="1:7" x14ac:dyDescent="0.25">
      <c r="A349" s="1" t="str">
        <f t="shared" si="5"/>
        <v>7</v>
      </c>
      <c r="B3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49" s="1" t="s">
        <v>2379</v>
      </c>
      <c r="D349" s="1" t="s">
        <v>2380</v>
      </c>
      <c r="E349" s="1" t="s">
        <v>2381</v>
      </c>
      <c r="F349" s="1" t="s">
        <v>112</v>
      </c>
      <c r="G349" s="1">
        <v>3660687</v>
      </c>
    </row>
    <row r="350" spans="1:7" x14ac:dyDescent="0.25">
      <c r="A350" s="1" t="str">
        <f t="shared" si="5"/>
        <v>7</v>
      </c>
      <c r="B3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50" s="1" t="s">
        <v>2382</v>
      </c>
      <c r="D350" s="1" t="s">
        <v>2383</v>
      </c>
      <c r="E350" s="1" t="s">
        <v>2384</v>
      </c>
      <c r="F350" s="1" t="s">
        <v>112</v>
      </c>
      <c r="G350" s="1">
        <v>4579092</v>
      </c>
    </row>
    <row r="351" spans="1:7" x14ac:dyDescent="0.25">
      <c r="A351" s="1" t="str">
        <f t="shared" si="5"/>
        <v>7</v>
      </c>
      <c r="B3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51" s="1" t="s">
        <v>2385</v>
      </c>
      <c r="D351" s="1" t="s">
        <v>2386</v>
      </c>
      <c r="E351" s="1" t="s">
        <v>2387</v>
      </c>
      <c r="F351" s="1" t="s">
        <v>112</v>
      </c>
      <c r="G351" s="1">
        <v>4708071</v>
      </c>
    </row>
    <row r="352" spans="1:7" x14ac:dyDescent="0.25">
      <c r="A352" s="1" t="str">
        <f t="shared" si="5"/>
        <v>7</v>
      </c>
      <c r="B3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52" s="1" t="s">
        <v>2388</v>
      </c>
      <c r="D352" s="1" t="s">
        <v>2389</v>
      </c>
      <c r="E352" s="1" t="s">
        <v>2390</v>
      </c>
      <c r="F352" s="1" t="s">
        <v>112</v>
      </c>
      <c r="G352" s="1">
        <v>4313066</v>
      </c>
    </row>
    <row r="353" spans="1:10" x14ac:dyDescent="0.25">
      <c r="A353" s="1" t="str">
        <f t="shared" si="5"/>
        <v>7</v>
      </c>
      <c r="B3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53" s="1" t="s">
        <v>2391</v>
      </c>
      <c r="D353" s="1" t="s">
        <v>2392</v>
      </c>
      <c r="E353" s="1" t="s">
        <v>2393</v>
      </c>
      <c r="F353" s="1" t="s">
        <v>112</v>
      </c>
      <c r="G353" s="1">
        <v>5612936</v>
      </c>
    </row>
    <row r="354" spans="1:10" x14ac:dyDescent="0.25">
      <c r="A354" s="1" t="str">
        <f t="shared" si="5"/>
        <v>7</v>
      </c>
      <c r="B3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54" s="1" t="s">
        <v>2394</v>
      </c>
      <c r="D354" s="1" t="s">
        <v>2395</v>
      </c>
      <c r="E354" s="1" t="s">
        <v>2396</v>
      </c>
      <c r="F354" s="1" t="s">
        <v>112</v>
      </c>
      <c r="G354" s="1">
        <v>4688799</v>
      </c>
    </row>
    <row r="355" spans="1:10" x14ac:dyDescent="0.25">
      <c r="A355" s="1" t="str">
        <f t="shared" si="5"/>
        <v>7</v>
      </c>
      <c r="B3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55" s="1" t="s">
        <v>2397</v>
      </c>
      <c r="D355" s="1" t="s">
        <v>2398</v>
      </c>
      <c r="E355" s="1" t="s">
        <v>2399</v>
      </c>
      <c r="F355" s="1" t="s">
        <v>112</v>
      </c>
      <c r="G355" s="1">
        <v>4876070</v>
      </c>
    </row>
    <row r="356" spans="1:10" x14ac:dyDescent="0.25">
      <c r="A356" s="1" t="str">
        <f t="shared" si="5"/>
        <v/>
      </c>
      <c r="B3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56" s="1" t="s">
        <v>112</v>
      </c>
    </row>
    <row r="357" spans="1:10" x14ac:dyDescent="0.25">
      <c r="A357" s="1" t="str">
        <f t="shared" si="5"/>
        <v/>
      </c>
      <c r="B3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57" s="1" t="s">
        <v>237</v>
      </c>
      <c r="D357" s="1" t="s">
        <v>112</v>
      </c>
      <c r="E357" s="1" t="s">
        <v>238</v>
      </c>
      <c r="F357" s="1" t="s">
        <v>239</v>
      </c>
      <c r="G357" s="1" t="s">
        <v>240</v>
      </c>
      <c r="H357" s="1" t="s">
        <v>241</v>
      </c>
      <c r="I357" s="1" t="s">
        <v>242</v>
      </c>
      <c r="J357" s="1" t="s">
        <v>243</v>
      </c>
    </row>
    <row r="358" spans="1:10" x14ac:dyDescent="0.25">
      <c r="A358" s="1" t="str">
        <f t="shared" si="5"/>
        <v>7</v>
      </c>
      <c r="B35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358" s="1" t="s">
        <v>2400</v>
      </c>
      <c r="D358" s="1" t="s">
        <v>112</v>
      </c>
      <c r="E358" s="1" t="s">
        <v>2401</v>
      </c>
      <c r="F358" s="1" t="s">
        <v>2402</v>
      </c>
      <c r="G358" s="1" t="s">
        <v>2403</v>
      </c>
      <c r="H358" s="1" t="s">
        <v>2404</v>
      </c>
      <c r="I358" s="1">
        <v>24</v>
      </c>
      <c r="J358" s="1">
        <v>24</v>
      </c>
    </row>
    <row r="359" spans="1:10" x14ac:dyDescent="0.25">
      <c r="A359" s="1" t="str">
        <f t="shared" si="5"/>
        <v/>
      </c>
      <c r="B3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59" s="1" t="s">
        <v>112</v>
      </c>
    </row>
    <row r="360" spans="1:10" x14ac:dyDescent="0.25">
      <c r="A360" s="1" t="str">
        <f t="shared" si="5"/>
        <v/>
      </c>
      <c r="B3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0" s="1" t="s">
        <v>112</v>
      </c>
    </row>
    <row r="361" spans="1:10" x14ac:dyDescent="0.25">
      <c r="A361" s="1" t="str">
        <f t="shared" si="5"/>
        <v/>
      </c>
      <c r="B3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1" s="1" t="s">
        <v>112</v>
      </c>
    </row>
    <row r="362" spans="1:10" x14ac:dyDescent="0.25">
      <c r="A362" s="1" t="str">
        <f t="shared" si="5"/>
        <v/>
      </c>
      <c r="B3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2" s="1" t="s">
        <v>112</v>
      </c>
    </row>
    <row r="363" spans="1:10" x14ac:dyDescent="0.25">
      <c r="A363" s="1" t="str">
        <f t="shared" si="5"/>
        <v/>
      </c>
      <c r="B3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3" s="1" t="s">
        <v>112</v>
      </c>
    </row>
    <row r="364" spans="1:10" x14ac:dyDescent="0.25">
      <c r="A364" s="1" t="str">
        <f t="shared" si="5"/>
        <v/>
      </c>
      <c r="B3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4" s="1" t="s">
        <v>249</v>
      </c>
      <c r="D364" s="1" t="s">
        <v>110</v>
      </c>
      <c r="E364" s="1" t="s">
        <v>111</v>
      </c>
      <c r="F364" s="1" t="s">
        <v>112</v>
      </c>
      <c r="G364" s="1" t="s">
        <v>113</v>
      </c>
    </row>
    <row r="365" spans="1:10" x14ac:dyDescent="0.25">
      <c r="A365" s="1" t="str">
        <f t="shared" si="5"/>
        <v>10</v>
      </c>
      <c r="B3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5" s="1" t="s">
        <v>2405</v>
      </c>
      <c r="D365" s="1" t="s">
        <v>2406</v>
      </c>
      <c r="E365" s="1" t="s">
        <v>2407</v>
      </c>
      <c r="F365" s="1" t="s">
        <v>112</v>
      </c>
      <c r="G365" s="1">
        <v>356374</v>
      </c>
    </row>
    <row r="366" spans="1:10" x14ac:dyDescent="0.25">
      <c r="A366" s="1" t="str">
        <f t="shared" si="5"/>
        <v>10</v>
      </c>
      <c r="B3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6" s="1" t="s">
        <v>2408</v>
      </c>
      <c r="D366" s="1" t="s">
        <v>1983</v>
      </c>
      <c r="E366" s="1" t="s">
        <v>2409</v>
      </c>
      <c r="F366" s="1" t="s">
        <v>112</v>
      </c>
      <c r="G366" s="1">
        <v>246646</v>
      </c>
    </row>
    <row r="367" spans="1:10" x14ac:dyDescent="0.25">
      <c r="A367" s="1" t="str">
        <f t="shared" si="5"/>
        <v>10</v>
      </c>
      <c r="B3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7" s="1" t="s">
        <v>2410</v>
      </c>
      <c r="D367" s="1" t="s">
        <v>1068</v>
      </c>
      <c r="E367" s="1" t="s">
        <v>2411</v>
      </c>
      <c r="F367" s="1" t="s">
        <v>112</v>
      </c>
      <c r="G367" s="1">
        <v>279566</v>
      </c>
    </row>
    <row r="368" spans="1:10" x14ac:dyDescent="0.25">
      <c r="A368" s="1" t="str">
        <f t="shared" si="5"/>
        <v>10</v>
      </c>
      <c r="B3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68" s="1" t="s">
        <v>2412</v>
      </c>
    </row>
    <row r="369" spans="1:7" x14ac:dyDescent="0.25">
      <c r="A369" s="1" t="str">
        <f t="shared" si="5"/>
        <v>10</v>
      </c>
      <c r="B3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69" s="1" t="s">
        <v>2413</v>
      </c>
      <c r="D369" s="1" t="s">
        <v>1992</v>
      </c>
      <c r="E369" s="1" t="s">
        <v>2414</v>
      </c>
      <c r="F369" s="1" t="s">
        <v>112</v>
      </c>
      <c r="G369" s="1">
        <v>292717</v>
      </c>
    </row>
    <row r="370" spans="1:7" x14ac:dyDescent="0.25">
      <c r="A370" s="1" t="str">
        <f t="shared" si="5"/>
        <v>10</v>
      </c>
      <c r="B3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70" s="1" t="s">
        <v>2415</v>
      </c>
      <c r="D370" s="1" t="s">
        <v>2416</v>
      </c>
      <c r="E370" s="1" t="s">
        <v>2417</v>
      </c>
      <c r="F370" s="1" t="s">
        <v>112</v>
      </c>
      <c r="G370" s="1">
        <v>260337</v>
      </c>
    </row>
    <row r="371" spans="1:7" x14ac:dyDescent="0.25">
      <c r="A371" s="1" t="str">
        <f t="shared" si="5"/>
        <v>10</v>
      </c>
      <c r="B3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71" s="1" t="s">
        <v>2418</v>
      </c>
      <c r="D371" s="1" t="s">
        <v>1714</v>
      </c>
      <c r="E371" s="1" t="s">
        <v>2419</v>
      </c>
      <c r="F371" s="1" t="s">
        <v>112</v>
      </c>
      <c r="G371" s="1">
        <v>43476</v>
      </c>
    </row>
    <row r="372" spans="1:7" x14ac:dyDescent="0.25">
      <c r="A372" s="1" t="str">
        <f t="shared" si="5"/>
        <v>10</v>
      </c>
      <c r="B3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72" s="1" t="s">
        <v>2420</v>
      </c>
      <c r="D372" s="1" t="s">
        <v>2421</v>
      </c>
      <c r="E372" s="1" t="s">
        <v>2422</v>
      </c>
      <c r="F372" s="1" t="s">
        <v>112</v>
      </c>
      <c r="G372" s="1">
        <v>713029</v>
      </c>
    </row>
    <row r="373" spans="1:7" x14ac:dyDescent="0.25">
      <c r="A373" s="1" t="str">
        <f t="shared" si="5"/>
        <v>10</v>
      </c>
      <c r="B3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73" s="1" t="s">
        <v>2423</v>
      </c>
      <c r="D373" s="1" t="s">
        <v>2424</v>
      </c>
      <c r="E373" s="1" t="s">
        <v>2425</v>
      </c>
      <c r="F373" s="1" t="s">
        <v>112</v>
      </c>
      <c r="G373" s="1">
        <v>536703</v>
      </c>
    </row>
    <row r="374" spans="1:7" x14ac:dyDescent="0.25">
      <c r="A374" s="1" t="str">
        <f t="shared" si="5"/>
        <v>10</v>
      </c>
      <c r="B3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74" s="1" t="s">
        <v>2426</v>
      </c>
      <c r="D374" s="1" t="s">
        <v>711</v>
      </c>
      <c r="E374" s="1" t="s">
        <v>2427</v>
      </c>
      <c r="F374" s="1" t="s">
        <v>112</v>
      </c>
      <c r="G374" s="1">
        <v>157379</v>
      </c>
    </row>
    <row r="375" spans="1:7" x14ac:dyDescent="0.25">
      <c r="A375" s="1" t="str">
        <f t="shared" si="5"/>
        <v>10</v>
      </c>
      <c r="B3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75" s="1" t="s">
        <v>2428</v>
      </c>
      <c r="D375" s="1" t="s">
        <v>2429</v>
      </c>
      <c r="E375" s="1" t="s">
        <v>2430</v>
      </c>
      <c r="F375" s="1" t="s">
        <v>112</v>
      </c>
      <c r="G375" s="1">
        <v>1966568</v>
      </c>
    </row>
    <row r="376" spans="1:7" x14ac:dyDescent="0.25">
      <c r="A376" s="1" t="str">
        <f t="shared" si="5"/>
        <v>10</v>
      </c>
      <c r="B3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76" s="1" t="s">
        <v>2431</v>
      </c>
      <c r="D376" s="1" t="s">
        <v>2432</v>
      </c>
      <c r="E376" s="1" t="s">
        <v>2433</v>
      </c>
      <c r="F376" s="1" t="s">
        <v>112</v>
      </c>
      <c r="G376" s="1">
        <v>2274037</v>
      </c>
    </row>
    <row r="377" spans="1:7" x14ac:dyDescent="0.25">
      <c r="A377" s="1" t="str">
        <f t="shared" si="5"/>
        <v>10</v>
      </c>
      <c r="B3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77" s="1" t="s">
        <v>2434</v>
      </c>
      <c r="D377" s="1" t="s">
        <v>2435</v>
      </c>
      <c r="E377" s="1">
        <v>38</v>
      </c>
      <c r="F377" s="1" t="s">
        <v>112</v>
      </c>
      <c r="G377" s="1">
        <v>205484</v>
      </c>
    </row>
    <row r="378" spans="1:7" x14ac:dyDescent="0.25">
      <c r="A378" s="1" t="str">
        <f t="shared" si="5"/>
        <v>10</v>
      </c>
      <c r="B3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78" s="1" t="s">
        <v>2436</v>
      </c>
    </row>
    <row r="379" spans="1:7" x14ac:dyDescent="0.25">
      <c r="A379" s="1" t="str">
        <f t="shared" si="5"/>
        <v>10</v>
      </c>
      <c r="B3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79" s="1" t="s">
        <v>2437</v>
      </c>
    </row>
    <row r="380" spans="1:7" x14ac:dyDescent="0.25">
      <c r="A380" s="1" t="str">
        <f t="shared" si="5"/>
        <v>10</v>
      </c>
      <c r="B3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80" s="1" t="s">
        <v>2438</v>
      </c>
      <c r="D380" s="1" t="s">
        <v>2439</v>
      </c>
      <c r="E380" s="1" t="s">
        <v>2440</v>
      </c>
      <c r="F380" s="1" t="s">
        <v>112</v>
      </c>
      <c r="G380" s="1">
        <v>230380</v>
      </c>
    </row>
    <row r="381" spans="1:7" x14ac:dyDescent="0.25">
      <c r="A381" s="1" t="str">
        <f t="shared" si="5"/>
        <v>10</v>
      </c>
      <c r="B3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81" s="1" t="s">
        <v>2441</v>
      </c>
      <c r="D381" s="1" t="s">
        <v>2442</v>
      </c>
      <c r="E381" s="1" t="s">
        <v>2443</v>
      </c>
      <c r="F381" s="1" t="s">
        <v>112</v>
      </c>
      <c r="G381" s="1">
        <v>3340737</v>
      </c>
    </row>
    <row r="382" spans="1:7" x14ac:dyDescent="0.25">
      <c r="A382" s="1" t="str">
        <f t="shared" si="5"/>
        <v>10</v>
      </c>
      <c r="B3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82" s="1" t="s">
        <v>2444</v>
      </c>
      <c r="D382" s="1" t="s">
        <v>2445</v>
      </c>
      <c r="E382" s="1" t="s">
        <v>2446</v>
      </c>
      <c r="F382" s="1" t="s">
        <v>112</v>
      </c>
      <c r="G382" s="1">
        <v>3942416</v>
      </c>
    </row>
    <row r="383" spans="1:7" x14ac:dyDescent="0.25">
      <c r="A383" s="1" t="str">
        <f t="shared" si="5"/>
        <v>10</v>
      </c>
      <c r="B3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83" s="1" t="s">
        <v>2447</v>
      </c>
      <c r="D383" s="1">
        <v>0</v>
      </c>
      <c r="E383" s="1">
        <v>0</v>
      </c>
      <c r="F383" s="1" t="s">
        <v>112</v>
      </c>
      <c r="G383" s="1">
        <v>0</v>
      </c>
    </row>
    <row r="384" spans="1:7" x14ac:dyDescent="0.25">
      <c r="A384" s="1" t="str">
        <f t="shared" si="5"/>
        <v>10</v>
      </c>
      <c r="B3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84" s="1" t="s">
        <v>2448</v>
      </c>
      <c r="D384" s="1" t="s">
        <v>2449</v>
      </c>
      <c r="E384" s="1" t="s">
        <v>2450</v>
      </c>
      <c r="F384" s="1" t="s">
        <v>112</v>
      </c>
      <c r="G384" s="1">
        <v>948795</v>
      </c>
    </row>
    <row r="385" spans="1:10" x14ac:dyDescent="0.25">
      <c r="A385" s="1" t="str">
        <f t="shared" si="5"/>
        <v>10</v>
      </c>
      <c r="B3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85" s="1" t="s">
        <v>2451</v>
      </c>
    </row>
    <row r="386" spans="1:10" x14ac:dyDescent="0.25">
      <c r="A386" s="1" t="str">
        <f t="shared" ref="A386:A449" si="6">IFERROR(LEFT(RIGHT(C386,LEN(C386)-SEARCH("@",C386)),SEARCH("/",RIGHT(C386,LEN(C386)-SEARCH("@",C386)-1))),"")</f>
        <v>10</v>
      </c>
      <c r="B3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86" s="1" t="s">
        <v>2452</v>
      </c>
      <c r="D386" s="1" t="s">
        <v>2453</v>
      </c>
      <c r="E386" s="1" t="s">
        <v>2454</v>
      </c>
      <c r="F386" s="1" t="s">
        <v>112</v>
      </c>
      <c r="G386" s="1">
        <v>174856</v>
      </c>
    </row>
    <row r="387" spans="1:10" x14ac:dyDescent="0.25">
      <c r="A387" s="1" t="str">
        <f t="shared" si="6"/>
        <v>10</v>
      </c>
      <c r="B3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87" s="1" t="s">
        <v>2455</v>
      </c>
      <c r="D387" s="1" t="s">
        <v>2456</v>
      </c>
      <c r="E387" s="1" t="s">
        <v>2457</v>
      </c>
      <c r="F387" s="1" t="s">
        <v>112</v>
      </c>
      <c r="G387" s="1">
        <v>2557995</v>
      </c>
    </row>
    <row r="388" spans="1:10" x14ac:dyDescent="0.25">
      <c r="A388" s="1" t="str">
        <f t="shared" si="6"/>
        <v>10</v>
      </c>
      <c r="B3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88" s="1" t="s">
        <v>2458</v>
      </c>
    </row>
    <row r="389" spans="1:10" x14ac:dyDescent="0.25">
      <c r="A389" s="1" t="str">
        <f t="shared" si="6"/>
        <v/>
      </c>
      <c r="B3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89" s="1" t="s">
        <v>112</v>
      </c>
    </row>
    <row r="390" spans="1:10" x14ac:dyDescent="0.25">
      <c r="A390" s="1" t="str">
        <f t="shared" si="6"/>
        <v/>
      </c>
      <c r="B3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0" s="1" t="s">
        <v>237</v>
      </c>
      <c r="D390" s="1" t="s">
        <v>112</v>
      </c>
      <c r="E390" s="1" t="s">
        <v>238</v>
      </c>
      <c r="F390" s="1" t="s">
        <v>239</v>
      </c>
      <c r="G390" s="1" t="s">
        <v>240</v>
      </c>
      <c r="H390" s="1" t="s">
        <v>241</v>
      </c>
      <c r="I390" s="1" t="s">
        <v>242</v>
      </c>
      <c r="J390" s="1" t="s">
        <v>243</v>
      </c>
    </row>
    <row r="391" spans="1:10" x14ac:dyDescent="0.25">
      <c r="A391" s="1" t="str">
        <f t="shared" si="6"/>
        <v>10</v>
      </c>
      <c r="B39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391" s="1" t="s">
        <v>2459</v>
      </c>
      <c r="D391" s="1" t="s">
        <v>112</v>
      </c>
      <c r="E391" s="1" t="s">
        <v>2460</v>
      </c>
      <c r="F391" s="1" t="s">
        <v>2461</v>
      </c>
      <c r="G391" s="1" t="s">
        <v>2462</v>
      </c>
      <c r="H391" s="1" t="s">
        <v>2463</v>
      </c>
      <c r="I391" s="1">
        <v>23</v>
      </c>
      <c r="J391" s="1">
        <v>24</v>
      </c>
    </row>
    <row r="392" spans="1:10" x14ac:dyDescent="0.25">
      <c r="A392" s="1" t="str">
        <f t="shared" si="6"/>
        <v/>
      </c>
      <c r="B3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2" s="1" t="s">
        <v>112</v>
      </c>
    </row>
    <row r="393" spans="1:10" x14ac:dyDescent="0.25">
      <c r="A393" s="1" t="str">
        <f t="shared" si="6"/>
        <v/>
      </c>
      <c r="B3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3" s="1" t="s">
        <v>112</v>
      </c>
    </row>
    <row r="394" spans="1:10" x14ac:dyDescent="0.25">
      <c r="A394" s="1" t="str">
        <f t="shared" si="6"/>
        <v/>
      </c>
      <c r="B3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4" s="1" t="s">
        <v>112</v>
      </c>
    </row>
    <row r="395" spans="1:10" x14ac:dyDescent="0.25">
      <c r="A395" s="1" t="str">
        <f t="shared" si="6"/>
        <v/>
      </c>
      <c r="B3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5" s="1" t="s">
        <v>112</v>
      </c>
    </row>
    <row r="396" spans="1:10" x14ac:dyDescent="0.25">
      <c r="A396" s="1" t="str">
        <f t="shared" si="6"/>
        <v/>
      </c>
      <c r="B3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6" s="1" t="s">
        <v>112</v>
      </c>
    </row>
    <row r="397" spans="1:10" x14ac:dyDescent="0.25">
      <c r="A397" s="1" t="str">
        <f t="shared" si="6"/>
        <v/>
      </c>
      <c r="B3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7" s="1" t="s">
        <v>249</v>
      </c>
      <c r="D397" s="1" t="s">
        <v>110</v>
      </c>
      <c r="E397" s="1" t="s">
        <v>111</v>
      </c>
      <c r="F397" s="1" t="s">
        <v>112</v>
      </c>
      <c r="G397" s="1" t="s">
        <v>113</v>
      </c>
    </row>
    <row r="398" spans="1:10" x14ac:dyDescent="0.25">
      <c r="A398" s="1" t="str">
        <f t="shared" si="6"/>
        <v>11</v>
      </c>
      <c r="B39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98" s="1" t="s">
        <v>2464</v>
      </c>
      <c r="D398" s="1" t="s">
        <v>2465</v>
      </c>
      <c r="E398" s="1" t="s">
        <v>2466</v>
      </c>
      <c r="F398" s="1" t="s">
        <v>112</v>
      </c>
      <c r="G398" s="1">
        <v>441531</v>
      </c>
    </row>
    <row r="399" spans="1:10" x14ac:dyDescent="0.25">
      <c r="A399" s="1" t="str">
        <f t="shared" si="6"/>
        <v>11</v>
      </c>
      <c r="B3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99" s="1" t="s">
        <v>2467</v>
      </c>
      <c r="D399" s="1" t="s">
        <v>2468</v>
      </c>
      <c r="E399" s="1" t="s">
        <v>2469</v>
      </c>
      <c r="F399" s="1" t="s">
        <v>112</v>
      </c>
      <c r="G399" s="1">
        <v>2902948</v>
      </c>
    </row>
    <row r="400" spans="1:10" x14ac:dyDescent="0.25">
      <c r="A400" s="1" t="str">
        <f t="shared" si="6"/>
        <v>11</v>
      </c>
      <c r="B4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00" s="1" t="s">
        <v>2470</v>
      </c>
      <c r="D400" s="1" t="s">
        <v>2471</v>
      </c>
      <c r="E400" s="1" t="s">
        <v>2472</v>
      </c>
      <c r="F400" s="1" t="s">
        <v>112</v>
      </c>
      <c r="G400" s="1">
        <v>3312640</v>
      </c>
    </row>
    <row r="401" spans="1:7" x14ac:dyDescent="0.25">
      <c r="A401" s="1" t="str">
        <f t="shared" si="6"/>
        <v>11</v>
      </c>
      <c r="B4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1" s="1" t="s">
        <v>2473</v>
      </c>
      <c r="D401" s="1" t="s">
        <v>2474</v>
      </c>
      <c r="E401" s="1" t="s">
        <v>2475</v>
      </c>
      <c r="F401" s="1" t="s">
        <v>112</v>
      </c>
      <c r="G401" s="1">
        <v>639012</v>
      </c>
    </row>
    <row r="402" spans="1:7" x14ac:dyDescent="0.25">
      <c r="A402" s="1" t="str">
        <f t="shared" si="6"/>
        <v>11</v>
      </c>
      <c r="B4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2" s="1" t="s">
        <v>2476</v>
      </c>
      <c r="D402" s="1" t="s">
        <v>2477</v>
      </c>
      <c r="E402" s="1" t="s">
        <v>2478</v>
      </c>
      <c r="F402" s="1" t="s">
        <v>112</v>
      </c>
      <c r="G402" s="1">
        <v>2291839</v>
      </c>
    </row>
    <row r="403" spans="1:7" x14ac:dyDescent="0.25">
      <c r="A403" s="1" t="str">
        <f t="shared" si="6"/>
        <v>11</v>
      </c>
      <c r="B4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3" s="1" t="s">
        <v>2479</v>
      </c>
      <c r="D403" s="1" t="s">
        <v>2480</v>
      </c>
      <c r="E403" s="1" t="s">
        <v>2481</v>
      </c>
      <c r="F403" s="1" t="s">
        <v>112</v>
      </c>
      <c r="G403" s="1">
        <v>2363174</v>
      </c>
    </row>
    <row r="404" spans="1:7" x14ac:dyDescent="0.25">
      <c r="A404" s="1" t="str">
        <f t="shared" si="6"/>
        <v>11</v>
      </c>
      <c r="B4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04" s="1" t="s">
        <v>2482</v>
      </c>
    </row>
    <row r="405" spans="1:7" x14ac:dyDescent="0.25">
      <c r="A405" s="1" t="str">
        <f t="shared" si="6"/>
        <v>11</v>
      </c>
      <c r="B4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05" s="1" t="s">
        <v>2483</v>
      </c>
      <c r="D405" s="1" t="s">
        <v>2484</v>
      </c>
      <c r="E405" s="1" t="s">
        <v>2485</v>
      </c>
      <c r="F405" s="1" t="s">
        <v>112</v>
      </c>
      <c r="G405" s="1">
        <v>2931045</v>
      </c>
    </row>
    <row r="406" spans="1:7" x14ac:dyDescent="0.25">
      <c r="A406" s="1" t="str">
        <f t="shared" si="6"/>
        <v>11</v>
      </c>
      <c r="B4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06" s="1" t="s">
        <v>2486</v>
      </c>
      <c r="D406" s="1" t="s">
        <v>2487</v>
      </c>
      <c r="E406" s="1" t="s">
        <v>2488</v>
      </c>
      <c r="F406" s="1" t="s">
        <v>112</v>
      </c>
      <c r="G406" s="1">
        <v>3297283</v>
      </c>
    </row>
    <row r="407" spans="1:7" x14ac:dyDescent="0.25">
      <c r="A407" s="1" t="str">
        <f t="shared" si="6"/>
        <v>11</v>
      </c>
      <c r="B4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07" s="1" t="s">
        <v>2489</v>
      </c>
    </row>
    <row r="408" spans="1:7" x14ac:dyDescent="0.25">
      <c r="A408" s="1" t="str">
        <f t="shared" si="6"/>
        <v>11</v>
      </c>
      <c r="B4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08" s="1" t="s">
        <v>2490</v>
      </c>
      <c r="D408" s="1" t="s">
        <v>2491</v>
      </c>
      <c r="E408" s="1" t="s">
        <v>2492</v>
      </c>
      <c r="F408" s="1" t="s">
        <v>112</v>
      </c>
      <c r="G408" s="1">
        <v>3170640</v>
      </c>
    </row>
    <row r="409" spans="1:7" x14ac:dyDescent="0.25">
      <c r="A409" s="1" t="str">
        <f t="shared" si="6"/>
        <v>11</v>
      </c>
      <c r="B4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09" s="1" t="s">
        <v>2493</v>
      </c>
      <c r="D409" s="1" t="s">
        <v>2494</v>
      </c>
      <c r="E409" s="1" t="s">
        <v>2495</v>
      </c>
      <c r="F409" s="1" t="s">
        <v>112</v>
      </c>
      <c r="G409" s="1">
        <v>3392368</v>
      </c>
    </row>
    <row r="410" spans="1:7" x14ac:dyDescent="0.25">
      <c r="A410" s="1" t="str">
        <f t="shared" si="6"/>
        <v>11</v>
      </c>
      <c r="B4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10" s="1" t="s">
        <v>2496</v>
      </c>
    </row>
    <row r="411" spans="1:7" x14ac:dyDescent="0.25">
      <c r="A411" s="1" t="str">
        <f t="shared" si="6"/>
        <v>11</v>
      </c>
      <c r="B4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11" s="1" t="s">
        <v>2497</v>
      </c>
      <c r="D411" s="1" t="s">
        <v>2498</v>
      </c>
      <c r="E411" s="1" t="s">
        <v>2499</v>
      </c>
      <c r="F411" s="1" t="s">
        <v>112</v>
      </c>
      <c r="G411" s="1">
        <v>1649669</v>
      </c>
    </row>
    <row r="412" spans="1:7" x14ac:dyDescent="0.25">
      <c r="A412" s="1" t="str">
        <f t="shared" si="6"/>
        <v>11</v>
      </c>
      <c r="B4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12" s="1" t="s">
        <v>2500</v>
      </c>
      <c r="D412" s="1" t="s">
        <v>2501</v>
      </c>
      <c r="E412" s="1" t="s">
        <v>2502</v>
      </c>
      <c r="F412" s="1" t="s">
        <v>112</v>
      </c>
      <c r="G412" s="1">
        <v>1610129</v>
      </c>
    </row>
    <row r="413" spans="1:7" x14ac:dyDescent="0.25">
      <c r="A413" s="1" t="str">
        <f t="shared" si="6"/>
        <v>11</v>
      </c>
      <c r="B4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13" s="1" t="s">
        <v>2503</v>
      </c>
      <c r="D413" s="1" t="s">
        <v>2504</v>
      </c>
      <c r="E413" s="1" t="s">
        <v>2505</v>
      </c>
      <c r="F413" s="1" t="s">
        <v>112</v>
      </c>
      <c r="G413" s="1">
        <v>1277959</v>
      </c>
    </row>
    <row r="414" spans="1:7" x14ac:dyDescent="0.25">
      <c r="A414" s="1" t="str">
        <f t="shared" si="6"/>
        <v>11</v>
      </c>
      <c r="B4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14" s="1" t="s">
        <v>2506</v>
      </c>
      <c r="D414" s="1" t="s">
        <v>2507</v>
      </c>
      <c r="E414" s="1" t="s">
        <v>2508</v>
      </c>
      <c r="F414" s="1" t="s">
        <v>112</v>
      </c>
      <c r="G414" s="1">
        <v>4173185</v>
      </c>
    </row>
    <row r="415" spans="1:7" x14ac:dyDescent="0.25">
      <c r="A415" s="1" t="str">
        <f t="shared" si="6"/>
        <v>11</v>
      </c>
      <c r="B4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15" s="1" t="s">
        <v>2509</v>
      </c>
      <c r="D415" s="1" t="s">
        <v>2510</v>
      </c>
      <c r="E415" s="1" t="s">
        <v>2511</v>
      </c>
      <c r="F415" s="1" t="s">
        <v>112</v>
      </c>
      <c r="G415" s="1">
        <v>4173012</v>
      </c>
    </row>
    <row r="416" spans="1:7" x14ac:dyDescent="0.25">
      <c r="A416" s="1" t="str">
        <f t="shared" si="6"/>
        <v>11</v>
      </c>
      <c r="B4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16" s="1" t="s">
        <v>2512</v>
      </c>
      <c r="D416" s="1" t="s">
        <v>1439</v>
      </c>
      <c r="E416" s="1" t="s">
        <v>2513</v>
      </c>
      <c r="F416" s="1" t="s">
        <v>112</v>
      </c>
      <c r="G416" s="1">
        <v>2578889</v>
      </c>
    </row>
    <row r="417" spans="1:10" x14ac:dyDescent="0.25">
      <c r="A417" s="1" t="str">
        <f t="shared" si="6"/>
        <v>11</v>
      </c>
      <c r="B4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17" s="1" t="s">
        <v>2514</v>
      </c>
      <c r="D417" s="1" t="s">
        <v>2515</v>
      </c>
      <c r="E417" s="1" t="s">
        <v>2516</v>
      </c>
      <c r="F417" s="1" t="s">
        <v>112</v>
      </c>
      <c r="G417" s="1">
        <v>3113191</v>
      </c>
    </row>
    <row r="418" spans="1:10" x14ac:dyDescent="0.25">
      <c r="A418" s="1" t="str">
        <f t="shared" si="6"/>
        <v>11</v>
      </c>
      <c r="B4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18" s="1" t="s">
        <v>2517</v>
      </c>
      <c r="D418" s="1" t="s">
        <v>2518</v>
      </c>
      <c r="E418" s="1" t="s">
        <v>2519</v>
      </c>
      <c r="F418" s="1" t="s">
        <v>112</v>
      </c>
      <c r="G418" s="1">
        <v>3666462</v>
      </c>
    </row>
    <row r="419" spans="1:10" x14ac:dyDescent="0.25">
      <c r="A419" s="1" t="str">
        <f t="shared" si="6"/>
        <v>11</v>
      </c>
      <c r="B4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19" s="1" t="s">
        <v>2520</v>
      </c>
    </row>
    <row r="420" spans="1:10" x14ac:dyDescent="0.25">
      <c r="A420" s="1" t="str">
        <f t="shared" si="6"/>
        <v>11</v>
      </c>
      <c r="B4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20" s="1" t="s">
        <v>2521</v>
      </c>
      <c r="D420" s="1" t="s">
        <v>2522</v>
      </c>
      <c r="E420" s="1" t="s">
        <v>2523</v>
      </c>
      <c r="F420" s="1" t="s">
        <v>112</v>
      </c>
      <c r="G420" s="1">
        <v>3440148</v>
      </c>
    </row>
    <row r="421" spans="1:10" x14ac:dyDescent="0.25">
      <c r="A421" s="1" t="str">
        <f t="shared" si="6"/>
        <v>11</v>
      </c>
      <c r="B4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21" s="1" t="s">
        <v>2524</v>
      </c>
      <c r="D421" s="1" t="s">
        <v>2525</v>
      </c>
      <c r="E421" s="1" t="s">
        <v>2526</v>
      </c>
      <c r="F421" s="1" t="s">
        <v>112</v>
      </c>
      <c r="G421" s="1">
        <v>3748028</v>
      </c>
    </row>
    <row r="422" spans="1:10" x14ac:dyDescent="0.25">
      <c r="A422" s="1" t="str">
        <f t="shared" si="6"/>
        <v/>
      </c>
      <c r="B4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2" s="1" t="s">
        <v>112</v>
      </c>
    </row>
    <row r="423" spans="1:10" x14ac:dyDescent="0.25">
      <c r="A423" s="1" t="str">
        <f t="shared" si="6"/>
        <v/>
      </c>
      <c r="B4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3" s="1" t="s">
        <v>237</v>
      </c>
      <c r="D423" s="1" t="s">
        <v>112</v>
      </c>
      <c r="E423" s="1" t="s">
        <v>238</v>
      </c>
      <c r="F423" s="1" t="s">
        <v>239</v>
      </c>
      <c r="G423" s="1" t="s">
        <v>240</v>
      </c>
      <c r="H423" s="1" t="s">
        <v>241</v>
      </c>
      <c r="I423" s="1" t="s">
        <v>242</v>
      </c>
      <c r="J423" s="1" t="s">
        <v>243</v>
      </c>
    </row>
    <row r="424" spans="1:10" x14ac:dyDescent="0.25">
      <c r="A424" s="1" t="str">
        <f t="shared" si="6"/>
        <v>11</v>
      </c>
      <c r="B42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424" s="1" t="s">
        <v>2527</v>
      </c>
      <c r="D424" s="1" t="s">
        <v>112</v>
      </c>
      <c r="E424" s="1" t="s">
        <v>2528</v>
      </c>
      <c r="F424" s="1" t="s">
        <v>2529</v>
      </c>
      <c r="G424" s="1" t="s">
        <v>2530</v>
      </c>
      <c r="H424" s="1" t="s">
        <v>2531</v>
      </c>
      <c r="I424" s="1">
        <v>24</v>
      </c>
      <c r="J424" s="1">
        <v>24</v>
      </c>
    </row>
    <row r="425" spans="1:10" x14ac:dyDescent="0.25">
      <c r="A425" s="1" t="str">
        <f t="shared" si="6"/>
        <v/>
      </c>
      <c r="B4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5" s="1" t="s">
        <v>112</v>
      </c>
    </row>
    <row r="426" spans="1:10" x14ac:dyDescent="0.25">
      <c r="A426" s="1" t="str">
        <f t="shared" si="6"/>
        <v/>
      </c>
      <c r="B4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6" s="1" t="s">
        <v>112</v>
      </c>
    </row>
    <row r="427" spans="1:10" x14ac:dyDescent="0.25">
      <c r="A427" s="1" t="str">
        <f t="shared" si="6"/>
        <v/>
      </c>
      <c r="B4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7" s="1" t="s">
        <v>112</v>
      </c>
    </row>
    <row r="428" spans="1:10" x14ac:dyDescent="0.25">
      <c r="A428" s="1" t="str">
        <f t="shared" si="6"/>
        <v/>
      </c>
      <c r="B4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8" s="1" t="s">
        <v>112</v>
      </c>
    </row>
    <row r="429" spans="1:10" x14ac:dyDescent="0.25">
      <c r="A429" s="1" t="str">
        <f t="shared" si="6"/>
        <v/>
      </c>
      <c r="B4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9" s="1" t="s">
        <v>112</v>
      </c>
    </row>
    <row r="430" spans="1:10" x14ac:dyDescent="0.25">
      <c r="A430" s="1" t="str">
        <f t="shared" si="6"/>
        <v/>
      </c>
      <c r="B4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30" s="1" t="s">
        <v>249</v>
      </c>
      <c r="D430" s="1" t="s">
        <v>110</v>
      </c>
      <c r="E430" s="1" t="s">
        <v>111</v>
      </c>
      <c r="F430" s="1" t="s">
        <v>112</v>
      </c>
      <c r="G430" s="1" t="s">
        <v>113</v>
      </c>
    </row>
    <row r="431" spans="1:10" x14ac:dyDescent="0.25">
      <c r="A431" s="1" t="str">
        <f t="shared" si="6"/>
        <v>12</v>
      </c>
      <c r="B43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31" s="1" t="s">
        <v>2532</v>
      </c>
      <c r="D431" s="1" t="s">
        <v>2533</v>
      </c>
      <c r="E431" s="1" t="s">
        <v>2534</v>
      </c>
      <c r="F431" s="1" t="s">
        <v>112</v>
      </c>
      <c r="G431" s="1">
        <v>2043268</v>
      </c>
    </row>
    <row r="432" spans="1:10" x14ac:dyDescent="0.25">
      <c r="A432" s="1" t="str">
        <f t="shared" si="6"/>
        <v>12</v>
      </c>
      <c r="B4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32" s="1" t="s">
        <v>2535</v>
      </c>
      <c r="D432" s="1" t="s">
        <v>2536</v>
      </c>
      <c r="E432" s="1" t="s">
        <v>2537</v>
      </c>
      <c r="F432" s="1" t="s">
        <v>112</v>
      </c>
      <c r="G432" s="1">
        <v>4826754</v>
      </c>
    </row>
    <row r="433" spans="1:7" x14ac:dyDescent="0.25">
      <c r="A433" s="1" t="str">
        <f t="shared" si="6"/>
        <v>12</v>
      </c>
      <c r="B4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33" s="1" t="s">
        <v>2538</v>
      </c>
      <c r="D433" s="1" t="s">
        <v>2539</v>
      </c>
      <c r="E433" s="1" t="s">
        <v>2540</v>
      </c>
      <c r="F433" s="1" t="s">
        <v>112</v>
      </c>
      <c r="G433" s="1">
        <v>4753494</v>
      </c>
    </row>
    <row r="434" spans="1:7" x14ac:dyDescent="0.25">
      <c r="A434" s="1" t="str">
        <f t="shared" si="6"/>
        <v>12</v>
      </c>
      <c r="B4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34" s="1" t="s">
        <v>2541</v>
      </c>
      <c r="D434" s="1" t="s">
        <v>759</v>
      </c>
      <c r="E434" s="1" t="s">
        <v>2542</v>
      </c>
      <c r="F434" s="1" t="s">
        <v>112</v>
      </c>
      <c r="G434" s="1">
        <v>1346850</v>
      </c>
    </row>
    <row r="435" spans="1:7" x14ac:dyDescent="0.25">
      <c r="A435" s="1" t="str">
        <f t="shared" si="6"/>
        <v>12</v>
      </c>
      <c r="B4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35" s="1" t="s">
        <v>2543</v>
      </c>
    </row>
    <row r="436" spans="1:7" x14ac:dyDescent="0.25">
      <c r="A436" s="1" t="str">
        <f t="shared" si="6"/>
        <v>12</v>
      </c>
      <c r="B4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36" s="1" t="s">
        <v>2544</v>
      </c>
    </row>
    <row r="437" spans="1:7" x14ac:dyDescent="0.25">
      <c r="A437" s="1" t="str">
        <f t="shared" si="6"/>
        <v>12</v>
      </c>
      <c r="B4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7" s="1" t="s">
        <v>2545</v>
      </c>
      <c r="D437" s="1" t="s">
        <v>2546</v>
      </c>
      <c r="E437" s="1" t="s">
        <v>2547</v>
      </c>
      <c r="F437" s="1" t="s">
        <v>112</v>
      </c>
      <c r="G437" s="1">
        <v>3018387</v>
      </c>
    </row>
    <row r="438" spans="1:7" x14ac:dyDescent="0.25">
      <c r="A438" s="1" t="str">
        <f t="shared" si="6"/>
        <v>12</v>
      </c>
      <c r="B4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8" s="1" t="s">
        <v>2548</v>
      </c>
      <c r="D438" s="1" t="s">
        <v>2549</v>
      </c>
      <c r="E438" s="1" t="s">
        <v>2550</v>
      </c>
      <c r="F438" s="1" t="s">
        <v>112</v>
      </c>
      <c r="G438" s="1">
        <v>3462881</v>
      </c>
    </row>
    <row r="439" spans="1:7" x14ac:dyDescent="0.25">
      <c r="A439" s="1" t="str">
        <f t="shared" si="6"/>
        <v>12</v>
      </c>
      <c r="B4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9" s="1" t="s">
        <v>2551</v>
      </c>
      <c r="D439" s="1" t="s">
        <v>2552</v>
      </c>
      <c r="E439" s="1" t="s">
        <v>2553</v>
      </c>
      <c r="F439" s="1" t="s">
        <v>112</v>
      </c>
      <c r="G439" s="1">
        <v>3860568</v>
      </c>
    </row>
    <row r="440" spans="1:7" x14ac:dyDescent="0.25">
      <c r="A440" s="1" t="str">
        <f t="shared" si="6"/>
        <v>12</v>
      </c>
      <c r="B4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0" s="1" t="s">
        <v>2554</v>
      </c>
      <c r="D440" s="1" t="s">
        <v>2555</v>
      </c>
      <c r="E440" s="1" t="s">
        <v>2556</v>
      </c>
      <c r="F440" s="1" t="s">
        <v>112</v>
      </c>
      <c r="G440" s="1">
        <v>1137862</v>
      </c>
    </row>
    <row r="441" spans="1:7" x14ac:dyDescent="0.25">
      <c r="A441" s="1" t="str">
        <f t="shared" si="6"/>
        <v>12</v>
      </c>
      <c r="B4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1" s="1" t="s">
        <v>2557</v>
      </c>
      <c r="D441" s="1" t="s">
        <v>2558</v>
      </c>
      <c r="E441" s="1" t="s">
        <v>2559</v>
      </c>
      <c r="F441" s="1" t="s">
        <v>112</v>
      </c>
      <c r="G441" s="1">
        <v>3642042</v>
      </c>
    </row>
    <row r="442" spans="1:7" x14ac:dyDescent="0.25">
      <c r="A442" s="1" t="str">
        <f t="shared" si="6"/>
        <v>12</v>
      </c>
      <c r="B4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2" s="1" t="s">
        <v>2560</v>
      </c>
      <c r="D442" s="1" t="s">
        <v>2561</v>
      </c>
      <c r="E442" s="1" t="s">
        <v>2562</v>
      </c>
      <c r="F442" s="1" t="s">
        <v>112</v>
      </c>
      <c r="G442" s="1">
        <v>3989548</v>
      </c>
    </row>
    <row r="443" spans="1:7" x14ac:dyDescent="0.25">
      <c r="A443" s="1" t="str">
        <f t="shared" si="6"/>
        <v>12</v>
      </c>
      <c r="B4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43" s="1" t="s">
        <v>2563</v>
      </c>
      <c r="D443" s="1" t="s">
        <v>2564</v>
      </c>
      <c r="E443" s="1" t="s">
        <v>2565</v>
      </c>
      <c r="F443" s="1" t="s">
        <v>112</v>
      </c>
      <c r="G443" s="1">
        <v>3461021</v>
      </c>
    </row>
    <row r="444" spans="1:7" x14ac:dyDescent="0.25">
      <c r="A444" s="1" t="str">
        <f t="shared" si="6"/>
        <v>12</v>
      </c>
      <c r="B4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44" s="1" t="s">
        <v>2566</v>
      </c>
      <c r="D444" s="1" t="s">
        <v>2567</v>
      </c>
      <c r="E444" s="1" t="s">
        <v>2568</v>
      </c>
      <c r="F444" s="1" t="s">
        <v>112</v>
      </c>
      <c r="G444" s="1">
        <v>4170027</v>
      </c>
    </row>
    <row r="445" spans="1:7" x14ac:dyDescent="0.25">
      <c r="A445" s="1" t="str">
        <f t="shared" si="6"/>
        <v>12</v>
      </c>
      <c r="B4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45" s="1" t="s">
        <v>2569</v>
      </c>
      <c r="D445" s="1" t="s">
        <v>2570</v>
      </c>
      <c r="E445" s="1" t="s">
        <v>2571</v>
      </c>
      <c r="F445" s="1" t="s">
        <v>112</v>
      </c>
      <c r="G445" s="1">
        <v>4635546</v>
      </c>
    </row>
    <row r="446" spans="1:7" x14ac:dyDescent="0.25">
      <c r="A446" s="1" t="str">
        <f t="shared" si="6"/>
        <v>12</v>
      </c>
      <c r="B4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46" s="1" t="s">
        <v>2572</v>
      </c>
    </row>
    <row r="447" spans="1:7" x14ac:dyDescent="0.25">
      <c r="A447" s="1" t="str">
        <f t="shared" si="6"/>
        <v>12</v>
      </c>
      <c r="B4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47" s="1" t="s">
        <v>2573</v>
      </c>
      <c r="D447" s="1" t="s">
        <v>2574</v>
      </c>
      <c r="E447" s="1" t="s">
        <v>2575</v>
      </c>
      <c r="F447" s="1" t="s">
        <v>112</v>
      </c>
      <c r="G447" s="1">
        <v>4237426</v>
      </c>
    </row>
    <row r="448" spans="1:7" x14ac:dyDescent="0.25">
      <c r="A448" s="1" t="str">
        <f t="shared" si="6"/>
        <v>12</v>
      </c>
      <c r="B4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48" s="1" t="s">
        <v>2576</v>
      </c>
      <c r="D448" s="1" t="s">
        <v>1424</v>
      </c>
      <c r="E448" s="1" t="s">
        <v>2577</v>
      </c>
      <c r="F448" s="1" t="s">
        <v>112</v>
      </c>
      <c r="G448" s="1">
        <v>4346116</v>
      </c>
    </row>
    <row r="449" spans="1:10" x14ac:dyDescent="0.25">
      <c r="A449" s="1" t="str">
        <f t="shared" si="6"/>
        <v>12</v>
      </c>
      <c r="B4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49" s="1" t="s">
        <v>2578</v>
      </c>
      <c r="D449" s="1" t="s">
        <v>2579</v>
      </c>
      <c r="E449" s="1" t="s">
        <v>2580</v>
      </c>
      <c r="F449" s="1" t="s">
        <v>112</v>
      </c>
      <c r="G449" s="1">
        <v>1833480</v>
      </c>
    </row>
    <row r="450" spans="1:10" x14ac:dyDescent="0.25">
      <c r="A450" s="1" t="str">
        <f t="shared" ref="A450:A513" si="7">IFERROR(LEFT(RIGHT(C450,LEN(C450)-SEARCH("@",C450)),SEARCH("/",RIGHT(C450,LEN(C450)-SEARCH("@",C450)-1))),"")</f>
        <v>12</v>
      </c>
      <c r="B4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50" s="1" t="s">
        <v>2581</v>
      </c>
      <c r="D450" s="1" t="s">
        <v>2582</v>
      </c>
      <c r="E450" s="1" t="s">
        <v>2583</v>
      </c>
      <c r="F450" s="1" t="s">
        <v>112</v>
      </c>
      <c r="G450" s="1">
        <v>4243180</v>
      </c>
    </row>
    <row r="451" spans="1:10" x14ac:dyDescent="0.25">
      <c r="A451" s="1" t="str">
        <f t="shared" si="7"/>
        <v>12</v>
      </c>
      <c r="B4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51" s="1" t="s">
        <v>2584</v>
      </c>
      <c r="D451" s="1" t="s">
        <v>2585</v>
      </c>
      <c r="E451" s="1" t="s">
        <v>2586</v>
      </c>
      <c r="F451" s="1" t="s">
        <v>112</v>
      </c>
      <c r="G451" s="1">
        <v>3844908</v>
      </c>
    </row>
    <row r="452" spans="1:10" x14ac:dyDescent="0.25">
      <c r="A452" s="1" t="str">
        <f t="shared" si="7"/>
        <v>12</v>
      </c>
      <c r="B4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52" s="1" t="s">
        <v>2587</v>
      </c>
      <c r="D452" s="1" t="s">
        <v>2588</v>
      </c>
      <c r="E452" s="1" t="s">
        <v>2589</v>
      </c>
      <c r="F452" s="1" t="s">
        <v>112</v>
      </c>
      <c r="G452" s="1">
        <v>4133992</v>
      </c>
    </row>
    <row r="453" spans="1:10" x14ac:dyDescent="0.25">
      <c r="A453" s="1" t="str">
        <f t="shared" si="7"/>
        <v>12</v>
      </c>
      <c r="B4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53" s="1" t="s">
        <v>2590</v>
      </c>
      <c r="D453" s="1" t="s">
        <v>2591</v>
      </c>
      <c r="E453" s="1" t="s">
        <v>2592</v>
      </c>
      <c r="F453" s="1" t="s">
        <v>112</v>
      </c>
      <c r="G453" s="1">
        <v>4945589</v>
      </c>
    </row>
    <row r="454" spans="1:10" x14ac:dyDescent="0.25">
      <c r="A454" s="1" t="str">
        <f t="shared" si="7"/>
        <v>12</v>
      </c>
      <c r="B4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54" s="1" t="s">
        <v>2593</v>
      </c>
      <c r="D454" s="1" t="s">
        <v>2594</v>
      </c>
      <c r="E454" s="1" t="s">
        <v>2595</v>
      </c>
      <c r="F454" s="1" t="s">
        <v>112</v>
      </c>
      <c r="G454" s="1">
        <v>4781137</v>
      </c>
    </row>
    <row r="455" spans="1:10" x14ac:dyDescent="0.25">
      <c r="A455" s="1" t="str">
        <f t="shared" si="7"/>
        <v/>
      </c>
      <c r="B4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5" s="1" t="s">
        <v>112</v>
      </c>
    </row>
    <row r="456" spans="1:10" x14ac:dyDescent="0.25">
      <c r="A456" s="1" t="str">
        <f t="shared" si="7"/>
        <v/>
      </c>
      <c r="B4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6" s="1" t="s">
        <v>237</v>
      </c>
      <c r="D456" s="1" t="s">
        <v>112</v>
      </c>
      <c r="E456" s="1" t="s">
        <v>238</v>
      </c>
      <c r="F456" s="1" t="s">
        <v>239</v>
      </c>
      <c r="G456" s="1" t="s">
        <v>240</v>
      </c>
      <c r="H456" s="1" t="s">
        <v>241</v>
      </c>
      <c r="I456" s="1" t="s">
        <v>242</v>
      </c>
      <c r="J456" s="1" t="s">
        <v>243</v>
      </c>
    </row>
    <row r="457" spans="1:10" x14ac:dyDescent="0.25">
      <c r="A457" s="1" t="str">
        <f t="shared" si="7"/>
        <v>12</v>
      </c>
      <c r="B45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457" s="1" t="s">
        <v>2596</v>
      </c>
      <c r="D457" s="1" t="s">
        <v>112</v>
      </c>
      <c r="E457" s="1" t="s">
        <v>2597</v>
      </c>
      <c r="F457" s="1" t="s">
        <v>2598</v>
      </c>
      <c r="G457" s="1" t="s">
        <v>2599</v>
      </c>
      <c r="H457" s="1" t="s">
        <v>2600</v>
      </c>
      <c r="I457" s="1">
        <v>24</v>
      </c>
      <c r="J457" s="1">
        <v>24</v>
      </c>
    </row>
    <row r="458" spans="1:10" x14ac:dyDescent="0.25">
      <c r="A458" s="1" t="str">
        <f t="shared" si="7"/>
        <v/>
      </c>
      <c r="B4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8" s="1" t="s">
        <v>112</v>
      </c>
    </row>
    <row r="459" spans="1:10" x14ac:dyDescent="0.25">
      <c r="A459" s="1" t="str">
        <f t="shared" si="7"/>
        <v/>
      </c>
      <c r="B4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9" s="1" t="s">
        <v>112</v>
      </c>
    </row>
    <row r="460" spans="1:10" x14ac:dyDescent="0.25">
      <c r="A460" s="1" t="str">
        <f t="shared" si="7"/>
        <v/>
      </c>
      <c r="B4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0" s="1" t="s">
        <v>112</v>
      </c>
    </row>
    <row r="461" spans="1:10" x14ac:dyDescent="0.25">
      <c r="A461" s="1" t="str">
        <f t="shared" si="7"/>
        <v/>
      </c>
      <c r="B4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1" s="1" t="s">
        <v>112</v>
      </c>
    </row>
    <row r="462" spans="1:10" x14ac:dyDescent="0.25">
      <c r="A462" s="1" t="str">
        <f t="shared" si="7"/>
        <v/>
      </c>
      <c r="B4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2" s="1" t="s">
        <v>112</v>
      </c>
    </row>
    <row r="463" spans="1:10" x14ac:dyDescent="0.25">
      <c r="A463" s="1" t="str">
        <f t="shared" si="7"/>
        <v/>
      </c>
      <c r="B4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3" s="1" t="s">
        <v>249</v>
      </c>
      <c r="D463" s="1" t="s">
        <v>110</v>
      </c>
      <c r="E463" s="1" t="s">
        <v>111</v>
      </c>
      <c r="F463" s="1" t="s">
        <v>112</v>
      </c>
      <c r="G463" s="1" t="s">
        <v>113</v>
      </c>
    </row>
    <row r="464" spans="1:10" x14ac:dyDescent="0.25">
      <c r="A464" s="1" t="str">
        <f t="shared" si="7"/>
        <v>17</v>
      </c>
      <c r="B46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64" s="1" t="s">
        <v>2601</v>
      </c>
      <c r="D464" s="1" t="s">
        <v>2602</v>
      </c>
      <c r="E464" s="1" t="s">
        <v>2603</v>
      </c>
      <c r="F464" s="1" t="s">
        <v>112</v>
      </c>
      <c r="G464" s="1">
        <v>2464575</v>
      </c>
    </row>
    <row r="465" spans="1:7" x14ac:dyDescent="0.25">
      <c r="A465" s="1" t="str">
        <f t="shared" si="7"/>
        <v>17</v>
      </c>
      <c r="B4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65" s="1" t="s">
        <v>2604</v>
      </c>
      <c r="D465" s="1" t="s">
        <v>2605</v>
      </c>
      <c r="E465" s="1" t="s">
        <v>2606</v>
      </c>
      <c r="F465" s="1" t="s">
        <v>112</v>
      </c>
      <c r="G465" s="1">
        <v>2540172</v>
      </c>
    </row>
    <row r="466" spans="1:7" x14ac:dyDescent="0.25">
      <c r="A466" s="1" t="str">
        <f t="shared" si="7"/>
        <v>17</v>
      </c>
      <c r="B4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66" s="1" t="s">
        <v>2607</v>
      </c>
      <c r="D466" s="1" t="s">
        <v>2608</v>
      </c>
      <c r="E466" s="1" t="s">
        <v>2609</v>
      </c>
      <c r="F466" s="1" t="s">
        <v>112</v>
      </c>
      <c r="G466" s="1">
        <v>2778728</v>
      </c>
    </row>
    <row r="467" spans="1:7" x14ac:dyDescent="0.25">
      <c r="A467" s="1" t="str">
        <f t="shared" si="7"/>
        <v>17</v>
      </c>
      <c r="B4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67" s="1" t="s">
        <v>2610</v>
      </c>
      <c r="D467" s="1" t="s">
        <v>2611</v>
      </c>
      <c r="E467" s="1" t="s">
        <v>2612</v>
      </c>
      <c r="F467" s="1" t="s">
        <v>112</v>
      </c>
      <c r="G467" s="1">
        <v>1271016</v>
      </c>
    </row>
    <row r="468" spans="1:7" x14ac:dyDescent="0.25">
      <c r="A468" s="1" t="str">
        <f t="shared" si="7"/>
        <v>17</v>
      </c>
      <c r="B4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68" s="1" t="s">
        <v>2613</v>
      </c>
      <c r="D468" s="1" t="s">
        <v>2614</v>
      </c>
      <c r="E468" s="1" t="s">
        <v>2615</v>
      </c>
      <c r="F468" s="1" t="s">
        <v>112</v>
      </c>
      <c r="G468" s="1">
        <v>2671249</v>
      </c>
    </row>
    <row r="469" spans="1:7" x14ac:dyDescent="0.25">
      <c r="A469" s="1" t="str">
        <f t="shared" si="7"/>
        <v>17</v>
      </c>
      <c r="B4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69" s="1" t="s">
        <v>2616</v>
      </c>
      <c r="D469" s="1" t="s">
        <v>2617</v>
      </c>
      <c r="E469" s="1" t="s">
        <v>2618</v>
      </c>
      <c r="F469" s="1" t="s">
        <v>112</v>
      </c>
      <c r="G469" s="1">
        <v>2589271</v>
      </c>
    </row>
    <row r="470" spans="1:7" x14ac:dyDescent="0.25">
      <c r="A470" s="1" t="str">
        <f t="shared" si="7"/>
        <v>17</v>
      </c>
      <c r="B4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70" s="1" t="s">
        <v>2619</v>
      </c>
    </row>
    <row r="471" spans="1:7" x14ac:dyDescent="0.25">
      <c r="A471" s="1" t="str">
        <f t="shared" si="7"/>
        <v>17</v>
      </c>
      <c r="B4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71" s="1" t="s">
        <v>2620</v>
      </c>
      <c r="D471" s="1" t="s">
        <v>2621</v>
      </c>
      <c r="E471" s="1" t="s">
        <v>2622</v>
      </c>
      <c r="F471" s="1" t="s">
        <v>112</v>
      </c>
      <c r="G471" s="1">
        <v>1520192</v>
      </c>
    </row>
    <row r="472" spans="1:7" x14ac:dyDescent="0.25">
      <c r="A472" s="1" t="str">
        <f t="shared" si="7"/>
        <v>17</v>
      </c>
      <c r="B4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72" s="1" t="s">
        <v>2623</v>
      </c>
      <c r="D472" s="1" t="s">
        <v>2624</v>
      </c>
      <c r="E472" s="1" t="s">
        <v>2625</v>
      </c>
      <c r="F472" s="1" t="s">
        <v>112</v>
      </c>
      <c r="G472" s="1">
        <v>1331060</v>
      </c>
    </row>
    <row r="473" spans="1:7" x14ac:dyDescent="0.25">
      <c r="A473" s="1" t="str">
        <f t="shared" si="7"/>
        <v>17</v>
      </c>
      <c r="B4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73" s="1" t="s">
        <v>2626</v>
      </c>
      <c r="D473" s="1" t="s">
        <v>2627</v>
      </c>
      <c r="E473" s="1" t="s">
        <v>2628</v>
      </c>
      <c r="F473" s="1" t="s">
        <v>112</v>
      </c>
      <c r="G473" s="1">
        <v>3087559</v>
      </c>
    </row>
    <row r="474" spans="1:7" x14ac:dyDescent="0.25">
      <c r="A474" s="1" t="str">
        <f t="shared" si="7"/>
        <v>17</v>
      </c>
      <c r="B4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74" s="1" t="s">
        <v>2629</v>
      </c>
      <c r="D474" s="1" t="s">
        <v>2630</v>
      </c>
      <c r="E474" s="1" t="s">
        <v>2631</v>
      </c>
      <c r="F474" s="1" t="s">
        <v>112</v>
      </c>
      <c r="G474" s="1">
        <v>1068841</v>
      </c>
    </row>
    <row r="475" spans="1:7" x14ac:dyDescent="0.25">
      <c r="A475" s="1" t="str">
        <f t="shared" si="7"/>
        <v>17</v>
      </c>
      <c r="B4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75" s="1" t="s">
        <v>2632</v>
      </c>
    </row>
    <row r="476" spans="1:7" x14ac:dyDescent="0.25">
      <c r="A476" s="1" t="str">
        <f t="shared" si="7"/>
        <v>17</v>
      </c>
      <c r="B4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6" s="1" t="s">
        <v>2633</v>
      </c>
      <c r="D476" s="1" t="s">
        <v>2634</v>
      </c>
      <c r="E476" s="1" t="s">
        <v>2635</v>
      </c>
      <c r="F476" s="1" t="s">
        <v>112</v>
      </c>
      <c r="G476" s="1">
        <v>2148130</v>
      </c>
    </row>
    <row r="477" spans="1:7" x14ac:dyDescent="0.25">
      <c r="A477" s="1" t="str">
        <f t="shared" si="7"/>
        <v>17</v>
      </c>
      <c r="B4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7" s="1" t="s">
        <v>2636</v>
      </c>
      <c r="D477" s="1" t="s">
        <v>2637</v>
      </c>
      <c r="E477" s="1" t="s">
        <v>2638</v>
      </c>
      <c r="F477" s="1" t="s">
        <v>112</v>
      </c>
      <c r="G477" s="1">
        <v>2447617</v>
      </c>
    </row>
    <row r="478" spans="1:7" x14ac:dyDescent="0.25">
      <c r="A478" s="1" t="str">
        <f t="shared" si="7"/>
        <v>17</v>
      </c>
      <c r="B4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8" s="1" t="s">
        <v>2639</v>
      </c>
      <c r="D478" s="1" t="s">
        <v>2640</v>
      </c>
      <c r="E478" s="1" t="s">
        <v>2641</v>
      </c>
      <c r="F478" s="1" t="s">
        <v>112</v>
      </c>
      <c r="G478" s="1">
        <v>2325646</v>
      </c>
    </row>
    <row r="479" spans="1:7" x14ac:dyDescent="0.25">
      <c r="A479" s="1" t="str">
        <f t="shared" si="7"/>
        <v>17</v>
      </c>
      <c r="B4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79" s="1" t="s">
        <v>2642</v>
      </c>
      <c r="D479" s="1" t="s">
        <v>1769</v>
      </c>
      <c r="E479" s="1" t="s">
        <v>2643</v>
      </c>
      <c r="F479" s="1" t="s">
        <v>112</v>
      </c>
      <c r="G479" s="1">
        <v>1147120</v>
      </c>
    </row>
    <row r="480" spans="1:7" x14ac:dyDescent="0.25">
      <c r="A480" s="1" t="str">
        <f t="shared" si="7"/>
        <v>17</v>
      </c>
      <c r="B4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80" s="1" t="s">
        <v>2644</v>
      </c>
      <c r="D480" s="1" t="s">
        <v>2645</v>
      </c>
      <c r="E480" s="1" t="s">
        <v>2646</v>
      </c>
      <c r="F480" s="1" t="s">
        <v>112</v>
      </c>
      <c r="G480" s="1">
        <v>3191167</v>
      </c>
    </row>
    <row r="481" spans="1:10" x14ac:dyDescent="0.25">
      <c r="A481" s="1" t="str">
        <f t="shared" si="7"/>
        <v>17</v>
      </c>
      <c r="B4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81" s="1" t="s">
        <v>2647</v>
      </c>
    </row>
    <row r="482" spans="1:10" x14ac:dyDescent="0.25">
      <c r="A482" s="1" t="str">
        <f t="shared" si="7"/>
        <v>17</v>
      </c>
      <c r="B4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82" s="1" t="s">
        <v>2648</v>
      </c>
      <c r="D482" s="1" t="s">
        <v>2649</v>
      </c>
      <c r="E482" s="1" t="s">
        <v>2650</v>
      </c>
      <c r="F482" s="1" t="s">
        <v>112</v>
      </c>
      <c r="G482" s="1">
        <v>2339857</v>
      </c>
    </row>
    <row r="483" spans="1:10" x14ac:dyDescent="0.25">
      <c r="A483" s="1" t="str">
        <f t="shared" si="7"/>
        <v>17</v>
      </c>
      <c r="B4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83" s="1" t="s">
        <v>2651</v>
      </c>
      <c r="D483" s="1" t="s">
        <v>2498</v>
      </c>
      <c r="E483" s="1" t="s">
        <v>2652</v>
      </c>
      <c r="F483" s="1" t="s">
        <v>112</v>
      </c>
      <c r="G483" s="1">
        <v>1642033</v>
      </c>
    </row>
    <row r="484" spans="1:10" x14ac:dyDescent="0.25">
      <c r="A484" s="1" t="str">
        <f t="shared" si="7"/>
        <v>17</v>
      </c>
      <c r="B4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84" s="1" t="s">
        <v>2653</v>
      </c>
      <c r="D484" s="1" t="s">
        <v>2654</v>
      </c>
      <c r="E484" s="1" t="s">
        <v>2655</v>
      </c>
      <c r="F484" s="1" t="s">
        <v>112</v>
      </c>
      <c r="G484" s="1">
        <v>1520906</v>
      </c>
    </row>
    <row r="485" spans="1:10" x14ac:dyDescent="0.25">
      <c r="A485" s="1" t="str">
        <f t="shared" si="7"/>
        <v>17</v>
      </c>
      <c r="B4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85" s="1" t="s">
        <v>2656</v>
      </c>
      <c r="D485" s="1" t="s">
        <v>2657</v>
      </c>
      <c r="E485" s="1" t="s">
        <v>2658</v>
      </c>
      <c r="F485" s="1" t="s">
        <v>112</v>
      </c>
      <c r="G485" s="1">
        <v>2598962</v>
      </c>
    </row>
    <row r="486" spans="1:10" x14ac:dyDescent="0.25">
      <c r="A486" s="1" t="str">
        <f t="shared" si="7"/>
        <v>17</v>
      </c>
      <c r="B4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86" s="1" t="s">
        <v>2659</v>
      </c>
      <c r="D486" s="1" t="s">
        <v>2660</v>
      </c>
      <c r="E486" s="1" t="s">
        <v>2661</v>
      </c>
      <c r="F486" s="1" t="s">
        <v>112</v>
      </c>
      <c r="G486" s="1">
        <v>2218319</v>
      </c>
    </row>
    <row r="487" spans="1:10" x14ac:dyDescent="0.25">
      <c r="A487" s="1" t="str">
        <f t="shared" si="7"/>
        <v>17</v>
      </c>
      <c r="B4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87" s="1" t="s">
        <v>2662</v>
      </c>
      <c r="D487" s="1" t="s">
        <v>2663</v>
      </c>
      <c r="E487" s="1" t="s">
        <v>2664</v>
      </c>
      <c r="F487" s="1" t="s">
        <v>112</v>
      </c>
      <c r="G487" s="1">
        <v>3337039</v>
      </c>
    </row>
    <row r="488" spans="1:10" x14ac:dyDescent="0.25">
      <c r="A488" s="1" t="str">
        <f t="shared" si="7"/>
        <v/>
      </c>
      <c r="B4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88" s="1" t="s">
        <v>112</v>
      </c>
    </row>
    <row r="489" spans="1:10" x14ac:dyDescent="0.25">
      <c r="A489" s="1" t="str">
        <f t="shared" si="7"/>
        <v/>
      </c>
      <c r="B4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89" s="1" t="s">
        <v>237</v>
      </c>
      <c r="D489" s="1" t="s">
        <v>112</v>
      </c>
      <c r="E489" s="1" t="s">
        <v>238</v>
      </c>
      <c r="F489" s="1" t="s">
        <v>239</v>
      </c>
      <c r="G489" s="1" t="s">
        <v>240</v>
      </c>
      <c r="H489" s="1" t="s">
        <v>241</v>
      </c>
      <c r="I489" s="1" t="s">
        <v>242</v>
      </c>
      <c r="J489" s="1" t="s">
        <v>243</v>
      </c>
    </row>
    <row r="490" spans="1:10" x14ac:dyDescent="0.25">
      <c r="A490" s="1" t="str">
        <f t="shared" si="7"/>
        <v>17</v>
      </c>
      <c r="B49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490" s="1" t="s">
        <v>2665</v>
      </c>
      <c r="D490" s="1" t="s">
        <v>112</v>
      </c>
      <c r="E490" s="1" t="s">
        <v>2666</v>
      </c>
      <c r="F490" s="1" t="s">
        <v>2667</v>
      </c>
      <c r="G490" s="1" t="s">
        <v>2668</v>
      </c>
      <c r="H490" s="1" t="s">
        <v>2669</v>
      </c>
      <c r="I490" s="1">
        <v>24</v>
      </c>
      <c r="J490" s="1">
        <v>24</v>
      </c>
    </row>
    <row r="491" spans="1:10" x14ac:dyDescent="0.25">
      <c r="A491" s="1" t="str">
        <f t="shared" si="7"/>
        <v/>
      </c>
      <c r="B4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1" s="1" t="s">
        <v>112</v>
      </c>
    </row>
    <row r="492" spans="1:10" x14ac:dyDescent="0.25">
      <c r="A492" s="1" t="str">
        <f t="shared" si="7"/>
        <v/>
      </c>
      <c r="B4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2" s="1" t="s">
        <v>112</v>
      </c>
    </row>
    <row r="493" spans="1:10" x14ac:dyDescent="0.25">
      <c r="A493" s="1" t="str">
        <f t="shared" si="7"/>
        <v/>
      </c>
      <c r="B4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3" s="1" t="s">
        <v>112</v>
      </c>
    </row>
    <row r="494" spans="1:10" x14ac:dyDescent="0.25">
      <c r="A494" s="1" t="str">
        <f t="shared" si="7"/>
        <v/>
      </c>
      <c r="B4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4" s="1" t="s">
        <v>112</v>
      </c>
    </row>
    <row r="495" spans="1:10" x14ac:dyDescent="0.25">
      <c r="A495" s="1" t="str">
        <f t="shared" si="7"/>
        <v/>
      </c>
      <c r="B4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5" s="1" t="s">
        <v>112</v>
      </c>
    </row>
    <row r="496" spans="1:10" x14ac:dyDescent="0.25">
      <c r="A496" s="1" t="str">
        <f t="shared" si="7"/>
        <v/>
      </c>
      <c r="B4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6" s="1" t="s">
        <v>249</v>
      </c>
      <c r="D496" s="1" t="s">
        <v>110</v>
      </c>
      <c r="E496" s="1" t="s">
        <v>111</v>
      </c>
      <c r="F496" s="1" t="s">
        <v>112</v>
      </c>
      <c r="G496" s="1" t="s">
        <v>113</v>
      </c>
    </row>
    <row r="497" spans="1:7" x14ac:dyDescent="0.25">
      <c r="A497" s="1" t="str">
        <f t="shared" si="7"/>
        <v>18</v>
      </c>
      <c r="B49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97" s="1" t="s">
        <v>2670</v>
      </c>
      <c r="D497" s="1" t="s">
        <v>2671</v>
      </c>
      <c r="E497" s="1" t="s">
        <v>2672</v>
      </c>
      <c r="F497" s="1" t="s">
        <v>112</v>
      </c>
      <c r="G497" s="1">
        <v>3075014</v>
      </c>
    </row>
    <row r="498" spans="1:7" x14ac:dyDescent="0.25">
      <c r="A498" s="1" t="str">
        <f t="shared" si="7"/>
        <v>18</v>
      </c>
      <c r="B49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98" s="1" t="s">
        <v>2673</v>
      </c>
      <c r="D498" s="1" t="s">
        <v>2674</v>
      </c>
      <c r="E498" s="1" t="s">
        <v>2675</v>
      </c>
      <c r="F498" s="1" t="s">
        <v>112</v>
      </c>
      <c r="G498" s="1">
        <v>2482225</v>
      </c>
    </row>
    <row r="499" spans="1:7" x14ac:dyDescent="0.25">
      <c r="A499" s="1" t="str">
        <f t="shared" si="7"/>
        <v>18</v>
      </c>
      <c r="B4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99" s="1" t="s">
        <v>2676</v>
      </c>
    </row>
    <row r="500" spans="1:7" x14ac:dyDescent="0.25">
      <c r="A500" s="1" t="str">
        <f t="shared" si="7"/>
        <v>18</v>
      </c>
      <c r="B5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00" s="1" t="s">
        <v>2677</v>
      </c>
      <c r="D500" s="1" t="s">
        <v>2678</v>
      </c>
      <c r="E500" s="1" t="s">
        <v>2679</v>
      </c>
      <c r="F500" s="1" t="s">
        <v>112</v>
      </c>
      <c r="G500" s="1">
        <v>2290519</v>
      </c>
    </row>
    <row r="501" spans="1:7" x14ac:dyDescent="0.25">
      <c r="A501" s="1" t="str">
        <f t="shared" si="7"/>
        <v>18</v>
      </c>
      <c r="B5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01" s="1" t="s">
        <v>2680</v>
      </c>
    </row>
    <row r="502" spans="1:7" x14ac:dyDescent="0.25">
      <c r="A502" s="1" t="str">
        <f t="shared" si="7"/>
        <v>18</v>
      </c>
      <c r="B5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02" s="1" t="s">
        <v>2681</v>
      </c>
    </row>
    <row r="503" spans="1:7" x14ac:dyDescent="0.25">
      <c r="A503" s="1" t="str">
        <f t="shared" si="7"/>
        <v>18</v>
      </c>
      <c r="B5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03" s="1" t="s">
        <v>2682</v>
      </c>
      <c r="D503" s="1" t="s">
        <v>2561</v>
      </c>
      <c r="E503" s="1" t="s">
        <v>2683</v>
      </c>
      <c r="F503" s="1" t="s">
        <v>112</v>
      </c>
      <c r="G503" s="1">
        <v>3086586</v>
      </c>
    </row>
    <row r="504" spans="1:7" x14ac:dyDescent="0.25">
      <c r="A504" s="1" t="str">
        <f t="shared" si="7"/>
        <v>18</v>
      </c>
      <c r="B5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04" s="1" t="s">
        <v>2684</v>
      </c>
      <c r="D504" s="1" t="s">
        <v>2685</v>
      </c>
      <c r="E504" s="1" t="s">
        <v>2686</v>
      </c>
      <c r="F504" s="1" t="s">
        <v>112</v>
      </c>
      <c r="G504" s="1">
        <v>2072101</v>
      </c>
    </row>
    <row r="505" spans="1:7" x14ac:dyDescent="0.25">
      <c r="A505" s="1" t="str">
        <f t="shared" si="7"/>
        <v>18</v>
      </c>
      <c r="B5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05" s="1" t="s">
        <v>2687</v>
      </c>
      <c r="D505" s="1" t="s">
        <v>2268</v>
      </c>
      <c r="E505" s="1" t="s">
        <v>2688</v>
      </c>
      <c r="F505" s="1" t="s">
        <v>112</v>
      </c>
      <c r="G505" s="1">
        <v>2106752</v>
      </c>
    </row>
    <row r="506" spans="1:7" x14ac:dyDescent="0.25">
      <c r="A506" s="1" t="str">
        <f t="shared" si="7"/>
        <v>18</v>
      </c>
      <c r="B5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06" s="1" t="s">
        <v>2689</v>
      </c>
      <c r="D506" s="1" t="s">
        <v>1364</v>
      </c>
      <c r="E506" s="1" t="s">
        <v>2690</v>
      </c>
      <c r="F506" s="1" t="s">
        <v>112</v>
      </c>
      <c r="G506" s="1">
        <v>2850690</v>
      </c>
    </row>
    <row r="507" spans="1:7" x14ac:dyDescent="0.25">
      <c r="A507" s="1" t="str">
        <f t="shared" si="7"/>
        <v>18</v>
      </c>
      <c r="B5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07" s="1" t="s">
        <v>2691</v>
      </c>
      <c r="D507" s="1" t="s">
        <v>2692</v>
      </c>
      <c r="E507" s="1" t="s">
        <v>2693</v>
      </c>
      <c r="F507" s="1" t="s">
        <v>112</v>
      </c>
      <c r="G507" s="1">
        <v>2493256</v>
      </c>
    </row>
    <row r="508" spans="1:7" x14ac:dyDescent="0.25">
      <c r="A508" s="1" t="str">
        <f t="shared" si="7"/>
        <v>18</v>
      </c>
      <c r="B5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08" s="1" t="s">
        <v>2694</v>
      </c>
      <c r="D508" s="1" t="s">
        <v>2660</v>
      </c>
      <c r="E508" s="1" t="s">
        <v>2695</v>
      </c>
      <c r="F508" s="1" t="s">
        <v>112</v>
      </c>
      <c r="G508" s="1">
        <v>2274729</v>
      </c>
    </row>
    <row r="509" spans="1:7" x14ac:dyDescent="0.25">
      <c r="A509" s="1" t="str">
        <f t="shared" si="7"/>
        <v>18</v>
      </c>
      <c r="B5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09" s="1" t="s">
        <v>2696</v>
      </c>
      <c r="D509" s="1" t="s">
        <v>925</v>
      </c>
      <c r="E509" s="1" t="s">
        <v>2697</v>
      </c>
      <c r="F509" s="1" t="s">
        <v>112</v>
      </c>
      <c r="G509" s="1">
        <v>3376729</v>
      </c>
    </row>
    <row r="510" spans="1:7" x14ac:dyDescent="0.25">
      <c r="A510" s="1" t="str">
        <f t="shared" si="7"/>
        <v>18</v>
      </c>
      <c r="B5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10" s="1" t="s">
        <v>2698</v>
      </c>
      <c r="D510" s="1" t="s">
        <v>2699</v>
      </c>
      <c r="E510" s="1" t="s">
        <v>2700</v>
      </c>
      <c r="F510" s="1" t="s">
        <v>112</v>
      </c>
      <c r="G510" s="1">
        <v>3263475</v>
      </c>
    </row>
    <row r="511" spans="1:7" x14ac:dyDescent="0.25">
      <c r="A511" s="1" t="str">
        <f t="shared" si="7"/>
        <v>18</v>
      </c>
      <c r="B5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11" s="1" t="s">
        <v>2701</v>
      </c>
      <c r="D511" s="1" t="s">
        <v>2702</v>
      </c>
      <c r="E511" s="1" t="s">
        <v>2703</v>
      </c>
      <c r="F511" s="1" t="s">
        <v>112</v>
      </c>
      <c r="G511" s="1">
        <v>2971299</v>
      </c>
    </row>
    <row r="512" spans="1:7" x14ac:dyDescent="0.25">
      <c r="A512" s="1" t="str">
        <f t="shared" si="7"/>
        <v>18</v>
      </c>
      <c r="B5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2" s="1" t="s">
        <v>2704</v>
      </c>
      <c r="D512" s="1" t="s">
        <v>2705</v>
      </c>
      <c r="E512" s="1" t="s">
        <v>2706</v>
      </c>
      <c r="F512" s="1" t="s">
        <v>112</v>
      </c>
      <c r="G512" s="1">
        <v>3789147</v>
      </c>
    </row>
    <row r="513" spans="1:10" x14ac:dyDescent="0.25">
      <c r="A513" s="1" t="str">
        <f t="shared" si="7"/>
        <v>18</v>
      </c>
      <c r="B5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3" s="1" t="s">
        <v>2707</v>
      </c>
      <c r="D513" s="1" t="s">
        <v>2708</v>
      </c>
      <c r="E513" s="1" t="s">
        <v>2709</v>
      </c>
      <c r="F513" s="1" t="s">
        <v>112</v>
      </c>
      <c r="G513" s="1">
        <v>3118944</v>
      </c>
    </row>
    <row r="514" spans="1:10" x14ac:dyDescent="0.25">
      <c r="A514" s="1" t="str">
        <f t="shared" ref="A514:A577" si="8">IFERROR(LEFT(RIGHT(C514,LEN(C514)-SEARCH("@",C514)),SEARCH("/",RIGHT(C514,LEN(C514)-SEARCH("@",C514)-1))),"")</f>
        <v>18</v>
      </c>
      <c r="B5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4" s="1" t="s">
        <v>2710</v>
      </c>
      <c r="D514" s="1" t="s">
        <v>2711</v>
      </c>
      <c r="E514" s="1" t="s">
        <v>2712</v>
      </c>
      <c r="F514" s="1" t="s">
        <v>112</v>
      </c>
      <c r="G514" s="1">
        <v>2755951</v>
      </c>
    </row>
    <row r="515" spans="1:10" x14ac:dyDescent="0.25">
      <c r="A515" s="1" t="str">
        <f t="shared" si="8"/>
        <v>18</v>
      </c>
      <c r="B5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15" s="1" t="s">
        <v>2713</v>
      </c>
      <c r="D515" s="1" t="s">
        <v>2714</v>
      </c>
      <c r="E515" s="1" t="s">
        <v>2715</v>
      </c>
      <c r="F515" s="1" t="s">
        <v>112</v>
      </c>
      <c r="G515" s="1">
        <v>1852795</v>
      </c>
    </row>
    <row r="516" spans="1:10" x14ac:dyDescent="0.25">
      <c r="A516" s="1" t="str">
        <f t="shared" si="8"/>
        <v>18</v>
      </c>
      <c r="B5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16" s="1" t="s">
        <v>2716</v>
      </c>
      <c r="D516" s="1" t="s">
        <v>2717</v>
      </c>
      <c r="E516" s="1" t="s">
        <v>2718</v>
      </c>
      <c r="F516" s="1" t="s">
        <v>112</v>
      </c>
      <c r="G516" s="1">
        <v>3595559</v>
      </c>
    </row>
    <row r="517" spans="1:10" x14ac:dyDescent="0.25">
      <c r="A517" s="1" t="str">
        <f t="shared" si="8"/>
        <v>18</v>
      </c>
      <c r="B5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17" s="1" t="s">
        <v>2719</v>
      </c>
      <c r="D517" s="1" t="s">
        <v>2720</v>
      </c>
      <c r="E517" s="1" t="s">
        <v>2721</v>
      </c>
      <c r="F517" s="1" t="s">
        <v>112</v>
      </c>
      <c r="G517" s="1">
        <v>3780603</v>
      </c>
    </row>
    <row r="518" spans="1:10" x14ac:dyDescent="0.25">
      <c r="A518" s="1" t="str">
        <f t="shared" si="8"/>
        <v>18</v>
      </c>
      <c r="B5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18" s="1" t="s">
        <v>2722</v>
      </c>
      <c r="D518" s="1" t="s">
        <v>2723</v>
      </c>
      <c r="E518" s="1" t="s">
        <v>2724</v>
      </c>
      <c r="F518" s="1" t="s">
        <v>112</v>
      </c>
      <c r="G518" s="1">
        <v>2051401</v>
      </c>
    </row>
    <row r="519" spans="1:10" x14ac:dyDescent="0.25">
      <c r="A519" s="1" t="str">
        <f t="shared" si="8"/>
        <v>18</v>
      </c>
      <c r="B5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19" s="1" t="s">
        <v>2725</v>
      </c>
    </row>
    <row r="520" spans="1:10" x14ac:dyDescent="0.25">
      <c r="A520" s="1" t="str">
        <f t="shared" si="8"/>
        <v>18</v>
      </c>
      <c r="B5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20" s="1" t="s">
        <v>2726</v>
      </c>
    </row>
    <row r="521" spans="1:10" x14ac:dyDescent="0.25">
      <c r="A521" s="1" t="str">
        <f t="shared" si="8"/>
        <v/>
      </c>
      <c r="B5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1" s="1" t="s">
        <v>112</v>
      </c>
    </row>
    <row r="522" spans="1:10" x14ac:dyDescent="0.25">
      <c r="A522" s="1" t="str">
        <f t="shared" si="8"/>
        <v/>
      </c>
      <c r="B5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2" s="1" t="s">
        <v>237</v>
      </c>
      <c r="D522" s="1" t="s">
        <v>112</v>
      </c>
      <c r="E522" s="1" t="s">
        <v>238</v>
      </c>
      <c r="F522" s="1" t="s">
        <v>239</v>
      </c>
      <c r="G522" s="1" t="s">
        <v>240</v>
      </c>
      <c r="H522" s="1" t="s">
        <v>241</v>
      </c>
      <c r="I522" s="1" t="s">
        <v>242</v>
      </c>
      <c r="J522" s="1" t="s">
        <v>243</v>
      </c>
    </row>
    <row r="523" spans="1:10" x14ac:dyDescent="0.25">
      <c r="A523" s="1" t="str">
        <f t="shared" si="8"/>
        <v>18</v>
      </c>
      <c r="B5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523" s="1" t="s">
        <v>2727</v>
      </c>
      <c r="D523" s="1" t="s">
        <v>112</v>
      </c>
      <c r="E523" s="1" t="s">
        <v>2728</v>
      </c>
      <c r="F523" s="1" t="s">
        <v>2729</v>
      </c>
      <c r="G523" s="1" t="s">
        <v>2730</v>
      </c>
      <c r="H523" s="1" t="s">
        <v>2731</v>
      </c>
      <c r="I523" s="1">
        <v>24</v>
      </c>
      <c r="J523" s="1">
        <v>24</v>
      </c>
    </row>
    <row r="524" spans="1:10" x14ac:dyDescent="0.25">
      <c r="A524" s="1" t="str">
        <f t="shared" si="8"/>
        <v/>
      </c>
      <c r="B5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4" s="1" t="s">
        <v>112</v>
      </c>
    </row>
    <row r="525" spans="1:10" x14ac:dyDescent="0.25">
      <c r="A525" s="1" t="str">
        <f t="shared" si="8"/>
        <v/>
      </c>
      <c r="B5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5" s="1" t="s">
        <v>112</v>
      </c>
    </row>
    <row r="526" spans="1:10" x14ac:dyDescent="0.25">
      <c r="A526" s="1" t="str">
        <f t="shared" si="8"/>
        <v/>
      </c>
      <c r="B5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6" s="1" t="s">
        <v>112</v>
      </c>
    </row>
    <row r="527" spans="1:10" x14ac:dyDescent="0.25">
      <c r="A527" s="1" t="str">
        <f t="shared" si="8"/>
        <v/>
      </c>
      <c r="B5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7" s="1" t="s">
        <v>112</v>
      </c>
    </row>
    <row r="528" spans="1:10" x14ac:dyDescent="0.25">
      <c r="A528" s="1" t="str">
        <f t="shared" si="8"/>
        <v/>
      </c>
      <c r="B5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8" s="1" t="s">
        <v>112</v>
      </c>
    </row>
    <row r="529" spans="1:7" x14ac:dyDescent="0.25">
      <c r="A529" s="1" t="str">
        <f t="shared" si="8"/>
        <v/>
      </c>
      <c r="B5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9" s="1" t="s">
        <v>249</v>
      </c>
      <c r="D529" s="1" t="s">
        <v>110</v>
      </c>
      <c r="E529" s="1" t="s">
        <v>111</v>
      </c>
      <c r="F529" s="1" t="s">
        <v>112</v>
      </c>
      <c r="G529" s="1" t="s">
        <v>113</v>
      </c>
    </row>
    <row r="530" spans="1:7" x14ac:dyDescent="0.25">
      <c r="A530" s="1" t="str">
        <f t="shared" si="8"/>
        <v>19</v>
      </c>
      <c r="B53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30" s="1" t="s">
        <v>2732</v>
      </c>
    </row>
    <row r="531" spans="1:7" x14ac:dyDescent="0.25">
      <c r="A531" s="1" t="str">
        <f t="shared" si="8"/>
        <v>19</v>
      </c>
      <c r="B53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31" s="1" t="s">
        <v>2733</v>
      </c>
      <c r="D531" s="1" t="s">
        <v>2734</v>
      </c>
      <c r="E531" s="1" t="s">
        <v>2735</v>
      </c>
      <c r="F531" s="1" t="s">
        <v>112</v>
      </c>
      <c r="G531" s="1">
        <v>2360557</v>
      </c>
    </row>
    <row r="532" spans="1:7" x14ac:dyDescent="0.25">
      <c r="A532" s="1" t="str">
        <f t="shared" si="8"/>
        <v>19</v>
      </c>
      <c r="B5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32" s="1" t="s">
        <v>2736</v>
      </c>
      <c r="D532" s="1" t="s">
        <v>2737</v>
      </c>
      <c r="E532" s="1" t="s">
        <v>2738</v>
      </c>
      <c r="F532" s="1" t="s">
        <v>112</v>
      </c>
      <c r="G532" s="1">
        <v>2321580</v>
      </c>
    </row>
    <row r="533" spans="1:7" x14ac:dyDescent="0.25">
      <c r="A533" s="1" t="str">
        <f t="shared" si="8"/>
        <v>19</v>
      </c>
      <c r="B5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33" s="1" t="s">
        <v>2739</v>
      </c>
      <c r="D533" s="1" t="s">
        <v>2740</v>
      </c>
      <c r="E533" s="1" t="s">
        <v>2741</v>
      </c>
      <c r="F533" s="1" t="s">
        <v>112</v>
      </c>
      <c r="G533" s="1">
        <v>4440401</v>
      </c>
    </row>
    <row r="534" spans="1:7" x14ac:dyDescent="0.25">
      <c r="A534" s="1" t="str">
        <f t="shared" si="8"/>
        <v>19</v>
      </c>
      <c r="B5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34" s="1" t="s">
        <v>2742</v>
      </c>
      <c r="D534" s="1" t="s">
        <v>2743</v>
      </c>
      <c r="E534" s="1" t="s">
        <v>2744</v>
      </c>
      <c r="F534" s="1" t="s">
        <v>112</v>
      </c>
      <c r="G534" s="1">
        <v>3759254</v>
      </c>
    </row>
    <row r="535" spans="1:7" x14ac:dyDescent="0.25">
      <c r="A535" s="1" t="str">
        <f t="shared" si="8"/>
        <v>19</v>
      </c>
      <c r="B5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35" s="1" t="s">
        <v>2745</v>
      </c>
      <c r="D535" s="1" t="s">
        <v>2746</v>
      </c>
      <c r="E535" s="1" t="s">
        <v>2747</v>
      </c>
      <c r="F535" s="1" t="s">
        <v>112</v>
      </c>
      <c r="G535" s="1">
        <v>3760855</v>
      </c>
    </row>
    <row r="536" spans="1:7" x14ac:dyDescent="0.25">
      <c r="A536" s="1" t="str">
        <f t="shared" si="8"/>
        <v>19</v>
      </c>
      <c r="B5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36" s="1" t="s">
        <v>2748</v>
      </c>
      <c r="D536" s="1" t="s">
        <v>2749</v>
      </c>
      <c r="E536" s="1" t="s">
        <v>2750</v>
      </c>
      <c r="F536" s="1" t="s">
        <v>112</v>
      </c>
      <c r="G536" s="1">
        <v>3191621</v>
      </c>
    </row>
    <row r="537" spans="1:7" x14ac:dyDescent="0.25">
      <c r="A537" s="1" t="str">
        <f t="shared" si="8"/>
        <v>19</v>
      </c>
      <c r="B5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37" s="1" t="s">
        <v>2751</v>
      </c>
      <c r="D537" s="1" t="s">
        <v>2752</v>
      </c>
      <c r="E537" s="1" t="s">
        <v>2753</v>
      </c>
      <c r="F537" s="1" t="s">
        <v>112</v>
      </c>
      <c r="G537" s="1">
        <v>3418086</v>
      </c>
    </row>
    <row r="538" spans="1:7" x14ac:dyDescent="0.25">
      <c r="A538" s="1" t="str">
        <f t="shared" si="8"/>
        <v>19</v>
      </c>
      <c r="B5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38" s="1" t="s">
        <v>2754</v>
      </c>
      <c r="D538" s="1" t="s">
        <v>2755</v>
      </c>
      <c r="E538" s="1" t="s">
        <v>2756</v>
      </c>
      <c r="F538" s="1" t="s">
        <v>112</v>
      </c>
      <c r="G538" s="1">
        <v>3100689</v>
      </c>
    </row>
    <row r="539" spans="1:7" x14ac:dyDescent="0.25">
      <c r="A539" s="1" t="str">
        <f t="shared" si="8"/>
        <v>19</v>
      </c>
      <c r="B5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39" s="1" t="s">
        <v>2757</v>
      </c>
      <c r="D539" s="1" t="s">
        <v>2758</v>
      </c>
      <c r="E539" s="1" t="s">
        <v>2759</v>
      </c>
      <c r="F539" s="1" t="s">
        <v>112</v>
      </c>
      <c r="G539" s="1">
        <v>2270122</v>
      </c>
    </row>
    <row r="540" spans="1:7" x14ac:dyDescent="0.25">
      <c r="A540" s="1" t="str">
        <f t="shared" si="8"/>
        <v>19</v>
      </c>
      <c r="B5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40" s="1" t="s">
        <v>2760</v>
      </c>
      <c r="D540" s="1" t="s">
        <v>2761</v>
      </c>
      <c r="E540" s="1" t="s">
        <v>2762</v>
      </c>
      <c r="F540" s="1" t="s">
        <v>112</v>
      </c>
      <c r="G540" s="1">
        <v>2398820</v>
      </c>
    </row>
    <row r="541" spans="1:7" x14ac:dyDescent="0.25">
      <c r="A541" s="1" t="str">
        <f t="shared" si="8"/>
        <v>19</v>
      </c>
      <c r="B5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41" s="1" t="s">
        <v>2763</v>
      </c>
      <c r="D541" s="1" t="s">
        <v>2764</v>
      </c>
      <c r="E541" s="1" t="s">
        <v>2765</v>
      </c>
      <c r="F541" s="1" t="s">
        <v>112</v>
      </c>
      <c r="G541" s="1">
        <v>2914888</v>
      </c>
    </row>
    <row r="542" spans="1:7" x14ac:dyDescent="0.25">
      <c r="A542" s="1" t="str">
        <f t="shared" si="8"/>
        <v>19</v>
      </c>
      <c r="B5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42" s="1" t="s">
        <v>2766</v>
      </c>
      <c r="D542" s="1" t="s">
        <v>2767</v>
      </c>
      <c r="E542" s="1" t="s">
        <v>2768</v>
      </c>
      <c r="F542" s="1" t="s">
        <v>112</v>
      </c>
      <c r="G542" s="1">
        <v>3014558</v>
      </c>
    </row>
    <row r="543" spans="1:7" x14ac:dyDescent="0.25">
      <c r="A543" s="1" t="str">
        <f t="shared" si="8"/>
        <v>19</v>
      </c>
      <c r="B5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43" s="1" t="s">
        <v>2769</v>
      </c>
    </row>
    <row r="544" spans="1:7" x14ac:dyDescent="0.25">
      <c r="A544" s="1" t="str">
        <f t="shared" si="8"/>
        <v>19</v>
      </c>
      <c r="B5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44" s="1" t="s">
        <v>2770</v>
      </c>
    </row>
    <row r="545" spans="1:10" x14ac:dyDescent="0.25">
      <c r="A545" s="1" t="str">
        <f t="shared" si="8"/>
        <v>19</v>
      </c>
      <c r="B5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45" s="1" t="s">
        <v>2771</v>
      </c>
      <c r="D545" s="1" t="s">
        <v>2471</v>
      </c>
      <c r="E545" s="1" t="s">
        <v>2772</v>
      </c>
      <c r="F545" s="1" t="s">
        <v>112</v>
      </c>
      <c r="G545" s="1">
        <v>3300289</v>
      </c>
    </row>
    <row r="546" spans="1:10" x14ac:dyDescent="0.25">
      <c r="A546" s="1" t="str">
        <f t="shared" si="8"/>
        <v>19</v>
      </c>
      <c r="B5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46" s="1" t="s">
        <v>2773</v>
      </c>
    </row>
    <row r="547" spans="1:10" x14ac:dyDescent="0.25">
      <c r="A547" s="1" t="str">
        <f t="shared" si="8"/>
        <v>19</v>
      </c>
      <c r="B5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47" s="1" t="s">
        <v>2774</v>
      </c>
    </row>
    <row r="548" spans="1:10" x14ac:dyDescent="0.25">
      <c r="A548" s="1" t="str">
        <f t="shared" si="8"/>
        <v>19</v>
      </c>
      <c r="B5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48" s="1" t="s">
        <v>2775</v>
      </c>
      <c r="D548" s="1" t="s">
        <v>2776</v>
      </c>
      <c r="E548" s="1" t="s">
        <v>2777</v>
      </c>
      <c r="F548" s="1" t="s">
        <v>112</v>
      </c>
      <c r="G548" s="1">
        <v>3104041</v>
      </c>
    </row>
    <row r="549" spans="1:10" x14ac:dyDescent="0.25">
      <c r="A549" s="1" t="str">
        <f t="shared" si="8"/>
        <v>19</v>
      </c>
      <c r="B5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49" s="1" t="s">
        <v>2778</v>
      </c>
      <c r="D549" s="1" t="s">
        <v>2779</v>
      </c>
      <c r="E549" s="1" t="s">
        <v>2780</v>
      </c>
      <c r="F549" s="1" t="s">
        <v>112</v>
      </c>
      <c r="G549" s="1">
        <v>3237217</v>
      </c>
    </row>
    <row r="550" spans="1:10" x14ac:dyDescent="0.25">
      <c r="A550" s="1" t="str">
        <f t="shared" si="8"/>
        <v>19</v>
      </c>
      <c r="B5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50" s="1" t="s">
        <v>2781</v>
      </c>
    </row>
    <row r="551" spans="1:10" x14ac:dyDescent="0.25">
      <c r="A551" s="1" t="str">
        <f t="shared" si="8"/>
        <v>19</v>
      </c>
      <c r="B5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51" s="1" t="s">
        <v>2782</v>
      </c>
      <c r="D551" s="1" t="s">
        <v>2783</v>
      </c>
      <c r="E551" s="1" t="s">
        <v>2784</v>
      </c>
      <c r="F551" s="1" t="s">
        <v>112</v>
      </c>
      <c r="G551" s="1">
        <v>2099225</v>
      </c>
    </row>
    <row r="552" spans="1:10" x14ac:dyDescent="0.25">
      <c r="A552" s="1" t="str">
        <f t="shared" si="8"/>
        <v>19</v>
      </c>
      <c r="B5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52" s="1" t="s">
        <v>2785</v>
      </c>
      <c r="D552" s="1" t="s">
        <v>2786</v>
      </c>
      <c r="E552" s="1" t="s">
        <v>2787</v>
      </c>
      <c r="F552" s="1" t="s">
        <v>112</v>
      </c>
      <c r="G552" s="1">
        <v>3712663</v>
      </c>
    </row>
    <row r="553" spans="1:10" x14ac:dyDescent="0.25">
      <c r="A553" s="1" t="str">
        <f t="shared" si="8"/>
        <v>19</v>
      </c>
      <c r="B5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53" s="1" t="s">
        <v>2788</v>
      </c>
      <c r="D553" s="1" t="s">
        <v>2789</v>
      </c>
      <c r="E553" s="1" t="s">
        <v>2790</v>
      </c>
      <c r="F553" s="1" t="s">
        <v>112</v>
      </c>
      <c r="G553" s="1">
        <v>3450466</v>
      </c>
    </row>
    <row r="554" spans="1:10" x14ac:dyDescent="0.25">
      <c r="A554" s="1" t="str">
        <f t="shared" si="8"/>
        <v/>
      </c>
      <c r="B5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4" s="1" t="s">
        <v>112</v>
      </c>
    </row>
    <row r="555" spans="1:10" x14ac:dyDescent="0.25">
      <c r="A555" s="1" t="str">
        <f t="shared" si="8"/>
        <v/>
      </c>
      <c r="B5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5" s="1" t="s">
        <v>237</v>
      </c>
      <c r="D555" s="1" t="s">
        <v>112</v>
      </c>
      <c r="E555" s="1" t="s">
        <v>238</v>
      </c>
      <c r="F555" s="1" t="s">
        <v>239</v>
      </c>
      <c r="G555" s="1" t="s">
        <v>240</v>
      </c>
      <c r="H555" s="1" t="s">
        <v>241</v>
      </c>
      <c r="I555" s="1" t="s">
        <v>242</v>
      </c>
      <c r="J555" s="1" t="s">
        <v>243</v>
      </c>
    </row>
    <row r="556" spans="1:10" x14ac:dyDescent="0.25">
      <c r="A556" s="1" t="str">
        <f t="shared" si="8"/>
        <v>19</v>
      </c>
      <c r="B5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556" s="1" t="s">
        <v>2791</v>
      </c>
      <c r="D556" s="1" t="s">
        <v>112</v>
      </c>
      <c r="E556" s="1" t="s">
        <v>2792</v>
      </c>
      <c r="F556" s="1" t="s">
        <v>2793</v>
      </c>
      <c r="G556" s="1" t="s">
        <v>2794</v>
      </c>
      <c r="H556" s="1" t="s">
        <v>2795</v>
      </c>
      <c r="I556" s="1">
        <v>24</v>
      </c>
      <c r="J556" s="1">
        <v>24</v>
      </c>
    </row>
    <row r="557" spans="1:10" x14ac:dyDescent="0.25">
      <c r="A557" s="1" t="str">
        <f t="shared" si="8"/>
        <v/>
      </c>
      <c r="B5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7" s="1" t="s">
        <v>112</v>
      </c>
    </row>
    <row r="558" spans="1:10" x14ac:dyDescent="0.25">
      <c r="A558" s="1" t="str">
        <f t="shared" si="8"/>
        <v/>
      </c>
      <c r="B5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8" s="1" t="s">
        <v>112</v>
      </c>
    </row>
    <row r="559" spans="1:10" x14ac:dyDescent="0.25">
      <c r="A559" s="1" t="str">
        <f t="shared" si="8"/>
        <v/>
      </c>
      <c r="B5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9" s="1" t="s">
        <v>112</v>
      </c>
    </row>
    <row r="560" spans="1:10" x14ac:dyDescent="0.25">
      <c r="A560" s="1" t="str">
        <f t="shared" si="8"/>
        <v/>
      </c>
      <c r="B5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60" s="1" t="s">
        <v>112</v>
      </c>
    </row>
    <row r="561" spans="1:7" x14ac:dyDescent="0.25">
      <c r="A561" s="1" t="str">
        <f t="shared" si="8"/>
        <v/>
      </c>
      <c r="B5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61" s="1" t="s">
        <v>112</v>
      </c>
    </row>
    <row r="562" spans="1:7" x14ac:dyDescent="0.25">
      <c r="A562" s="1" t="str">
        <f t="shared" si="8"/>
        <v/>
      </c>
      <c r="B5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62" s="1" t="s">
        <v>249</v>
      </c>
      <c r="D562" s="1" t="s">
        <v>110</v>
      </c>
      <c r="E562" s="1" t="s">
        <v>111</v>
      </c>
      <c r="F562" s="1" t="s">
        <v>112</v>
      </c>
      <c r="G562" s="1" t="s">
        <v>113</v>
      </c>
    </row>
    <row r="563" spans="1:7" x14ac:dyDescent="0.25">
      <c r="A563" s="1" t="str">
        <f t="shared" si="8"/>
        <v>20</v>
      </c>
      <c r="B56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63" s="1" t="s">
        <v>2796</v>
      </c>
      <c r="D563" s="1" t="s">
        <v>2797</v>
      </c>
      <c r="E563" s="1" t="s">
        <v>2798</v>
      </c>
      <c r="F563" s="1" t="s">
        <v>112</v>
      </c>
      <c r="G563" s="1">
        <v>4563237</v>
      </c>
    </row>
    <row r="564" spans="1:7" x14ac:dyDescent="0.25">
      <c r="A564" s="1" t="str">
        <f t="shared" si="8"/>
        <v>20</v>
      </c>
      <c r="B56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64" s="1" t="s">
        <v>2799</v>
      </c>
    </row>
    <row r="565" spans="1:7" x14ac:dyDescent="0.25">
      <c r="A565" s="1" t="str">
        <f t="shared" si="8"/>
        <v>20</v>
      </c>
      <c r="B5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65" s="1" t="s">
        <v>2800</v>
      </c>
    </row>
    <row r="566" spans="1:7" x14ac:dyDescent="0.25">
      <c r="A566" s="1" t="str">
        <f t="shared" si="8"/>
        <v>20</v>
      </c>
      <c r="B5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66" s="1" t="s">
        <v>2801</v>
      </c>
    </row>
    <row r="567" spans="1:7" x14ac:dyDescent="0.25">
      <c r="A567" s="1" t="str">
        <f t="shared" si="8"/>
        <v>20</v>
      </c>
      <c r="B5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67" s="1" t="s">
        <v>2802</v>
      </c>
      <c r="D567" s="1" t="s">
        <v>2803</v>
      </c>
      <c r="E567" s="1" t="s">
        <v>2804</v>
      </c>
      <c r="F567" s="1" t="s">
        <v>112</v>
      </c>
      <c r="G567" s="1">
        <v>3406341</v>
      </c>
    </row>
    <row r="568" spans="1:7" x14ac:dyDescent="0.25">
      <c r="A568" s="1" t="str">
        <f t="shared" si="8"/>
        <v>20</v>
      </c>
      <c r="B5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68" s="1" t="s">
        <v>2805</v>
      </c>
      <c r="D568" s="1" t="s">
        <v>2806</v>
      </c>
      <c r="E568" s="1" t="s">
        <v>2807</v>
      </c>
      <c r="F568" s="1" t="s">
        <v>112</v>
      </c>
      <c r="G568" s="1">
        <v>3530842</v>
      </c>
    </row>
    <row r="569" spans="1:7" x14ac:dyDescent="0.25">
      <c r="A569" s="1" t="str">
        <f t="shared" si="8"/>
        <v>20</v>
      </c>
      <c r="B5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69" s="1" t="s">
        <v>2808</v>
      </c>
      <c r="D569" s="1" t="s">
        <v>2582</v>
      </c>
      <c r="E569" s="1" t="s">
        <v>2809</v>
      </c>
      <c r="F569" s="1" t="s">
        <v>112</v>
      </c>
      <c r="G569" s="1">
        <v>3873460</v>
      </c>
    </row>
    <row r="570" spans="1:7" x14ac:dyDescent="0.25">
      <c r="A570" s="1" t="str">
        <f t="shared" si="8"/>
        <v>20</v>
      </c>
      <c r="B5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70" s="1" t="s">
        <v>2810</v>
      </c>
      <c r="D570" s="1" t="s">
        <v>2811</v>
      </c>
      <c r="E570" s="1" t="s">
        <v>2812</v>
      </c>
      <c r="F570" s="1" t="s">
        <v>112</v>
      </c>
      <c r="G570" s="1">
        <v>4638185</v>
      </c>
    </row>
    <row r="571" spans="1:7" x14ac:dyDescent="0.25">
      <c r="A571" s="1" t="str">
        <f t="shared" si="8"/>
        <v>20</v>
      </c>
      <c r="B5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71" s="1" t="s">
        <v>2813</v>
      </c>
    </row>
    <row r="572" spans="1:7" x14ac:dyDescent="0.25">
      <c r="A572" s="1" t="str">
        <f t="shared" si="8"/>
        <v>20</v>
      </c>
      <c r="B5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72" s="1" t="s">
        <v>2814</v>
      </c>
      <c r="D572" s="1" t="s">
        <v>2815</v>
      </c>
      <c r="E572" s="1" t="s">
        <v>2816</v>
      </c>
      <c r="F572" s="1" t="s">
        <v>112</v>
      </c>
      <c r="G572" s="1">
        <v>4371726</v>
      </c>
    </row>
    <row r="573" spans="1:7" x14ac:dyDescent="0.25">
      <c r="A573" s="1" t="str">
        <f t="shared" si="8"/>
        <v>20</v>
      </c>
      <c r="B5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73" s="1" t="s">
        <v>2817</v>
      </c>
      <c r="D573" s="1" t="s">
        <v>2818</v>
      </c>
      <c r="E573" s="1" t="s">
        <v>2819</v>
      </c>
      <c r="F573" s="1" t="s">
        <v>112</v>
      </c>
      <c r="G573" s="1">
        <v>3291746</v>
      </c>
    </row>
    <row r="574" spans="1:7" x14ac:dyDescent="0.25">
      <c r="A574" s="1" t="str">
        <f t="shared" si="8"/>
        <v>20</v>
      </c>
      <c r="B5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74" s="1" t="s">
        <v>2820</v>
      </c>
      <c r="D574" s="1" t="s">
        <v>2821</v>
      </c>
      <c r="E574" s="1" t="s">
        <v>2822</v>
      </c>
      <c r="F574" s="1" t="s">
        <v>112</v>
      </c>
      <c r="G574" s="1">
        <v>3198023</v>
      </c>
    </row>
    <row r="575" spans="1:7" x14ac:dyDescent="0.25">
      <c r="A575" s="1" t="str">
        <f t="shared" si="8"/>
        <v>20</v>
      </c>
      <c r="B5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75" s="1" t="s">
        <v>2823</v>
      </c>
      <c r="D575" s="1" t="s">
        <v>2824</v>
      </c>
      <c r="E575" s="1" t="s">
        <v>2825</v>
      </c>
      <c r="F575" s="1" t="s">
        <v>112</v>
      </c>
      <c r="G575" s="1">
        <v>5279706</v>
      </c>
    </row>
    <row r="576" spans="1:7" x14ac:dyDescent="0.25">
      <c r="A576" s="1" t="str">
        <f t="shared" si="8"/>
        <v>20</v>
      </c>
      <c r="B5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76" s="1" t="s">
        <v>2826</v>
      </c>
      <c r="D576" s="1" t="s">
        <v>1250</v>
      </c>
      <c r="E576" s="1" t="s">
        <v>2827</v>
      </c>
      <c r="F576" s="1" t="s">
        <v>112</v>
      </c>
      <c r="G576" s="1">
        <v>3501188</v>
      </c>
    </row>
    <row r="577" spans="1:10" x14ac:dyDescent="0.25">
      <c r="A577" s="1" t="str">
        <f t="shared" si="8"/>
        <v>20</v>
      </c>
      <c r="B5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77" s="1" t="s">
        <v>2828</v>
      </c>
      <c r="D577" s="1" t="s">
        <v>2829</v>
      </c>
      <c r="E577" s="1" t="s">
        <v>2830</v>
      </c>
      <c r="F577" s="1" t="s">
        <v>112</v>
      </c>
      <c r="G577" s="1">
        <v>3571680</v>
      </c>
    </row>
    <row r="578" spans="1:10" x14ac:dyDescent="0.25">
      <c r="A578" s="1" t="str">
        <f t="shared" ref="A578:A641" si="9">IFERROR(LEFT(RIGHT(C578,LEN(C578)-SEARCH("@",C578)),SEARCH("/",RIGHT(C578,LEN(C578)-SEARCH("@",C578)-1))),"")</f>
        <v>20</v>
      </c>
      <c r="B5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78" s="1" t="s">
        <v>2831</v>
      </c>
      <c r="D578" s="1" t="s">
        <v>2832</v>
      </c>
      <c r="E578" s="1" t="s">
        <v>2833</v>
      </c>
      <c r="F578" s="1" t="s">
        <v>112</v>
      </c>
      <c r="G578" s="1">
        <v>3302236</v>
      </c>
    </row>
    <row r="579" spans="1:10" x14ac:dyDescent="0.25">
      <c r="A579" s="1" t="str">
        <f t="shared" si="9"/>
        <v>20</v>
      </c>
      <c r="B5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79" s="1" t="s">
        <v>2834</v>
      </c>
      <c r="D579" s="1" t="s">
        <v>2835</v>
      </c>
      <c r="E579" s="1" t="s">
        <v>2836</v>
      </c>
      <c r="F579" s="1" t="s">
        <v>112</v>
      </c>
      <c r="G579" s="1">
        <v>3343311</v>
      </c>
    </row>
    <row r="580" spans="1:10" x14ac:dyDescent="0.25">
      <c r="A580" s="1" t="str">
        <f t="shared" si="9"/>
        <v>20</v>
      </c>
      <c r="B5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80" s="1" t="s">
        <v>2837</v>
      </c>
      <c r="D580" s="1" t="s">
        <v>2699</v>
      </c>
      <c r="E580" s="1" t="s">
        <v>2838</v>
      </c>
      <c r="F580" s="1" t="s">
        <v>112</v>
      </c>
      <c r="G580" s="1">
        <v>3430047</v>
      </c>
    </row>
    <row r="581" spans="1:10" x14ac:dyDescent="0.25">
      <c r="A581" s="1" t="str">
        <f t="shared" si="9"/>
        <v>20</v>
      </c>
      <c r="B5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81" s="1" t="s">
        <v>2839</v>
      </c>
      <c r="D581" s="1" t="s">
        <v>1418</v>
      </c>
      <c r="E581" s="1" t="s">
        <v>2840</v>
      </c>
      <c r="F581" s="1" t="s">
        <v>112</v>
      </c>
      <c r="G581" s="1">
        <v>4302337</v>
      </c>
    </row>
    <row r="582" spans="1:10" x14ac:dyDescent="0.25">
      <c r="A582" s="1" t="str">
        <f t="shared" si="9"/>
        <v>20</v>
      </c>
      <c r="B5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82" s="1" t="s">
        <v>2841</v>
      </c>
      <c r="D582" s="1" t="s">
        <v>2842</v>
      </c>
      <c r="E582" s="1" t="s">
        <v>2843</v>
      </c>
      <c r="F582" s="1" t="s">
        <v>112</v>
      </c>
      <c r="G582" s="1">
        <v>3360399</v>
      </c>
    </row>
    <row r="583" spans="1:10" x14ac:dyDescent="0.25">
      <c r="A583" s="1" t="str">
        <f t="shared" si="9"/>
        <v>20</v>
      </c>
      <c r="B5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83" s="1" t="s">
        <v>2844</v>
      </c>
      <c r="D583" s="1" t="s">
        <v>2845</v>
      </c>
      <c r="E583" s="1" t="s">
        <v>2846</v>
      </c>
      <c r="F583" s="1" t="s">
        <v>112</v>
      </c>
      <c r="G583" s="1">
        <v>3195557</v>
      </c>
    </row>
    <row r="584" spans="1:10" x14ac:dyDescent="0.25">
      <c r="A584" s="1" t="str">
        <f t="shared" si="9"/>
        <v>20</v>
      </c>
      <c r="B5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4" s="1" t="s">
        <v>2847</v>
      </c>
      <c r="D584" s="1" t="s">
        <v>2848</v>
      </c>
      <c r="E584" s="1" t="s">
        <v>2849</v>
      </c>
      <c r="F584" s="1" t="s">
        <v>112</v>
      </c>
      <c r="G584" s="1">
        <v>4028611</v>
      </c>
    </row>
    <row r="585" spans="1:10" x14ac:dyDescent="0.25">
      <c r="A585" s="1" t="str">
        <f t="shared" si="9"/>
        <v>20</v>
      </c>
      <c r="B5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5" s="1" t="s">
        <v>2850</v>
      </c>
      <c r="D585" s="1" t="s">
        <v>2663</v>
      </c>
      <c r="E585" s="1" t="s">
        <v>2851</v>
      </c>
      <c r="F585" s="1" t="s">
        <v>112</v>
      </c>
      <c r="G585" s="1">
        <v>4343629</v>
      </c>
    </row>
    <row r="586" spans="1:10" x14ac:dyDescent="0.25">
      <c r="A586" s="1" t="str">
        <f t="shared" si="9"/>
        <v>20</v>
      </c>
      <c r="B5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6" s="1" t="s">
        <v>2852</v>
      </c>
      <c r="D586" s="1" t="s">
        <v>2853</v>
      </c>
      <c r="E586" s="1" t="s">
        <v>2854</v>
      </c>
      <c r="F586" s="1" t="s">
        <v>112</v>
      </c>
      <c r="G586" s="1">
        <v>4705281</v>
      </c>
    </row>
    <row r="587" spans="1:10" x14ac:dyDescent="0.25">
      <c r="A587" s="1" t="str">
        <f t="shared" si="9"/>
        <v/>
      </c>
      <c r="B5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87" s="1" t="s">
        <v>112</v>
      </c>
    </row>
    <row r="588" spans="1:10" x14ac:dyDescent="0.25">
      <c r="A588" s="1" t="str">
        <f t="shared" si="9"/>
        <v/>
      </c>
      <c r="B5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88" s="1" t="s">
        <v>237</v>
      </c>
      <c r="D588" s="1" t="s">
        <v>112</v>
      </c>
      <c r="E588" s="1" t="s">
        <v>238</v>
      </c>
      <c r="F588" s="1" t="s">
        <v>239</v>
      </c>
      <c r="G588" s="1" t="s">
        <v>240</v>
      </c>
      <c r="H588" s="1" t="s">
        <v>241</v>
      </c>
      <c r="I588" s="1" t="s">
        <v>242</v>
      </c>
      <c r="J588" s="1" t="s">
        <v>243</v>
      </c>
    </row>
    <row r="589" spans="1:10" x14ac:dyDescent="0.25">
      <c r="A589" s="1" t="str">
        <f t="shared" si="9"/>
        <v>20</v>
      </c>
      <c r="B5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589" s="1" t="s">
        <v>2855</v>
      </c>
      <c r="D589" s="1" t="s">
        <v>112</v>
      </c>
      <c r="E589" s="1" t="s">
        <v>2856</v>
      </c>
      <c r="F589" s="1" t="s">
        <v>2857</v>
      </c>
      <c r="G589" s="1" t="s">
        <v>2858</v>
      </c>
      <c r="H589" s="1" t="s">
        <v>2859</v>
      </c>
      <c r="I589" s="1">
        <v>24</v>
      </c>
      <c r="J589" s="1">
        <v>24</v>
      </c>
    </row>
    <row r="590" spans="1:10" x14ac:dyDescent="0.25">
      <c r="A590" s="1" t="str">
        <f t="shared" si="9"/>
        <v/>
      </c>
      <c r="B5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0" s="1" t="s">
        <v>112</v>
      </c>
    </row>
    <row r="591" spans="1:10" x14ac:dyDescent="0.25">
      <c r="A591" s="1" t="str">
        <f t="shared" si="9"/>
        <v/>
      </c>
      <c r="B5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1" s="1" t="s">
        <v>112</v>
      </c>
    </row>
    <row r="592" spans="1:10" x14ac:dyDescent="0.25">
      <c r="A592" s="1" t="str">
        <f t="shared" si="9"/>
        <v/>
      </c>
      <c r="B5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2" s="1" t="s">
        <v>112</v>
      </c>
    </row>
    <row r="593" spans="1:7" x14ac:dyDescent="0.25">
      <c r="A593" s="1" t="str">
        <f t="shared" si="9"/>
        <v/>
      </c>
      <c r="B5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3" s="1" t="s">
        <v>112</v>
      </c>
    </row>
    <row r="594" spans="1:7" x14ac:dyDescent="0.25">
      <c r="A594" s="1" t="str">
        <f t="shared" si="9"/>
        <v/>
      </c>
      <c r="B5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4" s="1" t="s">
        <v>112</v>
      </c>
    </row>
    <row r="595" spans="1:7" x14ac:dyDescent="0.25">
      <c r="A595" s="1" t="str">
        <f t="shared" si="9"/>
        <v/>
      </c>
      <c r="B5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5" s="1" t="s">
        <v>249</v>
      </c>
      <c r="D595" s="1" t="s">
        <v>110</v>
      </c>
      <c r="E595" s="1" t="s">
        <v>111</v>
      </c>
      <c r="F595" s="1" t="s">
        <v>112</v>
      </c>
      <c r="G595" s="1" t="s">
        <v>113</v>
      </c>
    </row>
    <row r="596" spans="1:7" x14ac:dyDescent="0.25">
      <c r="A596" s="1" t="str">
        <f t="shared" si="9"/>
        <v>21</v>
      </c>
      <c r="B59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96" s="1" t="s">
        <v>2860</v>
      </c>
      <c r="D596" s="1" t="s">
        <v>2861</v>
      </c>
      <c r="E596" s="1" t="s">
        <v>2862</v>
      </c>
      <c r="F596" s="1" t="s">
        <v>112</v>
      </c>
      <c r="G596" s="1">
        <v>3574946</v>
      </c>
    </row>
    <row r="597" spans="1:7" x14ac:dyDescent="0.25">
      <c r="A597" s="1" t="str">
        <f t="shared" si="9"/>
        <v>21</v>
      </c>
      <c r="B59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97" s="1" t="s">
        <v>2863</v>
      </c>
      <c r="D597" s="1" t="s">
        <v>1327</v>
      </c>
      <c r="E597" s="1" t="s">
        <v>2864</v>
      </c>
      <c r="F597" s="1" t="s">
        <v>112</v>
      </c>
      <c r="G597" s="1">
        <v>3981458</v>
      </c>
    </row>
    <row r="598" spans="1:7" x14ac:dyDescent="0.25">
      <c r="A598" s="1" t="str">
        <f t="shared" si="9"/>
        <v>21</v>
      </c>
      <c r="B59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98" s="1" t="s">
        <v>2865</v>
      </c>
      <c r="D598" s="1" t="s">
        <v>1525</v>
      </c>
      <c r="E598" s="1" t="s">
        <v>2866</v>
      </c>
      <c r="F598" s="1" t="s">
        <v>112</v>
      </c>
      <c r="G598" s="1">
        <v>3808397</v>
      </c>
    </row>
    <row r="599" spans="1:7" x14ac:dyDescent="0.25">
      <c r="A599" s="1" t="str">
        <f t="shared" si="9"/>
        <v>21</v>
      </c>
      <c r="B5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99" s="1" t="s">
        <v>2867</v>
      </c>
      <c r="D599" s="1" t="s">
        <v>1175</v>
      </c>
      <c r="E599" s="1" t="s">
        <v>2868</v>
      </c>
      <c r="F599" s="1" t="s">
        <v>112</v>
      </c>
      <c r="G599" s="1">
        <v>3443220</v>
      </c>
    </row>
    <row r="600" spans="1:7" x14ac:dyDescent="0.25">
      <c r="A600" s="1" t="str">
        <f t="shared" si="9"/>
        <v>21</v>
      </c>
      <c r="B6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00" s="1" t="s">
        <v>2869</v>
      </c>
      <c r="D600" s="1" t="s">
        <v>2870</v>
      </c>
      <c r="E600" s="1" t="s">
        <v>2871</v>
      </c>
      <c r="F600" s="1" t="s">
        <v>112</v>
      </c>
      <c r="G600" s="1">
        <v>5695389</v>
      </c>
    </row>
    <row r="601" spans="1:7" x14ac:dyDescent="0.25">
      <c r="A601" s="1" t="str">
        <f t="shared" si="9"/>
        <v>21</v>
      </c>
      <c r="B6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01" s="1" t="s">
        <v>2872</v>
      </c>
      <c r="D601" s="1" t="s">
        <v>2873</v>
      </c>
      <c r="E601" s="1" t="s">
        <v>2874</v>
      </c>
      <c r="F601" s="1" t="s">
        <v>112</v>
      </c>
      <c r="G601" s="1">
        <v>6160043</v>
      </c>
    </row>
    <row r="602" spans="1:7" x14ac:dyDescent="0.25">
      <c r="A602" s="1" t="str">
        <f t="shared" si="9"/>
        <v>21</v>
      </c>
      <c r="B6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02" s="1" t="s">
        <v>2875</v>
      </c>
      <c r="D602" s="1" t="s">
        <v>2876</v>
      </c>
      <c r="E602" s="1" t="s">
        <v>2877</v>
      </c>
      <c r="F602" s="1" t="s">
        <v>112</v>
      </c>
      <c r="G602" s="1">
        <v>3016224</v>
      </c>
    </row>
    <row r="603" spans="1:7" x14ac:dyDescent="0.25">
      <c r="A603" s="1" t="str">
        <f t="shared" si="9"/>
        <v>21</v>
      </c>
      <c r="B6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03" s="1" t="s">
        <v>2878</v>
      </c>
      <c r="D603" s="1" t="s">
        <v>2879</v>
      </c>
      <c r="E603" s="1" t="s">
        <v>2880</v>
      </c>
      <c r="F603" s="1" t="s">
        <v>112</v>
      </c>
      <c r="G603" s="1">
        <v>3671588</v>
      </c>
    </row>
    <row r="604" spans="1:7" x14ac:dyDescent="0.25">
      <c r="A604" s="1" t="str">
        <f t="shared" si="9"/>
        <v>21</v>
      </c>
      <c r="B6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04" s="1" t="s">
        <v>2881</v>
      </c>
      <c r="D604" s="1" t="s">
        <v>2882</v>
      </c>
      <c r="E604" s="1" t="s">
        <v>2883</v>
      </c>
      <c r="F604" s="1" t="s">
        <v>112</v>
      </c>
      <c r="G604" s="1">
        <v>4438714</v>
      </c>
    </row>
    <row r="605" spans="1:7" x14ac:dyDescent="0.25">
      <c r="A605" s="1" t="str">
        <f t="shared" si="9"/>
        <v>21</v>
      </c>
      <c r="B6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05" s="1" t="s">
        <v>2884</v>
      </c>
      <c r="D605" s="1" t="s">
        <v>2885</v>
      </c>
      <c r="E605" s="1" t="s">
        <v>2886</v>
      </c>
      <c r="F605" s="1" t="s">
        <v>112</v>
      </c>
      <c r="G605" s="1">
        <v>4995597</v>
      </c>
    </row>
    <row r="606" spans="1:7" x14ac:dyDescent="0.25">
      <c r="A606" s="1" t="str">
        <f t="shared" si="9"/>
        <v>21</v>
      </c>
      <c r="B6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06" s="1" t="s">
        <v>2887</v>
      </c>
      <c r="D606" s="1" t="s">
        <v>2888</v>
      </c>
      <c r="E606" s="1" t="s">
        <v>2889</v>
      </c>
      <c r="F606" s="1" t="s">
        <v>112</v>
      </c>
      <c r="G606" s="1">
        <v>5191932</v>
      </c>
    </row>
    <row r="607" spans="1:7" x14ac:dyDescent="0.25">
      <c r="A607" s="1" t="str">
        <f t="shared" si="9"/>
        <v>21</v>
      </c>
      <c r="B6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07" s="1" t="s">
        <v>2890</v>
      </c>
      <c r="D607" s="1" t="s">
        <v>2891</v>
      </c>
      <c r="E607" s="1" t="s">
        <v>2892</v>
      </c>
      <c r="F607" s="1" t="s">
        <v>112</v>
      </c>
      <c r="G607" s="1">
        <v>5831333</v>
      </c>
    </row>
    <row r="608" spans="1:7" x14ac:dyDescent="0.25">
      <c r="A608" s="1" t="str">
        <f t="shared" si="9"/>
        <v>21</v>
      </c>
      <c r="B6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08" s="1" t="s">
        <v>2893</v>
      </c>
      <c r="D608" s="1" t="s">
        <v>2894</v>
      </c>
      <c r="E608" s="1" t="s">
        <v>2895</v>
      </c>
      <c r="F608" s="1" t="s">
        <v>112</v>
      </c>
      <c r="G608" s="1">
        <v>3505514</v>
      </c>
    </row>
    <row r="609" spans="1:10" x14ac:dyDescent="0.25">
      <c r="A609" s="1" t="str">
        <f t="shared" si="9"/>
        <v>21</v>
      </c>
      <c r="B6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09" s="1" t="s">
        <v>2896</v>
      </c>
      <c r="D609" s="1" t="s">
        <v>2897</v>
      </c>
      <c r="E609" s="1" t="s">
        <v>2898</v>
      </c>
      <c r="F609" s="1" t="s">
        <v>112</v>
      </c>
      <c r="G609" s="1">
        <v>4448058</v>
      </c>
    </row>
    <row r="610" spans="1:10" x14ac:dyDescent="0.25">
      <c r="A610" s="1" t="str">
        <f t="shared" si="9"/>
        <v>21</v>
      </c>
      <c r="B6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10" s="1" t="s">
        <v>2899</v>
      </c>
      <c r="D610" s="1" t="s">
        <v>978</v>
      </c>
      <c r="E610" s="1" t="s">
        <v>2900</v>
      </c>
      <c r="F610" s="1" t="s">
        <v>112</v>
      </c>
      <c r="G610" s="1">
        <v>4260029</v>
      </c>
    </row>
    <row r="611" spans="1:10" x14ac:dyDescent="0.25">
      <c r="A611" s="1" t="str">
        <f t="shared" si="9"/>
        <v>21</v>
      </c>
      <c r="B6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11" s="1" t="s">
        <v>2901</v>
      </c>
      <c r="D611" s="1" t="s">
        <v>2902</v>
      </c>
      <c r="E611" s="1" t="s">
        <v>2903</v>
      </c>
      <c r="F611" s="1" t="s">
        <v>112</v>
      </c>
      <c r="G611" s="1">
        <v>4413104</v>
      </c>
    </row>
    <row r="612" spans="1:10" x14ac:dyDescent="0.25">
      <c r="A612" s="1" t="str">
        <f t="shared" si="9"/>
        <v>21</v>
      </c>
      <c r="B6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12" s="1" t="s">
        <v>2904</v>
      </c>
      <c r="D612" s="1" t="s">
        <v>2905</v>
      </c>
      <c r="E612" s="1" t="s">
        <v>2906</v>
      </c>
      <c r="F612" s="1" t="s">
        <v>112</v>
      </c>
      <c r="G612" s="1">
        <v>3789731</v>
      </c>
    </row>
    <row r="613" spans="1:10" x14ac:dyDescent="0.25">
      <c r="A613" s="1" t="str">
        <f t="shared" si="9"/>
        <v>21</v>
      </c>
      <c r="B6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13" s="1" t="s">
        <v>2907</v>
      </c>
      <c r="D613" s="1" t="s">
        <v>2908</v>
      </c>
      <c r="E613" s="1" t="s">
        <v>2909</v>
      </c>
      <c r="F613" s="1" t="s">
        <v>112</v>
      </c>
      <c r="G613" s="1">
        <v>4344451</v>
      </c>
    </row>
    <row r="614" spans="1:10" x14ac:dyDescent="0.25">
      <c r="A614" s="1" t="str">
        <f t="shared" si="9"/>
        <v>21</v>
      </c>
      <c r="B6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14" s="1" t="s">
        <v>2910</v>
      </c>
      <c r="D614" s="1" t="s">
        <v>2389</v>
      </c>
      <c r="E614" s="1" t="s">
        <v>2911</v>
      </c>
      <c r="F614" s="1" t="s">
        <v>112</v>
      </c>
      <c r="G614" s="1">
        <v>3569668</v>
      </c>
    </row>
    <row r="615" spans="1:10" x14ac:dyDescent="0.25">
      <c r="A615" s="1" t="str">
        <f t="shared" si="9"/>
        <v>21</v>
      </c>
      <c r="B6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15" s="1" t="s">
        <v>2912</v>
      </c>
      <c r="D615" s="1" t="s">
        <v>2913</v>
      </c>
      <c r="E615" s="1" t="s">
        <v>2914</v>
      </c>
      <c r="F615" s="1" t="s">
        <v>112</v>
      </c>
      <c r="G615" s="1">
        <v>4418468</v>
      </c>
    </row>
    <row r="616" spans="1:10" x14ac:dyDescent="0.25">
      <c r="A616" s="1" t="str">
        <f t="shared" si="9"/>
        <v>21</v>
      </c>
      <c r="B6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16" s="1" t="s">
        <v>2915</v>
      </c>
      <c r="D616" s="1" t="s">
        <v>1509</v>
      </c>
      <c r="E616" s="1" t="s">
        <v>2916</v>
      </c>
      <c r="F616" s="1" t="s">
        <v>112</v>
      </c>
      <c r="G616" s="1">
        <v>4858723</v>
      </c>
    </row>
    <row r="617" spans="1:10" x14ac:dyDescent="0.25">
      <c r="A617" s="1" t="str">
        <f t="shared" si="9"/>
        <v>21</v>
      </c>
      <c r="B6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17" s="1" t="s">
        <v>2917</v>
      </c>
      <c r="D617" s="1" t="s">
        <v>2918</v>
      </c>
      <c r="E617" s="1" t="s">
        <v>2919</v>
      </c>
      <c r="F617" s="1" t="s">
        <v>112</v>
      </c>
      <c r="G617" s="1">
        <v>4512904</v>
      </c>
    </row>
    <row r="618" spans="1:10" x14ac:dyDescent="0.25">
      <c r="A618" s="1" t="str">
        <f t="shared" si="9"/>
        <v>21</v>
      </c>
      <c r="B6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18" s="1" t="s">
        <v>2920</v>
      </c>
      <c r="D618" s="1" t="s">
        <v>2921</v>
      </c>
      <c r="E618" s="1" t="s">
        <v>2922</v>
      </c>
      <c r="F618" s="1" t="s">
        <v>112</v>
      </c>
      <c r="G618" s="1">
        <v>4791216</v>
      </c>
    </row>
    <row r="619" spans="1:10" x14ac:dyDescent="0.25">
      <c r="A619" s="1" t="str">
        <f t="shared" si="9"/>
        <v>21</v>
      </c>
      <c r="B6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19" s="1" t="s">
        <v>2923</v>
      </c>
      <c r="D619" s="1" t="s">
        <v>2924</v>
      </c>
      <c r="E619" s="1" t="s">
        <v>2925</v>
      </c>
      <c r="F619" s="1" t="s">
        <v>112</v>
      </c>
      <c r="G619" s="1">
        <v>4544787</v>
      </c>
    </row>
    <row r="620" spans="1:10" x14ac:dyDescent="0.25">
      <c r="A620" s="1" t="str">
        <f t="shared" si="9"/>
        <v/>
      </c>
      <c r="B6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0" s="1" t="s">
        <v>112</v>
      </c>
    </row>
    <row r="621" spans="1:10" x14ac:dyDescent="0.25">
      <c r="A621" s="1" t="str">
        <f t="shared" si="9"/>
        <v/>
      </c>
      <c r="B6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1" s="1" t="s">
        <v>237</v>
      </c>
      <c r="D621" s="1" t="s">
        <v>112</v>
      </c>
      <c r="E621" s="1" t="s">
        <v>238</v>
      </c>
      <c r="F621" s="1" t="s">
        <v>239</v>
      </c>
      <c r="G621" s="1" t="s">
        <v>240</v>
      </c>
      <c r="H621" s="1" t="s">
        <v>241</v>
      </c>
      <c r="I621" s="1" t="s">
        <v>242</v>
      </c>
      <c r="J621" s="1" t="s">
        <v>243</v>
      </c>
    </row>
    <row r="622" spans="1:10" x14ac:dyDescent="0.25">
      <c r="A622" s="1" t="str">
        <f t="shared" si="9"/>
        <v>21</v>
      </c>
      <c r="B6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22" s="1" t="s">
        <v>2926</v>
      </c>
      <c r="D622" s="1" t="s">
        <v>112</v>
      </c>
      <c r="E622" s="1" t="s">
        <v>2927</v>
      </c>
      <c r="F622" s="1" t="s">
        <v>2928</v>
      </c>
      <c r="G622" s="1" t="s">
        <v>2929</v>
      </c>
      <c r="H622" s="1" t="s">
        <v>2930</v>
      </c>
      <c r="I622" s="1">
        <v>24</v>
      </c>
      <c r="J622" s="1">
        <v>24</v>
      </c>
    </row>
    <row r="623" spans="1:10" x14ac:dyDescent="0.25">
      <c r="A623" s="1" t="str">
        <f t="shared" si="9"/>
        <v/>
      </c>
      <c r="B6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3" s="1" t="s">
        <v>112</v>
      </c>
    </row>
    <row r="624" spans="1:10" x14ac:dyDescent="0.25">
      <c r="A624" s="1" t="str">
        <f t="shared" si="9"/>
        <v/>
      </c>
      <c r="B6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4" s="1" t="s">
        <v>112</v>
      </c>
    </row>
    <row r="625" spans="1:7" x14ac:dyDescent="0.25">
      <c r="A625" s="1" t="str">
        <f t="shared" si="9"/>
        <v/>
      </c>
      <c r="B6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5" s="1" t="s">
        <v>112</v>
      </c>
    </row>
    <row r="626" spans="1:7" x14ac:dyDescent="0.25">
      <c r="A626" s="1" t="str">
        <f t="shared" si="9"/>
        <v/>
      </c>
      <c r="B6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6" s="1" t="s">
        <v>112</v>
      </c>
    </row>
    <row r="627" spans="1:7" x14ac:dyDescent="0.25">
      <c r="A627" s="1" t="str">
        <f t="shared" si="9"/>
        <v/>
      </c>
      <c r="B6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7" s="1" t="s">
        <v>112</v>
      </c>
    </row>
    <row r="628" spans="1:7" x14ac:dyDescent="0.25">
      <c r="A628" s="1" t="str">
        <f t="shared" si="9"/>
        <v/>
      </c>
      <c r="B6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8" s="1" t="s">
        <v>249</v>
      </c>
      <c r="D628" s="1" t="s">
        <v>110</v>
      </c>
      <c r="E628" s="1" t="s">
        <v>111</v>
      </c>
      <c r="F628" s="1" t="s">
        <v>112</v>
      </c>
      <c r="G628" s="1" t="s">
        <v>113</v>
      </c>
    </row>
    <row r="629" spans="1:7" x14ac:dyDescent="0.25">
      <c r="A629" s="1" t="str">
        <f t="shared" si="9"/>
        <v>8</v>
      </c>
      <c r="B62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29" s="1" t="s">
        <v>2931</v>
      </c>
      <c r="D629" s="1" t="s">
        <v>2932</v>
      </c>
      <c r="E629" s="1" t="s">
        <v>2933</v>
      </c>
      <c r="F629" s="1" t="s">
        <v>112</v>
      </c>
      <c r="G629" s="1">
        <v>268535</v>
      </c>
    </row>
    <row r="630" spans="1:7" x14ac:dyDescent="0.25">
      <c r="A630" s="1" t="str">
        <f t="shared" si="9"/>
        <v>8</v>
      </c>
      <c r="B63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30" s="1" t="s">
        <v>2934</v>
      </c>
      <c r="D630" s="1" t="s">
        <v>2439</v>
      </c>
      <c r="E630" s="1" t="s">
        <v>2935</v>
      </c>
      <c r="F630" s="1" t="s">
        <v>112</v>
      </c>
      <c r="G630" s="1">
        <v>232521</v>
      </c>
    </row>
    <row r="631" spans="1:7" x14ac:dyDescent="0.25">
      <c r="A631" s="1" t="str">
        <f t="shared" si="9"/>
        <v>8</v>
      </c>
      <c r="B63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31" s="1" t="s">
        <v>2936</v>
      </c>
      <c r="D631" s="1" t="s">
        <v>2937</v>
      </c>
      <c r="E631" s="1" t="s">
        <v>2938</v>
      </c>
      <c r="F631" s="1" t="s">
        <v>112</v>
      </c>
      <c r="G631" s="1">
        <v>222463</v>
      </c>
    </row>
    <row r="632" spans="1:7" x14ac:dyDescent="0.25">
      <c r="A632" s="1" t="str">
        <f t="shared" si="9"/>
        <v>8</v>
      </c>
      <c r="B6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32" s="1" t="s">
        <v>2939</v>
      </c>
      <c r="D632" s="1" t="s">
        <v>2940</v>
      </c>
      <c r="E632" s="1" t="s">
        <v>2941</v>
      </c>
      <c r="F632" s="1" t="s">
        <v>112</v>
      </c>
      <c r="G632" s="1">
        <v>352848</v>
      </c>
    </row>
    <row r="633" spans="1:7" x14ac:dyDescent="0.25">
      <c r="A633" s="1" t="str">
        <f t="shared" si="9"/>
        <v>8</v>
      </c>
      <c r="B6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33" s="1" t="s">
        <v>2942</v>
      </c>
      <c r="D633" s="1" t="s">
        <v>2943</v>
      </c>
      <c r="E633" s="1" t="s">
        <v>2944</v>
      </c>
      <c r="F633" s="1" t="s">
        <v>112</v>
      </c>
      <c r="G633" s="1">
        <v>128720</v>
      </c>
    </row>
    <row r="634" spans="1:7" x14ac:dyDescent="0.25">
      <c r="A634" s="1" t="str">
        <f t="shared" si="9"/>
        <v>8</v>
      </c>
      <c r="B6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34" s="1" t="s">
        <v>2945</v>
      </c>
      <c r="D634" s="1" t="s">
        <v>303</v>
      </c>
      <c r="E634" s="1" t="s">
        <v>2946</v>
      </c>
      <c r="F634" s="1" t="s">
        <v>112</v>
      </c>
      <c r="G634" s="1">
        <v>3937</v>
      </c>
    </row>
    <row r="635" spans="1:7" x14ac:dyDescent="0.25">
      <c r="A635" s="1" t="str">
        <f t="shared" si="9"/>
        <v>8</v>
      </c>
      <c r="B6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35" s="1" t="s">
        <v>2947</v>
      </c>
      <c r="D635" s="1" t="s">
        <v>2453</v>
      </c>
      <c r="E635" s="1" t="s">
        <v>2948</v>
      </c>
      <c r="F635" s="1" t="s">
        <v>112</v>
      </c>
      <c r="G635" s="1">
        <v>180199</v>
      </c>
    </row>
    <row r="636" spans="1:7" x14ac:dyDescent="0.25">
      <c r="A636" s="1" t="str">
        <f t="shared" si="9"/>
        <v>8</v>
      </c>
      <c r="B6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36" s="1" t="s">
        <v>2949</v>
      </c>
      <c r="D636" s="1" t="s">
        <v>2950</v>
      </c>
      <c r="E636" s="1" t="s">
        <v>2951</v>
      </c>
      <c r="F636" s="1" t="s">
        <v>112</v>
      </c>
      <c r="G636" s="1">
        <v>29828</v>
      </c>
    </row>
    <row r="637" spans="1:7" x14ac:dyDescent="0.25">
      <c r="A637" s="1" t="str">
        <f t="shared" si="9"/>
        <v>8</v>
      </c>
      <c r="B6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37" s="1" t="s">
        <v>2952</v>
      </c>
    </row>
    <row r="638" spans="1:7" x14ac:dyDescent="0.25">
      <c r="A638" s="1" t="str">
        <f t="shared" si="9"/>
        <v>8</v>
      </c>
      <c r="B6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38" s="1" t="s">
        <v>2953</v>
      </c>
      <c r="D638" s="1" t="s">
        <v>480</v>
      </c>
      <c r="E638" s="1" t="s">
        <v>2954</v>
      </c>
      <c r="F638" s="1" t="s">
        <v>112</v>
      </c>
      <c r="G638" s="1">
        <v>68048</v>
      </c>
    </row>
    <row r="639" spans="1:7" x14ac:dyDescent="0.25">
      <c r="A639" s="1" t="str">
        <f t="shared" si="9"/>
        <v>8</v>
      </c>
      <c r="B6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39" s="1" t="s">
        <v>2955</v>
      </c>
      <c r="D639" s="1" t="s">
        <v>2956</v>
      </c>
      <c r="E639" s="1" t="s">
        <v>2957</v>
      </c>
      <c r="F639" s="1" t="s">
        <v>112</v>
      </c>
      <c r="G639" s="1">
        <v>360073</v>
      </c>
    </row>
    <row r="640" spans="1:7" x14ac:dyDescent="0.25">
      <c r="A640" s="1" t="str">
        <f t="shared" si="9"/>
        <v>8</v>
      </c>
      <c r="B6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40" s="1" t="s">
        <v>2958</v>
      </c>
      <c r="D640" s="1" t="s">
        <v>2959</v>
      </c>
      <c r="E640" s="1" t="s">
        <v>2960</v>
      </c>
      <c r="F640" s="1" t="s">
        <v>112</v>
      </c>
      <c r="G640" s="1">
        <v>373808</v>
      </c>
    </row>
    <row r="641" spans="1:10" x14ac:dyDescent="0.25">
      <c r="A641" s="1" t="str">
        <f t="shared" si="9"/>
        <v>8</v>
      </c>
      <c r="B6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41" s="1" t="s">
        <v>2961</v>
      </c>
      <c r="D641" s="1" t="s">
        <v>309</v>
      </c>
      <c r="E641" s="1" t="s">
        <v>310</v>
      </c>
      <c r="F641" s="1" t="s">
        <v>112</v>
      </c>
      <c r="G641" s="1">
        <v>6792</v>
      </c>
    </row>
    <row r="642" spans="1:10" x14ac:dyDescent="0.25">
      <c r="A642" s="1" t="str">
        <f t="shared" ref="A642:A705" si="10">IFERROR(LEFT(RIGHT(C642,LEN(C642)-SEARCH("@",C642)),SEARCH("/",RIGHT(C642,LEN(C642)-SEARCH("@",C642)-1))),"")</f>
        <v>8</v>
      </c>
      <c r="B6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42" s="1" t="s">
        <v>2962</v>
      </c>
      <c r="D642" s="1" t="s">
        <v>2963</v>
      </c>
      <c r="E642" s="1" t="s">
        <v>2964</v>
      </c>
      <c r="F642" s="1" t="s">
        <v>112</v>
      </c>
      <c r="G642" s="1">
        <v>106917</v>
      </c>
    </row>
    <row r="643" spans="1:10" x14ac:dyDescent="0.25">
      <c r="A643" s="1" t="str">
        <f t="shared" si="10"/>
        <v>8</v>
      </c>
      <c r="B6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43" s="1" t="s">
        <v>2965</v>
      </c>
      <c r="D643" s="1" t="s">
        <v>2943</v>
      </c>
      <c r="E643" s="1" t="s">
        <v>2966</v>
      </c>
      <c r="F643" s="1" t="s">
        <v>112</v>
      </c>
      <c r="G643" s="1">
        <v>134451</v>
      </c>
    </row>
    <row r="644" spans="1:10" x14ac:dyDescent="0.25">
      <c r="A644" s="1" t="str">
        <f t="shared" si="10"/>
        <v>8</v>
      </c>
      <c r="B6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44" s="1" t="s">
        <v>2967</v>
      </c>
      <c r="D644" s="1" t="s">
        <v>2968</v>
      </c>
      <c r="E644" s="1" t="s">
        <v>2969</v>
      </c>
      <c r="F644" s="1" t="s">
        <v>112</v>
      </c>
      <c r="G644" s="1">
        <v>318825</v>
      </c>
    </row>
    <row r="645" spans="1:10" x14ac:dyDescent="0.25">
      <c r="A645" s="1" t="str">
        <f t="shared" si="10"/>
        <v>8</v>
      </c>
      <c r="B6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45" s="1" t="s">
        <v>2970</v>
      </c>
      <c r="D645" s="1" t="s">
        <v>2971</v>
      </c>
      <c r="E645" s="1" t="s">
        <v>2972</v>
      </c>
      <c r="F645" s="1" t="s">
        <v>112</v>
      </c>
      <c r="G645" s="1">
        <v>312011</v>
      </c>
    </row>
    <row r="646" spans="1:10" x14ac:dyDescent="0.25">
      <c r="A646" s="1" t="str">
        <f t="shared" si="10"/>
        <v>8</v>
      </c>
      <c r="B6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46" s="1" t="s">
        <v>2973</v>
      </c>
      <c r="D646" s="1" t="s">
        <v>2974</v>
      </c>
      <c r="E646" s="1" t="s">
        <v>2975</v>
      </c>
      <c r="F646" s="1" t="s">
        <v>112</v>
      </c>
      <c r="G646" s="1">
        <v>220257</v>
      </c>
    </row>
    <row r="647" spans="1:10" x14ac:dyDescent="0.25">
      <c r="A647" s="1" t="str">
        <f t="shared" si="10"/>
        <v>8</v>
      </c>
      <c r="B6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47" s="1" t="s">
        <v>2976</v>
      </c>
      <c r="D647" s="1" t="s">
        <v>2977</v>
      </c>
      <c r="E647" s="1" t="s">
        <v>2978</v>
      </c>
      <c r="F647" s="1" t="s">
        <v>112</v>
      </c>
      <c r="G647" s="1">
        <v>476269</v>
      </c>
    </row>
    <row r="648" spans="1:10" x14ac:dyDescent="0.25">
      <c r="A648" s="1" t="str">
        <f t="shared" si="10"/>
        <v>8</v>
      </c>
      <c r="B6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48" s="1" t="s">
        <v>2979</v>
      </c>
      <c r="D648" s="1" t="s">
        <v>2980</v>
      </c>
      <c r="E648" s="1" t="s">
        <v>2981</v>
      </c>
      <c r="F648" s="1" t="s">
        <v>112</v>
      </c>
      <c r="G648" s="1">
        <v>319841</v>
      </c>
    </row>
    <row r="649" spans="1:10" x14ac:dyDescent="0.25">
      <c r="A649" s="1" t="str">
        <f t="shared" si="10"/>
        <v>8</v>
      </c>
      <c r="B6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49" s="1" t="s">
        <v>2982</v>
      </c>
      <c r="D649" s="1" t="s">
        <v>303</v>
      </c>
      <c r="E649" s="1" t="s">
        <v>2983</v>
      </c>
      <c r="F649" s="1" t="s">
        <v>112</v>
      </c>
      <c r="G649" s="1">
        <v>3915</v>
      </c>
    </row>
    <row r="650" spans="1:10" x14ac:dyDescent="0.25">
      <c r="A650" s="1" t="str">
        <f t="shared" si="10"/>
        <v>8</v>
      </c>
      <c r="B6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50" s="1" t="s">
        <v>2984</v>
      </c>
      <c r="D650" s="1" t="s">
        <v>235</v>
      </c>
      <c r="E650" s="1" t="s">
        <v>2985</v>
      </c>
      <c r="F650" s="1" t="s">
        <v>112</v>
      </c>
      <c r="G650" s="1">
        <v>100990</v>
      </c>
    </row>
    <row r="651" spans="1:10" x14ac:dyDescent="0.25">
      <c r="A651" s="1" t="str">
        <f t="shared" si="10"/>
        <v>8</v>
      </c>
      <c r="B6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51" s="1" t="s">
        <v>2986</v>
      </c>
      <c r="D651" s="1" t="s">
        <v>2987</v>
      </c>
      <c r="E651" s="1" t="s">
        <v>2988</v>
      </c>
      <c r="F651" s="1" t="s">
        <v>112</v>
      </c>
      <c r="G651" s="1">
        <v>304030</v>
      </c>
    </row>
    <row r="652" spans="1:10" x14ac:dyDescent="0.25">
      <c r="A652" s="1" t="str">
        <f t="shared" si="10"/>
        <v>8</v>
      </c>
      <c r="B6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52" s="1" t="s">
        <v>2989</v>
      </c>
      <c r="D652" s="1" t="s">
        <v>2990</v>
      </c>
      <c r="E652" s="1" t="s">
        <v>2991</v>
      </c>
      <c r="F652" s="1" t="s">
        <v>112</v>
      </c>
      <c r="G652" s="1">
        <v>252810</v>
      </c>
    </row>
    <row r="653" spans="1:10" x14ac:dyDescent="0.25">
      <c r="A653" s="1" t="str">
        <f t="shared" si="10"/>
        <v/>
      </c>
      <c r="B6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3" s="1" t="s">
        <v>112</v>
      </c>
    </row>
    <row r="654" spans="1:10" x14ac:dyDescent="0.25">
      <c r="A654" s="1" t="str">
        <f t="shared" si="10"/>
        <v/>
      </c>
      <c r="B6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4" s="1" t="s">
        <v>237</v>
      </c>
      <c r="D654" s="1" t="s">
        <v>112</v>
      </c>
      <c r="E654" s="1" t="s">
        <v>238</v>
      </c>
      <c r="F654" s="1" t="s">
        <v>239</v>
      </c>
      <c r="G654" s="1" t="s">
        <v>240</v>
      </c>
      <c r="H654" s="1" t="s">
        <v>241</v>
      </c>
      <c r="I654" s="1" t="s">
        <v>242</v>
      </c>
      <c r="J654" s="1" t="s">
        <v>243</v>
      </c>
    </row>
    <row r="655" spans="1:10" x14ac:dyDescent="0.25">
      <c r="A655" s="1" t="str">
        <f t="shared" si="10"/>
        <v>8</v>
      </c>
      <c r="B6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55" s="1" t="s">
        <v>2992</v>
      </c>
      <c r="D655" s="1" t="s">
        <v>112</v>
      </c>
      <c r="E655" s="1" t="s">
        <v>2993</v>
      </c>
      <c r="F655" s="1" t="s">
        <v>2994</v>
      </c>
      <c r="G655" s="1" t="s">
        <v>2995</v>
      </c>
      <c r="H655" s="1" t="s">
        <v>2996</v>
      </c>
      <c r="I655" s="1">
        <v>24</v>
      </c>
      <c r="J655" s="1">
        <v>24</v>
      </c>
    </row>
    <row r="656" spans="1:10" x14ac:dyDescent="0.25">
      <c r="A656" s="1" t="str">
        <f t="shared" si="10"/>
        <v/>
      </c>
      <c r="B6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6" s="1" t="s">
        <v>112</v>
      </c>
    </row>
    <row r="657" spans="1:7" x14ac:dyDescent="0.25">
      <c r="A657" s="1" t="str">
        <f t="shared" si="10"/>
        <v/>
      </c>
      <c r="B6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7" s="1" t="s">
        <v>112</v>
      </c>
    </row>
    <row r="658" spans="1:7" x14ac:dyDescent="0.25">
      <c r="A658" s="1" t="str">
        <f t="shared" si="10"/>
        <v/>
      </c>
      <c r="B6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8" s="1" t="s">
        <v>112</v>
      </c>
    </row>
    <row r="659" spans="1:7" x14ac:dyDescent="0.25">
      <c r="A659" s="1" t="str">
        <f t="shared" si="10"/>
        <v/>
      </c>
      <c r="B6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9" s="1" t="s">
        <v>112</v>
      </c>
    </row>
    <row r="660" spans="1:7" x14ac:dyDescent="0.25">
      <c r="A660" s="1" t="str">
        <f t="shared" si="10"/>
        <v/>
      </c>
      <c r="B6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60" s="1" t="s">
        <v>112</v>
      </c>
    </row>
    <row r="661" spans="1:7" x14ac:dyDescent="0.25">
      <c r="A661" s="1" t="str">
        <f t="shared" si="10"/>
        <v/>
      </c>
      <c r="B6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61" s="1" t="s">
        <v>249</v>
      </c>
      <c r="D661" s="1" t="s">
        <v>110</v>
      </c>
      <c r="E661" s="1" t="s">
        <v>111</v>
      </c>
      <c r="F661" s="1" t="s">
        <v>112</v>
      </c>
      <c r="G661" s="1" t="s">
        <v>113</v>
      </c>
    </row>
    <row r="662" spans="1:7" x14ac:dyDescent="0.25">
      <c r="A662" s="1" t="str">
        <f t="shared" si="10"/>
        <v>9</v>
      </c>
      <c r="B66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62" s="1" t="s">
        <v>2997</v>
      </c>
      <c r="D662" s="1" t="s">
        <v>2019</v>
      </c>
      <c r="E662" s="1" t="s">
        <v>2998</v>
      </c>
      <c r="F662" s="1" t="s">
        <v>112</v>
      </c>
      <c r="G662" s="1">
        <v>229385</v>
      </c>
    </row>
    <row r="663" spans="1:7" x14ac:dyDescent="0.25">
      <c r="A663" s="1" t="str">
        <f t="shared" si="10"/>
        <v>9</v>
      </c>
      <c r="B66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63" s="1" t="s">
        <v>2999</v>
      </c>
      <c r="D663" s="1" t="s">
        <v>3000</v>
      </c>
      <c r="E663" s="1" t="s">
        <v>3001</v>
      </c>
      <c r="F663" s="1" t="s">
        <v>112</v>
      </c>
      <c r="G663" s="1">
        <v>165188</v>
      </c>
    </row>
    <row r="664" spans="1:7" x14ac:dyDescent="0.25">
      <c r="A664" s="1" t="str">
        <f t="shared" si="10"/>
        <v>9</v>
      </c>
      <c r="B66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64" s="1" t="s">
        <v>3002</v>
      </c>
      <c r="D664" s="1" t="s">
        <v>3003</v>
      </c>
      <c r="E664" s="1" t="s">
        <v>3004</v>
      </c>
      <c r="F664" s="1" t="s">
        <v>112</v>
      </c>
      <c r="G664" s="1">
        <v>196443</v>
      </c>
    </row>
    <row r="665" spans="1:7" x14ac:dyDescent="0.25">
      <c r="A665" s="1" t="str">
        <f t="shared" si="10"/>
        <v>9</v>
      </c>
      <c r="B6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65" s="1" t="s">
        <v>3005</v>
      </c>
    </row>
    <row r="666" spans="1:7" x14ac:dyDescent="0.25">
      <c r="A666" s="1" t="str">
        <f t="shared" si="10"/>
        <v>9</v>
      </c>
      <c r="B6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66" s="1" t="s">
        <v>3006</v>
      </c>
      <c r="D666" s="1" t="s">
        <v>3007</v>
      </c>
      <c r="E666" s="1" t="s">
        <v>3008</v>
      </c>
      <c r="F666" s="1" t="s">
        <v>112</v>
      </c>
      <c r="G666" s="1">
        <v>90197</v>
      </c>
    </row>
    <row r="667" spans="1:7" x14ac:dyDescent="0.25">
      <c r="A667" s="1" t="str">
        <f t="shared" si="10"/>
        <v>9</v>
      </c>
      <c r="B6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67" s="1" t="s">
        <v>3009</v>
      </c>
      <c r="D667" s="1" t="s">
        <v>3010</v>
      </c>
      <c r="E667" s="1" t="s">
        <v>3011</v>
      </c>
      <c r="F667" s="1" t="s">
        <v>112</v>
      </c>
      <c r="G667" s="1">
        <v>224713</v>
      </c>
    </row>
    <row r="668" spans="1:7" x14ac:dyDescent="0.25">
      <c r="A668" s="1" t="str">
        <f t="shared" si="10"/>
        <v>9</v>
      </c>
      <c r="B6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68" s="1" t="s">
        <v>3012</v>
      </c>
    </row>
    <row r="669" spans="1:7" x14ac:dyDescent="0.25">
      <c r="A669" s="1" t="str">
        <f t="shared" si="10"/>
        <v>9</v>
      </c>
      <c r="B6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69" s="1" t="s">
        <v>3013</v>
      </c>
      <c r="D669" s="1" t="s">
        <v>306</v>
      </c>
      <c r="E669" s="1" t="s">
        <v>3014</v>
      </c>
      <c r="F669" s="1" t="s">
        <v>112</v>
      </c>
      <c r="G669" s="1">
        <v>60758</v>
      </c>
    </row>
    <row r="670" spans="1:7" x14ac:dyDescent="0.25">
      <c r="A670" s="1" t="str">
        <f t="shared" si="10"/>
        <v>9</v>
      </c>
      <c r="B6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70" s="1" t="s">
        <v>3015</v>
      </c>
      <c r="D670" s="1" t="s">
        <v>3016</v>
      </c>
      <c r="E670" s="1" t="s">
        <v>3017</v>
      </c>
      <c r="F670" s="1" t="s">
        <v>112</v>
      </c>
      <c r="G670" s="1">
        <v>147797</v>
      </c>
    </row>
    <row r="671" spans="1:7" x14ac:dyDescent="0.25">
      <c r="A671" s="1" t="str">
        <f t="shared" si="10"/>
        <v>9</v>
      </c>
      <c r="B6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71" s="1" t="s">
        <v>3018</v>
      </c>
      <c r="D671" s="1" t="s">
        <v>2087</v>
      </c>
      <c r="E671" s="1" t="s">
        <v>3019</v>
      </c>
      <c r="F671" s="1" t="s">
        <v>112</v>
      </c>
      <c r="G671" s="1">
        <v>155779</v>
      </c>
    </row>
    <row r="672" spans="1:7" x14ac:dyDescent="0.25">
      <c r="A672" s="1" t="str">
        <f t="shared" si="10"/>
        <v>9</v>
      </c>
      <c r="B6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72" s="1" t="s">
        <v>3020</v>
      </c>
      <c r="D672" s="1" t="s">
        <v>502</v>
      </c>
      <c r="E672" s="1" t="s">
        <v>3021</v>
      </c>
      <c r="F672" s="1" t="s">
        <v>112</v>
      </c>
      <c r="G672" s="1">
        <v>83448</v>
      </c>
    </row>
    <row r="673" spans="1:10" x14ac:dyDescent="0.25">
      <c r="A673" s="1" t="str">
        <f t="shared" si="10"/>
        <v>9</v>
      </c>
      <c r="B6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73" s="1" t="s">
        <v>3022</v>
      </c>
      <c r="D673" s="1" t="s">
        <v>2160</v>
      </c>
      <c r="E673" s="1" t="s">
        <v>3023</v>
      </c>
      <c r="F673" s="1" t="s">
        <v>112</v>
      </c>
      <c r="G673" s="1">
        <v>43519</v>
      </c>
    </row>
    <row r="674" spans="1:10" x14ac:dyDescent="0.25">
      <c r="A674" s="1" t="str">
        <f t="shared" si="10"/>
        <v>9</v>
      </c>
      <c r="B6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74" s="1" t="s">
        <v>3024</v>
      </c>
      <c r="D674" s="1" t="s">
        <v>2083</v>
      </c>
      <c r="E674" s="1" t="s">
        <v>3025</v>
      </c>
      <c r="F674" s="1" t="s">
        <v>112</v>
      </c>
      <c r="G674" s="1">
        <v>116758</v>
      </c>
    </row>
    <row r="675" spans="1:10" x14ac:dyDescent="0.25">
      <c r="A675" s="1" t="str">
        <f t="shared" si="10"/>
        <v>9</v>
      </c>
      <c r="B6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75" s="1" t="s">
        <v>3026</v>
      </c>
      <c r="D675" s="1" t="s">
        <v>3027</v>
      </c>
      <c r="E675" s="1" t="s">
        <v>3028</v>
      </c>
      <c r="F675" s="1" t="s">
        <v>112</v>
      </c>
      <c r="G675" s="1">
        <v>399072</v>
      </c>
    </row>
    <row r="676" spans="1:10" x14ac:dyDescent="0.25">
      <c r="A676" s="1" t="str">
        <f t="shared" si="10"/>
        <v>9</v>
      </c>
      <c r="B6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76" s="1" t="s">
        <v>3029</v>
      </c>
    </row>
    <row r="677" spans="1:10" x14ac:dyDescent="0.25">
      <c r="A677" s="1" t="str">
        <f t="shared" si="10"/>
        <v>9</v>
      </c>
      <c r="B6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77" s="1" t="s">
        <v>3030</v>
      </c>
      <c r="D677" s="1" t="s">
        <v>1658</v>
      </c>
      <c r="E677" s="1" t="s">
        <v>3031</v>
      </c>
      <c r="F677" s="1" t="s">
        <v>112</v>
      </c>
      <c r="G677" s="1">
        <v>176824</v>
      </c>
    </row>
    <row r="678" spans="1:10" x14ac:dyDescent="0.25">
      <c r="A678" s="1" t="str">
        <f t="shared" si="10"/>
        <v>9</v>
      </c>
      <c r="B6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78" s="1" t="s">
        <v>3032</v>
      </c>
      <c r="D678" s="1" t="s">
        <v>1559</v>
      </c>
      <c r="E678" s="1" t="s">
        <v>3033</v>
      </c>
      <c r="F678" s="1" t="s">
        <v>112</v>
      </c>
      <c r="G678" s="1">
        <v>195837</v>
      </c>
    </row>
    <row r="679" spans="1:10" x14ac:dyDescent="0.25">
      <c r="A679" s="1" t="str">
        <f t="shared" si="10"/>
        <v>9</v>
      </c>
      <c r="B6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79" s="1" t="s">
        <v>3034</v>
      </c>
      <c r="D679" s="1" t="s">
        <v>2246</v>
      </c>
      <c r="E679" s="1" t="s">
        <v>1745</v>
      </c>
      <c r="F679" s="1" t="s">
        <v>112</v>
      </c>
      <c r="G679" s="1">
        <v>215499</v>
      </c>
    </row>
    <row r="680" spans="1:10" x14ac:dyDescent="0.25">
      <c r="A680" s="1" t="str">
        <f t="shared" si="10"/>
        <v>9</v>
      </c>
      <c r="B6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80" s="1" t="s">
        <v>3035</v>
      </c>
      <c r="D680" s="1" t="s">
        <v>3036</v>
      </c>
      <c r="E680" s="1" t="s">
        <v>3037</v>
      </c>
      <c r="F680" s="1" t="s">
        <v>112</v>
      </c>
      <c r="G680" s="1">
        <v>335025</v>
      </c>
    </row>
    <row r="681" spans="1:10" x14ac:dyDescent="0.25">
      <c r="A681" s="1" t="str">
        <f t="shared" si="10"/>
        <v>9</v>
      </c>
      <c r="B6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81" s="1" t="s">
        <v>3038</v>
      </c>
      <c r="D681" s="1" t="s">
        <v>1649</v>
      </c>
      <c r="E681" s="1" t="s">
        <v>3039</v>
      </c>
      <c r="F681" s="1" t="s">
        <v>112</v>
      </c>
      <c r="G681" s="1">
        <v>226638</v>
      </c>
    </row>
    <row r="682" spans="1:10" x14ac:dyDescent="0.25">
      <c r="A682" s="1" t="str">
        <f t="shared" si="10"/>
        <v>9</v>
      </c>
      <c r="B6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82" s="1" t="s">
        <v>3040</v>
      </c>
      <c r="D682" s="1" t="s">
        <v>3041</v>
      </c>
      <c r="E682" s="1" t="s">
        <v>3042</v>
      </c>
      <c r="F682" s="1" t="s">
        <v>112</v>
      </c>
      <c r="G682" s="1">
        <v>221533</v>
      </c>
    </row>
    <row r="683" spans="1:10" x14ac:dyDescent="0.25">
      <c r="A683" s="1" t="str">
        <f t="shared" si="10"/>
        <v>9</v>
      </c>
      <c r="B6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83" s="1" t="s">
        <v>3043</v>
      </c>
      <c r="D683" s="1" t="s">
        <v>1571</v>
      </c>
      <c r="E683" s="1" t="s">
        <v>3044</v>
      </c>
      <c r="F683" s="1" t="s">
        <v>112</v>
      </c>
      <c r="G683" s="1">
        <v>358948</v>
      </c>
    </row>
    <row r="684" spans="1:10" x14ac:dyDescent="0.25">
      <c r="A684" s="1" t="str">
        <f t="shared" si="10"/>
        <v>9</v>
      </c>
      <c r="B6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84" s="1" t="s">
        <v>3045</v>
      </c>
      <c r="D684" s="1" t="s">
        <v>3046</v>
      </c>
      <c r="E684" s="1" t="s">
        <v>3047</v>
      </c>
      <c r="F684" s="1" t="s">
        <v>112</v>
      </c>
      <c r="G684" s="1">
        <v>562031</v>
      </c>
    </row>
    <row r="685" spans="1:10" x14ac:dyDescent="0.25">
      <c r="A685" s="1" t="str">
        <f t="shared" si="10"/>
        <v>9</v>
      </c>
      <c r="B6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85" s="1" t="s">
        <v>3048</v>
      </c>
      <c r="D685" s="1" t="s">
        <v>3049</v>
      </c>
      <c r="E685" s="1" t="s">
        <v>3050</v>
      </c>
      <c r="F685" s="1" t="s">
        <v>112</v>
      </c>
      <c r="G685" s="1">
        <v>296092</v>
      </c>
    </row>
    <row r="686" spans="1:10" x14ac:dyDescent="0.25">
      <c r="A686" s="1" t="str">
        <f t="shared" si="10"/>
        <v/>
      </c>
      <c r="B6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86" s="1" t="s">
        <v>112</v>
      </c>
    </row>
    <row r="687" spans="1:10" x14ac:dyDescent="0.25">
      <c r="A687" s="1" t="str">
        <f t="shared" si="10"/>
        <v/>
      </c>
      <c r="B6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87" s="1" t="s">
        <v>237</v>
      </c>
      <c r="D687" s="1" t="s">
        <v>112</v>
      </c>
      <c r="E687" s="1" t="s">
        <v>238</v>
      </c>
      <c r="F687" s="1" t="s">
        <v>239</v>
      </c>
      <c r="G687" s="1" t="s">
        <v>240</v>
      </c>
      <c r="H687" s="1" t="s">
        <v>241</v>
      </c>
      <c r="I687" s="1" t="s">
        <v>242</v>
      </c>
      <c r="J687" s="1" t="s">
        <v>243</v>
      </c>
    </row>
    <row r="688" spans="1:10" x14ac:dyDescent="0.25">
      <c r="A688" s="1" t="str">
        <f t="shared" si="10"/>
        <v>9</v>
      </c>
      <c r="B6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88" s="1" t="s">
        <v>3051</v>
      </c>
      <c r="D688" s="1" t="s">
        <v>112</v>
      </c>
      <c r="E688" s="1" t="s">
        <v>3052</v>
      </c>
      <c r="F688" s="1" t="s">
        <v>3053</v>
      </c>
      <c r="G688" s="1" t="s">
        <v>3054</v>
      </c>
      <c r="H688" s="1" t="s">
        <v>3055</v>
      </c>
      <c r="I688" s="1">
        <v>24</v>
      </c>
      <c r="J688" s="1">
        <v>24</v>
      </c>
    </row>
    <row r="689" spans="1:3" x14ac:dyDescent="0.25">
      <c r="A689" s="1" t="str">
        <f t="shared" si="10"/>
        <v/>
      </c>
      <c r="B6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89" s="1" t="s">
        <v>112</v>
      </c>
    </row>
    <row r="690" spans="1:3" x14ac:dyDescent="0.25">
      <c r="A690" s="1" t="str">
        <f t="shared" si="10"/>
        <v/>
      </c>
      <c r="B6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1" spans="1:3" x14ac:dyDescent="0.25">
      <c r="A691" s="1" t="str">
        <f t="shared" si="10"/>
        <v/>
      </c>
      <c r="B6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2" spans="1:3" x14ac:dyDescent="0.25">
      <c r="A692" s="1" t="str">
        <f t="shared" si="10"/>
        <v/>
      </c>
      <c r="B6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3" spans="1:3" x14ac:dyDescent="0.25">
      <c r="A693" s="1" t="str">
        <f t="shared" si="10"/>
        <v/>
      </c>
      <c r="B6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4" spans="1:3" x14ac:dyDescent="0.25">
      <c r="A694" s="1" t="str">
        <f t="shared" si="10"/>
        <v/>
      </c>
      <c r="B6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5" spans="1:3" x14ac:dyDescent="0.25">
      <c r="A695" s="1" t="str">
        <f t="shared" si="10"/>
        <v/>
      </c>
      <c r="B6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6" spans="1:3" x14ac:dyDescent="0.25">
      <c r="A696" s="1" t="str">
        <f t="shared" si="10"/>
        <v/>
      </c>
      <c r="B6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7" spans="1:3" x14ac:dyDescent="0.25">
      <c r="A697" s="1" t="str">
        <f t="shared" si="10"/>
        <v/>
      </c>
      <c r="B6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8" spans="1:3" x14ac:dyDescent="0.25">
      <c r="A698" s="1" t="str">
        <f t="shared" si="10"/>
        <v/>
      </c>
      <c r="B6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9" spans="1:3" x14ac:dyDescent="0.25">
      <c r="A699" s="1" t="str">
        <f t="shared" si="10"/>
        <v/>
      </c>
      <c r="B6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0" spans="1:3" x14ac:dyDescent="0.25">
      <c r="A700" s="1" t="str">
        <f t="shared" si="10"/>
        <v/>
      </c>
      <c r="B7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1" spans="1:3" x14ac:dyDescent="0.25">
      <c r="A701" s="1" t="str">
        <f t="shared" si="10"/>
        <v/>
      </c>
      <c r="B7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2" spans="1:3" x14ac:dyDescent="0.25">
      <c r="A702" s="1" t="str">
        <f t="shared" si="10"/>
        <v/>
      </c>
      <c r="B7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3" spans="1:3" x14ac:dyDescent="0.25">
      <c r="A703" s="1" t="str">
        <f t="shared" si="10"/>
        <v/>
      </c>
      <c r="B7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4" spans="1:3" x14ac:dyDescent="0.25">
      <c r="A704" s="1" t="str">
        <f t="shared" si="10"/>
        <v/>
      </c>
      <c r="B7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5" spans="1:2" x14ac:dyDescent="0.25">
      <c r="A705" s="1" t="str">
        <f t="shared" si="10"/>
        <v/>
      </c>
      <c r="B7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6" spans="1:2" x14ac:dyDescent="0.25">
      <c r="A706" s="1" t="str">
        <f t="shared" ref="A706:A769" si="11">IFERROR(LEFT(RIGHT(C706,LEN(C706)-SEARCH("@",C706)),SEARCH("/",RIGHT(C706,LEN(C706)-SEARCH("@",C706)-1))),"")</f>
        <v/>
      </c>
      <c r="B7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7" spans="1:2" x14ac:dyDescent="0.25">
      <c r="A707" s="1" t="str">
        <f t="shared" si="11"/>
        <v/>
      </c>
      <c r="B7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8" spans="1:2" x14ac:dyDescent="0.25">
      <c r="A708" s="1" t="str">
        <f t="shared" si="11"/>
        <v/>
      </c>
      <c r="B7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9" spans="1:2" x14ac:dyDescent="0.25">
      <c r="A709" s="1" t="str">
        <f t="shared" si="11"/>
        <v/>
      </c>
      <c r="B7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0" spans="1:2" x14ac:dyDescent="0.25">
      <c r="A710" s="1" t="str">
        <f t="shared" si="11"/>
        <v/>
      </c>
      <c r="B7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1" spans="1:2" x14ac:dyDescent="0.25">
      <c r="A711" s="1" t="str">
        <f t="shared" si="11"/>
        <v/>
      </c>
      <c r="B7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2" spans="1:2" x14ac:dyDescent="0.25">
      <c r="A712" s="1" t="str">
        <f t="shared" si="11"/>
        <v/>
      </c>
      <c r="B7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3" spans="1:2" x14ac:dyDescent="0.25">
      <c r="A713" s="1" t="str">
        <f t="shared" si="11"/>
        <v/>
      </c>
      <c r="B7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4" spans="1:2" x14ac:dyDescent="0.25">
      <c r="A714" s="1" t="str">
        <f t="shared" si="11"/>
        <v/>
      </c>
      <c r="B7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5" spans="1:2" x14ac:dyDescent="0.25">
      <c r="A715" s="1" t="str">
        <f t="shared" si="11"/>
        <v/>
      </c>
      <c r="B7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6" spans="1:2" x14ac:dyDescent="0.25">
      <c r="A716" s="1" t="str">
        <f t="shared" si="11"/>
        <v/>
      </c>
      <c r="B7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7" spans="1:2" x14ac:dyDescent="0.25">
      <c r="A717" s="1" t="str">
        <f t="shared" si="11"/>
        <v/>
      </c>
      <c r="B7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8" spans="1:2" x14ac:dyDescent="0.25">
      <c r="A718" s="1" t="str">
        <f t="shared" si="11"/>
        <v/>
      </c>
      <c r="B7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9" spans="1:2" x14ac:dyDescent="0.25">
      <c r="A719" s="1" t="str">
        <f t="shared" si="11"/>
        <v/>
      </c>
      <c r="B7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0" spans="1:2" x14ac:dyDescent="0.25">
      <c r="A720" s="1" t="str">
        <f t="shared" si="11"/>
        <v/>
      </c>
      <c r="B7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1" spans="1:2" x14ac:dyDescent="0.25">
      <c r="A721" s="1" t="str">
        <f t="shared" si="11"/>
        <v/>
      </c>
      <c r="B7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2" spans="1:2" x14ac:dyDescent="0.25">
      <c r="A722" s="1" t="str">
        <f t="shared" si="11"/>
        <v/>
      </c>
      <c r="B7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3" spans="1:2" x14ac:dyDescent="0.25">
      <c r="A723" s="1" t="str">
        <f t="shared" si="11"/>
        <v/>
      </c>
      <c r="B7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4" spans="1:2" x14ac:dyDescent="0.25">
      <c r="A724" s="1" t="str">
        <f t="shared" si="11"/>
        <v/>
      </c>
      <c r="B7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5" spans="1:2" x14ac:dyDescent="0.25">
      <c r="A725" s="1" t="str">
        <f t="shared" si="11"/>
        <v/>
      </c>
      <c r="B7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6" spans="1:2" x14ac:dyDescent="0.25">
      <c r="A726" s="1" t="str">
        <f t="shared" si="11"/>
        <v/>
      </c>
      <c r="B7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7" spans="1:2" x14ac:dyDescent="0.25">
      <c r="A727" s="1" t="str">
        <f t="shared" si="11"/>
        <v/>
      </c>
      <c r="B7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8" spans="1:2" x14ac:dyDescent="0.25">
      <c r="A728" s="1" t="str">
        <f t="shared" si="11"/>
        <v/>
      </c>
      <c r="B7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9" spans="1:2" x14ac:dyDescent="0.25">
      <c r="A729" s="1" t="str">
        <f t="shared" si="11"/>
        <v/>
      </c>
      <c r="B7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0" spans="1:2" x14ac:dyDescent="0.25">
      <c r="A730" s="1" t="str">
        <f t="shared" si="11"/>
        <v/>
      </c>
      <c r="B7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1" spans="1:2" x14ac:dyDescent="0.25">
      <c r="A731" s="1" t="str">
        <f t="shared" si="11"/>
        <v/>
      </c>
      <c r="B7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2" spans="1:2" x14ac:dyDescent="0.25">
      <c r="A732" s="1" t="str">
        <f t="shared" si="11"/>
        <v/>
      </c>
      <c r="B7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3" spans="1:2" x14ac:dyDescent="0.25">
      <c r="A733" s="1" t="str">
        <f t="shared" si="11"/>
        <v/>
      </c>
      <c r="B7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4" spans="1:2" x14ac:dyDescent="0.25">
      <c r="A734" s="1" t="str">
        <f t="shared" si="11"/>
        <v/>
      </c>
      <c r="B7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5" spans="1:2" x14ac:dyDescent="0.25">
      <c r="A735" s="1" t="str">
        <f t="shared" si="11"/>
        <v/>
      </c>
      <c r="B7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6" spans="1:2" x14ac:dyDescent="0.25">
      <c r="A736" s="1" t="str">
        <f t="shared" si="11"/>
        <v/>
      </c>
      <c r="B7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7" spans="1:2" x14ac:dyDescent="0.25">
      <c r="A737" s="1" t="str">
        <f t="shared" si="11"/>
        <v/>
      </c>
      <c r="B7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8" spans="1:2" x14ac:dyDescent="0.25">
      <c r="A738" s="1" t="str">
        <f t="shared" si="11"/>
        <v/>
      </c>
      <c r="B7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9" spans="1:2" x14ac:dyDescent="0.25">
      <c r="A739" s="1" t="str">
        <f t="shared" si="11"/>
        <v/>
      </c>
      <c r="B7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0" spans="1:2" x14ac:dyDescent="0.25">
      <c r="A740" s="1" t="str">
        <f t="shared" si="11"/>
        <v/>
      </c>
      <c r="B7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1" spans="1:2" x14ac:dyDescent="0.25">
      <c r="A741" s="1" t="str">
        <f t="shared" si="11"/>
        <v/>
      </c>
      <c r="B7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2" spans="1:2" x14ac:dyDescent="0.25">
      <c r="A742" s="1" t="str">
        <f t="shared" si="11"/>
        <v/>
      </c>
      <c r="B7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3" spans="1:2" x14ac:dyDescent="0.25">
      <c r="A743" s="1" t="str">
        <f t="shared" si="11"/>
        <v/>
      </c>
      <c r="B7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4" spans="1:2" x14ac:dyDescent="0.25">
      <c r="A744" s="1" t="str">
        <f t="shared" si="11"/>
        <v/>
      </c>
      <c r="B7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5" spans="1:2" x14ac:dyDescent="0.25">
      <c r="A745" s="1" t="str">
        <f t="shared" si="11"/>
        <v/>
      </c>
      <c r="B7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6" spans="1:2" x14ac:dyDescent="0.25">
      <c r="A746" s="1" t="str">
        <f t="shared" si="11"/>
        <v/>
      </c>
      <c r="B7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7" spans="1:2" x14ac:dyDescent="0.25">
      <c r="A747" s="1" t="str">
        <f t="shared" si="11"/>
        <v/>
      </c>
      <c r="B7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8" spans="1:2" x14ac:dyDescent="0.25">
      <c r="A748" s="1" t="str">
        <f t="shared" si="11"/>
        <v/>
      </c>
      <c r="B7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9" spans="1:2" x14ac:dyDescent="0.25">
      <c r="A749" s="1" t="str">
        <f t="shared" si="11"/>
        <v/>
      </c>
      <c r="B7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0" spans="1:2" x14ac:dyDescent="0.25">
      <c r="A750" s="1" t="str">
        <f t="shared" si="11"/>
        <v/>
      </c>
      <c r="B7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1" spans="1:2" x14ac:dyDescent="0.25">
      <c r="A751" s="1" t="str">
        <f t="shared" si="11"/>
        <v/>
      </c>
      <c r="B7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2" spans="1:2" x14ac:dyDescent="0.25">
      <c r="A752" s="1" t="str">
        <f t="shared" si="11"/>
        <v/>
      </c>
      <c r="B7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3" spans="1:2" x14ac:dyDescent="0.25">
      <c r="A753" s="1" t="str">
        <f t="shared" si="11"/>
        <v/>
      </c>
      <c r="B7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4" spans="1:2" x14ac:dyDescent="0.25">
      <c r="A754" s="1" t="str">
        <f t="shared" si="11"/>
        <v/>
      </c>
      <c r="B7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5" spans="1:2" x14ac:dyDescent="0.25">
      <c r="A755" s="1" t="str">
        <f t="shared" si="11"/>
        <v/>
      </c>
      <c r="B7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6" spans="1:2" x14ac:dyDescent="0.25">
      <c r="A756" s="1" t="str">
        <f t="shared" si="11"/>
        <v/>
      </c>
      <c r="B7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7" spans="1:2" x14ac:dyDescent="0.25">
      <c r="A757" s="1" t="str">
        <f t="shared" si="11"/>
        <v/>
      </c>
      <c r="B7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8" spans="1:2" x14ac:dyDescent="0.25">
      <c r="A758" s="1" t="str">
        <f t="shared" si="11"/>
        <v/>
      </c>
      <c r="B7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9" spans="1:2" x14ac:dyDescent="0.25">
      <c r="A759" s="1" t="str">
        <f t="shared" si="11"/>
        <v/>
      </c>
      <c r="B7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0" spans="1:2" x14ac:dyDescent="0.25">
      <c r="A760" s="1" t="str">
        <f t="shared" si="11"/>
        <v/>
      </c>
      <c r="B7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1" spans="1:2" x14ac:dyDescent="0.25">
      <c r="A761" s="1" t="str">
        <f t="shared" si="11"/>
        <v/>
      </c>
      <c r="B7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2" spans="1:2" x14ac:dyDescent="0.25">
      <c r="A762" s="1" t="str">
        <f t="shared" si="11"/>
        <v/>
      </c>
      <c r="B7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3" spans="1:2" x14ac:dyDescent="0.25">
      <c r="A763" s="1" t="str">
        <f t="shared" si="11"/>
        <v/>
      </c>
      <c r="B7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4" spans="1:2" x14ac:dyDescent="0.25">
      <c r="A764" s="1" t="str">
        <f t="shared" si="11"/>
        <v/>
      </c>
      <c r="B7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5" spans="1:2" x14ac:dyDescent="0.25">
      <c r="A765" s="1" t="str">
        <f t="shared" si="11"/>
        <v/>
      </c>
      <c r="B7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6" spans="1:2" x14ac:dyDescent="0.25">
      <c r="A766" s="1" t="str">
        <f t="shared" si="11"/>
        <v/>
      </c>
      <c r="B7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7" spans="1:2" x14ac:dyDescent="0.25">
      <c r="A767" s="1" t="str">
        <f t="shared" si="11"/>
        <v/>
      </c>
      <c r="B7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8" spans="1:2" x14ac:dyDescent="0.25">
      <c r="A768" s="1" t="str">
        <f t="shared" si="11"/>
        <v/>
      </c>
      <c r="B7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9" spans="1:2" x14ac:dyDescent="0.25">
      <c r="A769" s="1" t="str">
        <f t="shared" si="11"/>
        <v/>
      </c>
      <c r="B7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0" spans="1:2" x14ac:dyDescent="0.25">
      <c r="A770" s="1" t="str">
        <f t="shared" ref="A770:A833" si="12">IFERROR(LEFT(RIGHT(C770,LEN(C770)-SEARCH("@",C770)),SEARCH("/",RIGHT(C770,LEN(C770)-SEARCH("@",C770)-1))),"")</f>
        <v/>
      </c>
      <c r="B7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1" spans="1:2" x14ac:dyDescent="0.25">
      <c r="A771" s="1" t="str">
        <f t="shared" si="12"/>
        <v/>
      </c>
      <c r="B7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2" spans="1:2" x14ac:dyDescent="0.25">
      <c r="A772" s="1" t="str">
        <f t="shared" si="12"/>
        <v/>
      </c>
      <c r="B7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3" spans="1:2" x14ac:dyDescent="0.25">
      <c r="A773" s="1" t="str">
        <f t="shared" si="12"/>
        <v/>
      </c>
      <c r="B7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4" spans="1:2" x14ac:dyDescent="0.25">
      <c r="A774" s="1" t="str">
        <f t="shared" si="12"/>
        <v/>
      </c>
      <c r="B7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5" spans="1:2" x14ac:dyDescent="0.25">
      <c r="A775" s="1" t="str">
        <f t="shared" si="12"/>
        <v/>
      </c>
      <c r="B7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6" spans="1:2" x14ac:dyDescent="0.25">
      <c r="A776" s="1" t="str">
        <f t="shared" si="12"/>
        <v/>
      </c>
      <c r="B7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7" spans="1:2" x14ac:dyDescent="0.25">
      <c r="A777" s="1" t="str">
        <f t="shared" si="12"/>
        <v/>
      </c>
      <c r="B7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8" spans="1:2" x14ac:dyDescent="0.25">
      <c r="A778" s="1" t="str">
        <f t="shared" si="12"/>
        <v/>
      </c>
      <c r="B7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9" spans="1:2" x14ac:dyDescent="0.25">
      <c r="A779" s="1" t="str">
        <f t="shared" si="12"/>
        <v/>
      </c>
      <c r="B7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0" spans="1:2" x14ac:dyDescent="0.25">
      <c r="A780" s="1" t="str">
        <f t="shared" si="12"/>
        <v/>
      </c>
      <c r="B7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1" spans="1:2" x14ac:dyDescent="0.25">
      <c r="A781" s="1" t="str">
        <f t="shared" si="12"/>
        <v/>
      </c>
      <c r="B7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2" spans="1:2" x14ac:dyDescent="0.25">
      <c r="A782" s="1" t="str">
        <f t="shared" si="12"/>
        <v/>
      </c>
      <c r="B7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3" spans="1:2" x14ac:dyDescent="0.25">
      <c r="A783" s="1" t="str">
        <f t="shared" si="12"/>
        <v/>
      </c>
      <c r="B7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4" spans="1:2" x14ac:dyDescent="0.25">
      <c r="A784" s="1" t="str">
        <f t="shared" si="12"/>
        <v/>
      </c>
      <c r="B7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5" spans="1:2" x14ac:dyDescent="0.25">
      <c r="A785" s="1" t="str">
        <f t="shared" si="12"/>
        <v/>
      </c>
      <c r="B7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6" spans="1:2" x14ac:dyDescent="0.25">
      <c r="A786" s="1" t="str">
        <f t="shared" si="12"/>
        <v/>
      </c>
      <c r="B7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7" spans="1:2" x14ac:dyDescent="0.25">
      <c r="A787" s="1" t="str">
        <f t="shared" si="12"/>
        <v/>
      </c>
      <c r="B7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8" spans="1:2" x14ac:dyDescent="0.25">
      <c r="A788" s="1" t="str">
        <f t="shared" si="12"/>
        <v/>
      </c>
      <c r="B7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9" spans="1:2" x14ac:dyDescent="0.25">
      <c r="A789" s="1" t="str">
        <f t="shared" si="12"/>
        <v/>
      </c>
      <c r="B7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0" spans="1:2" x14ac:dyDescent="0.25">
      <c r="A790" s="1" t="str">
        <f t="shared" si="12"/>
        <v/>
      </c>
      <c r="B7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1" spans="1:2" x14ac:dyDescent="0.25">
      <c r="A791" s="1" t="str">
        <f t="shared" si="12"/>
        <v/>
      </c>
      <c r="B7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2" spans="1:2" x14ac:dyDescent="0.25">
      <c r="A792" s="1" t="str">
        <f t="shared" si="12"/>
        <v/>
      </c>
      <c r="B7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3" spans="1:2" x14ac:dyDescent="0.25">
      <c r="A793" s="1" t="str">
        <f t="shared" si="12"/>
        <v/>
      </c>
      <c r="B7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4" spans="1:2" x14ac:dyDescent="0.25">
      <c r="A794" s="1" t="str">
        <f t="shared" si="12"/>
        <v/>
      </c>
      <c r="B7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5" spans="1:2" x14ac:dyDescent="0.25">
      <c r="A795" s="1" t="str">
        <f t="shared" si="12"/>
        <v/>
      </c>
      <c r="B7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6" spans="1:2" x14ac:dyDescent="0.25">
      <c r="A796" s="1" t="str">
        <f t="shared" si="12"/>
        <v/>
      </c>
      <c r="B7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7" spans="1:2" x14ac:dyDescent="0.25">
      <c r="A797" s="1" t="str">
        <f t="shared" si="12"/>
        <v/>
      </c>
      <c r="B7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8" spans="1:2" x14ac:dyDescent="0.25">
      <c r="A798" s="1" t="str">
        <f t="shared" si="12"/>
        <v/>
      </c>
      <c r="B7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9" spans="1:2" x14ac:dyDescent="0.25">
      <c r="A799" s="1" t="str">
        <f t="shared" si="12"/>
        <v/>
      </c>
      <c r="B7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0" spans="1:2" x14ac:dyDescent="0.25">
      <c r="A800" s="1" t="str">
        <f t="shared" si="12"/>
        <v/>
      </c>
      <c r="B8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1" spans="1:2" x14ac:dyDescent="0.25">
      <c r="A801" s="1" t="str">
        <f t="shared" si="12"/>
        <v/>
      </c>
      <c r="B8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2" spans="1:2" x14ac:dyDescent="0.25">
      <c r="A802" s="1" t="str">
        <f t="shared" si="12"/>
        <v/>
      </c>
      <c r="B8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3" spans="1:2" x14ac:dyDescent="0.25">
      <c r="A803" s="1" t="str">
        <f t="shared" si="12"/>
        <v/>
      </c>
      <c r="B8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4" spans="1:2" x14ac:dyDescent="0.25">
      <c r="A804" s="1" t="str">
        <f t="shared" si="12"/>
        <v/>
      </c>
      <c r="B8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5" spans="1:2" x14ac:dyDescent="0.25">
      <c r="A805" s="1" t="str">
        <f t="shared" si="12"/>
        <v/>
      </c>
      <c r="B8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6" spans="1:2" x14ac:dyDescent="0.25">
      <c r="A806" s="1" t="str">
        <f t="shared" si="12"/>
        <v/>
      </c>
      <c r="B8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7" spans="1:2" x14ac:dyDescent="0.25">
      <c r="A807" s="1" t="str">
        <f t="shared" si="12"/>
        <v/>
      </c>
      <c r="B8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8" spans="1:2" x14ac:dyDescent="0.25">
      <c r="A808" s="1" t="str">
        <f t="shared" si="12"/>
        <v/>
      </c>
      <c r="B8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9" spans="1:2" x14ac:dyDescent="0.25">
      <c r="A809" s="1" t="str">
        <f t="shared" si="12"/>
        <v/>
      </c>
      <c r="B8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0" spans="1:2" x14ac:dyDescent="0.25">
      <c r="A810" s="1" t="str">
        <f t="shared" si="12"/>
        <v/>
      </c>
      <c r="B8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1" spans="1:2" x14ac:dyDescent="0.25">
      <c r="A811" s="1" t="str">
        <f t="shared" si="12"/>
        <v/>
      </c>
      <c r="B8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2" spans="1:2" x14ac:dyDescent="0.25">
      <c r="A812" s="1" t="str">
        <f t="shared" si="12"/>
        <v/>
      </c>
      <c r="B8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3" spans="1:2" x14ac:dyDescent="0.25">
      <c r="A813" s="1" t="str">
        <f t="shared" si="12"/>
        <v/>
      </c>
      <c r="B8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4" spans="1:2" x14ac:dyDescent="0.25">
      <c r="A814" s="1" t="str">
        <f t="shared" si="12"/>
        <v/>
      </c>
      <c r="B8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5" spans="1:2" x14ac:dyDescent="0.25">
      <c r="A815" s="1" t="str">
        <f t="shared" si="12"/>
        <v/>
      </c>
      <c r="B8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6" spans="1:2" x14ac:dyDescent="0.25">
      <c r="A816" s="1" t="str">
        <f t="shared" si="12"/>
        <v/>
      </c>
      <c r="B8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7" spans="1:2" x14ac:dyDescent="0.25">
      <c r="A817" s="1" t="str">
        <f t="shared" si="12"/>
        <v/>
      </c>
      <c r="B8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8" spans="1:2" x14ac:dyDescent="0.25">
      <c r="A818" s="1" t="str">
        <f t="shared" si="12"/>
        <v/>
      </c>
      <c r="B8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9" spans="1:2" x14ac:dyDescent="0.25">
      <c r="A819" s="1" t="str">
        <f t="shared" si="12"/>
        <v/>
      </c>
      <c r="B8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0" spans="1:2" x14ac:dyDescent="0.25">
      <c r="A820" s="1" t="str">
        <f t="shared" si="12"/>
        <v/>
      </c>
      <c r="B8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1" spans="1:2" x14ac:dyDescent="0.25">
      <c r="A821" s="1" t="str">
        <f t="shared" si="12"/>
        <v/>
      </c>
      <c r="B8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2" spans="1:2" x14ac:dyDescent="0.25">
      <c r="A822" s="1" t="str">
        <f t="shared" si="12"/>
        <v/>
      </c>
      <c r="B8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3" spans="1:2" x14ac:dyDescent="0.25">
      <c r="A823" s="1" t="str">
        <f t="shared" si="12"/>
        <v/>
      </c>
      <c r="B8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4" spans="1:2" x14ac:dyDescent="0.25">
      <c r="A824" s="1" t="str">
        <f t="shared" si="12"/>
        <v/>
      </c>
      <c r="B8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5" spans="1:2" x14ac:dyDescent="0.25">
      <c r="A825" s="1" t="str">
        <f t="shared" si="12"/>
        <v/>
      </c>
      <c r="B8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6" spans="1:2" x14ac:dyDescent="0.25">
      <c r="A826" s="1" t="str">
        <f t="shared" si="12"/>
        <v/>
      </c>
      <c r="B8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7" spans="1:2" x14ac:dyDescent="0.25">
      <c r="A827" s="1" t="str">
        <f t="shared" si="12"/>
        <v/>
      </c>
      <c r="B8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8" spans="1:2" x14ac:dyDescent="0.25">
      <c r="A828" s="1" t="str">
        <f t="shared" si="12"/>
        <v/>
      </c>
      <c r="B8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9" spans="1:2" x14ac:dyDescent="0.25">
      <c r="A829" s="1" t="str">
        <f t="shared" si="12"/>
        <v/>
      </c>
      <c r="B8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0" spans="1:2" x14ac:dyDescent="0.25">
      <c r="A830" s="1" t="str">
        <f t="shared" si="12"/>
        <v/>
      </c>
      <c r="B8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1" spans="1:2" x14ac:dyDescent="0.25">
      <c r="A831" s="1" t="str">
        <f t="shared" si="12"/>
        <v/>
      </c>
      <c r="B8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2" spans="1:2" x14ac:dyDescent="0.25">
      <c r="A832" s="1" t="str">
        <f t="shared" si="12"/>
        <v/>
      </c>
      <c r="B8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3" spans="1:2" x14ac:dyDescent="0.25">
      <c r="A833" s="1" t="str">
        <f t="shared" si="12"/>
        <v/>
      </c>
      <c r="B8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4" spans="1:2" x14ac:dyDescent="0.25">
      <c r="A834" s="1" t="str">
        <f t="shared" ref="A834:A897" si="13">IFERROR(LEFT(RIGHT(C834,LEN(C834)-SEARCH("@",C834)),SEARCH("/",RIGHT(C834,LEN(C834)-SEARCH("@",C834)-1))),"")</f>
        <v/>
      </c>
      <c r="B8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5" spans="1:2" x14ac:dyDescent="0.25">
      <c r="A835" s="1" t="str">
        <f t="shared" si="13"/>
        <v/>
      </c>
      <c r="B8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6" spans="1:2" x14ac:dyDescent="0.25">
      <c r="A836" s="1" t="str">
        <f t="shared" si="13"/>
        <v/>
      </c>
      <c r="B8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7" spans="1:2" x14ac:dyDescent="0.25">
      <c r="A837" s="1" t="str">
        <f t="shared" si="13"/>
        <v/>
      </c>
      <c r="B8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8" spans="1:2" x14ac:dyDescent="0.25">
      <c r="A838" s="1" t="str">
        <f t="shared" si="13"/>
        <v/>
      </c>
      <c r="B8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9" spans="1:2" x14ac:dyDescent="0.25">
      <c r="A839" s="1" t="str">
        <f t="shared" si="13"/>
        <v/>
      </c>
      <c r="B8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0" spans="1:2" x14ac:dyDescent="0.25">
      <c r="A840" s="1" t="str">
        <f t="shared" si="13"/>
        <v/>
      </c>
      <c r="B8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1" spans="1:2" x14ac:dyDescent="0.25">
      <c r="A841" s="1" t="str">
        <f t="shared" si="13"/>
        <v/>
      </c>
      <c r="B8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2" spans="1:2" x14ac:dyDescent="0.25">
      <c r="A842" s="1" t="str">
        <f t="shared" si="13"/>
        <v/>
      </c>
      <c r="B8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3" spans="1:2" x14ac:dyDescent="0.25">
      <c r="A843" s="1" t="str">
        <f t="shared" si="13"/>
        <v/>
      </c>
      <c r="B8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4" spans="1:2" x14ac:dyDescent="0.25">
      <c r="A844" s="1" t="str">
        <f t="shared" si="13"/>
        <v/>
      </c>
      <c r="B8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5" spans="1:2" x14ac:dyDescent="0.25">
      <c r="A845" s="1" t="str">
        <f t="shared" si="13"/>
        <v/>
      </c>
      <c r="B8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6" spans="1:2" x14ac:dyDescent="0.25">
      <c r="A846" s="1" t="str">
        <f t="shared" si="13"/>
        <v/>
      </c>
      <c r="B8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7" spans="1:2" x14ac:dyDescent="0.25">
      <c r="A847" s="1" t="str">
        <f t="shared" si="13"/>
        <v/>
      </c>
      <c r="B8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8" spans="1:2" x14ac:dyDescent="0.25">
      <c r="A848" s="1" t="str">
        <f t="shared" si="13"/>
        <v/>
      </c>
      <c r="B8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9" spans="1:2" x14ac:dyDescent="0.25">
      <c r="A849" s="1" t="str">
        <f t="shared" si="13"/>
        <v/>
      </c>
      <c r="B8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0" spans="1:2" x14ac:dyDescent="0.25">
      <c r="A850" s="1" t="str">
        <f t="shared" si="13"/>
        <v/>
      </c>
      <c r="B8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1" spans="1:2" x14ac:dyDescent="0.25">
      <c r="A851" s="1" t="str">
        <f t="shared" si="13"/>
        <v/>
      </c>
      <c r="B8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2" spans="1:2" x14ac:dyDescent="0.25">
      <c r="A852" s="1" t="str">
        <f t="shared" si="13"/>
        <v/>
      </c>
      <c r="B8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3" spans="1:2" x14ac:dyDescent="0.25">
      <c r="A853" s="1" t="str">
        <f t="shared" si="13"/>
        <v/>
      </c>
      <c r="B8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4" spans="1:2" x14ac:dyDescent="0.25">
      <c r="A854" s="1" t="str">
        <f t="shared" si="13"/>
        <v/>
      </c>
      <c r="B8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5" spans="1:2" x14ac:dyDescent="0.25">
      <c r="A855" s="1" t="str">
        <f t="shared" si="13"/>
        <v/>
      </c>
      <c r="B8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6" spans="1:2" x14ac:dyDescent="0.25">
      <c r="A856" s="1" t="str">
        <f t="shared" si="13"/>
        <v/>
      </c>
      <c r="B8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7" spans="1:2" x14ac:dyDescent="0.25">
      <c r="A857" s="1" t="str">
        <f t="shared" si="13"/>
        <v/>
      </c>
      <c r="B8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8" spans="1:2" x14ac:dyDescent="0.25">
      <c r="A858" s="1" t="str">
        <f t="shared" si="13"/>
        <v/>
      </c>
      <c r="B8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9" spans="1:2" x14ac:dyDescent="0.25">
      <c r="A859" s="1" t="str">
        <f t="shared" si="13"/>
        <v/>
      </c>
      <c r="B8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0" spans="1:2" x14ac:dyDescent="0.25">
      <c r="A860" s="1" t="str">
        <f t="shared" si="13"/>
        <v/>
      </c>
      <c r="B8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1" spans="1:2" x14ac:dyDescent="0.25">
      <c r="A861" s="1" t="str">
        <f t="shared" si="13"/>
        <v/>
      </c>
      <c r="B8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2" spans="1:2" x14ac:dyDescent="0.25">
      <c r="A862" s="1" t="str">
        <f t="shared" si="13"/>
        <v/>
      </c>
      <c r="B8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3" spans="1:2" x14ac:dyDescent="0.25">
      <c r="A863" s="1" t="str">
        <f t="shared" si="13"/>
        <v/>
      </c>
      <c r="B8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4" spans="1:2" x14ac:dyDescent="0.25">
      <c r="A864" s="1" t="str">
        <f t="shared" si="13"/>
        <v/>
      </c>
      <c r="B8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5" spans="1:2" x14ac:dyDescent="0.25">
      <c r="A865" s="1" t="str">
        <f t="shared" si="13"/>
        <v/>
      </c>
      <c r="B8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6" spans="1:2" x14ac:dyDescent="0.25">
      <c r="A866" s="1" t="str">
        <f t="shared" si="13"/>
        <v/>
      </c>
      <c r="B8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7" spans="1:2" x14ac:dyDescent="0.25">
      <c r="A867" s="1" t="str">
        <f t="shared" si="13"/>
        <v/>
      </c>
      <c r="B8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8" spans="1:2" x14ac:dyDescent="0.25">
      <c r="A868" s="1" t="str">
        <f t="shared" si="13"/>
        <v/>
      </c>
      <c r="B8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9" spans="1:2" x14ac:dyDescent="0.25">
      <c r="A869" s="1" t="str">
        <f t="shared" si="13"/>
        <v/>
      </c>
      <c r="B8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0" spans="1:2" x14ac:dyDescent="0.25">
      <c r="A870" s="1" t="str">
        <f t="shared" si="13"/>
        <v/>
      </c>
      <c r="B8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1" spans="1:2" x14ac:dyDescent="0.25">
      <c r="A871" s="1" t="str">
        <f t="shared" si="13"/>
        <v/>
      </c>
      <c r="B8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2" spans="1:2" x14ac:dyDescent="0.25">
      <c r="A872" s="1" t="str">
        <f t="shared" si="13"/>
        <v/>
      </c>
      <c r="B8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3" spans="1:2" x14ac:dyDescent="0.25">
      <c r="A873" s="1" t="str">
        <f t="shared" si="13"/>
        <v/>
      </c>
      <c r="B8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4" spans="1:2" x14ac:dyDescent="0.25">
      <c r="A874" s="1" t="str">
        <f t="shared" si="13"/>
        <v/>
      </c>
      <c r="B8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5" spans="1:2" x14ac:dyDescent="0.25">
      <c r="A875" s="1" t="str">
        <f t="shared" si="13"/>
        <v/>
      </c>
      <c r="B8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6" spans="1:2" x14ac:dyDescent="0.25">
      <c r="A876" s="1" t="str">
        <f t="shared" si="13"/>
        <v/>
      </c>
      <c r="B8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7" spans="1:2" x14ac:dyDescent="0.25">
      <c r="A877" s="1" t="str">
        <f t="shared" si="13"/>
        <v/>
      </c>
      <c r="B8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8" spans="1:2" x14ac:dyDescent="0.25">
      <c r="A878" s="1" t="str">
        <f t="shared" si="13"/>
        <v/>
      </c>
      <c r="B8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9" spans="1:2" x14ac:dyDescent="0.25">
      <c r="A879" s="1" t="str">
        <f t="shared" si="13"/>
        <v/>
      </c>
      <c r="B8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0" spans="1:2" x14ac:dyDescent="0.25">
      <c r="A880" s="1" t="str">
        <f t="shared" si="13"/>
        <v/>
      </c>
      <c r="B8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1" spans="1:2" x14ac:dyDescent="0.25">
      <c r="A881" s="1" t="str">
        <f t="shared" si="13"/>
        <v/>
      </c>
      <c r="B8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2" spans="1:2" x14ac:dyDescent="0.25">
      <c r="A882" s="1" t="str">
        <f t="shared" si="13"/>
        <v/>
      </c>
      <c r="B8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3" spans="1:2" x14ac:dyDescent="0.25">
      <c r="A883" s="1" t="str">
        <f t="shared" si="13"/>
        <v/>
      </c>
      <c r="B8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4" spans="1:2" x14ac:dyDescent="0.25">
      <c r="A884" s="1" t="str">
        <f t="shared" si="13"/>
        <v/>
      </c>
      <c r="B8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5" spans="1:2" x14ac:dyDescent="0.25">
      <c r="A885" s="1" t="str">
        <f t="shared" si="13"/>
        <v/>
      </c>
      <c r="B8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6" spans="1:2" x14ac:dyDescent="0.25">
      <c r="A886" s="1" t="str">
        <f t="shared" si="13"/>
        <v/>
      </c>
      <c r="B8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7" spans="1:2" x14ac:dyDescent="0.25">
      <c r="A887" s="1" t="str">
        <f t="shared" si="13"/>
        <v/>
      </c>
      <c r="B8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8" spans="1:2" x14ac:dyDescent="0.25">
      <c r="A888" s="1" t="str">
        <f t="shared" si="13"/>
        <v/>
      </c>
      <c r="B8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9" spans="1:2" x14ac:dyDescent="0.25">
      <c r="A889" s="1" t="str">
        <f t="shared" si="13"/>
        <v/>
      </c>
      <c r="B8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0" spans="1:2" x14ac:dyDescent="0.25">
      <c r="A890" s="1" t="str">
        <f t="shared" si="13"/>
        <v/>
      </c>
      <c r="B8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1" spans="1:2" x14ac:dyDescent="0.25">
      <c r="A891" s="1" t="str">
        <f t="shared" si="13"/>
        <v/>
      </c>
      <c r="B8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2" spans="1:2" x14ac:dyDescent="0.25">
      <c r="A892" s="1" t="str">
        <f t="shared" si="13"/>
        <v/>
      </c>
      <c r="B8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3" spans="1:2" x14ac:dyDescent="0.25">
      <c r="A893" s="1" t="str">
        <f t="shared" si="13"/>
        <v/>
      </c>
      <c r="B8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4" spans="1:2" x14ac:dyDescent="0.25">
      <c r="A894" s="1" t="str">
        <f t="shared" si="13"/>
        <v/>
      </c>
      <c r="B8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5" spans="1:2" x14ac:dyDescent="0.25">
      <c r="A895" s="1" t="str">
        <f t="shared" si="13"/>
        <v/>
      </c>
      <c r="B8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6" spans="1:2" x14ac:dyDescent="0.25">
      <c r="A896" s="1" t="str">
        <f t="shared" si="13"/>
        <v/>
      </c>
      <c r="B8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7" spans="1:2" x14ac:dyDescent="0.25">
      <c r="A897" s="1" t="str">
        <f t="shared" si="13"/>
        <v/>
      </c>
      <c r="B8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8" spans="1:2" x14ac:dyDescent="0.25">
      <c r="A898" s="1" t="str">
        <f t="shared" ref="A898:A961" si="14">IFERROR(LEFT(RIGHT(C898,LEN(C898)-SEARCH("@",C898)),SEARCH("/",RIGHT(C898,LEN(C898)-SEARCH("@",C898)-1))),"")</f>
        <v/>
      </c>
      <c r="B8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9" spans="1:2" x14ac:dyDescent="0.25">
      <c r="A899" s="1" t="str">
        <f t="shared" si="14"/>
        <v/>
      </c>
      <c r="B8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0" spans="1:2" x14ac:dyDescent="0.25">
      <c r="A900" s="1" t="str">
        <f t="shared" si="14"/>
        <v/>
      </c>
      <c r="B9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1" spans="1:2" x14ac:dyDescent="0.25">
      <c r="A901" s="1" t="str">
        <f t="shared" si="14"/>
        <v/>
      </c>
      <c r="B9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2" spans="1:2" x14ac:dyDescent="0.25">
      <c r="A902" s="1" t="str">
        <f t="shared" si="14"/>
        <v/>
      </c>
      <c r="B9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3" spans="1:2" x14ac:dyDescent="0.25">
      <c r="A903" s="1" t="str">
        <f t="shared" si="14"/>
        <v/>
      </c>
      <c r="B9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4" spans="1:2" x14ac:dyDescent="0.25">
      <c r="A904" s="1" t="str">
        <f t="shared" si="14"/>
        <v/>
      </c>
      <c r="B9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5" spans="1:2" x14ac:dyDescent="0.25">
      <c r="A905" s="1" t="str">
        <f t="shared" si="14"/>
        <v/>
      </c>
      <c r="B9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6" spans="1:2" x14ac:dyDescent="0.25">
      <c r="A906" s="1" t="str">
        <f t="shared" si="14"/>
        <v/>
      </c>
      <c r="B9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7" spans="1:2" x14ac:dyDescent="0.25">
      <c r="A907" s="1" t="str">
        <f t="shared" si="14"/>
        <v/>
      </c>
      <c r="B9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8" spans="1:2" x14ac:dyDescent="0.25">
      <c r="A908" s="1" t="str">
        <f t="shared" si="14"/>
        <v/>
      </c>
      <c r="B9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9" spans="1:2" x14ac:dyDescent="0.25">
      <c r="A909" s="1" t="str">
        <f t="shared" si="14"/>
        <v/>
      </c>
      <c r="B9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0" spans="1:2" x14ac:dyDescent="0.25">
      <c r="A910" s="1" t="str">
        <f t="shared" si="14"/>
        <v/>
      </c>
      <c r="B9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1" spans="1:2" x14ac:dyDescent="0.25">
      <c r="A911" s="1" t="str">
        <f t="shared" si="14"/>
        <v/>
      </c>
      <c r="B9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2" spans="1:2" x14ac:dyDescent="0.25">
      <c r="A912" s="1" t="str">
        <f t="shared" si="14"/>
        <v/>
      </c>
      <c r="B9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3" spans="1:2" x14ac:dyDescent="0.25">
      <c r="A913" s="1" t="str">
        <f t="shared" si="14"/>
        <v/>
      </c>
      <c r="B9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4" spans="1:2" x14ac:dyDescent="0.25">
      <c r="A914" s="1" t="str">
        <f t="shared" si="14"/>
        <v/>
      </c>
      <c r="B9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5" spans="1:2" x14ac:dyDescent="0.25">
      <c r="A915" s="1" t="str">
        <f t="shared" si="14"/>
        <v/>
      </c>
      <c r="B9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6" spans="1:2" x14ac:dyDescent="0.25">
      <c r="A916" s="1" t="str">
        <f t="shared" si="14"/>
        <v/>
      </c>
      <c r="B9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7" spans="1:2" x14ac:dyDescent="0.25">
      <c r="A917" s="1" t="str">
        <f t="shared" si="14"/>
        <v/>
      </c>
      <c r="B9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8" spans="1:2" x14ac:dyDescent="0.25">
      <c r="A918" s="1" t="str">
        <f t="shared" si="14"/>
        <v/>
      </c>
      <c r="B9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9" spans="1:2" x14ac:dyDescent="0.25">
      <c r="A919" s="1" t="str">
        <f t="shared" si="14"/>
        <v/>
      </c>
      <c r="B9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0" spans="1:2" x14ac:dyDescent="0.25">
      <c r="A920" s="1" t="str">
        <f t="shared" si="14"/>
        <v/>
      </c>
      <c r="B9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1" spans="1:2" x14ac:dyDescent="0.25">
      <c r="A921" s="1" t="str">
        <f t="shared" si="14"/>
        <v/>
      </c>
      <c r="B9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2" spans="1:2" x14ac:dyDescent="0.25">
      <c r="A922" s="1" t="str">
        <f t="shared" si="14"/>
        <v/>
      </c>
      <c r="B9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3" spans="1:2" x14ac:dyDescent="0.25">
      <c r="A923" s="1" t="str">
        <f t="shared" si="14"/>
        <v/>
      </c>
      <c r="B9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4" spans="1:2" x14ac:dyDescent="0.25">
      <c r="A924" s="1" t="str">
        <f t="shared" si="14"/>
        <v/>
      </c>
      <c r="B9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5" spans="1:2" x14ac:dyDescent="0.25">
      <c r="A925" s="1" t="str">
        <f t="shared" si="14"/>
        <v/>
      </c>
      <c r="B9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6" spans="1:2" x14ac:dyDescent="0.25">
      <c r="A926" s="1" t="str">
        <f t="shared" si="14"/>
        <v/>
      </c>
      <c r="B9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7" spans="1:2" x14ac:dyDescent="0.25">
      <c r="A927" s="1" t="str">
        <f t="shared" si="14"/>
        <v/>
      </c>
      <c r="B9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8" spans="1:2" x14ac:dyDescent="0.25">
      <c r="A928" s="1" t="str">
        <f t="shared" si="14"/>
        <v/>
      </c>
      <c r="B9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9" spans="1:2" x14ac:dyDescent="0.25">
      <c r="A929" s="1" t="str">
        <f t="shared" si="14"/>
        <v/>
      </c>
      <c r="B9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0" spans="1:2" x14ac:dyDescent="0.25">
      <c r="A930" s="1" t="str">
        <f t="shared" si="14"/>
        <v/>
      </c>
      <c r="B9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1" spans="1:2" x14ac:dyDescent="0.25">
      <c r="A931" s="1" t="str">
        <f t="shared" si="14"/>
        <v/>
      </c>
      <c r="B9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2" spans="1:2" x14ac:dyDescent="0.25">
      <c r="A932" s="1" t="str">
        <f t="shared" si="14"/>
        <v/>
      </c>
      <c r="B9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3" spans="1:2" x14ac:dyDescent="0.25">
      <c r="A933" s="1" t="str">
        <f t="shared" si="14"/>
        <v/>
      </c>
      <c r="B9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4" spans="1:2" x14ac:dyDescent="0.25">
      <c r="A934" s="1" t="str">
        <f t="shared" si="14"/>
        <v/>
      </c>
      <c r="B9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5" spans="1:2" x14ac:dyDescent="0.25">
      <c r="A935" s="1" t="str">
        <f t="shared" si="14"/>
        <v/>
      </c>
      <c r="B9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6" spans="1:2" x14ac:dyDescent="0.25">
      <c r="A936" s="1" t="str">
        <f t="shared" si="14"/>
        <v/>
      </c>
      <c r="B9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7" spans="1:2" x14ac:dyDescent="0.25">
      <c r="A937" s="1" t="str">
        <f t="shared" si="14"/>
        <v/>
      </c>
      <c r="B9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8" spans="1:2" x14ac:dyDescent="0.25">
      <c r="A938" s="1" t="str">
        <f t="shared" si="14"/>
        <v/>
      </c>
      <c r="B9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9" spans="1:2" x14ac:dyDescent="0.25">
      <c r="A939" s="1" t="str">
        <f t="shared" si="14"/>
        <v/>
      </c>
      <c r="B9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0" spans="1:2" x14ac:dyDescent="0.25">
      <c r="A940" s="1" t="str">
        <f t="shared" si="14"/>
        <v/>
      </c>
      <c r="B9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1" spans="1:2" x14ac:dyDescent="0.25">
      <c r="A941" s="1" t="str">
        <f t="shared" si="14"/>
        <v/>
      </c>
      <c r="B9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2" spans="1:2" x14ac:dyDescent="0.25">
      <c r="A942" s="1" t="str">
        <f t="shared" si="14"/>
        <v/>
      </c>
      <c r="B9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3" spans="1:2" x14ac:dyDescent="0.25">
      <c r="A943" s="1" t="str">
        <f t="shared" si="14"/>
        <v/>
      </c>
      <c r="B9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4" spans="1:2" x14ac:dyDescent="0.25">
      <c r="A944" s="1" t="str">
        <f t="shared" si="14"/>
        <v/>
      </c>
      <c r="B9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5" spans="1:2" x14ac:dyDescent="0.25">
      <c r="A945" s="1" t="str">
        <f t="shared" si="14"/>
        <v/>
      </c>
      <c r="B9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6" spans="1:2" x14ac:dyDescent="0.25">
      <c r="A946" s="1" t="str">
        <f t="shared" si="14"/>
        <v/>
      </c>
      <c r="B9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7" spans="1:2" x14ac:dyDescent="0.25">
      <c r="A947" s="1" t="str">
        <f t="shared" si="14"/>
        <v/>
      </c>
      <c r="B9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8" spans="1:2" x14ac:dyDescent="0.25">
      <c r="A948" s="1" t="str">
        <f t="shared" si="14"/>
        <v/>
      </c>
      <c r="B9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9" spans="1:2" x14ac:dyDescent="0.25">
      <c r="A949" s="1" t="str">
        <f t="shared" si="14"/>
        <v/>
      </c>
      <c r="B9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0" spans="1:2" x14ac:dyDescent="0.25">
      <c r="A950" s="1" t="str">
        <f t="shared" si="14"/>
        <v/>
      </c>
      <c r="B9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1" spans="1:2" x14ac:dyDescent="0.25">
      <c r="A951" s="1" t="str">
        <f t="shared" si="14"/>
        <v/>
      </c>
      <c r="B9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2" spans="1:2" x14ac:dyDescent="0.25">
      <c r="A952" s="1" t="str">
        <f t="shared" si="14"/>
        <v/>
      </c>
      <c r="B9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3" spans="1:2" x14ac:dyDescent="0.25">
      <c r="A953" s="1" t="str">
        <f t="shared" si="14"/>
        <v/>
      </c>
      <c r="B9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4" spans="1:2" x14ac:dyDescent="0.25">
      <c r="A954" s="1" t="str">
        <f t="shared" si="14"/>
        <v/>
      </c>
      <c r="B9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5" spans="1:2" x14ac:dyDescent="0.25">
      <c r="A955" s="1" t="str">
        <f t="shared" si="14"/>
        <v/>
      </c>
      <c r="B9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6" spans="1:2" x14ac:dyDescent="0.25">
      <c r="A956" s="1" t="str">
        <f t="shared" si="14"/>
        <v/>
      </c>
      <c r="B9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7" spans="1:2" x14ac:dyDescent="0.25">
      <c r="A957" s="1" t="str">
        <f t="shared" si="14"/>
        <v/>
      </c>
      <c r="B9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8" spans="1:2" x14ac:dyDescent="0.25">
      <c r="A958" s="1" t="str">
        <f t="shared" si="14"/>
        <v/>
      </c>
      <c r="B9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9" spans="1:2" x14ac:dyDescent="0.25">
      <c r="A959" s="1" t="str">
        <f t="shared" si="14"/>
        <v/>
      </c>
      <c r="B9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0" spans="1:2" x14ac:dyDescent="0.25">
      <c r="A960" s="1" t="str">
        <f t="shared" si="14"/>
        <v/>
      </c>
      <c r="B9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1" spans="1:2" x14ac:dyDescent="0.25">
      <c r="A961" s="1" t="str">
        <f t="shared" si="14"/>
        <v/>
      </c>
      <c r="B9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2" spans="1:2" x14ac:dyDescent="0.25">
      <c r="A962" s="1" t="str">
        <f t="shared" ref="A962:A1025" si="15">IFERROR(LEFT(RIGHT(C962,LEN(C962)-SEARCH("@",C962)),SEARCH("/",RIGHT(C962,LEN(C962)-SEARCH("@",C962)-1))),"")</f>
        <v/>
      </c>
      <c r="B9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3" spans="1:2" x14ac:dyDescent="0.25">
      <c r="A963" s="1" t="str">
        <f t="shared" si="15"/>
        <v/>
      </c>
      <c r="B9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4" spans="1:2" x14ac:dyDescent="0.25">
      <c r="A964" s="1" t="str">
        <f t="shared" si="15"/>
        <v/>
      </c>
      <c r="B9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5" spans="1:2" x14ac:dyDescent="0.25">
      <c r="A965" s="1" t="str">
        <f t="shared" si="15"/>
        <v/>
      </c>
      <c r="B9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6" spans="1:2" x14ac:dyDescent="0.25">
      <c r="A966" s="1" t="str">
        <f t="shared" si="15"/>
        <v/>
      </c>
      <c r="B9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7" spans="1:2" x14ac:dyDescent="0.25">
      <c r="A967" s="1" t="str">
        <f t="shared" si="15"/>
        <v/>
      </c>
      <c r="B9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8" spans="1:2" x14ac:dyDescent="0.25">
      <c r="A968" s="1" t="str">
        <f t="shared" si="15"/>
        <v/>
      </c>
      <c r="B9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9" spans="1:2" x14ac:dyDescent="0.25">
      <c r="A969" s="1" t="str">
        <f t="shared" si="15"/>
        <v/>
      </c>
      <c r="B9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0" spans="1:2" x14ac:dyDescent="0.25">
      <c r="A970" s="1" t="str">
        <f t="shared" si="15"/>
        <v/>
      </c>
      <c r="B9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1" spans="1:2" x14ac:dyDescent="0.25">
      <c r="A971" s="1" t="str">
        <f t="shared" si="15"/>
        <v/>
      </c>
      <c r="B9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2" spans="1:2" x14ac:dyDescent="0.25">
      <c r="A972" s="1" t="str">
        <f t="shared" si="15"/>
        <v/>
      </c>
      <c r="B9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3" spans="1:2" x14ac:dyDescent="0.25">
      <c r="A973" s="1" t="str">
        <f t="shared" si="15"/>
        <v/>
      </c>
      <c r="B9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4" spans="1:2" x14ac:dyDescent="0.25">
      <c r="A974" s="1" t="str">
        <f t="shared" si="15"/>
        <v/>
      </c>
      <c r="B9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5" spans="1:2" x14ac:dyDescent="0.25">
      <c r="A975" s="1" t="str">
        <f t="shared" si="15"/>
        <v/>
      </c>
      <c r="B9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6" spans="1:2" x14ac:dyDescent="0.25">
      <c r="A976" s="1" t="str">
        <f t="shared" si="15"/>
        <v/>
      </c>
      <c r="B9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7" spans="1:2" x14ac:dyDescent="0.25">
      <c r="A977" s="1" t="str">
        <f t="shared" si="15"/>
        <v/>
      </c>
      <c r="B9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8" spans="1:2" x14ac:dyDescent="0.25">
      <c r="A978" s="1" t="str">
        <f t="shared" si="15"/>
        <v/>
      </c>
      <c r="B9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9" spans="1:2" x14ac:dyDescent="0.25">
      <c r="A979" s="1" t="str">
        <f t="shared" si="15"/>
        <v/>
      </c>
      <c r="B9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0" spans="1:2" x14ac:dyDescent="0.25">
      <c r="A980" s="1" t="str">
        <f t="shared" si="15"/>
        <v/>
      </c>
      <c r="B9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1" spans="1:2" x14ac:dyDescent="0.25">
      <c r="A981" s="1" t="str">
        <f t="shared" si="15"/>
        <v/>
      </c>
      <c r="B9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2" spans="1:2" x14ac:dyDescent="0.25">
      <c r="A982" s="1" t="str">
        <f t="shared" si="15"/>
        <v/>
      </c>
      <c r="B9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3" spans="1:2" x14ac:dyDescent="0.25">
      <c r="A983" s="1" t="str">
        <f t="shared" si="15"/>
        <v/>
      </c>
      <c r="B9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4" spans="1:2" x14ac:dyDescent="0.25">
      <c r="A984" s="1" t="str">
        <f t="shared" si="15"/>
        <v/>
      </c>
      <c r="B9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5" spans="1:2" x14ac:dyDescent="0.25">
      <c r="A985" s="1" t="str">
        <f t="shared" si="15"/>
        <v/>
      </c>
      <c r="B9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6" spans="1:2" x14ac:dyDescent="0.25">
      <c r="A986" s="1" t="str">
        <f t="shared" si="15"/>
        <v/>
      </c>
      <c r="B9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7" spans="1:2" x14ac:dyDescent="0.25">
      <c r="A987" s="1" t="str">
        <f t="shared" si="15"/>
        <v/>
      </c>
      <c r="B9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8" spans="1:2" x14ac:dyDescent="0.25">
      <c r="A988" s="1" t="str">
        <f t="shared" si="15"/>
        <v/>
      </c>
      <c r="B9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9" spans="1:2" x14ac:dyDescent="0.25">
      <c r="A989" s="1" t="str">
        <f t="shared" si="15"/>
        <v/>
      </c>
      <c r="B9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0" spans="1:2" x14ac:dyDescent="0.25">
      <c r="A990" s="1" t="str">
        <f t="shared" si="15"/>
        <v/>
      </c>
      <c r="B9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1" spans="1:2" x14ac:dyDescent="0.25">
      <c r="A991" s="1" t="str">
        <f t="shared" si="15"/>
        <v/>
      </c>
      <c r="B9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2" spans="1:2" x14ac:dyDescent="0.25">
      <c r="A992" s="1" t="str">
        <f t="shared" si="15"/>
        <v/>
      </c>
      <c r="B9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3" spans="1:2" x14ac:dyDescent="0.25">
      <c r="A993" s="1" t="str">
        <f t="shared" si="15"/>
        <v/>
      </c>
      <c r="B9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4" spans="1:2" x14ac:dyDescent="0.25">
      <c r="A994" s="1" t="str">
        <f t="shared" si="15"/>
        <v/>
      </c>
      <c r="B9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5" spans="1:2" x14ac:dyDescent="0.25">
      <c r="A995" s="1" t="str">
        <f t="shared" si="15"/>
        <v/>
      </c>
      <c r="B9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6" spans="1:2" x14ac:dyDescent="0.25">
      <c r="A996" s="1" t="str">
        <f t="shared" si="15"/>
        <v/>
      </c>
      <c r="B9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7" spans="1:2" x14ac:dyDescent="0.25">
      <c r="A997" s="1" t="str">
        <f t="shared" si="15"/>
        <v/>
      </c>
      <c r="B9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8" spans="1:2" x14ac:dyDescent="0.25">
      <c r="A998" s="1" t="str">
        <f t="shared" si="15"/>
        <v/>
      </c>
      <c r="B9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9" spans="1:2" x14ac:dyDescent="0.25">
      <c r="A999" s="1" t="str">
        <f t="shared" si="15"/>
        <v/>
      </c>
      <c r="B9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0" spans="1:2" x14ac:dyDescent="0.25">
      <c r="A1000" s="1" t="str">
        <f t="shared" si="15"/>
        <v/>
      </c>
      <c r="B10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1" spans="1:2" x14ac:dyDescent="0.25">
      <c r="A1001" s="1" t="str">
        <f t="shared" si="15"/>
        <v/>
      </c>
      <c r="B10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2" spans="1:2" x14ac:dyDescent="0.25">
      <c r="A1002" s="1" t="str">
        <f t="shared" si="15"/>
        <v/>
      </c>
      <c r="B10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3" spans="1:2" x14ac:dyDescent="0.25">
      <c r="A1003" s="1" t="str">
        <f t="shared" si="15"/>
        <v/>
      </c>
      <c r="B10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4" spans="1:2" x14ac:dyDescent="0.25">
      <c r="A1004" s="1" t="str">
        <f t="shared" si="15"/>
        <v/>
      </c>
      <c r="B10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5" spans="1:2" x14ac:dyDescent="0.25">
      <c r="A1005" s="1" t="str">
        <f t="shared" si="15"/>
        <v/>
      </c>
      <c r="B10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6" spans="1:2" x14ac:dyDescent="0.25">
      <c r="A1006" s="1" t="str">
        <f t="shared" si="15"/>
        <v/>
      </c>
      <c r="B10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7" spans="1:2" x14ac:dyDescent="0.25">
      <c r="A1007" s="1" t="str">
        <f t="shared" si="15"/>
        <v/>
      </c>
      <c r="B10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8" spans="1:2" x14ac:dyDescent="0.25">
      <c r="A1008" s="1" t="str">
        <f t="shared" si="15"/>
        <v/>
      </c>
      <c r="B10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9" spans="1:2" x14ac:dyDescent="0.25">
      <c r="A1009" s="1" t="str">
        <f t="shared" si="15"/>
        <v/>
      </c>
      <c r="B10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0" spans="1:2" x14ac:dyDescent="0.25">
      <c r="A1010" s="1" t="str">
        <f t="shared" si="15"/>
        <v/>
      </c>
      <c r="B10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1" spans="1:2" x14ac:dyDescent="0.25">
      <c r="A1011" s="1" t="str">
        <f t="shared" si="15"/>
        <v/>
      </c>
      <c r="B10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2" spans="1:2" x14ac:dyDescent="0.25">
      <c r="A1012" s="1" t="str">
        <f t="shared" si="15"/>
        <v/>
      </c>
      <c r="B10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3" spans="1:2" x14ac:dyDescent="0.25">
      <c r="A1013" s="1" t="str">
        <f t="shared" si="15"/>
        <v/>
      </c>
      <c r="B10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4" spans="1:2" x14ac:dyDescent="0.25">
      <c r="A1014" s="1" t="str">
        <f t="shared" si="15"/>
        <v/>
      </c>
      <c r="B10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5" spans="1:2" x14ac:dyDescent="0.25">
      <c r="A1015" s="1" t="str">
        <f t="shared" si="15"/>
        <v/>
      </c>
      <c r="B10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6" spans="1:2" x14ac:dyDescent="0.25">
      <c r="A1016" s="1" t="str">
        <f t="shared" si="15"/>
        <v/>
      </c>
      <c r="B10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7" spans="1:2" x14ac:dyDescent="0.25">
      <c r="A1017" s="1" t="str">
        <f t="shared" si="15"/>
        <v/>
      </c>
      <c r="B10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8" spans="1:2" x14ac:dyDescent="0.25">
      <c r="A1018" s="1" t="str">
        <f t="shared" si="15"/>
        <v/>
      </c>
      <c r="B10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9" spans="1:2" x14ac:dyDescent="0.25">
      <c r="A1019" s="1" t="str">
        <f t="shared" si="15"/>
        <v/>
      </c>
      <c r="B10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0" spans="1:2" x14ac:dyDescent="0.25">
      <c r="A1020" s="1" t="str">
        <f t="shared" si="15"/>
        <v/>
      </c>
      <c r="B10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1" spans="1:2" x14ac:dyDescent="0.25">
      <c r="A1021" s="1" t="str">
        <f t="shared" si="15"/>
        <v/>
      </c>
      <c r="B10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2" spans="1:2" x14ac:dyDescent="0.25">
      <c r="A1022" s="1" t="str">
        <f t="shared" si="15"/>
        <v/>
      </c>
      <c r="B10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3" spans="1:2" x14ac:dyDescent="0.25">
      <c r="A1023" s="1" t="str">
        <f t="shared" si="15"/>
        <v/>
      </c>
      <c r="B10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4" spans="1:2" x14ac:dyDescent="0.25">
      <c r="A1024" s="1" t="str">
        <f t="shared" si="15"/>
        <v/>
      </c>
      <c r="B10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5" spans="1:2" x14ac:dyDescent="0.25">
      <c r="A1025" s="1" t="str">
        <f t="shared" si="15"/>
        <v/>
      </c>
      <c r="B10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6" spans="1:2" x14ac:dyDescent="0.25">
      <c r="A1026" s="1" t="str">
        <f t="shared" ref="A1026:A1089" si="16">IFERROR(LEFT(RIGHT(C1026,LEN(C1026)-SEARCH("@",C1026)),SEARCH("/",RIGHT(C1026,LEN(C1026)-SEARCH("@",C1026)-1))),"")</f>
        <v/>
      </c>
      <c r="B10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7" spans="1:2" x14ac:dyDescent="0.25">
      <c r="A1027" s="1" t="str">
        <f t="shared" si="16"/>
        <v/>
      </c>
      <c r="B10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8" spans="1:2" x14ac:dyDescent="0.25">
      <c r="A1028" s="1" t="str">
        <f t="shared" si="16"/>
        <v/>
      </c>
      <c r="B10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9" spans="1:2" x14ac:dyDescent="0.25">
      <c r="A1029" s="1" t="str">
        <f t="shared" si="16"/>
        <v/>
      </c>
      <c r="B10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0" spans="1:2" x14ac:dyDescent="0.25">
      <c r="A1030" s="1" t="str">
        <f t="shared" si="16"/>
        <v/>
      </c>
      <c r="B10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1" spans="1:2" x14ac:dyDescent="0.25">
      <c r="A1031" s="1" t="str">
        <f t="shared" si="16"/>
        <v/>
      </c>
      <c r="B10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2" spans="1:2" x14ac:dyDescent="0.25">
      <c r="A1032" s="1" t="str">
        <f t="shared" si="16"/>
        <v/>
      </c>
      <c r="B10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3" spans="1:2" x14ac:dyDescent="0.25">
      <c r="A1033" s="1" t="str">
        <f t="shared" si="16"/>
        <v/>
      </c>
      <c r="B10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4" spans="1:2" x14ac:dyDescent="0.25">
      <c r="A1034" s="1" t="str">
        <f t="shared" si="16"/>
        <v/>
      </c>
      <c r="B10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5" spans="1:2" x14ac:dyDescent="0.25">
      <c r="A1035" s="1" t="str">
        <f t="shared" si="16"/>
        <v/>
      </c>
      <c r="B10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6" spans="1:2" x14ac:dyDescent="0.25">
      <c r="A1036" s="1" t="str">
        <f t="shared" si="16"/>
        <v/>
      </c>
      <c r="B10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7" spans="1:2" x14ac:dyDescent="0.25">
      <c r="A1037" s="1" t="str">
        <f t="shared" si="16"/>
        <v/>
      </c>
      <c r="B10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8" spans="1:2" x14ac:dyDescent="0.25">
      <c r="A1038" s="1" t="str">
        <f t="shared" si="16"/>
        <v/>
      </c>
      <c r="B10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9" spans="1:2" x14ac:dyDescent="0.25">
      <c r="A1039" s="1" t="str">
        <f t="shared" si="16"/>
        <v/>
      </c>
      <c r="B10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0" spans="1:2" x14ac:dyDescent="0.25">
      <c r="A1040" s="1" t="str">
        <f t="shared" si="16"/>
        <v/>
      </c>
      <c r="B10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1" spans="1:2" x14ac:dyDescent="0.25">
      <c r="A1041" s="1" t="str">
        <f t="shared" si="16"/>
        <v/>
      </c>
      <c r="B10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2" spans="1:2" x14ac:dyDescent="0.25">
      <c r="A1042" s="1" t="str">
        <f t="shared" si="16"/>
        <v/>
      </c>
      <c r="B10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3" spans="1:2" x14ac:dyDescent="0.25">
      <c r="A1043" s="1" t="str">
        <f t="shared" si="16"/>
        <v/>
      </c>
      <c r="B10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4" spans="1:2" x14ac:dyDescent="0.25">
      <c r="A1044" s="1" t="str">
        <f t="shared" si="16"/>
        <v/>
      </c>
      <c r="B10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5" spans="1:2" x14ac:dyDescent="0.25">
      <c r="A1045" s="1" t="str">
        <f t="shared" si="16"/>
        <v/>
      </c>
      <c r="B10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6" spans="1:2" x14ac:dyDescent="0.25">
      <c r="A1046" s="1" t="str">
        <f t="shared" si="16"/>
        <v/>
      </c>
      <c r="B10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7" spans="1:2" x14ac:dyDescent="0.25">
      <c r="A1047" s="1" t="str">
        <f t="shared" si="16"/>
        <v/>
      </c>
      <c r="B10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8" spans="1:2" x14ac:dyDescent="0.25">
      <c r="A1048" s="1" t="str">
        <f t="shared" si="16"/>
        <v/>
      </c>
      <c r="B10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9" spans="1:2" x14ac:dyDescent="0.25">
      <c r="A1049" s="1" t="str">
        <f t="shared" si="16"/>
        <v/>
      </c>
      <c r="B10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0" spans="1:2" x14ac:dyDescent="0.25">
      <c r="A1050" s="1" t="str">
        <f t="shared" si="16"/>
        <v/>
      </c>
      <c r="B10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1" spans="1:2" x14ac:dyDescent="0.25">
      <c r="A1051" s="1" t="str">
        <f t="shared" si="16"/>
        <v/>
      </c>
      <c r="B10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2" spans="1:2" x14ac:dyDescent="0.25">
      <c r="A1052" s="1" t="str">
        <f t="shared" si="16"/>
        <v/>
      </c>
      <c r="B10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3" spans="1:2" x14ac:dyDescent="0.25">
      <c r="A1053" s="1" t="str">
        <f t="shared" si="16"/>
        <v/>
      </c>
      <c r="B10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4" spans="1:2" x14ac:dyDescent="0.25">
      <c r="A1054" s="1" t="str">
        <f t="shared" si="16"/>
        <v/>
      </c>
      <c r="B10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5" spans="1:2" x14ac:dyDescent="0.25">
      <c r="A1055" s="1" t="str">
        <f t="shared" si="16"/>
        <v/>
      </c>
      <c r="B10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6" spans="1:2" x14ac:dyDescent="0.25">
      <c r="A1056" s="1" t="str">
        <f t="shared" si="16"/>
        <v/>
      </c>
      <c r="B10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7" spans="1:2" x14ac:dyDescent="0.25">
      <c r="A1057" s="1" t="str">
        <f t="shared" si="16"/>
        <v/>
      </c>
      <c r="B10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8" spans="1:2" x14ac:dyDescent="0.25">
      <c r="A1058" s="1" t="str">
        <f t="shared" si="16"/>
        <v/>
      </c>
      <c r="B10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9" spans="1:2" x14ac:dyDescent="0.25">
      <c r="A1059" s="1" t="str">
        <f t="shared" si="16"/>
        <v/>
      </c>
      <c r="B10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0" spans="1:2" x14ac:dyDescent="0.25">
      <c r="A1060" s="1" t="str">
        <f t="shared" si="16"/>
        <v/>
      </c>
      <c r="B10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1" spans="1:2" x14ac:dyDescent="0.25">
      <c r="A1061" s="1" t="str">
        <f t="shared" si="16"/>
        <v/>
      </c>
      <c r="B10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2" spans="1:2" x14ac:dyDescent="0.25">
      <c r="A1062" s="1" t="str">
        <f t="shared" si="16"/>
        <v/>
      </c>
      <c r="B10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3" spans="1:2" x14ac:dyDescent="0.25">
      <c r="A1063" s="1" t="str">
        <f t="shared" si="16"/>
        <v/>
      </c>
      <c r="B10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4" spans="1:2" x14ac:dyDescent="0.25">
      <c r="A1064" s="1" t="str">
        <f t="shared" si="16"/>
        <v/>
      </c>
      <c r="B10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5" spans="1:2" x14ac:dyDescent="0.25">
      <c r="A1065" s="1" t="str">
        <f t="shared" si="16"/>
        <v/>
      </c>
      <c r="B10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6" spans="1:2" x14ac:dyDescent="0.25">
      <c r="A1066" s="1" t="str">
        <f t="shared" si="16"/>
        <v/>
      </c>
      <c r="B10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7" spans="1:2" x14ac:dyDescent="0.25">
      <c r="A1067" s="1" t="str">
        <f t="shared" si="16"/>
        <v/>
      </c>
      <c r="B10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8" spans="1:2" x14ac:dyDescent="0.25">
      <c r="A1068" s="1" t="str">
        <f t="shared" si="16"/>
        <v/>
      </c>
      <c r="B10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9" spans="1:2" x14ac:dyDescent="0.25">
      <c r="A1069" s="1" t="str">
        <f t="shared" si="16"/>
        <v/>
      </c>
      <c r="B10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0" spans="1:2" x14ac:dyDescent="0.25">
      <c r="A1070" s="1" t="str">
        <f t="shared" si="16"/>
        <v/>
      </c>
      <c r="B10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1" spans="1:2" x14ac:dyDescent="0.25">
      <c r="A1071" s="1" t="str">
        <f t="shared" si="16"/>
        <v/>
      </c>
      <c r="B10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2" spans="1:2" x14ac:dyDescent="0.25">
      <c r="A1072" s="1" t="str">
        <f t="shared" si="16"/>
        <v/>
      </c>
      <c r="B10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3" spans="1:2" x14ac:dyDescent="0.25">
      <c r="A1073" s="1" t="str">
        <f t="shared" si="16"/>
        <v/>
      </c>
      <c r="B10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4" spans="1:2" x14ac:dyDescent="0.25">
      <c r="A1074" s="1" t="str">
        <f t="shared" si="16"/>
        <v/>
      </c>
      <c r="B10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5" spans="1:2" x14ac:dyDescent="0.25">
      <c r="A1075" s="1" t="str">
        <f t="shared" si="16"/>
        <v/>
      </c>
      <c r="B10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6" spans="1:2" x14ac:dyDescent="0.25">
      <c r="A1076" s="1" t="str">
        <f t="shared" si="16"/>
        <v/>
      </c>
      <c r="B10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7" spans="1:2" x14ac:dyDescent="0.25">
      <c r="A1077" s="1" t="str">
        <f t="shared" si="16"/>
        <v/>
      </c>
      <c r="B10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8" spans="1:2" x14ac:dyDescent="0.25">
      <c r="A1078" s="1" t="str">
        <f t="shared" si="16"/>
        <v/>
      </c>
      <c r="B10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9" spans="1:2" x14ac:dyDescent="0.25">
      <c r="A1079" s="1" t="str">
        <f t="shared" si="16"/>
        <v/>
      </c>
      <c r="B10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0" spans="1:2" x14ac:dyDescent="0.25">
      <c r="A1080" s="1" t="str">
        <f t="shared" si="16"/>
        <v/>
      </c>
      <c r="B10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1" spans="1:2" x14ac:dyDescent="0.25">
      <c r="A1081" s="1" t="str">
        <f t="shared" si="16"/>
        <v/>
      </c>
      <c r="B10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2" spans="1:2" x14ac:dyDescent="0.25">
      <c r="A1082" s="1" t="str">
        <f t="shared" si="16"/>
        <v/>
      </c>
      <c r="B10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3" spans="1:2" x14ac:dyDescent="0.25">
      <c r="A1083" s="1" t="str">
        <f t="shared" si="16"/>
        <v/>
      </c>
      <c r="B10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4" spans="1:2" x14ac:dyDescent="0.25">
      <c r="A1084" s="1" t="str">
        <f t="shared" si="16"/>
        <v/>
      </c>
      <c r="B10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5" spans="1:2" x14ac:dyDescent="0.25">
      <c r="A1085" s="1" t="str">
        <f t="shared" si="16"/>
        <v/>
      </c>
      <c r="B10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6" spans="1:2" x14ac:dyDescent="0.25">
      <c r="A1086" s="1" t="str">
        <f t="shared" si="16"/>
        <v/>
      </c>
      <c r="B10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7" spans="1:2" x14ac:dyDescent="0.25">
      <c r="A1087" s="1" t="str">
        <f t="shared" si="16"/>
        <v/>
      </c>
      <c r="B10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8" spans="1:2" x14ac:dyDescent="0.25">
      <c r="A1088" s="1" t="str">
        <f t="shared" si="16"/>
        <v/>
      </c>
      <c r="B10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9" spans="1:2" x14ac:dyDescent="0.25">
      <c r="A1089" s="1" t="str">
        <f t="shared" si="16"/>
        <v/>
      </c>
      <c r="B10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0" spans="1:2" x14ac:dyDescent="0.25">
      <c r="A1090" s="1" t="str">
        <f t="shared" ref="A1090:A1153" si="17">IFERROR(LEFT(RIGHT(C1090,LEN(C1090)-SEARCH("@",C1090)),SEARCH("/",RIGHT(C1090,LEN(C1090)-SEARCH("@",C1090)-1))),"")</f>
        <v/>
      </c>
      <c r="B10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1" spans="1:2" x14ac:dyDescent="0.25">
      <c r="A1091" s="1" t="str">
        <f t="shared" si="17"/>
        <v/>
      </c>
      <c r="B10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2" spans="1:2" x14ac:dyDescent="0.25">
      <c r="A1092" s="1" t="str">
        <f t="shared" si="17"/>
        <v/>
      </c>
      <c r="B10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3" spans="1:2" x14ac:dyDescent="0.25">
      <c r="A1093" s="1" t="str">
        <f t="shared" si="17"/>
        <v/>
      </c>
      <c r="B10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4" spans="1:2" x14ac:dyDescent="0.25">
      <c r="A1094" s="1" t="str">
        <f t="shared" si="17"/>
        <v/>
      </c>
      <c r="B10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5" spans="1:2" x14ac:dyDescent="0.25">
      <c r="A1095" s="1" t="str">
        <f t="shared" si="17"/>
        <v/>
      </c>
      <c r="B10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6" spans="1:2" x14ac:dyDescent="0.25">
      <c r="A1096" s="1" t="str">
        <f t="shared" si="17"/>
        <v/>
      </c>
      <c r="B10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7" spans="1:2" x14ac:dyDescent="0.25">
      <c r="A1097" s="1" t="str">
        <f t="shared" si="17"/>
        <v/>
      </c>
      <c r="B10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8" spans="1:2" x14ac:dyDescent="0.25">
      <c r="A1098" s="1" t="str">
        <f t="shared" si="17"/>
        <v/>
      </c>
      <c r="B10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9" spans="1:2" x14ac:dyDescent="0.25">
      <c r="A1099" s="1" t="str">
        <f t="shared" si="17"/>
        <v/>
      </c>
      <c r="B10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0" spans="1:2" x14ac:dyDescent="0.25">
      <c r="A1100" s="1" t="str">
        <f t="shared" si="17"/>
        <v/>
      </c>
      <c r="B11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1" spans="1:2" x14ac:dyDescent="0.25">
      <c r="A1101" s="1" t="str">
        <f t="shared" si="17"/>
        <v/>
      </c>
      <c r="B11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2" spans="1:2" x14ac:dyDescent="0.25">
      <c r="A1102" s="1" t="str">
        <f t="shared" si="17"/>
        <v/>
      </c>
      <c r="B11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3" spans="1:2" x14ac:dyDescent="0.25">
      <c r="A1103" s="1" t="str">
        <f t="shared" si="17"/>
        <v/>
      </c>
      <c r="B11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4" spans="1:2" x14ac:dyDescent="0.25">
      <c r="A1104" s="1" t="str">
        <f t="shared" si="17"/>
        <v/>
      </c>
      <c r="B11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5" spans="1:2" x14ac:dyDescent="0.25">
      <c r="A1105" s="1" t="str">
        <f t="shared" si="17"/>
        <v/>
      </c>
      <c r="B11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6" spans="1:2" x14ac:dyDescent="0.25">
      <c r="A1106" s="1" t="str">
        <f t="shared" si="17"/>
        <v/>
      </c>
      <c r="B11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7" spans="1:2" x14ac:dyDescent="0.25">
      <c r="A1107" s="1" t="str">
        <f t="shared" si="17"/>
        <v/>
      </c>
      <c r="B11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8" spans="1:2" x14ac:dyDescent="0.25">
      <c r="A1108" s="1" t="str">
        <f t="shared" si="17"/>
        <v/>
      </c>
      <c r="B11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9" spans="1:2" x14ac:dyDescent="0.25">
      <c r="A1109" s="1" t="str">
        <f t="shared" si="17"/>
        <v/>
      </c>
      <c r="B11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0" spans="1:2" x14ac:dyDescent="0.25">
      <c r="A1110" s="1" t="str">
        <f t="shared" si="17"/>
        <v/>
      </c>
      <c r="B11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1" spans="1:2" x14ac:dyDescent="0.25">
      <c r="A1111" s="1" t="str">
        <f t="shared" si="17"/>
        <v/>
      </c>
      <c r="B11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2" spans="1:2" x14ac:dyDescent="0.25">
      <c r="A1112" s="1" t="str">
        <f t="shared" si="17"/>
        <v/>
      </c>
      <c r="B11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3" spans="1:2" x14ac:dyDescent="0.25">
      <c r="A1113" s="1" t="str">
        <f t="shared" si="17"/>
        <v/>
      </c>
      <c r="B11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4" spans="1:2" x14ac:dyDescent="0.25">
      <c r="A1114" s="1" t="str">
        <f t="shared" si="17"/>
        <v/>
      </c>
      <c r="B11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5" spans="1:2" x14ac:dyDescent="0.25">
      <c r="A1115" s="1" t="str">
        <f t="shared" si="17"/>
        <v/>
      </c>
      <c r="B11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6" spans="1:2" x14ac:dyDescent="0.25">
      <c r="A1116" s="1" t="str">
        <f t="shared" si="17"/>
        <v/>
      </c>
      <c r="B11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7" spans="1:2" x14ac:dyDescent="0.25">
      <c r="A1117" s="1" t="str">
        <f t="shared" si="17"/>
        <v/>
      </c>
      <c r="B11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8" spans="1:2" x14ac:dyDescent="0.25">
      <c r="A1118" s="1" t="str">
        <f t="shared" si="17"/>
        <v/>
      </c>
      <c r="B11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9" spans="1:2" x14ac:dyDescent="0.25">
      <c r="A1119" s="1" t="str">
        <f t="shared" si="17"/>
        <v/>
      </c>
      <c r="B11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0" spans="1:2" x14ac:dyDescent="0.25">
      <c r="A1120" s="1" t="str">
        <f t="shared" si="17"/>
        <v/>
      </c>
      <c r="B11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1" spans="1:2" x14ac:dyDescent="0.25">
      <c r="A1121" s="1" t="str">
        <f t="shared" si="17"/>
        <v/>
      </c>
      <c r="B11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2" spans="1:2" x14ac:dyDescent="0.25">
      <c r="A1122" s="1" t="str">
        <f t="shared" si="17"/>
        <v/>
      </c>
      <c r="B11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3" spans="1:2" x14ac:dyDescent="0.25">
      <c r="A1123" s="1" t="str">
        <f t="shared" si="17"/>
        <v/>
      </c>
      <c r="B11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4" spans="1:2" x14ac:dyDescent="0.25">
      <c r="A1124" s="1" t="str">
        <f t="shared" si="17"/>
        <v/>
      </c>
      <c r="B11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5" spans="1:2" x14ac:dyDescent="0.25">
      <c r="A1125" s="1" t="str">
        <f t="shared" si="17"/>
        <v/>
      </c>
      <c r="B11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6" spans="1:2" x14ac:dyDescent="0.25">
      <c r="A1126" s="1" t="str">
        <f t="shared" si="17"/>
        <v/>
      </c>
      <c r="B11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7" spans="1:2" x14ac:dyDescent="0.25">
      <c r="A1127" s="1" t="str">
        <f t="shared" si="17"/>
        <v/>
      </c>
      <c r="B11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8" spans="1:2" x14ac:dyDescent="0.25">
      <c r="A1128" s="1" t="str">
        <f t="shared" si="17"/>
        <v/>
      </c>
      <c r="B11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9" spans="1:2" x14ac:dyDescent="0.25">
      <c r="A1129" s="1" t="str">
        <f t="shared" si="17"/>
        <v/>
      </c>
      <c r="B11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0" spans="1:2" x14ac:dyDescent="0.25">
      <c r="A1130" s="1" t="str">
        <f t="shared" si="17"/>
        <v/>
      </c>
      <c r="B11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1" spans="1:2" x14ac:dyDescent="0.25">
      <c r="A1131" s="1" t="str">
        <f t="shared" si="17"/>
        <v/>
      </c>
      <c r="B11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2" spans="1:2" x14ac:dyDescent="0.25">
      <c r="A1132" s="1" t="str">
        <f t="shared" si="17"/>
        <v/>
      </c>
      <c r="B11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3" spans="1:2" x14ac:dyDescent="0.25">
      <c r="A1133" s="1" t="str">
        <f t="shared" si="17"/>
        <v/>
      </c>
      <c r="B11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4" spans="1:2" x14ac:dyDescent="0.25">
      <c r="A1134" s="1" t="str">
        <f t="shared" si="17"/>
        <v/>
      </c>
      <c r="B11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5" spans="1:2" x14ac:dyDescent="0.25">
      <c r="A1135" s="1" t="str">
        <f t="shared" si="17"/>
        <v/>
      </c>
      <c r="B11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6" spans="1:2" x14ac:dyDescent="0.25">
      <c r="A1136" s="1" t="str">
        <f t="shared" si="17"/>
        <v/>
      </c>
      <c r="B11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7" spans="1:2" x14ac:dyDescent="0.25">
      <c r="A1137" s="1" t="str">
        <f t="shared" si="17"/>
        <v/>
      </c>
      <c r="B11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8" spans="1:2" x14ac:dyDescent="0.25">
      <c r="A1138" s="1" t="str">
        <f t="shared" si="17"/>
        <v/>
      </c>
      <c r="B11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9" spans="1:2" x14ac:dyDescent="0.25">
      <c r="A1139" s="1" t="str">
        <f t="shared" si="17"/>
        <v/>
      </c>
      <c r="B11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0" spans="1:2" x14ac:dyDescent="0.25">
      <c r="A1140" s="1" t="str">
        <f t="shared" si="17"/>
        <v/>
      </c>
      <c r="B11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1" spans="1:2" x14ac:dyDescent="0.25">
      <c r="A1141" s="1" t="str">
        <f t="shared" si="17"/>
        <v/>
      </c>
      <c r="B11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2" spans="1:2" x14ac:dyDescent="0.25">
      <c r="A1142" s="1" t="str">
        <f t="shared" si="17"/>
        <v/>
      </c>
      <c r="B11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3" spans="1:2" x14ac:dyDescent="0.25">
      <c r="A1143" s="1" t="str">
        <f t="shared" si="17"/>
        <v/>
      </c>
      <c r="B11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4" spans="1:2" x14ac:dyDescent="0.25">
      <c r="A1144" s="1" t="str">
        <f t="shared" si="17"/>
        <v/>
      </c>
      <c r="B11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5" spans="1:2" x14ac:dyDescent="0.25">
      <c r="A1145" s="1" t="str">
        <f t="shared" si="17"/>
        <v/>
      </c>
      <c r="B11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6" spans="1:2" x14ac:dyDescent="0.25">
      <c r="A1146" s="1" t="str">
        <f t="shared" si="17"/>
        <v/>
      </c>
      <c r="B11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7" spans="1:2" x14ac:dyDescent="0.25">
      <c r="A1147" s="1" t="str">
        <f t="shared" si="17"/>
        <v/>
      </c>
      <c r="B11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8" spans="1:2" x14ac:dyDescent="0.25">
      <c r="A1148" s="1" t="str">
        <f t="shared" si="17"/>
        <v/>
      </c>
      <c r="B11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9" spans="1:2" x14ac:dyDescent="0.25">
      <c r="A1149" s="1" t="str">
        <f t="shared" si="17"/>
        <v/>
      </c>
      <c r="B11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0" spans="1:2" x14ac:dyDescent="0.25">
      <c r="A1150" s="1" t="str">
        <f t="shared" si="17"/>
        <v/>
      </c>
      <c r="B11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1" spans="1:2" x14ac:dyDescent="0.25">
      <c r="A1151" s="1" t="str">
        <f t="shared" si="17"/>
        <v/>
      </c>
      <c r="B11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2" spans="1:2" x14ac:dyDescent="0.25">
      <c r="A1152" s="1" t="str">
        <f t="shared" si="17"/>
        <v/>
      </c>
      <c r="B11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3" spans="1:2" x14ac:dyDescent="0.25">
      <c r="A1153" s="1" t="str">
        <f t="shared" si="17"/>
        <v/>
      </c>
      <c r="B11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4" spans="1:2" x14ac:dyDescent="0.25">
      <c r="A1154" s="1" t="str">
        <f t="shared" ref="A1154:A1217" si="18">IFERROR(LEFT(RIGHT(C1154,LEN(C1154)-SEARCH("@",C1154)),SEARCH("/",RIGHT(C1154,LEN(C1154)-SEARCH("@",C1154)-1))),"")</f>
        <v/>
      </c>
      <c r="B11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5" spans="1:2" x14ac:dyDescent="0.25">
      <c r="A1155" s="1" t="str">
        <f t="shared" si="18"/>
        <v/>
      </c>
      <c r="B11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6" spans="1:2" x14ac:dyDescent="0.25">
      <c r="A1156" s="1" t="str">
        <f t="shared" si="18"/>
        <v/>
      </c>
      <c r="B11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7" spans="1:2" x14ac:dyDescent="0.25">
      <c r="A1157" s="1" t="str">
        <f t="shared" si="18"/>
        <v/>
      </c>
      <c r="B11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8" spans="1:2" x14ac:dyDescent="0.25">
      <c r="A1158" s="1" t="str">
        <f t="shared" si="18"/>
        <v/>
      </c>
      <c r="B11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9" spans="1:2" x14ac:dyDescent="0.25">
      <c r="A1159" s="1" t="str">
        <f t="shared" si="18"/>
        <v/>
      </c>
      <c r="B11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0" spans="1:2" x14ac:dyDescent="0.25">
      <c r="A1160" s="1" t="str">
        <f t="shared" si="18"/>
        <v/>
      </c>
      <c r="B11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1" spans="1:2" x14ac:dyDescent="0.25">
      <c r="A1161" s="1" t="str">
        <f t="shared" si="18"/>
        <v/>
      </c>
      <c r="B11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2" spans="1:2" x14ac:dyDescent="0.25">
      <c r="A1162" s="1" t="str">
        <f t="shared" si="18"/>
        <v/>
      </c>
      <c r="B11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3" spans="1:2" x14ac:dyDescent="0.25">
      <c r="A1163" s="1" t="str">
        <f t="shared" si="18"/>
        <v/>
      </c>
      <c r="B11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4" spans="1:2" x14ac:dyDescent="0.25">
      <c r="A1164" s="1" t="str">
        <f t="shared" si="18"/>
        <v/>
      </c>
      <c r="B11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5" spans="1:2" x14ac:dyDescent="0.25">
      <c r="A1165" s="1" t="str">
        <f t="shared" si="18"/>
        <v/>
      </c>
      <c r="B11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6" spans="1:2" x14ac:dyDescent="0.25">
      <c r="A1166" s="1" t="str">
        <f t="shared" si="18"/>
        <v/>
      </c>
      <c r="B11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7" spans="1:2" x14ac:dyDescent="0.25">
      <c r="A1167" s="1" t="str">
        <f t="shared" si="18"/>
        <v/>
      </c>
      <c r="B11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8" spans="1:2" x14ac:dyDescent="0.25">
      <c r="A1168" s="1" t="str">
        <f t="shared" si="18"/>
        <v/>
      </c>
      <c r="B11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9" spans="1:2" x14ac:dyDescent="0.25">
      <c r="A1169" s="1" t="str">
        <f t="shared" si="18"/>
        <v/>
      </c>
      <c r="B11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0" spans="1:2" x14ac:dyDescent="0.25">
      <c r="A1170" s="1" t="str">
        <f t="shared" si="18"/>
        <v/>
      </c>
      <c r="B11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1" spans="1:2" x14ac:dyDescent="0.25">
      <c r="A1171" s="1" t="str">
        <f t="shared" si="18"/>
        <v/>
      </c>
      <c r="B11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2" spans="1:2" x14ac:dyDescent="0.25">
      <c r="A1172" s="1" t="str">
        <f t="shared" si="18"/>
        <v/>
      </c>
      <c r="B11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3" spans="1:2" x14ac:dyDescent="0.25">
      <c r="A1173" s="1" t="str">
        <f t="shared" si="18"/>
        <v/>
      </c>
      <c r="B11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4" spans="1:2" x14ac:dyDescent="0.25">
      <c r="A1174" s="1" t="str">
        <f t="shared" si="18"/>
        <v/>
      </c>
      <c r="B11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5" spans="1:2" x14ac:dyDescent="0.25">
      <c r="A1175" s="1" t="str">
        <f t="shared" si="18"/>
        <v/>
      </c>
      <c r="B11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6" spans="1:2" x14ac:dyDescent="0.25">
      <c r="A1176" s="1" t="str">
        <f t="shared" si="18"/>
        <v/>
      </c>
      <c r="B11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7" spans="1:2" x14ac:dyDescent="0.25">
      <c r="A1177" s="1" t="str">
        <f t="shared" si="18"/>
        <v/>
      </c>
      <c r="B11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8" spans="1:2" x14ac:dyDescent="0.25">
      <c r="A1178" s="1" t="str">
        <f t="shared" si="18"/>
        <v/>
      </c>
      <c r="B11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9" spans="1:2" x14ac:dyDescent="0.25">
      <c r="A1179" s="1" t="str">
        <f t="shared" si="18"/>
        <v/>
      </c>
      <c r="B11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0" spans="1:2" x14ac:dyDescent="0.25">
      <c r="A1180" s="1" t="str">
        <f t="shared" si="18"/>
        <v/>
      </c>
      <c r="B11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1" spans="1:2" x14ac:dyDescent="0.25">
      <c r="A1181" s="1" t="str">
        <f t="shared" si="18"/>
        <v/>
      </c>
      <c r="B11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2" spans="1:2" x14ac:dyDescent="0.25">
      <c r="A1182" s="1" t="str">
        <f t="shared" si="18"/>
        <v/>
      </c>
      <c r="B11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3" spans="1:2" x14ac:dyDescent="0.25">
      <c r="A1183" s="1" t="str">
        <f t="shared" si="18"/>
        <v/>
      </c>
      <c r="B11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4" spans="1:2" x14ac:dyDescent="0.25">
      <c r="A1184" s="1" t="str">
        <f t="shared" si="18"/>
        <v/>
      </c>
      <c r="B11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5" spans="1:2" x14ac:dyDescent="0.25">
      <c r="A1185" s="1" t="str">
        <f t="shared" si="18"/>
        <v/>
      </c>
      <c r="B11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6" spans="1:2" x14ac:dyDescent="0.25">
      <c r="A1186" s="1" t="str">
        <f t="shared" si="18"/>
        <v/>
      </c>
      <c r="B11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7" spans="1:2" x14ac:dyDescent="0.25">
      <c r="A1187" s="1" t="str">
        <f t="shared" si="18"/>
        <v/>
      </c>
      <c r="B11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8" spans="1:2" x14ac:dyDescent="0.25">
      <c r="A1188" s="1" t="str">
        <f t="shared" si="18"/>
        <v/>
      </c>
      <c r="B11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9" spans="1:2" x14ac:dyDescent="0.25">
      <c r="A1189" s="1" t="str">
        <f t="shared" si="18"/>
        <v/>
      </c>
      <c r="B11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0" spans="1:2" x14ac:dyDescent="0.25">
      <c r="A1190" s="1" t="str">
        <f t="shared" si="18"/>
        <v/>
      </c>
      <c r="B11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1" spans="1:2" x14ac:dyDescent="0.25">
      <c r="A1191" s="1" t="str">
        <f t="shared" si="18"/>
        <v/>
      </c>
      <c r="B11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2" spans="1:2" x14ac:dyDescent="0.25">
      <c r="A1192" s="1" t="str">
        <f t="shared" si="18"/>
        <v/>
      </c>
      <c r="B11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3" spans="1:2" x14ac:dyDescent="0.25">
      <c r="A1193" s="1" t="str">
        <f t="shared" si="18"/>
        <v/>
      </c>
      <c r="B11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4" spans="1:2" x14ac:dyDescent="0.25">
      <c r="A1194" s="1" t="str">
        <f t="shared" si="18"/>
        <v/>
      </c>
      <c r="B11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5" spans="1:2" x14ac:dyDescent="0.25">
      <c r="A1195" s="1" t="str">
        <f t="shared" si="18"/>
        <v/>
      </c>
      <c r="B11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6" spans="1:2" x14ac:dyDescent="0.25">
      <c r="A1196" s="1" t="str">
        <f t="shared" si="18"/>
        <v/>
      </c>
      <c r="B11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7" spans="1:2" x14ac:dyDescent="0.25">
      <c r="A1197" s="1" t="str">
        <f t="shared" si="18"/>
        <v/>
      </c>
      <c r="B11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8" spans="1:2" x14ac:dyDescent="0.25">
      <c r="A1198" s="1" t="str">
        <f t="shared" si="18"/>
        <v/>
      </c>
      <c r="B11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9" spans="1:2" x14ac:dyDescent="0.25">
      <c r="A1199" s="1" t="str">
        <f t="shared" si="18"/>
        <v/>
      </c>
      <c r="B11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0" spans="1:2" x14ac:dyDescent="0.25">
      <c r="A1200" s="1" t="str">
        <f t="shared" si="18"/>
        <v/>
      </c>
      <c r="B12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1" spans="1:2" x14ac:dyDescent="0.25">
      <c r="A1201" s="1" t="str">
        <f t="shared" si="18"/>
        <v/>
      </c>
      <c r="B12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2" spans="1:2" x14ac:dyDescent="0.25">
      <c r="A1202" s="1" t="str">
        <f t="shared" si="18"/>
        <v/>
      </c>
      <c r="B12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3" spans="1:2" x14ac:dyDescent="0.25">
      <c r="A1203" s="1" t="str">
        <f t="shared" si="18"/>
        <v/>
      </c>
      <c r="B12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4" spans="1:2" x14ac:dyDescent="0.25">
      <c r="A1204" s="1" t="str">
        <f t="shared" si="18"/>
        <v/>
      </c>
      <c r="B12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5" spans="1:2" x14ac:dyDescent="0.25">
      <c r="A1205" s="1" t="str">
        <f t="shared" si="18"/>
        <v/>
      </c>
      <c r="B12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6" spans="1:2" x14ac:dyDescent="0.25">
      <c r="A1206" s="1" t="str">
        <f t="shared" si="18"/>
        <v/>
      </c>
      <c r="B12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7" spans="1:2" x14ac:dyDescent="0.25">
      <c r="A1207" s="1" t="str">
        <f t="shared" si="18"/>
        <v/>
      </c>
      <c r="B12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8" spans="1:2" x14ac:dyDescent="0.25">
      <c r="A1208" s="1" t="str">
        <f t="shared" si="18"/>
        <v/>
      </c>
      <c r="B12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9" spans="1:2" x14ac:dyDescent="0.25">
      <c r="A1209" s="1" t="str">
        <f t="shared" si="18"/>
        <v/>
      </c>
      <c r="B12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0" spans="1:2" x14ac:dyDescent="0.25">
      <c r="A1210" s="1" t="str">
        <f t="shared" si="18"/>
        <v/>
      </c>
      <c r="B12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1" spans="1:2" x14ac:dyDescent="0.25">
      <c r="A1211" s="1" t="str">
        <f t="shared" si="18"/>
        <v/>
      </c>
      <c r="B12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2" spans="1:2" x14ac:dyDescent="0.25">
      <c r="A1212" s="1" t="str">
        <f t="shared" si="18"/>
        <v/>
      </c>
      <c r="B12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3" spans="1:2" x14ac:dyDescent="0.25">
      <c r="A1213" s="1" t="str">
        <f t="shared" si="18"/>
        <v/>
      </c>
      <c r="B12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4" spans="1:2" x14ac:dyDescent="0.25">
      <c r="A1214" s="1" t="str">
        <f t="shared" si="18"/>
        <v/>
      </c>
      <c r="B12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5" spans="1:2" x14ac:dyDescent="0.25">
      <c r="A1215" s="1" t="str">
        <f t="shared" si="18"/>
        <v/>
      </c>
      <c r="B12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6" spans="1:2" x14ac:dyDescent="0.25">
      <c r="A1216" s="1" t="str">
        <f t="shared" si="18"/>
        <v/>
      </c>
      <c r="B12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7" spans="1:2" x14ac:dyDescent="0.25">
      <c r="A1217" s="1" t="str">
        <f t="shared" si="18"/>
        <v/>
      </c>
      <c r="B12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8" spans="1:2" x14ac:dyDescent="0.25">
      <c r="A1218" s="1" t="str">
        <f t="shared" ref="A1218:A1281" si="19">IFERROR(LEFT(RIGHT(C1218,LEN(C1218)-SEARCH("@",C1218)),SEARCH("/",RIGHT(C1218,LEN(C1218)-SEARCH("@",C1218)-1))),"")</f>
        <v/>
      </c>
      <c r="B12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9" spans="1:2" x14ac:dyDescent="0.25">
      <c r="A1219" s="1" t="str">
        <f t="shared" si="19"/>
        <v/>
      </c>
      <c r="B12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0" spans="1:2" x14ac:dyDescent="0.25">
      <c r="A1220" s="1" t="str">
        <f t="shared" si="19"/>
        <v/>
      </c>
      <c r="B12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1" spans="1:2" x14ac:dyDescent="0.25">
      <c r="A1221" s="1" t="str">
        <f t="shared" si="19"/>
        <v/>
      </c>
      <c r="B12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2" spans="1:2" x14ac:dyDescent="0.25">
      <c r="A1222" s="1" t="str">
        <f t="shared" si="19"/>
        <v/>
      </c>
      <c r="B12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3" spans="1:2" x14ac:dyDescent="0.25">
      <c r="A1223" s="1" t="str">
        <f t="shared" si="19"/>
        <v/>
      </c>
      <c r="B12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4" spans="1:2" x14ac:dyDescent="0.25">
      <c r="A1224" s="1" t="str">
        <f t="shared" si="19"/>
        <v/>
      </c>
      <c r="B12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5" spans="1:2" x14ac:dyDescent="0.25">
      <c r="A1225" s="1" t="str">
        <f t="shared" si="19"/>
        <v/>
      </c>
      <c r="B12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6" spans="1:2" x14ac:dyDescent="0.25">
      <c r="A1226" s="1" t="str">
        <f t="shared" si="19"/>
        <v/>
      </c>
      <c r="B12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7" spans="1:2" x14ac:dyDescent="0.25">
      <c r="A1227" s="1" t="str">
        <f t="shared" si="19"/>
        <v/>
      </c>
      <c r="B12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8" spans="1:2" x14ac:dyDescent="0.25">
      <c r="A1228" s="1" t="str">
        <f t="shared" si="19"/>
        <v/>
      </c>
      <c r="B12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9" spans="1:2" x14ac:dyDescent="0.25">
      <c r="A1229" s="1" t="str">
        <f t="shared" si="19"/>
        <v/>
      </c>
      <c r="B12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0" spans="1:2" x14ac:dyDescent="0.25">
      <c r="A1230" s="1" t="str">
        <f t="shared" si="19"/>
        <v/>
      </c>
      <c r="B12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1" spans="1:2" x14ac:dyDescent="0.25">
      <c r="A1231" s="1" t="str">
        <f t="shared" si="19"/>
        <v/>
      </c>
      <c r="B12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2" spans="1:2" x14ac:dyDescent="0.25">
      <c r="A1232" s="1" t="str">
        <f t="shared" si="19"/>
        <v/>
      </c>
      <c r="B12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3" spans="1:2" x14ac:dyDescent="0.25">
      <c r="A1233" s="1" t="str">
        <f t="shared" si="19"/>
        <v/>
      </c>
      <c r="B12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4" spans="1:2" x14ac:dyDescent="0.25">
      <c r="A1234" s="1" t="str">
        <f t="shared" si="19"/>
        <v/>
      </c>
      <c r="B12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5" spans="1:2" x14ac:dyDescent="0.25">
      <c r="A1235" s="1" t="str">
        <f t="shared" si="19"/>
        <v/>
      </c>
      <c r="B12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6" spans="1:2" x14ac:dyDescent="0.25">
      <c r="A1236" s="1" t="str">
        <f t="shared" si="19"/>
        <v/>
      </c>
      <c r="B12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7" spans="1:2" x14ac:dyDescent="0.25">
      <c r="A1237" s="1" t="str">
        <f t="shared" si="19"/>
        <v/>
      </c>
      <c r="B12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8" spans="1:2" x14ac:dyDescent="0.25">
      <c r="A1238" s="1" t="str">
        <f t="shared" si="19"/>
        <v/>
      </c>
      <c r="B12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9" spans="1:2" x14ac:dyDescent="0.25">
      <c r="A1239" s="1" t="str">
        <f t="shared" si="19"/>
        <v/>
      </c>
      <c r="B12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0" spans="1:2" x14ac:dyDescent="0.25">
      <c r="A1240" s="1" t="str">
        <f t="shared" si="19"/>
        <v/>
      </c>
      <c r="B12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1" spans="1:2" x14ac:dyDescent="0.25">
      <c r="A1241" s="1" t="str">
        <f t="shared" si="19"/>
        <v/>
      </c>
      <c r="B12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2" spans="1:2" x14ac:dyDescent="0.25">
      <c r="A1242" s="1" t="str">
        <f t="shared" si="19"/>
        <v/>
      </c>
      <c r="B12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3" spans="1:2" x14ac:dyDescent="0.25">
      <c r="A1243" s="1" t="str">
        <f t="shared" si="19"/>
        <v/>
      </c>
      <c r="B12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4" spans="1:2" x14ac:dyDescent="0.25">
      <c r="A1244" s="1" t="str">
        <f t="shared" si="19"/>
        <v/>
      </c>
      <c r="B12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5" spans="1:2" x14ac:dyDescent="0.25">
      <c r="A1245" s="1" t="str">
        <f t="shared" si="19"/>
        <v/>
      </c>
      <c r="B12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6" spans="1:2" x14ac:dyDescent="0.25">
      <c r="A1246" s="1" t="str">
        <f t="shared" si="19"/>
        <v/>
      </c>
      <c r="B12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7" spans="1:2" x14ac:dyDescent="0.25">
      <c r="A1247" s="1" t="str">
        <f t="shared" si="19"/>
        <v/>
      </c>
      <c r="B12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8" spans="1:2" x14ac:dyDescent="0.25">
      <c r="A1248" s="1" t="str">
        <f t="shared" si="19"/>
        <v/>
      </c>
      <c r="B12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9" spans="1:2" x14ac:dyDescent="0.25">
      <c r="A1249" s="1" t="str">
        <f t="shared" si="19"/>
        <v/>
      </c>
      <c r="B12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0" spans="1:2" x14ac:dyDescent="0.25">
      <c r="A1250" s="1" t="str">
        <f t="shared" si="19"/>
        <v/>
      </c>
      <c r="B12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1" spans="1:2" x14ac:dyDescent="0.25">
      <c r="A1251" s="1" t="str">
        <f t="shared" si="19"/>
        <v/>
      </c>
      <c r="B12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2" spans="1:2" x14ac:dyDescent="0.25">
      <c r="A1252" s="1" t="str">
        <f t="shared" si="19"/>
        <v/>
      </c>
      <c r="B12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3" spans="1:2" x14ac:dyDescent="0.25">
      <c r="A1253" s="1" t="str">
        <f t="shared" si="19"/>
        <v/>
      </c>
      <c r="B12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4" spans="1:2" x14ac:dyDescent="0.25">
      <c r="A1254" s="1" t="str">
        <f t="shared" si="19"/>
        <v/>
      </c>
      <c r="B12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5" spans="1:2" x14ac:dyDescent="0.25">
      <c r="A1255" s="1" t="str">
        <f t="shared" si="19"/>
        <v/>
      </c>
      <c r="B12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6" spans="1:2" x14ac:dyDescent="0.25">
      <c r="A1256" s="1" t="str">
        <f t="shared" si="19"/>
        <v/>
      </c>
      <c r="B12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7" spans="1:2" x14ac:dyDescent="0.25">
      <c r="A1257" s="1" t="str">
        <f t="shared" si="19"/>
        <v/>
      </c>
      <c r="B12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8" spans="1:2" x14ac:dyDescent="0.25">
      <c r="A1258" s="1" t="str">
        <f t="shared" si="19"/>
        <v/>
      </c>
      <c r="B12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9" spans="1:2" x14ac:dyDescent="0.25">
      <c r="A1259" s="1" t="str">
        <f t="shared" si="19"/>
        <v/>
      </c>
      <c r="B12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0" spans="1:2" x14ac:dyDescent="0.25">
      <c r="A1260" s="1" t="str">
        <f t="shared" si="19"/>
        <v/>
      </c>
      <c r="B12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1" spans="1:2" x14ac:dyDescent="0.25">
      <c r="A1261" s="1" t="str">
        <f t="shared" si="19"/>
        <v/>
      </c>
      <c r="B12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2" spans="1:2" x14ac:dyDescent="0.25">
      <c r="A1262" s="1" t="str">
        <f t="shared" si="19"/>
        <v/>
      </c>
      <c r="B12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3" spans="1:2" x14ac:dyDescent="0.25">
      <c r="A1263" s="1" t="str">
        <f t="shared" si="19"/>
        <v/>
      </c>
      <c r="B12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4" spans="1:2" x14ac:dyDescent="0.25">
      <c r="A1264" s="1" t="str">
        <f t="shared" si="19"/>
        <v/>
      </c>
      <c r="B12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5" spans="1:2" x14ac:dyDescent="0.25">
      <c r="A1265" s="1" t="str">
        <f t="shared" si="19"/>
        <v/>
      </c>
      <c r="B12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6" spans="1:2" x14ac:dyDescent="0.25">
      <c r="A1266" s="1" t="str">
        <f t="shared" si="19"/>
        <v/>
      </c>
      <c r="B12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7" spans="1:2" x14ac:dyDescent="0.25">
      <c r="A1267" s="1" t="str">
        <f t="shared" si="19"/>
        <v/>
      </c>
      <c r="B12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8" spans="1:2" x14ac:dyDescent="0.25">
      <c r="A1268" s="1" t="str">
        <f t="shared" si="19"/>
        <v/>
      </c>
      <c r="B12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9" spans="1:2" x14ac:dyDescent="0.25">
      <c r="A1269" s="1" t="str">
        <f t="shared" si="19"/>
        <v/>
      </c>
      <c r="B12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0" spans="1:2" x14ac:dyDescent="0.25">
      <c r="A1270" s="1" t="str">
        <f t="shared" si="19"/>
        <v/>
      </c>
      <c r="B12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1" spans="1:2" x14ac:dyDescent="0.25">
      <c r="A1271" s="1" t="str">
        <f t="shared" si="19"/>
        <v/>
      </c>
      <c r="B12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2" spans="1:2" x14ac:dyDescent="0.25">
      <c r="A1272" s="1" t="str">
        <f t="shared" si="19"/>
        <v/>
      </c>
      <c r="B12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3" spans="1:2" x14ac:dyDescent="0.25">
      <c r="A1273" s="1" t="str">
        <f t="shared" si="19"/>
        <v/>
      </c>
      <c r="B12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4" spans="1:2" x14ac:dyDescent="0.25">
      <c r="A1274" s="1" t="str">
        <f t="shared" si="19"/>
        <v/>
      </c>
      <c r="B12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5" spans="1:2" x14ac:dyDescent="0.25">
      <c r="A1275" s="1" t="str">
        <f t="shared" si="19"/>
        <v/>
      </c>
      <c r="B12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6" spans="1:2" x14ac:dyDescent="0.25">
      <c r="A1276" s="1" t="str">
        <f t="shared" si="19"/>
        <v/>
      </c>
      <c r="B12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7" spans="1:2" x14ac:dyDescent="0.25">
      <c r="A1277" s="1" t="str">
        <f t="shared" si="19"/>
        <v/>
      </c>
      <c r="B12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8" spans="1:2" x14ac:dyDescent="0.25">
      <c r="A1278" s="1" t="str">
        <f t="shared" si="19"/>
        <v/>
      </c>
      <c r="B12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9" spans="1:2" x14ac:dyDescent="0.25">
      <c r="A1279" s="1" t="str">
        <f t="shared" si="19"/>
        <v/>
      </c>
      <c r="B12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0" spans="1:2" x14ac:dyDescent="0.25">
      <c r="A1280" s="1" t="str">
        <f t="shared" si="19"/>
        <v/>
      </c>
      <c r="B12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1" spans="1:2" x14ac:dyDescent="0.25">
      <c r="A1281" s="1" t="str">
        <f t="shared" si="19"/>
        <v/>
      </c>
      <c r="B12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2" spans="1:2" x14ac:dyDescent="0.25">
      <c r="A1282" s="1" t="str">
        <f t="shared" ref="A1282:A1345" si="20">IFERROR(LEFT(RIGHT(C1282,LEN(C1282)-SEARCH("@",C1282)),SEARCH("/",RIGHT(C1282,LEN(C1282)-SEARCH("@",C1282)-1))),"")</f>
        <v/>
      </c>
      <c r="B12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3" spans="1:2" x14ac:dyDescent="0.25">
      <c r="A1283" s="1" t="str">
        <f t="shared" si="20"/>
        <v/>
      </c>
      <c r="B12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4" spans="1:2" x14ac:dyDescent="0.25">
      <c r="A1284" s="1" t="str">
        <f t="shared" si="20"/>
        <v/>
      </c>
      <c r="B12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5" spans="1:2" x14ac:dyDescent="0.25">
      <c r="A1285" s="1" t="str">
        <f t="shared" si="20"/>
        <v/>
      </c>
      <c r="B12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6" spans="1:2" x14ac:dyDescent="0.25">
      <c r="A1286" s="1" t="str">
        <f t="shared" si="20"/>
        <v/>
      </c>
      <c r="B12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7" spans="1:2" x14ac:dyDescent="0.25">
      <c r="A1287" s="1" t="str">
        <f t="shared" si="20"/>
        <v/>
      </c>
      <c r="B12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8" spans="1:2" x14ac:dyDescent="0.25">
      <c r="A1288" s="1" t="str">
        <f t="shared" si="20"/>
        <v/>
      </c>
      <c r="B12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9" spans="1:2" x14ac:dyDescent="0.25">
      <c r="A1289" s="1" t="str">
        <f t="shared" si="20"/>
        <v/>
      </c>
      <c r="B12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0" spans="1:2" x14ac:dyDescent="0.25">
      <c r="A1290" s="1" t="str">
        <f t="shared" si="20"/>
        <v/>
      </c>
      <c r="B12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1" spans="1:2" x14ac:dyDescent="0.25">
      <c r="A1291" s="1" t="str">
        <f t="shared" si="20"/>
        <v/>
      </c>
      <c r="B12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2" spans="1:2" x14ac:dyDescent="0.25">
      <c r="A1292" s="1" t="str">
        <f t="shared" si="20"/>
        <v/>
      </c>
      <c r="B12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3" spans="1:2" x14ac:dyDescent="0.25">
      <c r="A1293" s="1" t="str">
        <f t="shared" si="20"/>
        <v/>
      </c>
      <c r="B12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4" spans="1:2" x14ac:dyDescent="0.25">
      <c r="A1294" s="1" t="str">
        <f t="shared" si="20"/>
        <v/>
      </c>
      <c r="B12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5" spans="1:2" x14ac:dyDescent="0.25">
      <c r="A1295" s="1" t="str">
        <f t="shared" si="20"/>
        <v/>
      </c>
      <c r="B12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6" spans="1:2" x14ac:dyDescent="0.25">
      <c r="A1296" s="1" t="str">
        <f t="shared" si="20"/>
        <v/>
      </c>
      <c r="B12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7" spans="1:2" x14ac:dyDescent="0.25">
      <c r="A1297" s="1" t="str">
        <f t="shared" si="20"/>
        <v/>
      </c>
      <c r="B12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8" spans="1:2" x14ac:dyDescent="0.25">
      <c r="A1298" s="1" t="str">
        <f t="shared" si="20"/>
        <v/>
      </c>
      <c r="B12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9" spans="1:2" x14ac:dyDescent="0.25">
      <c r="A1299" s="1" t="str">
        <f t="shared" si="20"/>
        <v/>
      </c>
      <c r="B12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0" spans="1:2" x14ac:dyDescent="0.25">
      <c r="A1300" s="1" t="str">
        <f t="shared" si="20"/>
        <v/>
      </c>
      <c r="B13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1" spans="1:2" x14ac:dyDescent="0.25">
      <c r="A1301" s="1" t="str">
        <f t="shared" si="20"/>
        <v/>
      </c>
      <c r="B13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2" spans="1:2" x14ac:dyDescent="0.25">
      <c r="A1302" s="1" t="str">
        <f t="shared" si="20"/>
        <v/>
      </c>
      <c r="B13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3" spans="1:2" x14ac:dyDescent="0.25">
      <c r="A1303" s="1" t="str">
        <f t="shared" si="20"/>
        <v/>
      </c>
      <c r="B13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4" spans="1:2" x14ac:dyDescent="0.25">
      <c r="A1304" s="1" t="str">
        <f t="shared" si="20"/>
        <v/>
      </c>
      <c r="B13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5" spans="1:2" x14ac:dyDescent="0.25">
      <c r="A1305" s="1" t="str">
        <f t="shared" si="20"/>
        <v/>
      </c>
      <c r="B13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6" spans="1:2" x14ac:dyDescent="0.25">
      <c r="A1306" s="1" t="str">
        <f t="shared" si="20"/>
        <v/>
      </c>
      <c r="B13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7" spans="1:2" x14ac:dyDescent="0.25">
      <c r="A1307" s="1" t="str">
        <f t="shared" si="20"/>
        <v/>
      </c>
      <c r="B13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8" spans="1:2" x14ac:dyDescent="0.25">
      <c r="A1308" s="1" t="str">
        <f t="shared" si="20"/>
        <v/>
      </c>
      <c r="B13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9" spans="1:2" x14ac:dyDescent="0.25">
      <c r="A1309" s="1" t="str">
        <f t="shared" si="20"/>
        <v/>
      </c>
      <c r="B13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0" spans="1:2" x14ac:dyDescent="0.25">
      <c r="A1310" s="1" t="str">
        <f t="shared" si="20"/>
        <v/>
      </c>
      <c r="B13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1" spans="1:2" x14ac:dyDescent="0.25">
      <c r="A1311" s="1" t="str">
        <f t="shared" si="20"/>
        <v/>
      </c>
      <c r="B13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2" spans="1:2" x14ac:dyDescent="0.25">
      <c r="A1312" s="1" t="str">
        <f t="shared" si="20"/>
        <v/>
      </c>
      <c r="B13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3" spans="1:2" x14ac:dyDescent="0.25">
      <c r="A1313" s="1" t="str">
        <f t="shared" si="20"/>
        <v/>
      </c>
      <c r="B13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4" spans="1:2" x14ac:dyDescent="0.25">
      <c r="A1314" s="1" t="str">
        <f t="shared" si="20"/>
        <v/>
      </c>
      <c r="B13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5" spans="1:2" x14ac:dyDescent="0.25">
      <c r="A1315" s="1" t="str">
        <f t="shared" si="20"/>
        <v/>
      </c>
      <c r="B13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6" spans="1:2" x14ac:dyDescent="0.25">
      <c r="A1316" s="1" t="str">
        <f t="shared" si="20"/>
        <v/>
      </c>
      <c r="B13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7" spans="1:2" x14ac:dyDescent="0.25">
      <c r="A1317" s="1" t="str">
        <f t="shared" si="20"/>
        <v/>
      </c>
      <c r="B13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8" spans="1:2" x14ac:dyDescent="0.25">
      <c r="A1318" s="1" t="str">
        <f t="shared" si="20"/>
        <v/>
      </c>
      <c r="B13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9" spans="1:2" x14ac:dyDescent="0.25">
      <c r="A1319" s="1" t="str">
        <f t="shared" si="20"/>
        <v/>
      </c>
      <c r="B13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0" spans="1:2" x14ac:dyDescent="0.25">
      <c r="A1320" s="1" t="str">
        <f t="shared" si="20"/>
        <v/>
      </c>
      <c r="B13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1" spans="1:2" x14ac:dyDescent="0.25">
      <c r="A1321" s="1" t="str">
        <f t="shared" si="20"/>
        <v/>
      </c>
      <c r="B13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2" spans="1:2" x14ac:dyDescent="0.25">
      <c r="A1322" s="1" t="str">
        <f t="shared" si="20"/>
        <v/>
      </c>
      <c r="B13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3" spans="1:2" x14ac:dyDescent="0.25">
      <c r="A1323" s="1" t="str">
        <f t="shared" si="20"/>
        <v/>
      </c>
      <c r="B13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4" spans="1:2" x14ac:dyDescent="0.25">
      <c r="A1324" s="1" t="str">
        <f t="shared" si="20"/>
        <v/>
      </c>
      <c r="B13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5" spans="1:2" x14ac:dyDescent="0.25">
      <c r="A1325" s="1" t="str">
        <f t="shared" si="20"/>
        <v/>
      </c>
      <c r="B13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6" spans="1:2" x14ac:dyDescent="0.25">
      <c r="A1326" s="1" t="str">
        <f t="shared" si="20"/>
        <v/>
      </c>
      <c r="B13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7" spans="1:2" x14ac:dyDescent="0.25">
      <c r="A1327" s="1" t="str">
        <f t="shared" si="20"/>
        <v/>
      </c>
      <c r="B13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8" spans="1:2" x14ac:dyDescent="0.25">
      <c r="A1328" s="1" t="str">
        <f t="shared" si="20"/>
        <v/>
      </c>
      <c r="B13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9" spans="1:2" x14ac:dyDescent="0.25">
      <c r="A1329" s="1" t="str">
        <f t="shared" si="20"/>
        <v/>
      </c>
      <c r="B13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0" spans="1:2" x14ac:dyDescent="0.25">
      <c r="A1330" s="1" t="str">
        <f t="shared" si="20"/>
        <v/>
      </c>
      <c r="B13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1" spans="1:2" x14ac:dyDescent="0.25">
      <c r="A1331" s="1" t="str">
        <f t="shared" si="20"/>
        <v/>
      </c>
      <c r="B13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2" spans="1:2" x14ac:dyDescent="0.25">
      <c r="A1332" s="1" t="str">
        <f t="shared" si="20"/>
        <v/>
      </c>
      <c r="B13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3" spans="1:2" x14ac:dyDescent="0.25">
      <c r="A1333" s="1" t="str">
        <f t="shared" si="20"/>
        <v/>
      </c>
      <c r="B13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4" spans="1:2" x14ac:dyDescent="0.25">
      <c r="A1334" s="1" t="str">
        <f t="shared" si="20"/>
        <v/>
      </c>
      <c r="B13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5" spans="1:2" x14ac:dyDescent="0.25">
      <c r="A1335" s="1" t="str">
        <f t="shared" si="20"/>
        <v/>
      </c>
      <c r="B13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6" spans="1:2" x14ac:dyDescent="0.25">
      <c r="A1336" s="1" t="str">
        <f t="shared" si="20"/>
        <v/>
      </c>
      <c r="B13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7" spans="1:2" x14ac:dyDescent="0.25">
      <c r="A1337" s="1" t="str">
        <f t="shared" si="20"/>
        <v/>
      </c>
      <c r="B13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8" spans="1:2" x14ac:dyDescent="0.25">
      <c r="A1338" s="1" t="str">
        <f t="shared" si="20"/>
        <v/>
      </c>
      <c r="B13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9" spans="1:2" x14ac:dyDescent="0.25">
      <c r="A1339" s="1" t="str">
        <f t="shared" si="20"/>
        <v/>
      </c>
      <c r="B13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0" spans="1:2" x14ac:dyDescent="0.25">
      <c r="A1340" s="1" t="str">
        <f t="shared" si="20"/>
        <v/>
      </c>
      <c r="B13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1" spans="1:2" x14ac:dyDescent="0.25">
      <c r="A1341" s="1" t="str">
        <f t="shared" si="20"/>
        <v/>
      </c>
      <c r="B13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2" spans="1:2" x14ac:dyDescent="0.25">
      <c r="A1342" s="1" t="str">
        <f t="shared" si="20"/>
        <v/>
      </c>
      <c r="B13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3" spans="1:2" x14ac:dyDescent="0.25">
      <c r="A1343" s="1" t="str">
        <f t="shared" si="20"/>
        <v/>
      </c>
      <c r="B13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4" spans="1:2" x14ac:dyDescent="0.25">
      <c r="A1344" s="1" t="str">
        <f t="shared" si="20"/>
        <v/>
      </c>
      <c r="B13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5" spans="1:2" x14ac:dyDescent="0.25">
      <c r="A1345" s="1" t="str">
        <f t="shared" si="20"/>
        <v/>
      </c>
      <c r="B13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6" spans="1:2" x14ac:dyDescent="0.25">
      <c r="A1346" s="1" t="str">
        <f t="shared" ref="A1346:A1409" si="21">IFERROR(LEFT(RIGHT(C1346,LEN(C1346)-SEARCH("@",C1346)),SEARCH("/",RIGHT(C1346,LEN(C1346)-SEARCH("@",C1346)-1))),"")</f>
        <v/>
      </c>
      <c r="B13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7" spans="1:2" x14ac:dyDescent="0.25">
      <c r="A1347" s="1" t="str">
        <f t="shared" si="21"/>
        <v/>
      </c>
      <c r="B13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8" spans="1:2" x14ac:dyDescent="0.25">
      <c r="A1348" s="1" t="str">
        <f t="shared" si="21"/>
        <v/>
      </c>
      <c r="B13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9" spans="1:2" x14ac:dyDescent="0.25">
      <c r="A1349" s="1" t="str">
        <f t="shared" si="21"/>
        <v/>
      </c>
      <c r="B13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0" spans="1:2" x14ac:dyDescent="0.25">
      <c r="A1350" s="1" t="str">
        <f t="shared" si="21"/>
        <v/>
      </c>
      <c r="B13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1" spans="1:2" x14ac:dyDescent="0.25">
      <c r="A1351" s="1" t="str">
        <f t="shared" si="21"/>
        <v/>
      </c>
      <c r="B13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2" spans="1:2" x14ac:dyDescent="0.25">
      <c r="A1352" s="1" t="str">
        <f t="shared" si="21"/>
        <v/>
      </c>
      <c r="B13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3" spans="1:2" x14ac:dyDescent="0.25">
      <c r="A1353" s="1" t="str">
        <f t="shared" si="21"/>
        <v/>
      </c>
      <c r="B13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4" spans="1:2" x14ac:dyDescent="0.25">
      <c r="A1354" s="1" t="str">
        <f t="shared" si="21"/>
        <v/>
      </c>
      <c r="B13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5" spans="1:2" x14ac:dyDescent="0.25">
      <c r="A1355" s="1" t="str">
        <f t="shared" si="21"/>
        <v/>
      </c>
      <c r="B13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6" spans="1:2" x14ac:dyDescent="0.25">
      <c r="A1356" s="1" t="str">
        <f t="shared" si="21"/>
        <v/>
      </c>
      <c r="B13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7" spans="1:2" x14ac:dyDescent="0.25">
      <c r="A1357" s="1" t="str">
        <f t="shared" si="21"/>
        <v/>
      </c>
      <c r="B13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8" spans="1:2" x14ac:dyDescent="0.25">
      <c r="A1358" s="1" t="str">
        <f t="shared" si="21"/>
        <v/>
      </c>
      <c r="B13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9" spans="1:2" x14ac:dyDescent="0.25">
      <c r="A1359" s="1" t="str">
        <f t="shared" si="21"/>
        <v/>
      </c>
      <c r="B13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0" spans="1:2" x14ac:dyDescent="0.25">
      <c r="A1360" s="1" t="str">
        <f t="shared" si="21"/>
        <v/>
      </c>
      <c r="B13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1" spans="1:2" x14ac:dyDescent="0.25">
      <c r="A1361" s="1" t="str">
        <f t="shared" si="21"/>
        <v/>
      </c>
      <c r="B13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2" spans="1:2" x14ac:dyDescent="0.25">
      <c r="A1362" s="1" t="str">
        <f t="shared" si="21"/>
        <v/>
      </c>
      <c r="B13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3" spans="1:2" x14ac:dyDescent="0.25">
      <c r="A1363" s="1" t="str">
        <f t="shared" si="21"/>
        <v/>
      </c>
      <c r="B13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4" spans="1:2" x14ac:dyDescent="0.25">
      <c r="A1364" s="1" t="str">
        <f t="shared" si="21"/>
        <v/>
      </c>
      <c r="B13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5" spans="1:2" x14ac:dyDescent="0.25">
      <c r="A1365" s="1" t="str">
        <f t="shared" si="21"/>
        <v/>
      </c>
      <c r="B13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6" spans="1:2" x14ac:dyDescent="0.25">
      <c r="A1366" s="1" t="str">
        <f t="shared" si="21"/>
        <v/>
      </c>
      <c r="B13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7" spans="1:2" x14ac:dyDescent="0.25">
      <c r="A1367" s="1" t="str">
        <f t="shared" si="21"/>
        <v/>
      </c>
      <c r="B13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8" spans="1:2" x14ac:dyDescent="0.25">
      <c r="A1368" s="1" t="str">
        <f t="shared" si="21"/>
        <v/>
      </c>
      <c r="B13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9" spans="1:2" x14ac:dyDescent="0.25">
      <c r="A1369" s="1" t="str">
        <f t="shared" si="21"/>
        <v/>
      </c>
      <c r="B13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0" spans="1:2" x14ac:dyDescent="0.25">
      <c r="A1370" s="1" t="str">
        <f t="shared" si="21"/>
        <v/>
      </c>
      <c r="B13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1" spans="1:2" x14ac:dyDescent="0.25">
      <c r="A1371" s="1" t="str">
        <f t="shared" si="21"/>
        <v/>
      </c>
      <c r="B13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2" spans="1:2" x14ac:dyDescent="0.25">
      <c r="A1372" s="1" t="str">
        <f t="shared" si="21"/>
        <v/>
      </c>
      <c r="B13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3" spans="1:2" x14ac:dyDescent="0.25">
      <c r="A1373" s="1" t="str">
        <f t="shared" si="21"/>
        <v/>
      </c>
      <c r="B13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4" spans="1:2" x14ac:dyDescent="0.25">
      <c r="A1374" s="1" t="str">
        <f t="shared" si="21"/>
        <v/>
      </c>
      <c r="B13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5" spans="1:2" x14ac:dyDescent="0.25">
      <c r="A1375" s="1" t="str">
        <f t="shared" si="21"/>
        <v/>
      </c>
      <c r="B13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6" spans="1:2" x14ac:dyDescent="0.25">
      <c r="A1376" s="1" t="str">
        <f t="shared" si="21"/>
        <v/>
      </c>
      <c r="B13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7" spans="1:2" x14ac:dyDescent="0.25">
      <c r="A1377" s="1" t="str">
        <f t="shared" si="21"/>
        <v/>
      </c>
      <c r="B13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8" spans="1:2" x14ac:dyDescent="0.25">
      <c r="A1378" s="1" t="str">
        <f t="shared" si="21"/>
        <v/>
      </c>
      <c r="B13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9" spans="1:2" x14ac:dyDescent="0.25">
      <c r="A1379" s="1" t="str">
        <f t="shared" si="21"/>
        <v/>
      </c>
      <c r="B13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0" spans="1:2" x14ac:dyDescent="0.25">
      <c r="A1380" s="1" t="str">
        <f t="shared" si="21"/>
        <v/>
      </c>
      <c r="B13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1" spans="1:2" x14ac:dyDescent="0.25">
      <c r="A1381" s="1" t="str">
        <f t="shared" si="21"/>
        <v/>
      </c>
      <c r="B13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2" spans="1:2" x14ac:dyDescent="0.25">
      <c r="A1382" s="1" t="str">
        <f t="shared" si="21"/>
        <v/>
      </c>
      <c r="B13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3" spans="1:2" x14ac:dyDescent="0.25">
      <c r="A1383" s="1" t="str">
        <f t="shared" si="21"/>
        <v/>
      </c>
      <c r="B13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4" spans="1:2" x14ac:dyDescent="0.25">
      <c r="A1384" s="1" t="str">
        <f t="shared" si="21"/>
        <v/>
      </c>
      <c r="B13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5" spans="1:2" x14ac:dyDescent="0.25">
      <c r="A1385" s="1" t="str">
        <f t="shared" si="21"/>
        <v/>
      </c>
      <c r="B13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6" spans="1:2" x14ac:dyDescent="0.25">
      <c r="A1386" s="1" t="str">
        <f t="shared" si="21"/>
        <v/>
      </c>
      <c r="B13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7" spans="1:2" x14ac:dyDescent="0.25">
      <c r="A1387" s="1" t="str">
        <f t="shared" si="21"/>
        <v/>
      </c>
      <c r="B13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8" spans="1:2" x14ac:dyDescent="0.25">
      <c r="A1388" s="1" t="str">
        <f t="shared" si="21"/>
        <v/>
      </c>
      <c r="B13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9" spans="1:2" x14ac:dyDescent="0.25">
      <c r="A1389" s="1" t="str">
        <f t="shared" si="21"/>
        <v/>
      </c>
      <c r="B13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0" spans="1:2" x14ac:dyDescent="0.25">
      <c r="A1390" s="1" t="str">
        <f t="shared" si="21"/>
        <v/>
      </c>
      <c r="B13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1" spans="1:2" x14ac:dyDescent="0.25">
      <c r="A1391" s="1" t="str">
        <f t="shared" si="21"/>
        <v/>
      </c>
      <c r="B13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2" spans="1:2" x14ac:dyDescent="0.25">
      <c r="A1392" s="1" t="str">
        <f t="shared" si="21"/>
        <v/>
      </c>
      <c r="B13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3" spans="1:2" x14ac:dyDescent="0.25">
      <c r="A1393" s="1" t="str">
        <f t="shared" si="21"/>
        <v/>
      </c>
      <c r="B13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4" spans="1:2" x14ac:dyDescent="0.25">
      <c r="A1394" s="1" t="str">
        <f t="shared" si="21"/>
        <v/>
      </c>
      <c r="B13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5" spans="1:2" x14ac:dyDescent="0.25">
      <c r="A1395" s="1" t="str">
        <f t="shared" si="21"/>
        <v/>
      </c>
      <c r="B13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6" spans="1:2" x14ac:dyDescent="0.25">
      <c r="A1396" s="1" t="str">
        <f t="shared" si="21"/>
        <v/>
      </c>
      <c r="B13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7" spans="1:2" x14ac:dyDescent="0.25">
      <c r="A1397" s="1" t="str">
        <f t="shared" si="21"/>
        <v/>
      </c>
      <c r="B13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8" spans="1:2" x14ac:dyDescent="0.25">
      <c r="A1398" s="1" t="str">
        <f t="shared" si="21"/>
        <v/>
      </c>
      <c r="B13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9" spans="1:2" x14ac:dyDescent="0.25">
      <c r="A1399" s="1" t="str">
        <f t="shared" si="21"/>
        <v/>
      </c>
      <c r="B13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0" spans="1:2" x14ac:dyDescent="0.25">
      <c r="A1400" s="1" t="str">
        <f t="shared" si="21"/>
        <v/>
      </c>
      <c r="B14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1" spans="1:2" x14ac:dyDescent="0.25">
      <c r="A1401" s="1" t="str">
        <f t="shared" si="21"/>
        <v/>
      </c>
      <c r="B14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2" spans="1:2" x14ac:dyDescent="0.25">
      <c r="A1402" s="1" t="str">
        <f t="shared" si="21"/>
        <v/>
      </c>
      <c r="B14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3" spans="1:2" x14ac:dyDescent="0.25">
      <c r="A1403" s="1" t="str">
        <f t="shared" si="21"/>
        <v/>
      </c>
      <c r="B14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4" spans="1:2" x14ac:dyDescent="0.25">
      <c r="A1404" s="1" t="str">
        <f t="shared" si="21"/>
        <v/>
      </c>
      <c r="B14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5" spans="1:2" x14ac:dyDescent="0.25">
      <c r="A1405" s="1" t="str">
        <f t="shared" si="21"/>
        <v/>
      </c>
      <c r="B14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6" spans="1:2" x14ac:dyDescent="0.25">
      <c r="A1406" s="1" t="str">
        <f t="shared" si="21"/>
        <v/>
      </c>
      <c r="B14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7" spans="1:2" x14ac:dyDescent="0.25">
      <c r="A1407" s="1" t="str">
        <f t="shared" si="21"/>
        <v/>
      </c>
      <c r="B14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8" spans="1:2" x14ac:dyDescent="0.25">
      <c r="A1408" s="1" t="str">
        <f t="shared" si="21"/>
        <v/>
      </c>
      <c r="B14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9" spans="1:2" x14ac:dyDescent="0.25">
      <c r="A1409" s="1" t="str">
        <f t="shared" si="21"/>
        <v/>
      </c>
      <c r="B14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0" spans="1:2" x14ac:dyDescent="0.25">
      <c r="A1410" s="1" t="str">
        <f t="shared" ref="A1410:A1473" si="22">IFERROR(LEFT(RIGHT(C1410,LEN(C1410)-SEARCH("@",C1410)),SEARCH("/",RIGHT(C1410,LEN(C1410)-SEARCH("@",C1410)-1))),"")</f>
        <v/>
      </c>
      <c r="B14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1" spans="1:2" x14ac:dyDescent="0.25">
      <c r="A1411" s="1" t="str">
        <f t="shared" si="22"/>
        <v/>
      </c>
      <c r="B14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2" spans="1:2" x14ac:dyDescent="0.25">
      <c r="A1412" s="1" t="str">
        <f t="shared" si="22"/>
        <v/>
      </c>
      <c r="B14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3" spans="1:2" x14ac:dyDescent="0.25">
      <c r="A1413" s="1" t="str">
        <f t="shared" si="22"/>
        <v/>
      </c>
      <c r="B14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4" spans="1:2" x14ac:dyDescent="0.25">
      <c r="A1414" s="1" t="str">
        <f t="shared" si="22"/>
        <v/>
      </c>
      <c r="B14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5" spans="1:2" x14ac:dyDescent="0.25">
      <c r="A1415" s="1" t="str">
        <f t="shared" si="22"/>
        <v/>
      </c>
      <c r="B14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6" spans="1:2" x14ac:dyDescent="0.25">
      <c r="A1416" s="1" t="str">
        <f t="shared" si="22"/>
        <v/>
      </c>
      <c r="B14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7" spans="1:2" x14ac:dyDescent="0.25">
      <c r="A1417" s="1" t="str">
        <f t="shared" si="22"/>
        <v/>
      </c>
      <c r="B14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8" spans="1:2" x14ac:dyDescent="0.25">
      <c r="A1418" s="1" t="str">
        <f t="shared" si="22"/>
        <v/>
      </c>
      <c r="B14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9" spans="1:2" x14ac:dyDescent="0.25">
      <c r="A1419" s="1" t="str">
        <f t="shared" si="22"/>
        <v/>
      </c>
      <c r="B14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0" spans="1:2" x14ac:dyDescent="0.25">
      <c r="A1420" s="1" t="str">
        <f t="shared" si="22"/>
        <v/>
      </c>
      <c r="B14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1" spans="1:2" x14ac:dyDescent="0.25">
      <c r="A1421" s="1" t="str">
        <f t="shared" si="22"/>
        <v/>
      </c>
      <c r="B14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2" spans="1:2" x14ac:dyDescent="0.25">
      <c r="A1422" s="1" t="str">
        <f t="shared" si="22"/>
        <v/>
      </c>
      <c r="B14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3" spans="1:2" x14ac:dyDescent="0.25">
      <c r="A1423" s="1" t="str">
        <f t="shared" si="22"/>
        <v/>
      </c>
      <c r="B14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4" spans="1:2" x14ac:dyDescent="0.25">
      <c r="A1424" s="1" t="str">
        <f t="shared" si="22"/>
        <v/>
      </c>
      <c r="B14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5" spans="1:2" x14ac:dyDescent="0.25">
      <c r="A1425" s="1" t="str">
        <f t="shared" si="22"/>
        <v/>
      </c>
      <c r="B14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6" spans="1:2" x14ac:dyDescent="0.25">
      <c r="A1426" s="1" t="str">
        <f t="shared" si="22"/>
        <v/>
      </c>
      <c r="B14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7" spans="1:2" x14ac:dyDescent="0.25">
      <c r="A1427" s="1" t="str">
        <f t="shared" si="22"/>
        <v/>
      </c>
      <c r="B14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8" spans="1:2" x14ac:dyDescent="0.25">
      <c r="A1428" s="1" t="str">
        <f t="shared" si="22"/>
        <v/>
      </c>
      <c r="B14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9" spans="1:2" x14ac:dyDescent="0.25">
      <c r="A1429" s="1" t="str">
        <f t="shared" si="22"/>
        <v/>
      </c>
      <c r="B14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0" spans="1:2" x14ac:dyDescent="0.25">
      <c r="A1430" s="1" t="str">
        <f t="shared" si="22"/>
        <v/>
      </c>
      <c r="B14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1" spans="1:2" x14ac:dyDescent="0.25">
      <c r="A1431" s="1" t="str">
        <f t="shared" si="22"/>
        <v/>
      </c>
      <c r="B14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2" spans="1:2" x14ac:dyDescent="0.25">
      <c r="A1432" s="1" t="str">
        <f t="shared" si="22"/>
        <v/>
      </c>
      <c r="B14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3" spans="1:2" x14ac:dyDescent="0.25">
      <c r="A1433" s="1" t="str">
        <f t="shared" si="22"/>
        <v/>
      </c>
      <c r="B14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4" spans="1:2" x14ac:dyDescent="0.25">
      <c r="A1434" s="1" t="str">
        <f t="shared" si="22"/>
        <v/>
      </c>
      <c r="B14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5" spans="1:2" x14ac:dyDescent="0.25">
      <c r="A1435" s="1" t="str">
        <f t="shared" si="22"/>
        <v/>
      </c>
      <c r="B14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6" spans="1:2" x14ac:dyDescent="0.25">
      <c r="A1436" s="1" t="str">
        <f t="shared" si="22"/>
        <v/>
      </c>
      <c r="B14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7" spans="1:2" x14ac:dyDescent="0.25">
      <c r="A1437" s="1" t="str">
        <f t="shared" si="22"/>
        <v/>
      </c>
      <c r="B14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8" spans="1:2" x14ac:dyDescent="0.25">
      <c r="A1438" s="1" t="str">
        <f t="shared" si="22"/>
        <v/>
      </c>
      <c r="B14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9" spans="1:2" x14ac:dyDescent="0.25">
      <c r="A1439" s="1" t="str">
        <f t="shared" si="22"/>
        <v/>
      </c>
      <c r="B14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0" spans="1:2" x14ac:dyDescent="0.25">
      <c r="A1440" s="1" t="str">
        <f t="shared" si="22"/>
        <v/>
      </c>
      <c r="B14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1" spans="1:2" x14ac:dyDescent="0.25">
      <c r="A1441" s="1" t="str">
        <f t="shared" si="22"/>
        <v/>
      </c>
      <c r="B14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2" spans="1:2" x14ac:dyDescent="0.25">
      <c r="A1442" s="1" t="str">
        <f t="shared" si="22"/>
        <v/>
      </c>
      <c r="B14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3" spans="1:2" x14ac:dyDescent="0.25">
      <c r="A1443" s="1" t="str">
        <f t="shared" si="22"/>
        <v/>
      </c>
      <c r="B14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4" spans="1:2" x14ac:dyDescent="0.25">
      <c r="A1444" s="1" t="str">
        <f t="shared" si="22"/>
        <v/>
      </c>
      <c r="B14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5" spans="1:2" x14ac:dyDescent="0.25">
      <c r="A1445" s="1" t="str">
        <f t="shared" si="22"/>
        <v/>
      </c>
      <c r="B14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6" spans="1:2" x14ac:dyDescent="0.25">
      <c r="A1446" s="1" t="str">
        <f t="shared" si="22"/>
        <v/>
      </c>
      <c r="B14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7" spans="1:2" x14ac:dyDescent="0.25">
      <c r="A1447" s="1" t="str">
        <f t="shared" si="22"/>
        <v/>
      </c>
      <c r="B14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8" spans="1:2" x14ac:dyDescent="0.25">
      <c r="A1448" s="1" t="str">
        <f t="shared" si="22"/>
        <v/>
      </c>
      <c r="B14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9" spans="1:2" x14ac:dyDescent="0.25">
      <c r="A1449" s="1" t="str">
        <f t="shared" si="22"/>
        <v/>
      </c>
      <c r="B14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0" spans="1:2" x14ac:dyDescent="0.25">
      <c r="A1450" s="1" t="str">
        <f t="shared" si="22"/>
        <v/>
      </c>
      <c r="B14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1" spans="1:2" x14ac:dyDescent="0.25">
      <c r="A1451" s="1" t="str">
        <f t="shared" si="22"/>
        <v/>
      </c>
      <c r="B14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2" spans="1:2" x14ac:dyDescent="0.25">
      <c r="A1452" s="1" t="str">
        <f t="shared" si="22"/>
        <v/>
      </c>
      <c r="B14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3" spans="1:2" x14ac:dyDescent="0.25">
      <c r="A1453" s="1" t="str">
        <f t="shared" si="22"/>
        <v/>
      </c>
      <c r="B14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4" spans="1:2" x14ac:dyDescent="0.25">
      <c r="A1454" s="1" t="str">
        <f t="shared" si="22"/>
        <v/>
      </c>
      <c r="B14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5" spans="1:2" x14ac:dyDescent="0.25">
      <c r="A1455" s="1" t="str">
        <f t="shared" si="22"/>
        <v/>
      </c>
      <c r="B14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6" spans="1:2" x14ac:dyDescent="0.25">
      <c r="A1456" s="1" t="str">
        <f t="shared" si="22"/>
        <v/>
      </c>
      <c r="B14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7" spans="1:2" x14ac:dyDescent="0.25">
      <c r="A1457" s="1" t="str">
        <f t="shared" si="22"/>
        <v/>
      </c>
      <c r="B14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8" spans="1:2" x14ac:dyDescent="0.25">
      <c r="A1458" s="1" t="str">
        <f t="shared" si="22"/>
        <v/>
      </c>
      <c r="B14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9" spans="1:2" x14ac:dyDescent="0.25">
      <c r="A1459" s="1" t="str">
        <f t="shared" si="22"/>
        <v/>
      </c>
      <c r="B14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0" spans="1:2" x14ac:dyDescent="0.25">
      <c r="A1460" s="1" t="str">
        <f t="shared" si="22"/>
        <v/>
      </c>
      <c r="B14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1" spans="1:2" x14ac:dyDescent="0.25">
      <c r="A1461" s="1" t="str">
        <f t="shared" si="22"/>
        <v/>
      </c>
      <c r="B14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2" spans="1:2" x14ac:dyDescent="0.25">
      <c r="A1462" s="1" t="str">
        <f t="shared" si="22"/>
        <v/>
      </c>
      <c r="B14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3" spans="1:2" x14ac:dyDescent="0.25">
      <c r="A1463" s="1" t="str">
        <f t="shared" si="22"/>
        <v/>
      </c>
      <c r="B14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4" spans="1:2" x14ac:dyDescent="0.25">
      <c r="A1464" s="1" t="str">
        <f t="shared" si="22"/>
        <v/>
      </c>
      <c r="B14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5" spans="1:2" x14ac:dyDescent="0.25">
      <c r="A1465" s="1" t="str">
        <f t="shared" si="22"/>
        <v/>
      </c>
      <c r="B14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6" spans="1:2" x14ac:dyDescent="0.25">
      <c r="A1466" s="1" t="str">
        <f t="shared" si="22"/>
        <v/>
      </c>
      <c r="B14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7" spans="1:2" x14ac:dyDescent="0.25">
      <c r="A1467" s="1" t="str">
        <f t="shared" si="22"/>
        <v/>
      </c>
      <c r="B14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8" spans="1:2" x14ac:dyDescent="0.25">
      <c r="A1468" s="1" t="str">
        <f t="shared" si="22"/>
        <v/>
      </c>
      <c r="B14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9" spans="1:2" x14ac:dyDescent="0.25">
      <c r="A1469" s="1" t="str">
        <f t="shared" si="22"/>
        <v/>
      </c>
      <c r="B14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0" spans="1:2" x14ac:dyDescent="0.25">
      <c r="A1470" s="1" t="str">
        <f t="shared" si="22"/>
        <v/>
      </c>
      <c r="B14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1" spans="1:2" x14ac:dyDescent="0.25">
      <c r="A1471" s="1" t="str">
        <f t="shared" si="22"/>
        <v/>
      </c>
      <c r="B14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2" spans="1:2" x14ac:dyDescent="0.25">
      <c r="A1472" s="1" t="str">
        <f t="shared" si="22"/>
        <v/>
      </c>
      <c r="B14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3" spans="1:2" x14ac:dyDescent="0.25">
      <c r="A1473" s="1" t="str">
        <f t="shared" si="22"/>
        <v/>
      </c>
      <c r="B14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4" spans="1:2" x14ac:dyDescent="0.25">
      <c r="A1474" s="1" t="str">
        <f t="shared" ref="A1474:A1531" si="23">IFERROR(LEFT(RIGHT(C1474,LEN(C1474)-SEARCH("@",C1474)),SEARCH("/",RIGHT(C1474,LEN(C1474)-SEARCH("@",C1474)-1))),"")</f>
        <v/>
      </c>
      <c r="B14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5" spans="1:2" x14ac:dyDescent="0.25">
      <c r="A1475" s="1" t="str">
        <f t="shared" si="23"/>
        <v/>
      </c>
      <c r="B14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6" spans="1:2" x14ac:dyDescent="0.25">
      <c r="A1476" s="1" t="str">
        <f t="shared" si="23"/>
        <v/>
      </c>
      <c r="B14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7" spans="1:2" x14ac:dyDescent="0.25">
      <c r="A1477" s="1" t="str">
        <f t="shared" si="23"/>
        <v/>
      </c>
      <c r="B14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8" spans="1:2" x14ac:dyDescent="0.25">
      <c r="A1478" s="1" t="str">
        <f t="shared" si="23"/>
        <v/>
      </c>
      <c r="B14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9" spans="1:2" x14ac:dyDescent="0.25">
      <c r="A1479" s="1" t="str">
        <f t="shared" si="23"/>
        <v/>
      </c>
      <c r="B14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0" spans="1:2" x14ac:dyDescent="0.25">
      <c r="A1480" s="1" t="str">
        <f t="shared" si="23"/>
        <v/>
      </c>
      <c r="B14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1" spans="1:2" x14ac:dyDescent="0.25">
      <c r="A1481" s="1" t="str">
        <f t="shared" si="23"/>
        <v/>
      </c>
      <c r="B14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2" spans="1:2" x14ac:dyDescent="0.25">
      <c r="A1482" s="1" t="str">
        <f t="shared" si="23"/>
        <v/>
      </c>
      <c r="B14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3" spans="1:2" x14ac:dyDescent="0.25">
      <c r="A1483" s="1" t="str">
        <f t="shared" si="23"/>
        <v/>
      </c>
      <c r="B14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4" spans="1:2" x14ac:dyDescent="0.25">
      <c r="A1484" s="1" t="str">
        <f t="shared" si="23"/>
        <v/>
      </c>
      <c r="B14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5" spans="1:2" x14ac:dyDescent="0.25">
      <c r="A1485" s="1" t="str">
        <f t="shared" si="23"/>
        <v/>
      </c>
      <c r="B14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6" spans="1:2" x14ac:dyDescent="0.25">
      <c r="A1486" s="1" t="str">
        <f t="shared" si="23"/>
        <v/>
      </c>
      <c r="B14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7" spans="1:2" x14ac:dyDescent="0.25">
      <c r="A1487" s="1" t="str">
        <f t="shared" si="23"/>
        <v/>
      </c>
      <c r="B14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8" spans="1:2" x14ac:dyDescent="0.25">
      <c r="A1488" s="1" t="str">
        <f t="shared" si="23"/>
        <v/>
      </c>
      <c r="B14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9" spans="1:2" x14ac:dyDescent="0.25">
      <c r="A1489" s="1" t="str">
        <f t="shared" si="23"/>
        <v/>
      </c>
      <c r="B14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0" spans="1:2" x14ac:dyDescent="0.25">
      <c r="A1490" s="1" t="str">
        <f t="shared" si="23"/>
        <v/>
      </c>
      <c r="B14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1" spans="1:2" x14ac:dyDescent="0.25">
      <c r="A1491" s="1" t="str">
        <f t="shared" si="23"/>
        <v/>
      </c>
      <c r="B14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2" spans="1:2" x14ac:dyDescent="0.25">
      <c r="A1492" s="1" t="str">
        <f t="shared" si="23"/>
        <v/>
      </c>
      <c r="B14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3" spans="1:2" x14ac:dyDescent="0.25">
      <c r="A1493" s="1" t="str">
        <f t="shared" si="23"/>
        <v/>
      </c>
      <c r="B14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4" spans="1:2" x14ac:dyDescent="0.25">
      <c r="A1494" s="1" t="str">
        <f t="shared" si="23"/>
        <v/>
      </c>
      <c r="B14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5" spans="1:2" x14ac:dyDescent="0.25">
      <c r="A1495" s="1" t="str">
        <f t="shared" si="23"/>
        <v/>
      </c>
      <c r="B14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6" spans="1:2" x14ac:dyDescent="0.25">
      <c r="A1496" s="1" t="str">
        <f t="shared" si="23"/>
        <v/>
      </c>
      <c r="B14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7" spans="1:2" x14ac:dyDescent="0.25">
      <c r="A1497" s="1" t="str">
        <f t="shared" si="23"/>
        <v/>
      </c>
      <c r="B14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8" spans="1:2" x14ac:dyDescent="0.25">
      <c r="A1498" s="1" t="str">
        <f t="shared" si="23"/>
        <v/>
      </c>
      <c r="B14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9" spans="1:2" x14ac:dyDescent="0.25">
      <c r="A1499" s="1" t="str">
        <f t="shared" si="23"/>
        <v/>
      </c>
      <c r="B14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0" spans="1:2" x14ac:dyDescent="0.25">
      <c r="A1500" s="1" t="str">
        <f t="shared" si="23"/>
        <v/>
      </c>
      <c r="B15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1" spans="1:2" x14ac:dyDescent="0.25">
      <c r="A1501" s="1" t="str">
        <f t="shared" si="23"/>
        <v/>
      </c>
      <c r="B15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2" spans="1:2" x14ac:dyDescent="0.25">
      <c r="A1502" s="1" t="str">
        <f t="shared" si="23"/>
        <v/>
      </c>
      <c r="B15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3" spans="1:2" x14ac:dyDescent="0.25">
      <c r="A1503" s="1" t="str">
        <f t="shared" si="23"/>
        <v/>
      </c>
      <c r="B15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4" spans="1:2" x14ac:dyDescent="0.25">
      <c r="A1504" s="1" t="str">
        <f t="shared" si="23"/>
        <v/>
      </c>
      <c r="B15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5" spans="1:2" x14ac:dyDescent="0.25">
      <c r="A1505" s="1" t="str">
        <f t="shared" si="23"/>
        <v/>
      </c>
      <c r="B15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6" spans="1:2" x14ac:dyDescent="0.25">
      <c r="A1506" s="1" t="str">
        <f t="shared" si="23"/>
        <v/>
      </c>
      <c r="B15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7" spans="1:2" x14ac:dyDescent="0.25">
      <c r="A1507" s="1" t="str">
        <f t="shared" si="23"/>
        <v/>
      </c>
      <c r="B15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8" spans="1:2" x14ac:dyDescent="0.25">
      <c r="A1508" s="1" t="str">
        <f t="shared" si="23"/>
        <v/>
      </c>
      <c r="B15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9" spans="1:2" x14ac:dyDescent="0.25">
      <c r="A1509" s="1" t="str">
        <f t="shared" si="23"/>
        <v/>
      </c>
      <c r="B15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0" spans="1:2" x14ac:dyDescent="0.25">
      <c r="A1510" s="1" t="str">
        <f t="shared" si="23"/>
        <v/>
      </c>
      <c r="B15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1" spans="1:2" x14ac:dyDescent="0.25">
      <c r="A1511" s="1" t="str">
        <f t="shared" si="23"/>
        <v/>
      </c>
      <c r="B15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2" spans="1:2" x14ac:dyDescent="0.25">
      <c r="A1512" s="1" t="str">
        <f t="shared" si="23"/>
        <v/>
      </c>
      <c r="B15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3" spans="1:2" x14ac:dyDescent="0.25">
      <c r="A1513" s="1" t="str">
        <f t="shared" si="23"/>
        <v/>
      </c>
      <c r="B15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4" spans="1:2" x14ac:dyDescent="0.25">
      <c r="A1514" s="1" t="str">
        <f t="shared" si="23"/>
        <v/>
      </c>
      <c r="B15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5" spans="1:2" x14ac:dyDescent="0.25">
      <c r="A1515" s="1" t="str">
        <f t="shared" si="23"/>
        <v/>
      </c>
      <c r="B15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6" spans="1:2" x14ac:dyDescent="0.25">
      <c r="A1516" s="1" t="str">
        <f t="shared" si="23"/>
        <v/>
      </c>
      <c r="B15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7" spans="1:2" x14ac:dyDescent="0.25">
      <c r="A1517" s="1" t="str">
        <f t="shared" si="23"/>
        <v/>
      </c>
      <c r="B15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8" spans="1:2" x14ac:dyDescent="0.25">
      <c r="A1518" s="1" t="str">
        <f t="shared" si="23"/>
        <v/>
      </c>
      <c r="B15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9" spans="1:2" x14ac:dyDescent="0.25">
      <c r="A1519" s="1" t="str">
        <f t="shared" si="23"/>
        <v/>
      </c>
      <c r="B15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0" spans="1:2" x14ac:dyDescent="0.25">
      <c r="A1520" s="1" t="str">
        <f t="shared" si="23"/>
        <v/>
      </c>
      <c r="B15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1" spans="1:2" x14ac:dyDescent="0.25">
      <c r="A1521" s="1" t="str">
        <f t="shared" si="23"/>
        <v/>
      </c>
      <c r="B15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2" spans="1:2" x14ac:dyDescent="0.25">
      <c r="A1522" s="1" t="str">
        <f t="shared" si="23"/>
        <v/>
      </c>
      <c r="B15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3" spans="1:2" x14ac:dyDescent="0.25">
      <c r="A1523" s="1" t="str">
        <f t="shared" si="23"/>
        <v/>
      </c>
      <c r="B15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4" spans="1:2" x14ac:dyDescent="0.25">
      <c r="A1524" s="1" t="str">
        <f t="shared" si="23"/>
        <v/>
      </c>
      <c r="B15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5" spans="1:2" x14ac:dyDescent="0.25">
      <c r="A1525" s="1" t="str">
        <f t="shared" si="23"/>
        <v/>
      </c>
      <c r="B15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6" spans="1:2" x14ac:dyDescent="0.25">
      <c r="A1526" s="1" t="str">
        <f t="shared" si="23"/>
        <v/>
      </c>
      <c r="B15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7" spans="1:2" x14ac:dyDescent="0.25">
      <c r="A1527" s="1" t="str">
        <f t="shared" si="23"/>
        <v/>
      </c>
      <c r="B15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8" spans="1:2" x14ac:dyDescent="0.25">
      <c r="A1528" s="1" t="str">
        <f t="shared" si="23"/>
        <v/>
      </c>
      <c r="B15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9" spans="1:2" x14ac:dyDescent="0.25">
      <c r="A1529" s="1" t="str">
        <f t="shared" si="23"/>
        <v/>
      </c>
      <c r="B15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30" spans="1:2" x14ac:dyDescent="0.25">
      <c r="A1530" s="1" t="str">
        <f t="shared" si="23"/>
        <v/>
      </c>
      <c r="B15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31" spans="1:2" x14ac:dyDescent="0.25">
      <c r="A1531" s="1" t="str">
        <f t="shared" si="23"/>
        <v/>
      </c>
      <c r="B15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sheetData>
  <conditionalFormatting sqref="A1:J2 EO1:XFD10 B11:K13 K1:L4 A1532:XFD1048576 M15:XFD19 B14:J19 K5:K6 B3:J10 B20:XFD1531 A3:A1531 AH11:XFD14">
    <cfRule type="containsText" dxfId="3" priority="1" operator="containsText" text="ERREUR">
      <formula>NOT(ISERROR(SEARCH("ERREUR",A1)))</formula>
    </cfRule>
    <cfRule type="containsText" dxfId="2" priority="2" operator="containsText" text="OK">
      <formula>NOT(ISERROR(SEARCH("OK",A1)))</formula>
    </cfRule>
  </conditionalFormatting>
  <pageMargins left="0.7" right="0.7" top="0.75" bottom="0.75" header="0.3" footer="0.3"/>
  <pageSetup paperSize="9" orientation="portrait" horizontalDpi="300" verticalDpi="300" r:id="rId2"/>
  <headerFooter>
    <oddFooter>&amp;C&amp;1#&amp;"Arial"&amp;10&amp;K000000Internal</oddFooter>
  </headerFooter>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K74"/>
  <sheetViews>
    <sheetView showGridLines="0" topLeftCell="I1" zoomScale="70" zoomScaleNormal="70" zoomScaleSheetLayoutView="40" zoomScalePageLayoutView="30" workbookViewId="0">
      <selection activeCell="T28" sqref="T28"/>
    </sheetView>
  </sheetViews>
  <sheetFormatPr defaultColWidth="9.140625" defaultRowHeight="15" x14ac:dyDescent="0.25"/>
  <cols>
    <col min="1" max="1" width="33.5703125" style="1" customWidth="1"/>
    <col min="2" max="2" width="14.85546875" style="1" customWidth="1"/>
    <col min="3" max="5" width="25.85546875" style="1" bestFit="1" customWidth="1"/>
    <col min="6" max="8" width="26.42578125" style="1" bestFit="1" customWidth="1"/>
    <col min="9" max="9" width="26.42578125" style="1" customWidth="1"/>
    <col min="10" max="10" width="25.85546875" style="1" bestFit="1" customWidth="1"/>
    <col min="11" max="11" width="26.42578125" style="1" bestFit="1" customWidth="1"/>
    <col min="12" max="13" width="26.42578125" style="1" customWidth="1"/>
    <col min="14" max="14" width="11.7109375" style="1" customWidth="1"/>
    <col min="15" max="15" width="14.85546875" style="1" customWidth="1"/>
    <col min="16" max="16" width="17.7109375" style="1" customWidth="1"/>
    <col min="17" max="18" width="25.85546875" style="1" bestFit="1" customWidth="1"/>
    <col min="19" max="36" width="25.85546875" style="1" customWidth="1"/>
    <col min="37" max="37" width="25.85546875" style="1" bestFit="1" customWidth="1"/>
    <col min="38" max="16384" width="9.140625" style="1"/>
  </cols>
  <sheetData>
    <row r="1" spans="1:37" ht="27" thickBot="1" x14ac:dyDescent="0.45">
      <c r="A1" s="221" t="s">
        <v>43</v>
      </c>
      <c r="B1" s="222"/>
      <c r="C1" s="222"/>
      <c r="D1" s="222"/>
      <c r="E1" s="222"/>
      <c r="F1" s="222"/>
      <c r="G1" s="222"/>
      <c r="H1" s="222"/>
      <c r="I1" s="222"/>
      <c r="J1" s="222"/>
      <c r="K1" s="222"/>
      <c r="L1" s="222"/>
      <c r="M1" s="222"/>
      <c r="N1" s="222"/>
      <c r="O1" s="222"/>
      <c r="P1" s="222"/>
      <c r="Q1" s="222"/>
      <c r="R1" s="222"/>
      <c r="S1" s="222"/>
      <c r="T1" s="222"/>
      <c r="U1" s="222"/>
      <c r="V1" s="222"/>
      <c r="W1" s="222"/>
      <c r="X1" s="222"/>
      <c r="Y1" s="222"/>
      <c r="Z1" s="222"/>
      <c r="AA1" s="222"/>
      <c r="AB1" s="222"/>
      <c r="AC1" s="222"/>
      <c r="AD1" s="222"/>
      <c r="AE1" s="222"/>
      <c r="AF1" s="222"/>
      <c r="AG1" s="222"/>
      <c r="AH1" s="222"/>
      <c r="AI1" s="222"/>
      <c r="AJ1" s="222"/>
      <c r="AK1" s="223"/>
    </row>
    <row r="2" spans="1:37" customFormat="1" ht="15.75" thickBot="1" x14ac:dyDescent="0.3">
      <c r="AE2" s="1"/>
      <c r="AF2" s="1"/>
      <c r="AG2" s="1"/>
      <c r="AH2" s="1"/>
      <c r="AI2" s="1"/>
      <c r="AJ2" s="1"/>
    </row>
    <row r="3" spans="1:37" ht="15.75" thickBot="1" x14ac:dyDescent="0.3">
      <c r="A3" s="53" t="s">
        <v>18</v>
      </c>
      <c r="B3" s="231" t="s">
        <v>6</v>
      </c>
      <c r="C3" s="232"/>
      <c r="D3" s="232"/>
      <c r="E3" s="232"/>
      <c r="F3" s="232"/>
      <c r="G3" s="232"/>
      <c r="H3" s="232"/>
      <c r="I3" s="232"/>
      <c r="J3" s="232"/>
      <c r="K3" s="232"/>
      <c r="L3" s="232"/>
      <c r="M3" s="232"/>
      <c r="O3" s="231" t="s">
        <v>3</v>
      </c>
      <c r="P3" s="232"/>
      <c r="Q3" s="232"/>
      <c r="R3" s="232"/>
      <c r="S3" s="232"/>
      <c r="T3" s="232"/>
      <c r="U3" s="232"/>
      <c r="V3" s="232"/>
      <c r="W3" s="232"/>
      <c r="X3" s="232"/>
      <c r="Y3" s="232"/>
      <c r="Z3" s="232"/>
      <c r="AA3" s="232"/>
      <c r="AB3" s="232"/>
      <c r="AC3" s="232"/>
      <c r="AD3" s="232"/>
      <c r="AE3" s="232"/>
      <c r="AF3" s="232"/>
      <c r="AG3" s="232"/>
      <c r="AH3" s="232"/>
      <c r="AI3" s="232"/>
      <c r="AJ3" s="232"/>
      <c r="AK3" s="233"/>
    </row>
    <row r="4" spans="1:37" x14ac:dyDescent="0.25">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35" t="str">
        <f>'Page de garde'!A15</f>
        <v>estradiol 34ng/L</v>
      </c>
      <c r="J4" s="35" t="str">
        <f>'Page de garde'!A16</f>
        <v>estradiol 68ng/L</v>
      </c>
      <c r="K4" s="35" t="str">
        <f>'Page de garde'!A17</f>
        <v>estradiol 135ng/L</v>
      </c>
      <c r="L4" s="35" t="str">
        <f>'Page de garde'!A18</f>
        <v>estradiol 270ng/L</v>
      </c>
      <c r="M4" s="35" t="str">
        <f>'Page de garde'!A19</f>
        <v>estradiol 540ng/L</v>
      </c>
      <c r="N4" s="3"/>
      <c r="O4" s="36" t="str">
        <f>'Page de garde'!A36</f>
        <v>Testo -30µg/L</v>
      </c>
      <c r="P4" s="36" t="str">
        <f>'Page de garde'!A37</f>
        <v>Testo 30µg/L + EE2 -64ng/L</v>
      </c>
      <c r="Q4" s="36" t="str">
        <f>'Page de garde'!A38</f>
        <v>Testo 30µg/L + FAD-10mg/L</v>
      </c>
      <c r="R4" s="36" t="str">
        <f>'Page de garde'!A39</f>
        <v>estradiol-34ng/L + Testostérone</v>
      </c>
      <c r="S4" s="36" t="str">
        <f>'Page de garde'!A40</f>
        <v>estradiol-68ng/L + Testostérone</v>
      </c>
      <c r="T4" s="36" t="str">
        <f>'Page de garde'!A41</f>
        <v>estradiol-135ng/L + Testostérone</v>
      </c>
      <c r="U4" s="36" t="str">
        <f>'Page de garde'!A42</f>
        <v>estradiol-270ng/L + Testostérone</v>
      </c>
      <c r="V4" s="36" t="str">
        <f>'Page de garde'!A43</f>
        <v>estradiol-540ng/L + Testostérone</v>
      </c>
      <c r="W4" s="36" t="str">
        <f>'Page de garde'!A44</f>
        <v>0-00 + Testostérone</v>
      </c>
      <c r="X4" s="36" t="str">
        <f>'Page de garde'!A45</f>
        <v>0-00 + Testostérone</v>
      </c>
      <c r="Y4" s="36" t="str">
        <f>'Page de garde'!A46</f>
        <v>0-00 + Testostérone</v>
      </c>
      <c r="Z4" s="36" t="str">
        <f>'Page de garde'!A47</f>
        <v>0-00 + Testostérone</v>
      </c>
      <c r="AA4" s="36" t="str">
        <f>'Page de garde'!A48</f>
        <v>0-00 + Testostérone</v>
      </c>
      <c r="AB4" s="36" t="str">
        <f>'Page de garde'!A49</f>
        <v>0-00 + Testostérone</v>
      </c>
      <c r="AC4" s="36" t="str">
        <f>'Page de garde'!A50</f>
        <v>0-00 + Testostérone</v>
      </c>
      <c r="AD4" s="36" t="str">
        <f>'Page de garde'!A51</f>
        <v>0-00 + Testostérone</v>
      </c>
      <c r="AE4" s="36" t="str">
        <f>'Page de garde'!A52</f>
        <v>0-00 + Testostérone</v>
      </c>
      <c r="AF4" s="36" t="str">
        <f>'Page de garde'!A53</f>
        <v>0-00 + Testostérone</v>
      </c>
      <c r="AG4" s="36" t="str">
        <f>'Page de garde'!A54</f>
        <v>0-00 + Testostérone</v>
      </c>
      <c r="AH4" s="36" t="str">
        <f>'Page de garde'!A55</f>
        <v>0-00 + Testostérone</v>
      </c>
      <c r="AI4" s="36" t="str">
        <f>'Page de garde'!A56</f>
        <v>0-00 + Testostérone</v>
      </c>
      <c r="AJ4" s="36" t="str">
        <f>'Page de garde'!A57</f>
        <v>0-00 + Testostérone</v>
      </c>
      <c r="AK4" s="36" t="str">
        <f>'Page de garde'!A58</f>
        <v>0-00 + Testostérone</v>
      </c>
    </row>
    <row r="5" spans="1:37" x14ac:dyDescent="0.25">
      <c r="A5" s="234" t="s">
        <v>33</v>
      </c>
      <c r="B5" s="201">
        <v>15501.333333333334</v>
      </c>
      <c r="C5" s="201"/>
      <c r="D5" s="201">
        <v>103939</v>
      </c>
      <c r="E5" s="201">
        <v>21500</v>
      </c>
      <c r="F5" s="201">
        <v>681.5</v>
      </c>
      <c r="G5" s="201">
        <v>2371169.6666666665</v>
      </c>
      <c r="H5" s="201">
        <v>4905797</v>
      </c>
      <c r="I5" s="201">
        <v>241173</v>
      </c>
      <c r="J5" s="201">
        <v>197005.33333333334</v>
      </c>
      <c r="K5" s="201">
        <v>294195.33333333331</v>
      </c>
      <c r="L5" s="201">
        <v>2219039.6666666665</v>
      </c>
      <c r="M5" s="201">
        <v>3874505.3333333335</v>
      </c>
      <c r="N5" s="3"/>
      <c r="O5" s="201">
        <v>1089548</v>
      </c>
      <c r="P5" s="201">
        <v>4298855</v>
      </c>
      <c r="Q5" s="201">
        <v>203876.33333333334</v>
      </c>
      <c r="R5" s="201">
        <v>2594491.6666666665</v>
      </c>
      <c r="S5" s="201">
        <v>2778619.5</v>
      </c>
      <c r="T5" s="201">
        <v>2341068.5</v>
      </c>
      <c r="U5" s="201">
        <v>4563237</v>
      </c>
      <c r="V5" s="201">
        <v>3788267</v>
      </c>
      <c r="W5" s="32"/>
      <c r="X5" s="32"/>
      <c r="Y5" s="32"/>
      <c r="Z5" s="32"/>
      <c r="AA5" s="32"/>
      <c r="AB5" s="32"/>
      <c r="AC5" s="32"/>
      <c r="AD5" s="32"/>
      <c r="AE5" s="32"/>
      <c r="AF5" s="32"/>
      <c r="AG5" s="32"/>
      <c r="AH5" s="32"/>
      <c r="AI5" s="32"/>
      <c r="AJ5" s="32"/>
      <c r="AK5" s="32"/>
    </row>
    <row r="6" spans="1:37" x14ac:dyDescent="0.25">
      <c r="A6" s="234"/>
      <c r="B6" s="201">
        <v>147826</v>
      </c>
      <c r="C6" s="201">
        <v>137385.66666666666</v>
      </c>
      <c r="D6" s="201">
        <v>27935</v>
      </c>
      <c r="E6" s="201">
        <v>76425.333333333328</v>
      </c>
      <c r="F6" s="201">
        <v>1144610.6666666667</v>
      </c>
      <c r="G6" s="201">
        <v>2254022.6666666665</v>
      </c>
      <c r="H6" s="201">
        <v>3645697.3333333335</v>
      </c>
      <c r="I6" s="201">
        <v>161835</v>
      </c>
      <c r="J6" s="201">
        <v>157455</v>
      </c>
      <c r="K6" s="201">
        <v>276527</v>
      </c>
      <c r="L6" s="201">
        <v>1764675</v>
      </c>
      <c r="M6" s="201">
        <v>1346850</v>
      </c>
      <c r="N6" s="3"/>
      <c r="O6" s="201">
        <v>2689627</v>
      </c>
      <c r="P6" s="201">
        <v>2413161</v>
      </c>
      <c r="Q6" s="201">
        <v>241851</v>
      </c>
      <c r="R6" s="201">
        <v>2177178.6666666665</v>
      </c>
      <c r="S6" s="201">
        <v>2290519</v>
      </c>
      <c r="T6" s="201">
        <v>3986836.6666666665</v>
      </c>
      <c r="U6" s="201">
        <v>3468591.5</v>
      </c>
      <c r="V6" s="201">
        <v>5099550.666666667</v>
      </c>
      <c r="W6" s="32"/>
      <c r="X6" s="32"/>
      <c r="Y6" s="32"/>
      <c r="Z6" s="32"/>
      <c r="AA6" s="32"/>
      <c r="AB6" s="32"/>
      <c r="AC6" s="32"/>
      <c r="AD6" s="32"/>
      <c r="AE6" s="32"/>
      <c r="AF6" s="32"/>
      <c r="AG6" s="32"/>
      <c r="AH6" s="32"/>
      <c r="AI6" s="32"/>
      <c r="AJ6" s="32"/>
      <c r="AK6" s="32"/>
    </row>
    <row r="7" spans="1:37" x14ac:dyDescent="0.25">
      <c r="A7" s="234"/>
      <c r="B7" s="201">
        <v>92294.666666666672</v>
      </c>
      <c r="C7" s="201">
        <v>212513.66666666666</v>
      </c>
      <c r="D7" s="201">
        <v>233105</v>
      </c>
      <c r="E7" s="201"/>
      <c r="F7" s="201">
        <v>30144.666666666668</v>
      </c>
      <c r="G7" s="201">
        <v>2903604.3333333335</v>
      </c>
      <c r="H7" s="201">
        <v>4604478.333333333</v>
      </c>
      <c r="I7" s="201">
        <v>105013.5</v>
      </c>
      <c r="J7" s="201">
        <v>104277.5</v>
      </c>
      <c r="K7" s="201">
        <v>431069.33333333331</v>
      </c>
      <c r="L7" s="201">
        <v>3114164</v>
      </c>
      <c r="M7" s="201">
        <v>3447278.6666666665</v>
      </c>
      <c r="N7" s="3"/>
      <c r="O7" s="201">
        <v>403289.66666666669</v>
      </c>
      <c r="P7" s="201">
        <v>1623864</v>
      </c>
      <c r="Q7" s="201">
        <v>219377.66666666666</v>
      </c>
      <c r="R7" s="201">
        <v>1425626</v>
      </c>
      <c r="S7" s="201">
        <v>2421813</v>
      </c>
      <c r="T7" s="201">
        <v>3236798.6666666665</v>
      </c>
      <c r="U7" s="201">
        <v>4255822.5</v>
      </c>
      <c r="V7" s="201">
        <v>3708842</v>
      </c>
      <c r="W7" s="32"/>
      <c r="X7" s="32"/>
      <c r="Y7" s="32"/>
      <c r="Z7" s="32"/>
      <c r="AA7" s="32"/>
      <c r="AB7" s="32"/>
      <c r="AC7" s="32"/>
      <c r="AD7" s="32"/>
      <c r="AE7" s="32"/>
      <c r="AF7" s="32"/>
      <c r="AG7" s="32"/>
      <c r="AH7" s="32"/>
      <c r="AI7" s="32"/>
      <c r="AJ7" s="32"/>
      <c r="AK7" s="32"/>
    </row>
    <row r="8" spans="1:37" x14ac:dyDescent="0.25">
      <c r="A8" s="234"/>
      <c r="B8" s="201">
        <v>162750.66666666666</v>
      </c>
      <c r="C8" s="201">
        <v>183155</v>
      </c>
      <c r="D8" s="201">
        <v>57867.333333333336</v>
      </c>
      <c r="E8" s="201">
        <v>103859.66666666667</v>
      </c>
      <c r="F8" s="201">
        <v>0</v>
      </c>
      <c r="G8" s="201"/>
      <c r="H8" s="201">
        <v>4401373.666666667</v>
      </c>
      <c r="I8" s="201">
        <v>267309.66666666669</v>
      </c>
      <c r="J8" s="201">
        <v>94248.666666666672</v>
      </c>
      <c r="K8" s="201">
        <v>1465994.6666666667</v>
      </c>
      <c r="L8" s="201">
        <v>3281504</v>
      </c>
      <c r="M8" s="201">
        <v>2923150.6666666665</v>
      </c>
      <c r="N8" s="3"/>
      <c r="O8" s="201">
        <v>1163580.3333333333</v>
      </c>
      <c r="P8" s="201">
        <v>2701833.3333333335</v>
      </c>
      <c r="Q8" s="201">
        <v>26345.333333333332</v>
      </c>
      <c r="R8" s="201">
        <v>2078200</v>
      </c>
      <c r="S8" s="201">
        <v>2539558.3333333335</v>
      </c>
      <c r="T8" s="201">
        <v>2527943.3333333335</v>
      </c>
      <c r="U8" s="201">
        <v>3620498.3333333335</v>
      </c>
      <c r="V8" s="201">
        <v>5339620.666666667</v>
      </c>
      <c r="W8" s="32"/>
      <c r="X8" s="32"/>
      <c r="Y8" s="32"/>
      <c r="Z8" s="32"/>
      <c r="AA8" s="32"/>
      <c r="AB8" s="32"/>
      <c r="AC8" s="32"/>
      <c r="AD8" s="32"/>
      <c r="AE8" s="32"/>
      <c r="AF8" s="32"/>
      <c r="AG8" s="32"/>
      <c r="AH8" s="32"/>
      <c r="AI8" s="32"/>
      <c r="AJ8" s="32"/>
      <c r="AK8" s="32"/>
    </row>
    <row r="9" spans="1:37" x14ac:dyDescent="0.25">
      <c r="A9" s="234"/>
      <c r="B9" s="201">
        <v>119656.33333333333</v>
      </c>
      <c r="C9" s="201">
        <v>305468.5</v>
      </c>
      <c r="D9" s="201">
        <v>190653.33333333334</v>
      </c>
      <c r="E9" s="201">
        <v>140464.66666666666</v>
      </c>
      <c r="F9" s="201">
        <v>512109.33333333331</v>
      </c>
      <c r="G9" s="201">
        <v>4632590</v>
      </c>
      <c r="H9" s="201">
        <v>3895566</v>
      </c>
      <c r="I9" s="201">
        <v>82720</v>
      </c>
      <c r="J9" s="201">
        <v>257915</v>
      </c>
      <c r="K9" s="201">
        <v>205484</v>
      </c>
      <c r="L9" s="201">
        <v>1629899</v>
      </c>
      <c r="M9" s="201">
        <v>4088864.6666666665</v>
      </c>
      <c r="N9" s="3"/>
      <c r="O9" s="201">
        <v>2416528</v>
      </c>
      <c r="P9" s="201">
        <v>5410689.333333333</v>
      </c>
      <c r="Q9" s="201">
        <v>44182.666666666664</v>
      </c>
      <c r="R9" s="201">
        <v>2307131</v>
      </c>
      <c r="S9" s="201">
        <v>3203834.3333333335</v>
      </c>
      <c r="T9" s="201">
        <v>3014558</v>
      </c>
      <c r="U9" s="201">
        <v>4117524.6666666665</v>
      </c>
      <c r="V9" s="201">
        <v>4071200.3333333335</v>
      </c>
      <c r="W9" s="32"/>
      <c r="X9" s="32"/>
      <c r="Y9" s="32"/>
      <c r="Z9" s="32"/>
      <c r="AA9" s="32"/>
      <c r="AB9" s="32"/>
      <c r="AC9" s="32"/>
      <c r="AD9" s="32"/>
      <c r="AE9" s="32"/>
      <c r="AF9" s="32"/>
      <c r="AG9" s="32"/>
      <c r="AH9" s="32"/>
      <c r="AI9" s="32"/>
      <c r="AJ9" s="32"/>
      <c r="AK9" s="32"/>
    </row>
    <row r="10" spans="1:37" x14ac:dyDescent="0.25">
      <c r="A10" s="234"/>
      <c r="B10" s="201">
        <v>879.66666666666663</v>
      </c>
      <c r="C10" s="201">
        <v>0</v>
      </c>
      <c r="D10" s="201">
        <v>118467</v>
      </c>
      <c r="E10" s="201">
        <v>182570.66666666666</v>
      </c>
      <c r="F10" s="201">
        <v>7412</v>
      </c>
      <c r="G10" s="201">
        <v>2242097</v>
      </c>
      <c r="H10" s="201">
        <v>3894419.3333333335</v>
      </c>
      <c r="I10" s="201">
        <v>283697.66666666669</v>
      </c>
      <c r="J10" s="201">
        <v>196053.33333333334</v>
      </c>
      <c r="K10" s="201">
        <v>2504511</v>
      </c>
      <c r="L10" s="201">
        <v>3208052</v>
      </c>
      <c r="M10" s="201">
        <v>4291771</v>
      </c>
      <c r="N10" s="3"/>
      <c r="O10" s="201">
        <v>2694465</v>
      </c>
      <c r="P10" s="201">
        <v>4275610</v>
      </c>
      <c r="Q10" s="201">
        <v>327642.66666666669</v>
      </c>
      <c r="R10" s="201">
        <v>2169143.5</v>
      </c>
      <c r="S10" s="201">
        <v>3221347.3333333335</v>
      </c>
      <c r="T10" s="201">
        <v>3300289</v>
      </c>
      <c r="U10" s="201">
        <v>3358531.3333333335</v>
      </c>
      <c r="V10" s="201">
        <v>4182428.6666666665</v>
      </c>
      <c r="W10" s="32"/>
      <c r="X10" s="32"/>
      <c r="Y10" s="32"/>
      <c r="Z10" s="32"/>
      <c r="AA10" s="32"/>
      <c r="AB10" s="32"/>
      <c r="AC10" s="32"/>
      <c r="AD10" s="32"/>
      <c r="AE10" s="32"/>
      <c r="AF10" s="32"/>
      <c r="AG10" s="32"/>
      <c r="AH10" s="32"/>
      <c r="AI10" s="32"/>
      <c r="AJ10" s="32"/>
      <c r="AK10" s="32"/>
    </row>
    <row r="11" spans="1:37" x14ac:dyDescent="0.25">
      <c r="A11" s="234"/>
      <c r="B11" s="201">
        <v>230113.33333333334</v>
      </c>
      <c r="C11" s="201">
        <v>62618.5</v>
      </c>
      <c r="D11" s="201">
        <v>144480.66666666666</v>
      </c>
      <c r="E11" s="201">
        <v>476138.5</v>
      </c>
      <c r="F11" s="201">
        <v>178756.66666666666</v>
      </c>
      <c r="G11" s="201">
        <v>2650166.6666666665</v>
      </c>
      <c r="H11" s="201">
        <v>4533409.666666667</v>
      </c>
      <c r="I11" s="201">
        <v>266675</v>
      </c>
      <c r="J11" s="201">
        <v>261065.33333333334</v>
      </c>
      <c r="K11" s="201">
        <v>474397.5</v>
      </c>
      <c r="L11" s="201">
        <v>3119514</v>
      </c>
      <c r="M11" s="201">
        <v>3307189.3333333335</v>
      </c>
      <c r="N11" s="3"/>
      <c r="O11" s="201">
        <v>1236184.6666666667</v>
      </c>
      <c r="P11" s="201">
        <v>3285227.6666666665</v>
      </c>
      <c r="Q11" s="201">
        <v>138900</v>
      </c>
      <c r="R11" s="201">
        <v>1834265.3333333333</v>
      </c>
      <c r="S11" s="201">
        <v>3076319</v>
      </c>
      <c r="T11" s="201">
        <v>3170629</v>
      </c>
      <c r="U11" s="201">
        <v>3619431</v>
      </c>
      <c r="V11" s="201">
        <v>4282286.333333333</v>
      </c>
      <c r="W11" s="32"/>
      <c r="X11" s="32"/>
      <c r="Y11" s="32"/>
      <c r="Z11" s="32"/>
      <c r="AA11" s="32"/>
      <c r="AB11" s="32"/>
      <c r="AC11" s="32"/>
      <c r="AD11" s="32"/>
      <c r="AE11" s="32"/>
      <c r="AF11" s="32"/>
      <c r="AG11" s="32"/>
      <c r="AH11" s="32"/>
      <c r="AI11" s="32"/>
      <c r="AJ11" s="32"/>
      <c r="AK11" s="32"/>
    </row>
    <row r="12" spans="1:37" x14ac:dyDescent="0.25">
      <c r="A12" s="234"/>
      <c r="B12" s="201"/>
      <c r="C12" s="201">
        <v>142750.33333333334</v>
      </c>
      <c r="D12" s="201">
        <v>8565.3333333333339</v>
      </c>
      <c r="E12" s="201">
        <v>199478.33333333334</v>
      </c>
      <c r="F12" s="201">
        <v>131236</v>
      </c>
      <c r="G12" s="201">
        <v>2647989.3333333335</v>
      </c>
      <c r="H12" s="201">
        <v>5059268.333333333</v>
      </c>
      <c r="I12" s="201">
        <v>219276.66666666666</v>
      </c>
      <c r="J12" s="201">
        <v>405690.33333333331</v>
      </c>
      <c r="K12" s="201">
        <v>1366425.5</v>
      </c>
      <c r="L12" s="201">
        <v>3594088</v>
      </c>
      <c r="M12" s="201">
        <v>4620239.333333333</v>
      </c>
      <c r="N12" s="3"/>
      <c r="O12" s="201">
        <v>183991</v>
      </c>
      <c r="P12" s="201">
        <v>3774690.6666666665</v>
      </c>
      <c r="Q12" s="201">
        <v>168309.33333333334</v>
      </c>
      <c r="R12" s="201">
        <v>2718106.6666666665</v>
      </c>
      <c r="S12" s="201">
        <v>2051401</v>
      </c>
      <c r="T12" s="201">
        <v>3087451.3333333335</v>
      </c>
      <c r="U12" s="201">
        <v>4359173.666666667</v>
      </c>
      <c r="V12" s="201">
        <v>4616302.333333333</v>
      </c>
      <c r="W12" s="32"/>
      <c r="X12" s="32"/>
      <c r="Y12" s="32"/>
      <c r="Z12" s="32"/>
      <c r="AA12" s="32"/>
      <c r="AB12" s="32"/>
      <c r="AC12" s="32"/>
      <c r="AD12" s="32"/>
      <c r="AE12" s="32"/>
      <c r="AF12" s="32"/>
      <c r="AG12" s="32"/>
      <c r="AH12" s="32"/>
      <c r="AI12" s="32"/>
      <c r="AJ12" s="32"/>
      <c r="AK12" s="32"/>
    </row>
    <row r="13" spans="1:37" ht="16.5" x14ac:dyDescent="0.25">
      <c r="A13" s="234"/>
      <c r="B13" s="14"/>
      <c r="C13" s="13"/>
      <c r="D13" s="32"/>
      <c r="E13" s="32"/>
      <c r="F13" s="32"/>
      <c r="G13" s="32"/>
      <c r="H13" s="32"/>
      <c r="I13" s="32"/>
      <c r="J13" s="32"/>
      <c r="K13" s="13"/>
      <c r="L13" s="13"/>
      <c r="M13" s="13"/>
      <c r="N13" s="3"/>
      <c r="O13" s="201"/>
      <c r="P13" s="13"/>
      <c r="Q13" s="13"/>
      <c r="R13" s="32"/>
      <c r="S13" s="32"/>
      <c r="T13" s="32"/>
      <c r="U13" s="32"/>
      <c r="V13" s="32"/>
      <c r="W13" s="32"/>
      <c r="X13" s="32"/>
      <c r="Y13" s="32"/>
      <c r="Z13" s="32"/>
      <c r="AA13" s="32"/>
      <c r="AB13" s="32"/>
      <c r="AC13" s="32"/>
      <c r="AD13" s="32"/>
      <c r="AE13" s="32"/>
      <c r="AF13" s="32"/>
      <c r="AG13" s="32"/>
      <c r="AH13" s="32"/>
      <c r="AI13" s="32"/>
      <c r="AJ13" s="32"/>
      <c r="AK13" s="32"/>
    </row>
    <row r="14" spans="1:37" ht="16.5" x14ac:dyDescent="0.25">
      <c r="A14" s="234"/>
      <c r="B14" s="14"/>
      <c r="C14" s="32"/>
      <c r="D14" s="32"/>
      <c r="E14" s="32"/>
      <c r="F14" s="32"/>
      <c r="G14" s="32"/>
      <c r="H14" s="32"/>
      <c r="I14" s="32"/>
      <c r="J14" s="32"/>
      <c r="K14" s="13"/>
      <c r="L14" s="13"/>
      <c r="M14" s="13"/>
      <c r="N14" s="3"/>
      <c r="O14" s="201">
        <v>2816868.3333333335</v>
      </c>
      <c r="P14" s="13"/>
      <c r="Q14" s="13"/>
      <c r="R14" s="32"/>
      <c r="S14" s="32"/>
      <c r="T14" s="32"/>
      <c r="U14" s="32"/>
      <c r="V14" s="32"/>
      <c r="W14" s="32"/>
      <c r="X14" s="32"/>
      <c r="Y14" s="32"/>
      <c r="Z14" s="32"/>
      <c r="AA14" s="32"/>
      <c r="AB14" s="32"/>
      <c r="AC14" s="32"/>
      <c r="AD14" s="32"/>
      <c r="AE14" s="32"/>
      <c r="AF14" s="32"/>
      <c r="AG14" s="32"/>
      <c r="AH14" s="32"/>
      <c r="AI14" s="32"/>
      <c r="AJ14" s="32"/>
      <c r="AK14" s="32"/>
    </row>
    <row r="15" spans="1:37" ht="16.5" x14ac:dyDescent="0.25">
      <c r="A15" s="234"/>
      <c r="B15" s="14"/>
      <c r="C15" s="32"/>
      <c r="D15" s="32"/>
      <c r="E15" s="32"/>
      <c r="F15" s="32"/>
      <c r="G15" s="32"/>
      <c r="H15" s="32"/>
      <c r="I15" s="32"/>
      <c r="J15" s="32"/>
      <c r="K15" s="13"/>
      <c r="L15" s="13"/>
      <c r="M15" s="13"/>
      <c r="N15" s="3"/>
      <c r="O15" s="201">
        <v>1682056</v>
      </c>
      <c r="P15" s="13"/>
      <c r="Q15" s="13"/>
      <c r="R15" s="32"/>
      <c r="S15" s="32"/>
      <c r="T15" s="32"/>
      <c r="U15" s="32"/>
      <c r="V15" s="32"/>
      <c r="W15" s="32"/>
      <c r="X15" s="32"/>
      <c r="Y15" s="32"/>
      <c r="Z15" s="32"/>
      <c r="AA15" s="32"/>
      <c r="AB15" s="32"/>
      <c r="AC15" s="32"/>
      <c r="AD15" s="32"/>
      <c r="AE15" s="32"/>
      <c r="AF15" s="32"/>
      <c r="AG15" s="32"/>
      <c r="AH15" s="32"/>
      <c r="AI15" s="32"/>
      <c r="AJ15" s="32"/>
      <c r="AK15" s="32"/>
    </row>
    <row r="16" spans="1:37" ht="16.5" x14ac:dyDescent="0.25">
      <c r="A16" s="234"/>
      <c r="B16" s="14"/>
      <c r="C16" s="32"/>
      <c r="D16" s="32"/>
      <c r="E16" s="32"/>
      <c r="F16" s="32"/>
      <c r="G16" s="32"/>
      <c r="H16" s="32"/>
      <c r="I16" s="32"/>
      <c r="J16" s="32"/>
      <c r="K16" s="13"/>
      <c r="L16" s="13"/>
      <c r="M16" s="13"/>
      <c r="N16" s="3"/>
      <c r="O16" s="201">
        <v>3321443.3333333335</v>
      </c>
      <c r="P16" s="13"/>
      <c r="Q16" s="13"/>
      <c r="R16" s="32"/>
      <c r="S16" s="32"/>
      <c r="T16" s="32"/>
      <c r="U16" s="32"/>
      <c r="V16" s="32"/>
      <c r="W16" s="32"/>
      <c r="X16" s="32"/>
      <c r="Y16" s="32"/>
      <c r="Z16" s="32"/>
      <c r="AA16" s="32"/>
      <c r="AB16" s="32"/>
      <c r="AC16" s="32"/>
      <c r="AD16" s="32"/>
      <c r="AE16" s="32"/>
      <c r="AF16" s="32"/>
      <c r="AG16" s="32"/>
      <c r="AH16" s="32"/>
      <c r="AI16" s="32"/>
      <c r="AJ16" s="32"/>
      <c r="AK16" s="32"/>
    </row>
    <row r="17" spans="1:37" ht="16.5" x14ac:dyDescent="0.25">
      <c r="A17" s="234"/>
      <c r="B17" s="14"/>
      <c r="C17" s="32"/>
      <c r="D17" s="32"/>
      <c r="E17" s="32"/>
      <c r="F17" s="32"/>
      <c r="G17" s="32"/>
      <c r="H17" s="32"/>
      <c r="I17" s="32"/>
      <c r="J17" s="32"/>
      <c r="K17" s="13"/>
      <c r="L17" s="13"/>
      <c r="M17" s="13"/>
      <c r="N17" s="3"/>
      <c r="O17" s="201">
        <v>100096</v>
      </c>
      <c r="P17" s="13"/>
      <c r="Q17" s="13"/>
      <c r="R17" s="32"/>
      <c r="S17" s="32"/>
      <c r="T17" s="32"/>
      <c r="U17" s="32"/>
      <c r="V17" s="32"/>
      <c r="W17" s="32"/>
      <c r="X17" s="32"/>
      <c r="Y17" s="32"/>
      <c r="Z17" s="32"/>
      <c r="AA17" s="32"/>
      <c r="AB17" s="32"/>
      <c r="AC17" s="32"/>
      <c r="AD17" s="32"/>
      <c r="AE17" s="32"/>
      <c r="AF17" s="32"/>
      <c r="AG17" s="32"/>
      <c r="AH17" s="32"/>
      <c r="AI17" s="32"/>
      <c r="AJ17" s="32"/>
      <c r="AK17" s="32"/>
    </row>
    <row r="18" spans="1:37" ht="16.5" x14ac:dyDescent="0.25">
      <c r="A18" s="234"/>
      <c r="B18" s="14"/>
      <c r="C18" s="32"/>
      <c r="D18" s="32"/>
      <c r="E18" s="32"/>
      <c r="F18" s="32"/>
      <c r="G18" s="32"/>
      <c r="H18" s="32"/>
      <c r="I18" s="32"/>
      <c r="J18" s="32"/>
      <c r="K18" s="13"/>
      <c r="L18" s="13"/>
      <c r="M18" s="13"/>
      <c r="N18" s="3"/>
      <c r="O18" s="201">
        <v>890474</v>
      </c>
      <c r="P18" s="13"/>
      <c r="Q18" s="13"/>
      <c r="R18" s="32"/>
      <c r="S18" s="32"/>
      <c r="T18" s="32"/>
      <c r="U18" s="32"/>
      <c r="V18" s="32"/>
      <c r="W18" s="32"/>
      <c r="X18" s="32"/>
      <c r="Y18" s="32"/>
      <c r="Z18" s="32"/>
      <c r="AA18" s="32"/>
      <c r="AB18" s="32"/>
      <c r="AC18" s="32"/>
      <c r="AD18" s="32"/>
      <c r="AE18" s="32"/>
      <c r="AF18" s="32"/>
      <c r="AG18" s="32"/>
      <c r="AH18" s="32"/>
      <c r="AI18" s="32"/>
      <c r="AJ18" s="32"/>
      <c r="AK18" s="32"/>
    </row>
    <row r="19" spans="1:37" ht="16.5" x14ac:dyDescent="0.25">
      <c r="A19" s="234"/>
      <c r="B19" s="14"/>
      <c r="C19" s="32"/>
      <c r="D19" s="32"/>
      <c r="E19" s="32"/>
      <c r="F19" s="32"/>
      <c r="G19" s="32"/>
      <c r="H19" s="32"/>
      <c r="I19" s="32"/>
      <c r="J19" s="32"/>
      <c r="K19" s="13"/>
      <c r="L19" s="13"/>
      <c r="M19" s="13"/>
      <c r="N19" s="3"/>
      <c r="O19" s="201">
        <v>252262.33333333334</v>
      </c>
      <c r="P19" s="13"/>
      <c r="Q19" s="13"/>
      <c r="R19" s="32"/>
      <c r="S19" s="32"/>
      <c r="T19" s="32"/>
      <c r="U19" s="32"/>
      <c r="V19" s="32"/>
      <c r="W19" s="32"/>
      <c r="X19" s="32"/>
      <c r="Y19" s="32"/>
      <c r="Z19" s="32"/>
      <c r="AA19" s="32"/>
      <c r="AB19" s="32"/>
      <c r="AC19" s="32"/>
      <c r="AD19" s="32"/>
      <c r="AE19" s="32"/>
      <c r="AF19" s="32"/>
      <c r="AG19" s="32"/>
      <c r="AH19" s="32"/>
      <c r="AI19" s="32"/>
      <c r="AJ19" s="32"/>
      <c r="AK19" s="32"/>
    </row>
    <row r="20" spans="1:37" ht="16.5" x14ac:dyDescent="0.25">
      <c r="A20" s="234"/>
      <c r="B20" s="14"/>
      <c r="C20" s="32"/>
      <c r="D20" s="32"/>
      <c r="E20" s="32"/>
      <c r="F20" s="32"/>
      <c r="G20" s="32"/>
      <c r="H20" s="32"/>
      <c r="I20" s="32"/>
      <c r="J20" s="32"/>
      <c r="K20" s="13"/>
      <c r="L20" s="13"/>
      <c r="M20" s="13"/>
      <c r="N20" s="3"/>
      <c r="O20" s="201">
        <v>894519</v>
      </c>
      <c r="P20" s="13"/>
      <c r="Q20" s="13"/>
      <c r="R20" s="32"/>
      <c r="S20" s="32"/>
      <c r="T20" s="32"/>
      <c r="U20" s="32"/>
      <c r="V20" s="32"/>
      <c r="W20" s="32"/>
      <c r="X20" s="32"/>
      <c r="Y20" s="32"/>
      <c r="Z20" s="32"/>
      <c r="AA20" s="32"/>
      <c r="AB20" s="32"/>
      <c r="AC20" s="32"/>
      <c r="AD20" s="32"/>
      <c r="AE20" s="32"/>
      <c r="AF20" s="32"/>
      <c r="AG20" s="32"/>
      <c r="AH20" s="32"/>
      <c r="AI20" s="32"/>
      <c r="AJ20" s="32"/>
      <c r="AK20" s="32"/>
    </row>
    <row r="21" spans="1:37" x14ac:dyDescent="0.25">
      <c r="A21" s="3"/>
      <c r="B21" s="7"/>
      <c r="C21" s="7"/>
      <c r="D21" s="7"/>
      <c r="E21" s="7"/>
      <c r="F21" s="7"/>
      <c r="G21" s="7"/>
      <c r="H21" s="7"/>
      <c r="I21" s="7"/>
      <c r="J21" s="7"/>
      <c r="N21" s="3"/>
      <c r="O21" s="7"/>
      <c r="R21" s="7"/>
      <c r="S21" s="7"/>
      <c r="T21" s="7"/>
      <c r="U21" s="7"/>
      <c r="V21" s="7"/>
      <c r="W21" s="7"/>
      <c r="X21" s="7"/>
      <c r="Y21" s="7"/>
      <c r="Z21" s="7"/>
      <c r="AA21" s="7"/>
      <c r="AB21" s="7"/>
      <c r="AC21" s="7"/>
      <c r="AD21" s="7"/>
      <c r="AE21" s="7"/>
      <c r="AF21" s="7"/>
      <c r="AG21" s="7"/>
      <c r="AH21" s="7"/>
      <c r="AI21" s="7"/>
      <c r="AJ21" s="7"/>
      <c r="AK21" s="7"/>
    </row>
    <row r="22" spans="1:37" x14ac:dyDescent="0.25">
      <c r="A22" s="3" t="str">
        <f>A4</f>
        <v>Noms des groupes</v>
      </c>
      <c r="B22" s="3" t="str">
        <f t="shared" ref="B22:AD22" si="0">B4</f>
        <v>Témoin solvant</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estradiol 34ng/L</v>
      </c>
      <c r="J22" s="3" t="str">
        <f t="shared" si="0"/>
        <v>estradiol 68ng/L</v>
      </c>
      <c r="K22" s="3" t="str">
        <f t="shared" si="0"/>
        <v>estradiol 135ng/L</v>
      </c>
      <c r="L22" s="3" t="str">
        <f t="shared" si="0"/>
        <v>estradiol 270ng/L</v>
      </c>
      <c r="M22" s="3" t="str">
        <f t="shared" si="0"/>
        <v>estradiol 540ng/L</v>
      </c>
      <c r="N22" s="3" t="s">
        <v>41</v>
      </c>
      <c r="O22" s="3" t="str">
        <f t="shared" si="0"/>
        <v>Testo -30µg/L</v>
      </c>
      <c r="P22" s="3" t="str">
        <f t="shared" si="0"/>
        <v>Testo 30µg/L + EE2 -64ng/L</v>
      </c>
      <c r="Q22" s="3" t="str">
        <f t="shared" si="0"/>
        <v>Testo 30µg/L + FAD-10mg/L</v>
      </c>
      <c r="R22" s="3" t="str">
        <f t="shared" si="0"/>
        <v>estradiol-34ng/L + Testostérone</v>
      </c>
      <c r="S22" s="3" t="str">
        <f t="shared" si="0"/>
        <v>estradiol-68ng/L + Testostérone</v>
      </c>
      <c r="T22" s="3" t="str">
        <f t="shared" si="0"/>
        <v>estradiol-135ng/L + Testostérone</v>
      </c>
      <c r="U22" s="3" t="str">
        <f t="shared" si="0"/>
        <v>estradiol-270ng/L + Testostérone</v>
      </c>
      <c r="V22" s="3" t="str">
        <f t="shared" si="0"/>
        <v>estradiol-540ng/L + Testostérone</v>
      </c>
      <c r="W22" s="3" t="str">
        <f t="shared" si="0"/>
        <v>0-00 + Testostérone</v>
      </c>
      <c r="X22" s="3" t="str">
        <f t="shared" si="0"/>
        <v>0-00 + Testostérone</v>
      </c>
      <c r="Y22" s="3" t="str">
        <f t="shared" si="0"/>
        <v>0-00 + Testostérone</v>
      </c>
      <c r="Z22" s="3" t="str">
        <f t="shared" si="0"/>
        <v>0-00 + Testostérone</v>
      </c>
      <c r="AA22" s="3" t="str">
        <f t="shared" si="0"/>
        <v>0-00 + Testostérone</v>
      </c>
      <c r="AB22" s="3" t="str">
        <f t="shared" si="0"/>
        <v>0-00 + Testostérone</v>
      </c>
      <c r="AC22" s="3" t="str">
        <f t="shared" si="0"/>
        <v>0-00 + Testostérone</v>
      </c>
      <c r="AD22" s="3" t="str">
        <f t="shared" si="0"/>
        <v>0-00 + Testostérone</v>
      </c>
      <c r="AE22" s="3" t="str">
        <f t="shared" ref="AE22:AK22" si="1">AE4</f>
        <v>0-00 + Testostérone</v>
      </c>
      <c r="AF22" s="3" t="str">
        <f t="shared" si="1"/>
        <v>0-00 + Testostérone</v>
      </c>
      <c r="AG22" s="3" t="str">
        <f t="shared" si="1"/>
        <v>0-00 + Testostérone</v>
      </c>
      <c r="AH22" s="3" t="str">
        <f t="shared" si="1"/>
        <v>0-00 + Testostérone</v>
      </c>
      <c r="AI22" s="3" t="str">
        <f t="shared" si="1"/>
        <v>0-00 + Testostérone</v>
      </c>
      <c r="AJ22" s="3" t="str">
        <f t="shared" si="1"/>
        <v>0-00 + Testostérone</v>
      </c>
      <c r="AK22" s="3" t="str">
        <f t="shared" si="1"/>
        <v>0-00 + Testostérone</v>
      </c>
    </row>
    <row r="23" spans="1:37" x14ac:dyDescent="0.25">
      <c r="A23" s="5" t="s">
        <v>0</v>
      </c>
      <c r="B23" s="5">
        <f t="shared" ref="B23:J23" si="2">AVERAGE(B5:B20)</f>
        <v>109860.28571428571</v>
      </c>
      <c r="C23" s="5">
        <f t="shared" si="2"/>
        <v>149127.38095238095</v>
      </c>
      <c r="D23" s="5">
        <f t="shared" si="2"/>
        <v>110626.58333333333</v>
      </c>
      <c r="E23" s="5">
        <f t="shared" si="2"/>
        <v>171491.02380952379</v>
      </c>
      <c r="F23" s="5">
        <f t="shared" si="2"/>
        <v>250618.85416666669</v>
      </c>
      <c r="G23" s="5">
        <f t="shared" si="2"/>
        <v>2814519.952380952</v>
      </c>
      <c r="H23" s="5">
        <f t="shared" si="2"/>
        <v>4367501.208333334</v>
      </c>
      <c r="I23" s="5">
        <f t="shared" si="2"/>
        <v>203462.56250000003</v>
      </c>
      <c r="J23" s="5">
        <f t="shared" si="2"/>
        <v>209213.8125</v>
      </c>
      <c r="K23" s="5"/>
      <c r="L23" s="5">
        <f>AVERAGE(L5:L20)</f>
        <v>2741366.958333333</v>
      </c>
      <c r="M23" s="5"/>
      <c r="N23" s="5" t="s">
        <v>0</v>
      </c>
      <c r="O23" s="5">
        <f>AVERAGE(O5:O20)</f>
        <v>1455662.1777777777</v>
      </c>
      <c r="P23" s="5">
        <f>AVERAGE(P5:P20)</f>
        <v>3472991.3750000005</v>
      </c>
      <c r="Q23" s="5">
        <f>AVERAGE(Q5:Q20)</f>
        <v>171310.625</v>
      </c>
      <c r="R23" s="5">
        <f>AVERAGE(R5:R20)</f>
        <v>2163017.8541666665</v>
      </c>
      <c r="S23" s="5">
        <f>AVERAGE(S5:S20)</f>
        <v>2697926.4375</v>
      </c>
      <c r="T23" s="5">
        <f t="shared" ref="T23:AD23" si="3">AVERAGE(T5:T20)</f>
        <v>3083196.8124999995</v>
      </c>
      <c r="U23" s="5">
        <f t="shared" si="3"/>
        <v>3920351.25</v>
      </c>
      <c r="V23" s="5">
        <f t="shared" si="3"/>
        <v>4386062.25</v>
      </c>
      <c r="W23" s="5" t="e">
        <f t="shared" si="3"/>
        <v>#DIV/0!</v>
      </c>
      <c r="X23" s="5" t="e">
        <f t="shared" si="3"/>
        <v>#DIV/0!</v>
      </c>
      <c r="Y23" s="5" t="e">
        <f t="shared" si="3"/>
        <v>#DIV/0!</v>
      </c>
      <c r="Z23" s="5" t="e">
        <f t="shared" si="3"/>
        <v>#DIV/0!</v>
      </c>
      <c r="AA23" s="5" t="e">
        <f t="shared" si="3"/>
        <v>#DIV/0!</v>
      </c>
      <c r="AB23" s="5" t="e">
        <f t="shared" si="3"/>
        <v>#DIV/0!</v>
      </c>
      <c r="AC23" s="5" t="e">
        <f t="shared" si="3"/>
        <v>#DIV/0!</v>
      </c>
      <c r="AD23" s="5" t="e">
        <f t="shared" si="3"/>
        <v>#DIV/0!</v>
      </c>
      <c r="AE23" s="5" t="e">
        <f t="shared" ref="AE23:AK23" si="4">AVERAGE(AE5:AE20)</f>
        <v>#DIV/0!</v>
      </c>
      <c r="AF23" s="5" t="e">
        <f t="shared" si="4"/>
        <v>#DIV/0!</v>
      </c>
      <c r="AG23" s="5" t="e">
        <f t="shared" si="4"/>
        <v>#DIV/0!</v>
      </c>
      <c r="AH23" s="5" t="e">
        <f t="shared" si="4"/>
        <v>#DIV/0!</v>
      </c>
      <c r="AI23" s="5" t="e">
        <f t="shared" si="4"/>
        <v>#DIV/0!</v>
      </c>
      <c r="AJ23" s="5" t="e">
        <f t="shared" si="4"/>
        <v>#DIV/0!</v>
      </c>
      <c r="AK23" s="5" t="e">
        <f t="shared" si="4"/>
        <v>#DIV/0!</v>
      </c>
    </row>
    <row r="24" spans="1:37" x14ac:dyDescent="0.25">
      <c r="A24" s="3" t="s">
        <v>1</v>
      </c>
      <c r="B24" s="3">
        <f t="shared" ref="B24:J24" si="5">STDEV(B5:B20)</f>
        <v>81531.674891924908</v>
      </c>
      <c r="C24" s="3">
        <f t="shared" si="5"/>
        <v>99598.813918487867</v>
      </c>
      <c r="D24" s="3">
        <f t="shared" si="5"/>
        <v>78098.356753997126</v>
      </c>
      <c r="E24" s="3">
        <f t="shared" si="5"/>
        <v>147641.20967463372</v>
      </c>
      <c r="F24" s="3">
        <f t="shared" si="5"/>
        <v>400009.28626938345</v>
      </c>
      <c r="G24" s="3">
        <f t="shared" si="5"/>
        <v>837301.6077588381</v>
      </c>
      <c r="H24" s="3">
        <f t="shared" si="5"/>
        <v>509995.1494998025</v>
      </c>
      <c r="I24" s="3">
        <f t="shared" si="5"/>
        <v>77630.938382211127</v>
      </c>
      <c r="J24" s="3">
        <f t="shared" si="5"/>
        <v>100636.00846605387</v>
      </c>
      <c r="K24" s="3"/>
      <c r="L24" s="3">
        <f>STDEV(L5:L20)</f>
        <v>754109.02486577875</v>
      </c>
      <c r="M24" s="3"/>
      <c r="N24" s="3" t="s">
        <v>1</v>
      </c>
      <c r="O24" s="3">
        <f>STDEV(O5:O20)</f>
        <v>1078293.8863210254</v>
      </c>
      <c r="P24" s="3">
        <f>STDEV(P5:P20)</f>
        <v>1215635.9671709531</v>
      </c>
      <c r="Q24" s="3">
        <f>STDEV(Q5:Q20)</f>
        <v>100727.72887712724</v>
      </c>
      <c r="R24" s="3">
        <f>STDEV(R5:R20)</f>
        <v>409584.96877353499</v>
      </c>
      <c r="S24" s="3">
        <f>STDEV(S5:S20)</f>
        <v>441571.80021288217</v>
      </c>
      <c r="T24" s="3">
        <f t="shared" ref="T24:AD24" si="6">STDEV(T5:T20)</f>
        <v>501244.47510971472</v>
      </c>
      <c r="U24" s="3">
        <f t="shared" si="6"/>
        <v>456301.71342400531</v>
      </c>
      <c r="V24" s="3">
        <f t="shared" si="6"/>
        <v>590243.33993065939</v>
      </c>
      <c r="W24" s="3" t="e">
        <f t="shared" si="6"/>
        <v>#DIV/0!</v>
      </c>
      <c r="X24" s="3" t="e">
        <f t="shared" si="6"/>
        <v>#DIV/0!</v>
      </c>
      <c r="Y24" s="3" t="e">
        <f t="shared" si="6"/>
        <v>#DIV/0!</v>
      </c>
      <c r="Z24" s="3" t="e">
        <f t="shared" si="6"/>
        <v>#DIV/0!</v>
      </c>
      <c r="AA24" s="3" t="e">
        <f t="shared" si="6"/>
        <v>#DIV/0!</v>
      </c>
      <c r="AB24" s="3" t="e">
        <f t="shared" si="6"/>
        <v>#DIV/0!</v>
      </c>
      <c r="AC24" s="3" t="e">
        <f t="shared" si="6"/>
        <v>#DIV/0!</v>
      </c>
      <c r="AD24" s="3" t="e">
        <f t="shared" si="6"/>
        <v>#DIV/0!</v>
      </c>
      <c r="AE24" s="3" t="e">
        <f t="shared" ref="AE24:AK24" si="7">STDEV(AE5:AE20)</f>
        <v>#DIV/0!</v>
      </c>
      <c r="AF24" s="3" t="e">
        <f t="shared" si="7"/>
        <v>#DIV/0!</v>
      </c>
      <c r="AG24" s="3" t="e">
        <f t="shared" si="7"/>
        <v>#DIV/0!</v>
      </c>
      <c r="AH24" s="3" t="e">
        <f t="shared" si="7"/>
        <v>#DIV/0!</v>
      </c>
      <c r="AI24" s="3" t="e">
        <f t="shared" si="7"/>
        <v>#DIV/0!</v>
      </c>
      <c r="AJ24" s="3" t="e">
        <f t="shared" si="7"/>
        <v>#DIV/0!</v>
      </c>
      <c r="AK24" s="3" t="e">
        <f t="shared" si="7"/>
        <v>#DIV/0!</v>
      </c>
    </row>
    <row r="25" spans="1:37" ht="15.75" thickBot="1" x14ac:dyDescent="0.3"/>
    <row r="26" spans="1:37" ht="15.75" thickBot="1" x14ac:dyDescent="0.3">
      <c r="B26" s="231" t="s">
        <v>6</v>
      </c>
      <c r="C26" s="232"/>
      <c r="D26" s="232"/>
      <c r="E26" s="232"/>
      <c r="F26" s="232"/>
      <c r="G26" s="232"/>
      <c r="H26" s="232"/>
      <c r="I26" s="232"/>
      <c r="J26" s="232"/>
      <c r="K26" s="232"/>
      <c r="L26" s="232"/>
      <c r="M26" s="232"/>
      <c r="O26" s="231" t="s">
        <v>3</v>
      </c>
      <c r="P26" s="232"/>
      <c r="Q26" s="232"/>
      <c r="R26" s="232"/>
      <c r="S26" s="232"/>
      <c r="T26" s="232"/>
      <c r="U26" s="232"/>
      <c r="V26" s="232"/>
      <c r="W26" s="232"/>
      <c r="X26" s="232"/>
      <c r="Y26" s="232"/>
      <c r="Z26" s="232"/>
      <c r="AA26" s="232"/>
      <c r="AB26" s="232"/>
      <c r="AC26" s="232"/>
      <c r="AD26" s="232"/>
      <c r="AE26" s="232"/>
      <c r="AF26" s="232"/>
      <c r="AG26" s="232"/>
      <c r="AH26" s="232"/>
      <c r="AI26" s="232"/>
      <c r="AJ26" s="232"/>
      <c r="AK26" s="233"/>
    </row>
    <row r="27" spans="1:37" x14ac:dyDescent="0.25">
      <c r="A27" s="34" t="s">
        <v>41</v>
      </c>
      <c r="B27" s="35" t="str">
        <f>B4</f>
        <v>Témoin solvant</v>
      </c>
      <c r="C27" s="35" t="str">
        <f t="shared" ref="C27:M27" si="8">C4</f>
        <v>EE2-33.8ng/L</v>
      </c>
      <c r="D27" s="35" t="str">
        <f t="shared" si="8"/>
        <v>EE2-50.6ng/L</v>
      </c>
      <c r="E27" s="35" t="str">
        <f t="shared" si="8"/>
        <v>EE2-76ng/L</v>
      </c>
      <c r="F27" s="35" t="str">
        <f t="shared" si="8"/>
        <v>EE2-114ng/L</v>
      </c>
      <c r="G27" s="35" t="str">
        <f t="shared" si="8"/>
        <v>EE2-170.9ng/L</v>
      </c>
      <c r="H27" s="35" t="str">
        <f t="shared" si="8"/>
        <v>EE2-488ng/L</v>
      </c>
      <c r="I27" s="35" t="str">
        <f t="shared" si="8"/>
        <v>estradiol 34ng/L</v>
      </c>
      <c r="J27" s="35" t="str">
        <f t="shared" si="8"/>
        <v>estradiol 68ng/L</v>
      </c>
      <c r="K27" s="35" t="str">
        <f t="shared" si="8"/>
        <v>estradiol 135ng/L</v>
      </c>
      <c r="L27" s="35" t="str">
        <f t="shared" si="8"/>
        <v>estradiol 270ng/L</v>
      </c>
      <c r="M27" s="35" t="str">
        <f t="shared" si="8"/>
        <v>estradiol 540ng/L</v>
      </c>
      <c r="N27" s="3"/>
      <c r="O27" s="36" t="str">
        <f>O4</f>
        <v>Testo -30µg/L</v>
      </c>
      <c r="P27" s="36" t="str">
        <f t="shared" ref="P27:R27" si="9">P4</f>
        <v>Testo 30µg/L + EE2 -64ng/L</v>
      </c>
      <c r="Q27" s="36" t="str">
        <f t="shared" si="9"/>
        <v>Testo 30µg/L + FAD-10mg/L</v>
      </c>
      <c r="R27" s="36" t="str">
        <f t="shared" si="9"/>
        <v>estradiol-34ng/L + Testostérone</v>
      </c>
      <c r="S27" s="36" t="str">
        <f t="shared" ref="S27:AK27" si="10">S4</f>
        <v>estradiol-68ng/L + Testostérone</v>
      </c>
      <c r="T27" s="36" t="str">
        <f t="shared" si="10"/>
        <v>estradiol-135ng/L + Testostérone</v>
      </c>
      <c r="U27" s="36" t="str">
        <f t="shared" si="10"/>
        <v>estradiol-270ng/L + Testostérone</v>
      </c>
      <c r="V27" s="36" t="str">
        <f t="shared" si="10"/>
        <v>estradiol-540ng/L + Testostérone</v>
      </c>
      <c r="W27" s="36" t="str">
        <f t="shared" si="10"/>
        <v>0-00 + Testostérone</v>
      </c>
      <c r="X27" s="36" t="str">
        <f t="shared" si="10"/>
        <v>0-00 + Testostérone</v>
      </c>
      <c r="Y27" s="36" t="str">
        <f t="shared" si="10"/>
        <v>0-00 + Testostérone</v>
      </c>
      <c r="Z27" s="36" t="str">
        <f t="shared" si="10"/>
        <v>0-00 + Testostérone</v>
      </c>
      <c r="AA27" s="36" t="str">
        <f t="shared" si="10"/>
        <v>0-00 + Testostérone</v>
      </c>
      <c r="AB27" s="36" t="str">
        <f t="shared" si="10"/>
        <v>0-00 + Testostérone</v>
      </c>
      <c r="AC27" s="36" t="str">
        <f t="shared" si="10"/>
        <v>0-00 + Testostérone</v>
      </c>
      <c r="AD27" s="36" t="str">
        <f t="shared" si="10"/>
        <v>0-00 + Testostérone</v>
      </c>
      <c r="AE27" s="36" t="str">
        <f t="shared" si="10"/>
        <v>0-00 + Testostérone</v>
      </c>
      <c r="AF27" s="36" t="str">
        <f t="shared" si="10"/>
        <v>0-00 + Testostérone</v>
      </c>
      <c r="AG27" s="36" t="str">
        <f t="shared" si="10"/>
        <v>0-00 + Testostérone</v>
      </c>
      <c r="AH27" s="36" t="str">
        <f t="shared" si="10"/>
        <v>0-00 + Testostérone</v>
      </c>
      <c r="AI27" s="36" t="str">
        <f t="shared" si="10"/>
        <v>0-00 + Testostérone</v>
      </c>
      <c r="AJ27" s="36" t="str">
        <f t="shared" si="10"/>
        <v>0-00 + Testostérone</v>
      </c>
      <c r="AK27" s="36" t="str">
        <f t="shared" si="10"/>
        <v>0-00 + Testostérone</v>
      </c>
    </row>
    <row r="28" spans="1:37" x14ac:dyDescent="0.25">
      <c r="A28" s="235" t="s">
        <v>34</v>
      </c>
      <c r="B28" s="11">
        <f>IF(B5="","",(B5/$O$23))</f>
        <v>1.0648990933458035E-2</v>
      </c>
      <c r="C28" s="11" t="str">
        <f>IF(C5="","",(C5/$O$23))</f>
        <v/>
      </c>
      <c r="D28" s="11">
        <f>IF(D5="","",(D5/$O$23))</f>
        <v>7.1403242858637625E-2</v>
      </c>
      <c r="E28" s="11">
        <f>IF(E5="","",(E5/$O$23))</f>
        <v>1.4769910442285466E-2</v>
      </c>
      <c r="F28" s="11">
        <f>IF(F5="","",(F5/$O$23))</f>
        <v>4.6817181239151373E-4</v>
      </c>
      <c r="G28" s="11">
        <f>IF(G5="","",(G5/$O$23))</f>
        <v>1.6289285404711882</v>
      </c>
      <c r="H28" s="11">
        <f>IF(H5="","",(H5/$O$23))</f>
        <v>3.3701480157224517</v>
      </c>
      <c r="I28" s="11">
        <f>IF(I5="","",(I5/$O$23))</f>
        <v>0.1656792377254564</v>
      </c>
      <c r="J28" s="11">
        <f>IF(J5="","",(J5/$O$23))</f>
        <v>0.13533726185981065</v>
      </c>
      <c r="K28" s="11">
        <f>IF(K5="","",(K5/$O$23))</f>
        <v>0.20210412678472806</v>
      </c>
      <c r="L28" s="11">
        <f>IF(L5="","",(L5/$O$23))</f>
        <v>1.5244194020718911</v>
      </c>
      <c r="M28" s="11">
        <f>IF(M5="","",(M5/$O$23))</f>
        <v>2.6616789200693365</v>
      </c>
      <c r="N28" s="6"/>
      <c r="O28" s="11">
        <f t="shared" ref="O28:S37" si="11">IF(O5="","",(O5/$O$23))</f>
        <v>0.7484895991893602</v>
      </c>
      <c r="P28" s="11">
        <f t="shared" si="11"/>
        <v>2.9531955048544689</v>
      </c>
      <c r="Q28" s="11">
        <f t="shared" si="11"/>
        <v>0.14005745044813361</v>
      </c>
      <c r="R28" s="11">
        <f t="shared" si="11"/>
        <v>1.7823446306940753</v>
      </c>
      <c r="S28" s="11">
        <f t="shared" si="11"/>
        <v>1.9088354031715358</v>
      </c>
      <c r="T28" s="11">
        <f t="shared" ref="T28:AK28" si="12">IF(T5="","",(T5/$O$23))</f>
        <v>1.60824986438398</v>
      </c>
      <c r="U28" s="11">
        <f t="shared" si="12"/>
        <v>3.134818689159228</v>
      </c>
      <c r="V28" s="11">
        <f t="shared" si="12"/>
        <v>2.6024355498356018</v>
      </c>
      <c r="W28" s="11" t="str">
        <f t="shared" si="12"/>
        <v/>
      </c>
      <c r="X28" s="11" t="str">
        <f t="shared" si="12"/>
        <v/>
      </c>
      <c r="Y28" s="11" t="str">
        <f t="shared" si="12"/>
        <v/>
      </c>
      <c r="Z28" s="11" t="str">
        <f t="shared" si="12"/>
        <v/>
      </c>
      <c r="AA28" s="11" t="str">
        <f t="shared" si="12"/>
        <v/>
      </c>
      <c r="AB28" s="11" t="str">
        <f t="shared" si="12"/>
        <v/>
      </c>
      <c r="AC28" s="11" t="str">
        <f t="shared" si="12"/>
        <v/>
      </c>
      <c r="AD28" s="11" t="str">
        <f t="shared" si="12"/>
        <v/>
      </c>
      <c r="AE28" s="11" t="str">
        <f t="shared" si="12"/>
        <v/>
      </c>
      <c r="AF28" s="11" t="str">
        <f t="shared" si="12"/>
        <v/>
      </c>
      <c r="AG28" s="11" t="str">
        <f t="shared" si="12"/>
        <v/>
      </c>
      <c r="AH28" s="11" t="str">
        <f t="shared" si="12"/>
        <v/>
      </c>
      <c r="AI28" s="11" t="str">
        <f t="shared" si="12"/>
        <v/>
      </c>
      <c r="AJ28" s="11" t="str">
        <f t="shared" si="12"/>
        <v/>
      </c>
      <c r="AK28" s="11" t="str">
        <f t="shared" si="12"/>
        <v/>
      </c>
    </row>
    <row r="29" spans="1:37" x14ac:dyDescent="0.25">
      <c r="A29" s="235"/>
      <c r="B29" s="11">
        <f>IF(B6="","",(B6/$O$23))</f>
        <v>0.10155240842052517</v>
      </c>
      <c r="C29" s="11">
        <f>IF(C6="","",(C6/$O$23))</f>
        <v>9.4380185707923253E-2</v>
      </c>
      <c r="D29" s="11">
        <f>IF(D6="","",(D6/$O$23))</f>
        <v>1.9190578986290441E-2</v>
      </c>
      <c r="E29" s="11">
        <f>IF(E6="","",(E6/$O$23))</f>
        <v>5.2502108318844068E-2</v>
      </c>
      <c r="F29" s="11">
        <f>IF(F6="","",(F6/$O$23))</f>
        <v>0.78631614130006178</v>
      </c>
      <c r="G29" s="11">
        <f>IF(G6="","",(G6/$O$23))</f>
        <v>1.5484517637929363</v>
      </c>
      <c r="H29" s="11">
        <f>IF(H6="","",(H6/$O$23))</f>
        <v>2.5044940982796406</v>
      </c>
      <c r="I29" s="11">
        <f>IF(I6="","",(I6/$O$23))</f>
        <v>0.1111762072756869</v>
      </c>
      <c r="J29" s="11">
        <f>IF(J6="","",(J6/$O$23))</f>
        <v>0.10816726738093294</v>
      </c>
      <c r="K29" s="11">
        <f>IF(K6="","",(K6/$O$23))</f>
        <v>0.1899664662732034</v>
      </c>
      <c r="L29" s="11">
        <f>IF(L6="","",(L6/$O$23))</f>
        <v>1.212283335336749</v>
      </c>
      <c r="M29" s="11">
        <f>IF(M6="","",(M6/$O$23))</f>
        <v>0.92524901763684553</v>
      </c>
      <c r="N29" s="6"/>
      <c r="O29" s="11">
        <f t="shared" si="11"/>
        <v>1.8476999959606013</v>
      </c>
      <c r="P29" s="11">
        <f t="shared" si="11"/>
        <v>1.6577754350146994</v>
      </c>
      <c r="Q29" s="11">
        <f t="shared" si="11"/>
        <v>0.16614500513382244</v>
      </c>
      <c r="R29" s="11">
        <f t="shared" si="11"/>
        <v>1.4956620429544718</v>
      </c>
      <c r="S29" s="11">
        <f t="shared" si="11"/>
        <v>1.5735237440164307</v>
      </c>
      <c r="T29" s="11">
        <f t="shared" ref="T29:AK29" si="13">IF(T6="","",(T6/$O$23))</f>
        <v>2.7388474657993758</v>
      </c>
      <c r="U29" s="11">
        <f t="shared" si="13"/>
        <v>2.3828272472498888</v>
      </c>
      <c r="V29" s="11">
        <f t="shared" si="13"/>
        <v>3.5032514717471539</v>
      </c>
      <c r="W29" s="11" t="str">
        <f t="shared" si="13"/>
        <v/>
      </c>
      <c r="X29" s="11" t="str">
        <f t="shared" si="13"/>
        <v/>
      </c>
      <c r="Y29" s="11" t="str">
        <f t="shared" si="13"/>
        <v/>
      </c>
      <c r="Z29" s="11" t="str">
        <f t="shared" si="13"/>
        <v/>
      </c>
      <c r="AA29" s="11" t="str">
        <f t="shared" si="13"/>
        <v/>
      </c>
      <c r="AB29" s="11" t="str">
        <f t="shared" si="13"/>
        <v/>
      </c>
      <c r="AC29" s="11" t="str">
        <f t="shared" si="13"/>
        <v/>
      </c>
      <c r="AD29" s="11" t="str">
        <f t="shared" si="13"/>
        <v/>
      </c>
      <c r="AE29" s="11" t="str">
        <f t="shared" si="13"/>
        <v/>
      </c>
      <c r="AF29" s="11" t="str">
        <f t="shared" si="13"/>
        <v/>
      </c>
      <c r="AG29" s="11" t="str">
        <f t="shared" si="13"/>
        <v/>
      </c>
      <c r="AH29" s="11" t="str">
        <f t="shared" si="13"/>
        <v/>
      </c>
      <c r="AI29" s="11" t="str">
        <f t="shared" si="13"/>
        <v/>
      </c>
      <c r="AJ29" s="11" t="str">
        <f t="shared" si="13"/>
        <v/>
      </c>
      <c r="AK29" s="11" t="str">
        <f t="shared" si="13"/>
        <v/>
      </c>
    </row>
    <row r="30" spans="1:37" x14ac:dyDescent="0.25">
      <c r="A30" s="235"/>
      <c r="B30" s="11">
        <f>IF(B7="","",(B7/$O$23))</f>
        <v>6.3403905161267732E-2</v>
      </c>
      <c r="C30" s="11">
        <f>IF(C7="","",(C7/$O$23))</f>
        <v>0.14599106160131964</v>
      </c>
      <c r="D30" s="11">
        <f>IF(D7="","",(D7/$O$23))</f>
        <v>0.16013674296041644</v>
      </c>
      <c r="E30" s="11" t="str">
        <f>IF(E7="","",(E7/$O$23))</f>
        <v/>
      </c>
      <c r="F30" s="11">
        <f>IF(F7="","",(F7/$O$23))</f>
        <v>2.0708559394382074E-2</v>
      </c>
      <c r="G30" s="11">
        <f>IF(G7="","",(G7/$O$23))</f>
        <v>1.9946965564262944</v>
      </c>
      <c r="H30" s="11">
        <f>IF(H7="","",(H7/$O$23))</f>
        <v>3.1631503542687058</v>
      </c>
      <c r="I30" s="11">
        <f>IF(I7="","",(I7/$O$23))</f>
        <v>7.2141394894462543E-2</v>
      </c>
      <c r="J30" s="11">
        <f>IF(J7="","",(J7/$O$23))</f>
        <v>7.163578307653129E-2</v>
      </c>
      <c r="K30" s="11">
        <f>IF(K7="","",(K7/$O$23))</f>
        <v>0.29613281152321086</v>
      </c>
      <c r="L30" s="11">
        <f>IF(L7="","",(L7/$O$23))</f>
        <v>2.1393452736088125</v>
      </c>
      <c r="M30" s="11">
        <f>IF(M7="","",(M7/$O$23))</f>
        <v>2.368185915175252</v>
      </c>
      <c r="N30" s="6"/>
      <c r="O30" s="11">
        <f t="shared" si="11"/>
        <v>0.27704894227748023</v>
      </c>
      <c r="P30" s="11">
        <f t="shared" si="11"/>
        <v>1.1155500395558813</v>
      </c>
      <c r="Q30" s="11">
        <f t="shared" si="11"/>
        <v>0.15070644138159162</v>
      </c>
      <c r="R30" s="11">
        <f t="shared" si="11"/>
        <v>0.97936596949737953</v>
      </c>
      <c r="S30" s="11">
        <f t="shared" si="11"/>
        <v>1.6637191217657066</v>
      </c>
      <c r="T30" s="11">
        <f t="shared" ref="T30:AK30" si="14">IF(T7="","",(T7/$O$23))</f>
        <v>2.2235919268081705</v>
      </c>
      <c r="U30" s="11">
        <f t="shared" si="14"/>
        <v>2.9236333573610902</v>
      </c>
      <c r="V30" s="11">
        <f t="shared" si="14"/>
        <v>2.5478727527714842</v>
      </c>
      <c r="W30" s="11" t="str">
        <f t="shared" si="14"/>
        <v/>
      </c>
      <c r="X30" s="11" t="str">
        <f t="shared" si="14"/>
        <v/>
      </c>
      <c r="Y30" s="11" t="str">
        <f t="shared" si="14"/>
        <v/>
      </c>
      <c r="Z30" s="11" t="str">
        <f t="shared" si="14"/>
        <v/>
      </c>
      <c r="AA30" s="11" t="str">
        <f t="shared" si="14"/>
        <v/>
      </c>
      <c r="AB30" s="11" t="str">
        <f t="shared" si="14"/>
        <v/>
      </c>
      <c r="AC30" s="11" t="str">
        <f t="shared" si="14"/>
        <v/>
      </c>
      <c r="AD30" s="11" t="str">
        <f t="shared" si="14"/>
        <v/>
      </c>
      <c r="AE30" s="11" t="str">
        <f t="shared" si="14"/>
        <v/>
      </c>
      <c r="AF30" s="11" t="str">
        <f t="shared" si="14"/>
        <v/>
      </c>
      <c r="AG30" s="11" t="str">
        <f t="shared" si="14"/>
        <v/>
      </c>
      <c r="AH30" s="11" t="str">
        <f t="shared" si="14"/>
        <v/>
      </c>
      <c r="AI30" s="11" t="str">
        <f t="shared" si="14"/>
        <v/>
      </c>
      <c r="AJ30" s="11" t="str">
        <f t="shared" si="14"/>
        <v/>
      </c>
      <c r="AK30" s="11" t="str">
        <f t="shared" si="14"/>
        <v/>
      </c>
    </row>
    <row r="31" spans="1:37" x14ac:dyDescent="0.25">
      <c r="A31" s="235"/>
      <c r="B31" s="11">
        <f>IF(B8="","",(B8/$O$23))</f>
        <v>0.11180524516692655</v>
      </c>
      <c r="C31" s="11">
        <f>IF(C8="","",(C8/$O$23))</f>
        <v>0.1258224626538044</v>
      </c>
      <c r="D31" s="11">
        <f>IF(D8="","",(D8/$O$23))</f>
        <v>3.9753271203126224E-2</v>
      </c>
      <c r="E31" s="11">
        <f>IF(E8="","",(E8/$O$23))</f>
        <v>7.13487430340599E-2</v>
      </c>
      <c r="F31" s="11">
        <f>IF(F8="","",(F8/$O$23))</f>
        <v>0</v>
      </c>
      <c r="G31" s="11" t="str">
        <f>IF(G8="","",(G8/$O$23))</f>
        <v/>
      </c>
      <c r="H31" s="11">
        <f>IF(H8="","",(H8/$O$23))</f>
        <v>3.0236230176604777</v>
      </c>
      <c r="I31" s="11">
        <f>IF(I8="","",(I8/$O$23))</f>
        <v>0.18363441102436498</v>
      </c>
      <c r="J31" s="11">
        <f>IF(J8="","",(J8/$O$23))</f>
        <v>6.4746249580068943E-2</v>
      </c>
      <c r="K31" s="11">
        <f>IF(K8="","",(K8/$O$23))</f>
        <v>1.0070981365365024</v>
      </c>
      <c r="L31" s="11">
        <f>IF(L8="","",(L8/$O$23))</f>
        <v>2.2543032649303036</v>
      </c>
      <c r="M31" s="11">
        <f>IF(M8="","",(M8/$O$23))</f>
        <v>2.0081243514406379</v>
      </c>
      <c r="N31" s="6"/>
      <c r="O31" s="11">
        <f t="shared" si="11"/>
        <v>0.79934778212734892</v>
      </c>
      <c r="P31" s="11">
        <f t="shared" si="11"/>
        <v>1.856085412247207</v>
      </c>
      <c r="Q31" s="11">
        <f t="shared" si="11"/>
        <v>1.8098521576999597E-2</v>
      </c>
      <c r="R31" s="11">
        <f t="shared" si="11"/>
        <v>1.4276664130771002</v>
      </c>
      <c r="S31" s="11">
        <f t="shared" si="11"/>
        <v>1.7446069370368873</v>
      </c>
      <c r="T31" s="11">
        <f t="shared" ref="T31:AK31" si="15">IF(T8="","",(T8/$O$23))</f>
        <v>1.7366277505351595</v>
      </c>
      <c r="U31" s="11">
        <f t="shared" si="15"/>
        <v>2.4871830762687037</v>
      </c>
      <c r="V31" s="11">
        <f t="shared" si="15"/>
        <v>3.6681729787182924</v>
      </c>
      <c r="W31" s="11" t="str">
        <f t="shared" si="15"/>
        <v/>
      </c>
      <c r="X31" s="11" t="str">
        <f t="shared" si="15"/>
        <v/>
      </c>
      <c r="Y31" s="11" t="str">
        <f t="shared" si="15"/>
        <v/>
      </c>
      <c r="Z31" s="11" t="str">
        <f t="shared" si="15"/>
        <v/>
      </c>
      <c r="AA31" s="11" t="str">
        <f t="shared" si="15"/>
        <v/>
      </c>
      <c r="AB31" s="11" t="str">
        <f t="shared" si="15"/>
        <v/>
      </c>
      <c r="AC31" s="11" t="str">
        <f t="shared" si="15"/>
        <v/>
      </c>
      <c r="AD31" s="11" t="str">
        <f t="shared" si="15"/>
        <v/>
      </c>
      <c r="AE31" s="11" t="str">
        <f t="shared" si="15"/>
        <v/>
      </c>
      <c r="AF31" s="11" t="str">
        <f t="shared" si="15"/>
        <v/>
      </c>
      <c r="AG31" s="11" t="str">
        <f t="shared" si="15"/>
        <v/>
      </c>
      <c r="AH31" s="11" t="str">
        <f t="shared" si="15"/>
        <v/>
      </c>
      <c r="AI31" s="11" t="str">
        <f t="shared" si="15"/>
        <v/>
      </c>
      <c r="AJ31" s="11" t="str">
        <f t="shared" si="15"/>
        <v/>
      </c>
      <c r="AK31" s="11" t="str">
        <f t="shared" si="15"/>
        <v/>
      </c>
    </row>
    <row r="32" spans="1:37" x14ac:dyDescent="0.25">
      <c r="A32" s="235"/>
      <c r="B32" s="11">
        <f>IF(B9="","",(B9/$O$23))</f>
        <v>8.2200619869097227E-2</v>
      </c>
      <c r="C32" s="11">
        <f>IF(C9="","",(C9/$O$23))</f>
        <v>0.2098484831599664</v>
      </c>
      <c r="D32" s="11">
        <f>IF(D9="","",(D9/$O$23))</f>
        <v>0.13097361203983868</v>
      </c>
      <c r="E32" s="11">
        <f>IF(E9="","",(E9/$O$23))</f>
        <v>9.6495374277774285E-2</v>
      </c>
      <c r="F32" s="11">
        <f>IF(F9="","",(F9/$O$23))</f>
        <v>0.35180506930194644</v>
      </c>
      <c r="G32" s="11">
        <f>IF(G9="","",(G9/$O$23))</f>
        <v>3.1824622984105684</v>
      </c>
      <c r="H32" s="11">
        <f>IF(H9="","",(H9/$O$23))</f>
        <v>2.6761470205587079</v>
      </c>
      <c r="I32" s="11">
        <f>IF(I9="","",(I9/$O$23))</f>
        <v>5.6826371710969943E-2</v>
      </c>
      <c r="J32" s="11">
        <f>IF(J9="","",(J9/$O$23))</f>
        <v>0.17718053263823516</v>
      </c>
      <c r="K32" s="11">
        <f>IF(K9="","",(K9/$O$23))</f>
        <v>0.14116187336384123</v>
      </c>
      <c r="L32" s="11">
        <f>IF(L9="","",(L9/$O$23))</f>
        <v>1.1196959190684017</v>
      </c>
      <c r="M32" s="11">
        <f>IF(M9="","",(M9/$O$23))</f>
        <v>2.8089379040600968</v>
      </c>
      <c r="N32" s="6"/>
      <c r="O32" s="11">
        <f t="shared" si="11"/>
        <v>1.6600884716872191</v>
      </c>
      <c r="P32" s="11">
        <f t="shared" si="11"/>
        <v>3.7169952039238408</v>
      </c>
      <c r="Q32" s="11">
        <f t="shared" si="11"/>
        <v>3.0352280454326416E-2</v>
      </c>
      <c r="R32" s="11">
        <f t="shared" si="11"/>
        <v>1.5849357324939772</v>
      </c>
      <c r="S32" s="11">
        <f t="shared" si="11"/>
        <v>2.2009463337326833</v>
      </c>
      <c r="T32" s="11">
        <f t="shared" ref="T32:AK32" si="16">IF(T9="","",(T9/$O$23))</f>
        <v>2.0709186829337298</v>
      </c>
      <c r="U32" s="11">
        <f t="shared" si="16"/>
        <v>2.8286265381659526</v>
      </c>
      <c r="V32" s="11">
        <f t="shared" si="16"/>
        <v>2.796802991438887</v>
      </c>
      <c r="W32" s="11" t="str">
        <f t="shared" si="16"/>
        <v/>
      </c>
      <c r="X32" s="11" t="str">
        <f t="shared" si="16"/>
        <v/>
      </c>
      <c r="Y32" s="11" t="str">
        <f t="shared" si="16"/>
        <v/>
      </c>
      <c r="Z32" s="11" t="str">
        <f t="shared" si="16"/>
        <v/>
      </c>
      <c r="AA32" s="11" t="str">
        <f t="shared" si="16"/>
        <v/>
      </c>
      <c r="AB32" s="11" t="str">
        <f t="shared" si="16"/>
        <v/>
      </c>
      <c r="AC32" s="11" t="str">
        <f t="shared" si="16"/>
        <v/>
      </c>
      <c r="AD32" s="11" t="str">
        <f t="shared" si="16"/>
        <v/>
      </c>
      <c r="AE32" s="11" t="str">
        <f t="shared" si="16"/>
        <v/>
      </c>
      <c r="AF32" s="11" t="str">
        <f t="shared" si="16"/>
        <v/>
      </c>
      <c r="AG32" s="11" t="str">
        <f t="shared" si="16"/>
        <v/>
      </c>
      <c r="AH32" s="11" t="str">
        <f t="shared" si="16"/>
        <v/>
      </c>
      <c r="AI32" s="11" t="str">
        <f t="shared" si="16"/>
        <v/>
      </c>
      <c r="AJ32" s="11" t="str">
        <f t="shared" si="16"/>
        <v/>
      </c>
      <c r="AK32" s="11" t="str">
        <f t="shared" si="16"/>
        <v/>
      </c>
    </row>
    <row r="33" spans="1:37" x14ac:dyDescent="0.25">
      <c r="A33" s="235"/>
      <c r="B33" s="11">
        <f>IF(B10="","",(B10/$O$23))</f>
        <v>6.0430687840606727E-4</v>
      </c>
      <c r="C33" s="11">
        <f>IF(C10="","",(C10/$O$23))</f>
        <v>0</v>
      </c>
      <c r="D33" s="11">
        <f>IF(D10="","",(D10/$O$23))</f>
        <v>8.1383580482150331E-2</v>
      </c>
      <c r="E33" s="11">
        <f>IF(E10="","",(E10/$O$23))</f>
        <v>0.12542104167697762</v>
      </c>
      <c r="F33" s="11">
        <f>IF(F10="","",(F10/$O$23))</f>
        <v>5.0918407534055752E-3</v>
      </c>
      <c r="G33" s="11">
        <f>IF(G10="","",(G10/$O$23))</f>
        <v>1.540259157810089</v>
      </c>
      <c r="H33" s="11">
        <f>IF(H10="","",(H10/$O$23))</f>
        <v>2.6753592920017861</v>
      </c>
      <c r="I33" s="11">
        <f>IF(I10="","",(I10/$O$23))</f>
        <v>0.19489251764428006</v>
      </c>
      <c r="J33" s="11">
        <f>IF(J10="","",(J10/$O$23))</f>
        <v>0.13468326396487781</v>
      </c>
      <c r="K33" s="11">
        <f>IF(K10="","",(K10/$O$23))</f>
        <v>1.7205303800799447</v>
      </c>
      <c r="L33" s="11">
        <f>IF(L10="","",(L10/$O$23))</f>
        <v>2.2038437550788266</v>
      </c>
      <c r="M33" s="11">
        <f>IF(M10="","",(M10/$O$23))</f>
        <v>2.9483289911068806</v>
      </c>
      <c r="N33" s="6"/>
      <c r="O33" s="11">
        <f t="shared" si="11"/>
        <v>1.851023569296405</v>
      </c>
      <c r="P33" s="11">
        <f t="shared" si="11"/>
        <v>2.9372268272623332</v>
      </c>
      <c r="Q33" s="11">
        <f t="shared" si="11"/>
        <v>0.22508152761573286</v>
      </c>
      <c r="R33" s="11">
        <f t="shared" si="11"/>
        <v>1.4901421037890996</v>
      </c>
      <c r="S33" s="11">
        <f t="shared" si="11"/>
        <v>2.2129772845036486</v>
      </c>
      <c r="T33" s="11">
        <f t="shared" ref="T33:AK33" si="17">IF(T10="","",(T10/$O$23))</f>
        <v>2.2672080448213885</v>
      </c>
      <c r="U33" s="11">
        <f t="shared" si="17"/>
        <v>2.3072189307415316</v>
      </c>
      <c r="V33" s="11">
        <f t="shared" si="17"/>
        <v>2.8732138064146082</v>
      </c>
      <c r="W33" s="11" t="str">
        <f t="shared" si="17"/>
        <v/>
      </c>
      <c r="X33" s="11" t="str">
        <f t="shared" si="17"/>
        <v/>
      </c>
      <c r="Y33" s="11" t="str">
        <f t="shared" si="17"/>
        <v/>
      </c>
      <c r="Z33" s="11" t="str">
        <f t="shared" si="17"/>
        <v/>
      </c>
      <c r="AA33" s="11" t="str">
        <f t="shared" si="17"/>
        <v/>
      </c>
      <c r="AB33" s="11" t="str">
        <f t="shared" si="17"/>
        <v/>
      </c>
      <c r="AC33" s="11" t="str">
        <f t="shared" si="17"/>
        <v/>
      </c>
      <c r="AD33" s="11" t="str">
        <f t="shared" si="17"/>
        <v/>
      </c>
      <c r="AE33" s="11" t="str">
        <f t="shared" si="17"/>
        <v/>
      </c>
      <c r="AF33" s="11" t="str">
        <f t="shared" si="17"/>
        <v/>
      </c>
      <c r="AG33" s="11" t="str">
        <f t="shared" si="17"/>
        <v/>
      </c>
      <c r="AH33" s="11" t="str">
        <f t="shared" si="17"/>
        <v/>
      </c>
      <c r="AI33" s="11" t="str">
        <f t="shared" si="17"/>
        <v/>
      </c>
      <c r="AJ33" s="11" t="str">
        <f t="shared" si="17"/>
        <v/>
      </c>
      <c r="AK33" s="11" t="str">
        <f t="shared" si="17"/>
        <v/>
      </c>
    </row>
    <row r="34" spans="1:37" x14ac:dyDescent="0.25">
      <c r="A34" s="235"/>
      <c r="B34" s="11">
        <f>IF(B11="","",(B11/$O$23))</f>
        <v>0.15808154999577284</v>
      </c>
      <c r="C34" s="11">
        <f>IF(C11="","",(C11/$O$23))</f>
        <v>4.3017192420011743E-2</v>
      </c>
      <c r="D34" s="11">
        <f>IF(D11="","",(D11/$O$23))</f>
        <v>9.9254256153877465E-2</v>
      </c>
      <c r="E34" s="11">
        <f>IF(E11="","",(E11/$O$23))</f>
        <v>0.32709409316856458</v>
      </c>
      <c r="F34" s="11">
        <f>IF(F11="","",(F11/$O$23))</f>
        <v>0.12280092826177405</v>
      </c>
      <c r="G34" s="11">
        <f>IF(G11="","",(G11/$O$23))</f>
        <v>1.8205918290138075</v>
      </c>
      <c r="H34" s="11">
        <f>IF(H11="","",(H11/$O$23))</f>
        <v>3.114328129063157</v>
      </c>
      <c r="I34" s="11">
        <f>IF(I11="","",(I11/$O$23))</f>
        <v>0.1831984124277431</v>
      </c>
      <c r="J34" s="11">
        <f>IF(J11="","",(J11/$O$23))</f>
        <v>0.17934472525203424</v>
      </c>
      <c r="K34" s="11">
        <f>IF(K11="","",(K11/$O$23))</f>
        <v>0.32589807390902881</v>
      </c>
      <c r="L34" s="11">
        <f>IF(L11="","",(L11/$O$23))</f>
        <v>2.1430205769049162</v>
      </c>
      <c r="M34" s="11">
        <f>IF(M11="","",(M11/$O$23))</f>
        <v>2.2719483846053539</v>
      </c>
      <c r="N34" s="6"/>
      <c r="O34" s="11">
        <f t="shared" si="11"/>
        <v>0.84922496822293858</v>
      </c>
      <c r="P34" s="11">
        <f t="shared" si="11"/>
        <v>2.2568613218225635</v>
      </c>
      <c r="Q34" s="11">
        <f t="shared" si="11"/>
        <v>9.542049118295122E-2</v>
      </c>
      <c r="R34" s="11">
        <f t="shared" si="11"/>
        <v>1.2600899860801036</v>
      </c>
      <c r="S34" s="11">
        <f t="shared" si="11"/>
        <v>2.1133467963674968</v>
      </c>
      <c r="T34" s="11">
        <f t="shared" ref="T34:AK34" si="18">IF(T11="","",(T11/$O$23))</f>
        <v>2.1781351802657265</v>
      </c>
      <c r="U34" s="11">
        <f t="shared" si="18"/>
        <v>2.4864498475363592</v>
      </c>
      <c r="V34" s="11">
        <f t="shared" si="18"/>
        <v>2.9418132851886667</v>
      </c>
      <c r="W34" s="11" t="str">
        <f t="shared" si="18"/>
        <v/>
      </c>
      <c r="X34" s="11" t="str">
        <f t="shared" si="18"/>
        <v/>
      </c>
      <c r="Y34" s="11" t="str">
        <f t="shared" si="18"/>
        <v/>
      </c>
      <c r="Z34" s="11" t="str">
        <f t="shared" si="18"/>
        <v/>
      </c>
      <c r="AA34" s="11" t="str">
        <f t="shared" si="18"/>
        <v/>
      </c>
      <c r="AB34" s="11" t="str">
        <f t="shared" si="18"/>
        <v/>
      </c>
      <c r="AC34" s="11" t="str">
        <f t="shared" si="18"/>
        <v/>
      </c>
      <c r="AD34" s="11" t="str">
        <f t="shared" si="18"/>
        <v/>
      </c>
      <c r="AE34" s="11" t="str">
        <f t="shared" si="18"/>
        <v/>
      </c>
      <c r="AF34" s="11" t="str">
        <f t="shared" si="18"/>
        <v/>
      </c>
      <c r="AG34" s="11" t="str">
        <f t="shared" si="18"/>
        <v/>
      </c>
      <c r="AH34" s="11" t="str">
        <f t="shared" si="18"/>
        <v/>
      </c>
      <c r="AI34" s="11" t="str">
        <f t="shared" si="18"/>
        <v/>
      </c>
      <c r="AJ34" s="11" t="str">
        <f t="shared" si="18"/>
        <v/>
      </c>
      <c r="AK34" s="11" t="str">
        <f t="shared" si="18"/>
        <v/>
      </c>
    </row>
    <row r="35" spans="1:37" x14ac:dyDescent="0.25">
      <c r="A35" s="235"/>
      <c r="B35" s="11" t="str">
        <f>IF(B12="","",(B12/$O$23))</f>
        <v/>
      </c>
      <c r="C35" s="11">
        <f>IF(C12="","",(C12/$O$23))</f>
        <v>9.8065564601847954E-2</v>
      </c>
      <c r="D35" s="11">
        <f>IF(D12="","",(D12/$O$23))</f>
        <v>5.8841491275188739E-3</v>
      </c>
      <c r="E35" s="11">
        <f>IF(E12="","",(E12/$O$23))</f>
        <v>0.13703614504696285</v>
      </c>
      <c r="F35" s="11">
        <f>IF(F12="","",(F12/$O$23))</f>
        <v>9.0155533339710478E-2</v>
      </c>
      <c r="G35" s="11">
        <f>IF(G12="","",(G12/$O$23))</f>
        <v>1.8190960607190945</v>
      </c>
      <c r="H35" s="11">
        <f>IF(H12="","",(H12/$O$23))</f>
        <v>3.4755786133406597</v>
      </c>
      <c r="I35" s="11">
        <f>IF(I12="","",(I12/$O$23))</f>
        <v>0.15063705715114181</v>
      </c>
      <c r="J35" s="11">
        <f>IF(J12="","",(J12/$O$23))</f>
        <v>0.27869813444810565</v>
      </c>
      <c r="K35" s="11">
        <f>IF(K12="","",(K12/$O$23))</f>
        <v>0.93869684935140174</v>
      </c>
      <c r="L35" s="11">
        <f>IF(L12="","",(L12/$O$23))</f>
        <v>2.4690399014740878</v>
      </c>
      <c r="M35" s="11">
        <f>IF(M12="","",(M12/$O$23))</f>
        <v>3.173977729081769</v>
      </c>
      <c r="N35" s="6"/>
      <c r="O35" s="11">
        <f t="shared" si="11"/>
        <v>0.12639677172960675</v>
      </c>
      <c r="P35" s="11">
        <f t="shared" si="11"/>
        <v>2.5931089811161621</v>
      </c>
      <c r="Q35" s="11">
        <f t="shared" si="11"/>
        <v>0.11562389674112118</v>
      </c>
      <c r="R35" s="11">
        <f t="shared" si="11"/>
        <v>1.8672647460114296</v>
      </c>
      <c r="S35" s="11">
        <f t="shared" si="11"/>
        <v>1.4092562349402253</v>
      </c>
      <c r="T35" s="11">
        <f t="shared" ref="T35:AK35" si="19">IF(T12="","",(T12/$O$23))</f>
        <v>2.1209944041045667</v>
      </c>
      <c r="U35" s="11">
        <f t="shared" si="19"/>
        <v>2.9946327748388755</v>
      </c>
      <c r="V35" s="11">
        <f t="shared" si="19"/>
        <v>3.1712731180393838</v>
      </c>
      <c r="W35" s="11" t="str">
        <f t="shared" si="19"/>
        <v/>
      </c>
      <c r="X35" s="11" t="str">
        <f t="shared" si="19"/>
        <v/>
      </c>
      <c r="Y35" s="11" t="str">
        <f t="shared" si="19"/>
        <v/>
      </c>
      <c r="Z35" s="11" t="str">
        <f t="shared" si="19"/>
        <v/>
      </c>
      <c r="AA35" s="11" t="str">
        <f t="shared" si="19"/>
        <v/>
      </c>
      <c r="AB35" s="11" t="str">
        <f t="shared" si="19"/>
        <v/>
      </c>
      <c r="AC35" s="11" t="str">
        <f t="shared" si="19"/>
        <v/>
      </c>
      <c r="AD35" s="11" t="str">
        <f t="shared" si="19"/>
        <v/>
      </c>
      <c r="AE35" s="11" t="str">
        <f t="shared" si="19"/>
        <v/>
      </c>
      <c r="AF35" s="11" t="str">
        <f t="shared" si="19"/>
        <v/>
      </c>
      <c r="AG35" s="11" t="str">
        <f t="shared" si="19"/>
        <v/>
      </c>
      <c r="AH35" s="11" t="str">
        <f t="shared" si="19"/>
        <v/>
      </c>
      <c r="AI35" s="11" t="str">
        <f t="shared" si="19"/>
        <v/>
      </c>
      <c r="AJ35" s="11" t="str">
        <f t="shared" si="19"/>
        <v/>
      </c>
      <c r="AK35" s="11" t="str">
        <f t="shared" si="19"/>
        <v/>
      </c>
    </row>
    <row r="36" spans="1:37" x14ac:dyDescent="0.25">
      <c r="A36" s="235"/>
      <c r="B36" s="11" t="str">
        <f>IF(B13="","",(B13/$O$23))</f>
        <v/>
      </c>
      <c r="C36" s="11" t="str">
        <f>IF(C13="","",(C13/$O$23))</f>
        <v/>
      </c>
      <c r="D36" s="11" t="str">
        <f>IF(D13="","",(D13/$O$23))</f>
        <v/>
      </c>
      <c r="E36" s="11" t="str">
        <f>IF(E13="","",(E13/$O$23))</f>
        <v/>
      </c>
      <c r="F36" s="11" t="str">
        <f>IF(F13="","",(F13/$O$23))</f>
        <v/>
      </c>
      <c r="G36" s="11" t="str">
        <f>IF(G13="","",(G13/$O$23))</f>
        <v/>
      </c>
      <c r="H36" s="11" t="str">
        <f>IF(H13="","",(H13/$O$23))</f>
        <v/>
      </c>
      <c r="I36" s="11" t="str">
        <f>IF(I13="","",(I13/$O$23))</f>
        <v/>
      </c>
      <c r="J36" s="11" t="str">
        <f>IF(J13="","",(J13/$O$23))</f>
        <v/>
      </c>
      <c r="K36" s="11" t="str">
        <f>IF(K13="","",(K13/$O$23))</f>
        <v/>
      </c>
      <c r="L36" s="11" t="str">
        <f>IF(L13="","",(L13/$O$23))</f>
        <v/>
      </c>
      <c r="M36" s="11" t="str">
        <f>IF(M13="","",(M13/$O$23))</f>
        <v/>
      </c>
      <c r="N36" s="6"/>
      <c r="O36" s="11" t="str">
        <f t="shared" si="11"/>
        <v/>
      </c>
      <c r="P36" s="11" t="str">
        <f t="shared" si="11"/>
        <v/>
      </c>
      <c r="Q36" s="11" t="str">
        <f t="shared" si="11"/>
        <v/>
      </c>
      <c r="R36" s="11" t="str">
        <f t="shared" si="11"/>
        <v/>
      </c>
      <c r="S36" s="11" t="str">
        <f t="shared" si="11"/>
        <v/>
      </c>
      <c r="T36" s="11" t="str">
        <f t="shared" ref="T36:AK36" si="20">IF(T13="","",(T13/$O$23))</f>
        <v/>
      </c>
      <c r="U36" s="11" t="str">
        <f t="shared" si="20"/>
        <v/>
      </c>
      <c r="V36" s="11" t="str">
        <f t="shared" si="20"/>
        <v/>
      </c>
      <c r="W36" s="11" t="str">
        <f t="shared" si="20"/>
        <v/>
      </c>
      <c r="X36" s="11" t="str">
        <f t="shared" si="20"/>
        <v/>
      </c>
      <c r="Y36" s="11" t="str">
        <f t="shared" si="20"/>
        <v/>
      </c>
      <c r="Z36" s="11" t="str">
        <f t="shared" si="20"/>
        <v/>
      </c>
      <c r="AA36" s="11" t="str">
        <f t="shared" si="20"/>
        <v/>
      </c>
      <c r="AB36" s="11" t="str">
        <f t="shared" si="20"/>
        <v/>
      </c>
      <c r="AC36" s="11" t="str">
        <f t="shared" si="20"/>
        <v/>
      </c>
      <c r="AD36" s="11" t="str">
        <f t="shared" si="20"/>
        <v/>
      </c>
      <c r="AE36" s="11" t="str">
        <f t="shared" si="20"/>
        <v/>
      </c>
      <c r="AF36" s="11" t="str">
        <f t="shared" si="20"/>
        <v/>
      </c>
      <c r="AG36" s="11" t="str">
        <f t="shared" si="20"/>
        <v/>
      </c>
      <c r="AH36" s="11" t="str">
        <f t="shared" si="20"/>
        <v/>
      </c>
      <c r="AI36" s="11" t="str">
        <f t="shared" si="20"/>
        <v/>
      </c>
      <c r="AJ36" s="11" t="str">
        <f t="shared" si="20"/>
        <v/>
      </c>
      <c r="AK36" s="11" t="str">
        <f t="shared" si="20"/>
        <v/>
      </c>
    </row>
    <row r="37" spans="1:37" x14ac:dyDescent="0.25">
      <c r="A37" s="235"/>
      <c r="B37" s="11" t="str">
        <f>IF(B14="","",(B14/$O$23))</f>
        <v/>
      </c>
      <c r="C37" s="11" t="str">
        <f>IF(C14="","",(C14/$O$23))</f>
        <v/>
      </c>
      <c r="D37" s="11" t="str">
        <f>IF(D14="","",(D14/$O$23))</f>
        <v/>
      </c>
      <c r="E37" s="11" t="str">
        <f>IF(E14="","",(E14/$O$23))</f>
        <v/>
      </c>
      <c r="F37" s="11" t="str">
        <f>IF(F14="","",(F14/$O$23))</f>
        <v/>
      </c>
      <c r="G37" s="11" t="str">
        <f>IF(G14="","",(G14/$O$23))</f>
        <v/>
      </c>
      <c r="H37" s="11" t="str">
        <f>IF(H14="","",(H14/$O$23))</f>
        <v/>
      </c>
      <c r="I37" s="11" t="str">
        <f>IF(I14="","",(I14/$O$23))</f>
        <v/>
      </c>
      <c r="J37" s="11" t="str">
        <f>IF(J14="","",(J14/$O$23))</f>
        <v/>
      </c>
      <c r="K37" s="11" t="str">
        <f>IF(K14="","",(K14/$O$23))</f>
        <v/>
      </c>
      <c r="L37" s="11" t="str">
        <f>IF(L14="","",(L14/$O$23))</f>
        <v/>
      </c>
      <c r="M37" s="11" t="str">
        <f>IF(M14="","",(M14/$O$23))</f>
        <v/>
      </c>
      <c r="N37" s="6"/>
      <c r="O37" s="11">
        <f t="shared" si="11"/>
        <v>1.9351113028392213</v>
      </c>
      <c r="P37" s="11" t="str">
        <f t="shared" si="11"/>
        <v/>
      </c>
      <c r="Q37" s="11" t="str">
        <f t="shared" si="11"/>
        <v/>
      </c>
      <c r="R37" s="11" t="str">
        <f t="shared" si="11"/>
        <v/>
      </c>
      <c r="S37" s="11" t="str">
        <f t="shared" si="11"/>
        <v/>
      </c>
      <c r="T37" s="11" t="str">
        <f t="shared" ref="T37:AK37" si="21">IF(T14="","",(T14/$O$23))</f>
        <v/>
      </c>
      <c r="U37" s="11" t="str">
        <f t="shared" si="21"/>
        <v/>
      </c>
      <c r="V37" s="11" t="str">
        <f t="shared" si="21"/>
        <v/>
      </c>
      <c r="W37" s="11" t="str">
        <f t="shared" si="21"/>
        <v/>
      </c>
      <c r="X37" s="11" t="str">
        <f t="shared" si="21"/>
        <v/>
      </c>
      <c r="Y37" s="11" t="str">
        <f t="shared" si="21"/>
        <v/>
      </c>
      <c r="Z37" s="11" t="str">
        <f t="shared" si="21"/>
        <v/>
      </c>
      <c r="AA37" s="11" t="str">
        <f t="shared" si="21"/>
        <v/>
      </c>
      <c r="AB37" s="11" t="str">
        <f t="shared" si="21"/>
        <v/>
      </c>
      <c r="AC37" s="11" t="str">
        <f t="shared" si="21"/>
        <v/>
      </c>
      <c r="AD37" s="11" t="str">
        <f t="shared" si="21"/>
        <v/>
      </c>
      <c r="AE37" s="11" t="str">
        <f t="shared" si="21"/>
        <v/>
      </c>
      <c r="AF37" s="11" t="str">
        <f t="shared" si="21"/>
        <v/>
      </c>
      <c r="AG37" s="11" t="str">
        <f t="shared" si="21"/>
        <v/>
      </c>
      <c r="AH37" s="11" t="str">
        <f t="shared" si="21"/>
        <v/>
      </c>
      <c r="AI37" s="11" t="str">
        <f t="shared" si="21"/>
        <v/>
      </c>
      <c r="AJ37" s="11" t="str">
        <f t="shared" si="21"/>
        <v/>
      </c>
      <c r="AK37" s="11" t="str">
        <f t="shared" si="21"/>
        <v/>
      </c>
    </row>
    <row r="38" spans="1:37" x14ac:dyDescent="0.25">
      <c r="A38" s="235"/>
      <c r="B38" s="11" t="str">
        <f>IF(B15="","",(B15/$O$23))</f>
        <v/>
      </c>
      <c r="C38" s="11" t="str">
        <f>IF(C15="","",(C15/$O$23))</f>
        <v/>
      </c>
      <c r="D38" s="11" t="str">
        <f>IF(D15="","",(D15/$O$23))</f>
        <v/>
      </c>
      <c r="E38" s="11" t="str">
        <f>IF(E15="","",(E15/$O$23))</f>
        <v/>
      </c>
      <c r="F38" s="11" t="str">
        <f>IF(F15="","",(F15/$O$23))</f>
        <v/>
      </c>
      <c r="G38" s="11" t="str">
        <f>IF(G15="","",(G15/$O$23))</f>
        <v/>
      </c>
      <c r="H38" s="11" t="str">
        <f>IF(H15="","",(H15/$O$23))</f>
        <v/>
      </c>
      <c r="I38" s="11" t="str">
        <f>IF(I15="","",(I15/$O$23))</f>
        <v/>
      </c>
      <c r="J38" s="11" t="str">
        <f>IF(J15="","",(J15/$O$23))</f>
        <v/>
      </c>
      <c r="K38" s="11" t="str">
        <f>IF(K15="","",(K15/$O$23))</f>
        <v/>
      </c>
      <c r="L38" s="11" t="str">
        <f>IF(L15="","",(L15/$O$23))</f>
        <v/>
      </c>
      <c r="M38" s="11" t="str">
        <f>IF(M15="","",(M15/$O$23))</f>
        <v/>
      </c>
      <c r="N38" s="6"/>
      <c r="O38" s="11">
        <f t="shared" ref="O38:AK38" si="22">IF(O15="","",(O15/$O$23))</f>
        <v>1.155526347856229</v>
      </c>
      <c r="P38" s="11" t="str">
        <f t="shared" si="22"/>
        <v/>
      </c>
      <c r="Q38" s="11" t="str">
        <f t="shared" si="22"/>
        <v/>
      </c>
      <c r="R38" s="11" t="str">
        <f t="shared" si="22"/>
        <v/>
      </c>
      <c r="S38" s="11" t="str">
        <f t="shared" si="22"/>
        <v/>
      </c>
      <c r="T38" s="11" t="str">
        <f t="shared" si="22"/>
        <v/>
      </c>
      <c r="U38" s="11" t="str">
        <f t="shared" si="22"/>
        <v/>
      </c>
      <c r="V38" s="11" t="str">
        <f t="shared" si="22"/>
        <v/>
      </c>
      <c r="W38" s="11" t="str">
        <f t="shared" si="22"/>
        <v/>
      </c>
      <c r="X38" s="11" t="str">
        <f t="shared" si="22"/>
        <v/>
      </c>
      <c r="Y38" s="11" t="str">
        <f t="shared" si="22"/>
        <v/>
      </c>
      <c r="Z38" s="11" t="str">
        <f t="shared" si="22"/>
        <v/>
      </c>
      <c r="AA38" s="11" t="str">
        <f t="shared" si="22"/>
        <v/>
      </c>
      <c r="AB38" s="11" t="str">
        <f t="shared" si="22"/>
        <v/>
      </c>
      <c r="AC38" s="11" t="str">
        <f t="shared" si="22"/>
        <v/>
      </c>
      <c r="AD38" s="11" t="str">
        <f t="shared" si="22"/>
        <v/>
      </c>
      <c r="AE38" s="11" t="str">
        <f t="shared" si="22"/>
        <v/>
      </c>
      <c r="AF38" s="11" t="str">
        <f t="shared" si="22"/>
        <v/>
      </c>
      <c r="AG38" s="11" t="str">
        <f t="shared" si="22"/>
        <v/>
      </c>
      <c r="AH38" s="11" t="str">
        <f t="shared" si="22"/>
        <v/>
      </c>
      <c r="AI38" s="11" t="str">
        <f t="shared" si="22"/>
        <v/>
      </c>
      <c r="AJ38" s="11" t="str">
        <f t="shared" si="22"/>
        <v/>
      </c>
      <c r="AK38" s="11" t="str">
        <f t="shared" si="22"/>
        <v/>
      </c>
    </row>
    <row r="39" spans="1:37" x14ac:dyDescent="0.25">
      <c r="A39" s="235"/>
      <c r="B39" s="11" t="str">
        <f>IF(B16="","",(B16/$O$23))</f>
        <v/>
      </c>
      <c r="C39" s="11" t="str">
        <f>IF(C16="","",(C16/$O$23))</f>
        <v/>
      </c>
      <c r="D39" s="11" t="str">
        <f>IF(D16="","",(D16/$O$23))</f>
        <v/>
      </c>
      <c r="E39" s="11" t="str">
        <f>IF(E16="","",(E16/$O$23))</f>
        <v/>
      </c>
      <c r="F39" s="11" t="str">
        <f>IF(F16="","",(F16/$O$23))</f>
        <v/>
      </c>
      <c r="G39" s="11" t="str">
        <f>IF(G16="","",(G16/$O$23))</f>
        <v/>
      </c>
      <c r="H39" s="11" t="str">
        <f>IF(H16="","",(H16/$O$23))</f>
        <v/>
      </c>
      <c r="I39" s="11" t="str">
        <f>IF(I16="","",(I16/$O$23))</f>
        <v/>
      </c>
      <c r="J39" s="11" t="str">
        <f>IF(J16="","",(J16/$O$23))</f>
        <v/>
      </c>
      <c r="K39" s="11" t="str">
        <f>IF(K16="","",(K16/$O$23))</f>
        <v/>
      </c>
      <c r="L39" s="11" t="str">
        <f>IF(L16="","",(L16/$O$23))</f>
        <v/>
      </c>
      <c r="M39" s="11" t="str">
        <f>IF(M16="","",(M16/$O$23))</f>
        <v/>
      </c>
      <c r="N39" s="6"/>
      <c r="O39" s="11">
        <f t="shared" ref="O39:AK39" si="23">IF(O16="","",(O16/$O$23))</f>
        <v>2.2817404917422999</v>
      </c>
      <c r="P39" s="11" t="str">
        <f t="shared" si="23"/>
        <v/>
      </c>
      <c r="Q39" s="11" t="str">
        <f t="shared" si="23"/>
        <v/>
      </c>
      <c r="R39" s="11" t="str">
        <f t="shared" si="23"/>
        <v/>
      </c>
      <c r="S39" s="11" t="str">
        <f t="shared" si="23"/>
        <v/>
      </c>
      <c r="T39" s="11" t="str">
        <f t="shared" si="23"/>
        <v/>
      </c>
      <c r="U39" s="11" t="str">
        <f t="shared" si="23"/>
        <v/>
      </c>
      <c r="V39" s="11" t="str">
        <f t="shared" si="23"/>
        <v/>
      </c>
      <c r="W39" s="11" t="str">
        <f t="shared" si="23"/>
        <v/>
      </c>
      <c r="X39" s="11" t="str">
        <f t="shared" si="23"/>
        <v/>
      </c>
      <c r="Y39" s="11" t="str">
        <f t="shared" si="23"/>
        <v/>
      </c>
      <c r="Z39" s="11" t="str">
        <f t="shared" si="23"/>
        <v/>
      </c>
      <c r="AA39" s="11" t="str">
        <f t="shared" si="23"/>
        <v/>
      </c>
      <c r="AB39" s="11" t="str">
        <f t="shared" si="23"/>
        <v/>
      </c>
      <c r="AC39" s="11" t="str">
        <f t="shared" si="23"/>
        <v/>
      </c>
      <c r="AD39" s="11" t="str">
        <f t="shared" si="23"/>
        <v/>
      </c>
      <c r="AE39" s="11" t="str">
        <f t="shared" si="23"/>
        <v/>
      </c>
      <c r="AF39" s="11" t="str">
        <f t="shared" si="23"/>
        <v/>
      </c>
      <c r="AG39" s="11" t="str">
        <f t="shared" si="23"/>
        <v/>
      </c>
      <c r="AH39" s="11" t="str">
        <f t="shared" si="23"/>
        <v/>
      </c>
      <c r="AI39" s="11" t="str">
        <f t="shared" si="23"/>
        <v/>
      </c>
      <c r="AJ39" s="11" t="str">
        <f t="shared" si="23"/>
        <v/>
      </c>
      <c r="AK39" s="11" t="str">
        <f t="shared" si="23"/>
        <v/>
      </c>
    </row>
    <row r="40" spans="1:37" x14ac:dyDescent="0.25">
      <c r="A40" s="235"/>
      <c r="B40" s="11" t="str">
        <f>IF(B17="","",(B17/$O$23))</f>
        <v/>
      </c>
      <c r="C40" s="11" t="str">
        <f>IF(C17="","",(C17/$O$23))</f>
        <v/>
      </c>
      <c r="D40" s="11" t="str">
        <f>IF(D17="","",(D17/$O$23))</f>
        <v/>
      </c>
      <c r="E40" s="11" t="str">
        <f>IF(E17="","",(E17/$O$23))</f>
        <v/>
      </c>
      <c r="F40" s="11" t="str">
        <f>IF(F17="","",(F17/$O$23))</f>
        <v/>
      </c>
      <c r="G40" s="11" t="str">
        <f>IF(G17="","",(G17/$O$23))</f>
        <v/>
      </c>
      <c r="H40" s="11" t="str">
        <f>IF(H17="","",(H17/$O$23))</f>
        <v/>
      </c>
      <c r="I40" s="11" t="str">
        <f>IF(I17="","",(I17/$O$23))</f>
        <v/>
      </c>
      <c r="J40" s="11" t="str">
        <f>IF(J17="","",(J17/$O$23))</f>
        <v/>
      </c>
      <c r="K40" s="11" t="str">
        <f>IF(K17="","",(K17/$O$23))</f>
        <v/>
      </c>
      <c r="L40" s="11" t="str">
        <f>IF(L17="","",(L17/$O$23))</f>
        <v/>
      </c>
      <c r="M40" s="11" t="str">
        <f>IF(M17="","",(M17/$O$23))</f>
        <v/>
      </c>
      <c r="N40" s="6"/>
      <c r="O40" s="11">
        <f t="shared" ref="O40:AK40" si="24">IF(O17="","",(O17/$O$23))</f>
        <v>6.8763207238651439E-2</v>
      </c>
      <c r="P40" s="11" t="str">
        <f t="shared" si="24"/>
        <v/>
      </c>
      <c r="Q40" s="11" t="str">
        <f t="shared" si="24"/>
        <v/>
      </c>
      <c r="R40" s="11" t="str">
        <f t="shared" si="24"/>
        <v/>
      </c>
      <c r="S40" s="11" t="str">
        <f t="shared" si="24"/>
        <v/>
      </c>
      <c r="T40" s="11" t="str">
        <f t="shared" si="24"/>
        <v/>
      </c>
      <c r="U40" s="11" t="str">
        <f t="shared" si="24"/>
        <v/>
      </c>
      <c r="V40" s="11" t="str">
        <f t="shared" si="24"/>
        <v/>
      </c>
      <c r="W40" s="11" t="str">
        <f t="shared" si="24"/>
        <v/>
      </c>
      <c r="X40" s="11" t="str">
        <f t="shared" si="24"/>
        <v/>
      </c>
      <c r="Y40" s="11" t="str">
        <f t="shared" si="24"/>
        <v/>
      </c>
      <c r="Z40" s="11" t="str">
        <f t="shared" si="24"/>
        <v/>
      </c>
      <c r="AA40" s="11" t="str">
        <f t="shared" si="24"/>
        <v/>
      </c>
      <c r="AB40" s="11" t="str">
        <f t="shared" si="24"/>
        <v/>
      </c>
      <c r="AC40" s="11" t="str">
        <f t="shared" si="24"/>
        <v/>
      </c>
      <c r="AD40" s="11" t="str">
        <f t="shared" si="24"/>
        <v/>
      </c>
      <c r="AE40" s="11" t="str">
        <f t="shared" si="24"/>
        <v/>
      </c>
      <c r="AF40" s="11" t="str">
        <f t="shared" si="24"/>
        <v/>
      </c>
      <c r="AG40" s="11" t="str">
        <f t="shared" si="24"/>
        <v/>
      </c>
      <c r="AH40" s="11" t="str">
        <f t="shared" si="24"/>
        <v/>
      </c>
      <c r="AI40" s="11" t="str">
        <f t="shared" si="24"/>
        <v/>
      </c>
      <c r="AJ40" s="11" t="str">
        <f t="shared" si="24"/>
        <v/>
      </c>
      <c r="AK40" s="11" t="str">
        <f t="shared" si="24"/>
        <v/>
      </c>
    </row>
    <row r="41" spans="1:37" x14ac:dyDescent="0.25">
      <c r="A41" s="235"/>
      <c r="B41" s="11" t="str">
        <f>IF(B18="","",(B18/$O$23))</f>
        <v/>
      </c>
      <c r="C41" s="11" t="str">
        <f>IF(C18="","",(C18/$O$23))</f>
        <v/>
      </c>
      <c r="D41" s="11" t="str">
        <f>IF(D18="","",(D18/$O$23))</f>
        <v/>
      </c>
      <c r="E41" s="11" t="str">
        <f>IF(E18="","",(E18/$O$23))</f>
        <v/>
      </c>
      <c r="F41" s="11" t="str">
        <f>IF(F18="","",(F18/$O$23))</f>
        <v/>
      </c>
      <c r="G41" s="11" t="str">
        <f>IF(G18="","",(G18/$O$23))</f>
        <v/>
      </c>
      <c r="H41" s="11" t="str">
        <f>IF(H18="","",(H18/$O$23))</f>
        <v/>
      </c>
      <c r="I41" s="11" t="str">
        <f>IF(I18="","",(I18/$O$23))</f>
        <v/>
      </c>
      <c r="J41" s="11" t="str">
        <f>IF(J18="","",(J18/$O$23))</f>
        <v/>
      </c>
      <c r="K41" s="11" t="str">
        <f>IF(K18="","",(K18/$O$23))</f>
        <v/>
      </c>
      <c r="L41" s="11" t="str">
        <f>IF(L18="","",(L18/$O$23))</f>
        <v/>
      </c>
      <c r="M41" s="11" t="str">
        <f>IF(M18="","",(M18/$O$23))</f>
        <v/>
      </c>
      <c r="N41" s="6"/>
      <c r="O41" s="11">
        <f t="shared" ref="O41:AK41" si="25">IF(O18="","",(O18/$O$23))</f>
        <v>0.6117312200550562</v>
      </c>
      <c r="P41" s="11" t="str">
        <f t="shared" si="25"/>
        <v/>
      </c>
      <c r="Q41" s="11" t="str">
        <f t="shared" si="25"/>
        <v/>
      </c>
      <c r="R41" s="11" t="str">
        <f t="shared" si="25"/>
        <v/>
      </c>
      <c r="S41" s="11" t="str">
        <f t="shared" si="25"/>
        <v/>
      </c>
      <c r="T41" s="11" t="str">
        <f t="shared" si="25"/>
        <v/>
      </c>
      <c r="U41" s="11" t="str">
        <f t="shared" si="25"/>
        <v/>
      </c>
      <c r="V41" s="11" t="str">
        <f t="shared" si="25"/>
        <v/>
      </c>
      <c r="W41" s="11" t="str">
        <f t="shared" si="25"/>
        <v/>
      </c>
      <c r="X41" s="11" t="str">
        <f t="shared" si="25"/>
        <v/>
      </c>
      <c r="Y41" s="11" t="str">
        <f t="shared" si="25"/>
        <v/>
      </c>
      <c r="Z41" s="11" t="str">
        <f t="shared" si="25"/>
        <v/>
      </c>
      <c r="AA41" s="11" t="str">
        <f t="shared" si="25"/>
        <v/>
      </c>
      <c r="AB41" s="11" t="str">
        <f t="shared" si="25"/>
        <v/>
      </c>
      <c r="AC41" s="11" t="str">
        <f t="shared" si="25"/>
        <v/>
      </c>
      <c r="AD41" s="11" t="str">
        <f t="shared" si="25"/>
        <v/>
      </c>
      <c r="AE41" s="11" t="str">
        <f t="shared" si="25"/>
        <v/>
      </c>
      <c r="AF41" s="11" t="str">
        <f t="shared" si="25"/>
        <v/>
      </c>
      <c r="AG41" s="11" t="str">
        <f t="shared" si="25"/>
        <v/>
      </c>
      <c r="AH41" s="11" t="str">
        <f t="shared" si="25"/>
        <v/>
      </c>
      <c r="AI41" s="11" t="str">
        <f t="shared" si="25"/>
        <v/>
      </c>
      <c r="AJ41" s="11" t="str">
        <f t="shared" si="25"/>
        <v/>
      </c>
      <c r="AK41" s="11" t="str">
        <f t="shared" si="25"/>
        <v/>
      </c>
    </row>
    <row r="42" spans="1:37" x14ac:dyDescent="0.25">
      <c r="A42" s="235"/>
      <c r="B42" s="11" t="str">
        <f>IF(B19="","",(B19/$O$23))</f>
        <v/>
      </c>
      <c r="C42" s="11" t="str">
        <f>IF(C19="","",(C19/$O$23))</f>
        <v/>
      </c>
      <c r="D42" s="11" t="str">
        <f>IF(D19="","",(D19/$O$23))</f>
        <v/>
      </c>
      <c r="E42" s="11" t="str">
        <f>IF(E19="","",(E19/$O$23))</f>
        <v/>
      </c>
      <c r="F42" s="11" t="str">
        <f>IF(F19="","",(F19/$O$23))</f>
        <v/>
      </c>
      <c r="G42" s="11" t="str">
        <f>IF(G19="","",(G19/$O$23))</f>
        <v/>
      </c>
      <c r="H42" s="11" t="str">
        <f>IF(H19="","",(H19/$O$23))</f>
        <v/>
      </c>
      <c r="I42" s="11" t="str">
        <f>IF(I19="","",(I19/$O$23))</f>
        <v/>
      </c>
      <c r="J42" s="11" t="str">
        <f>IF(J19="","",(J19/$O$23))</f>
        <v/>
      </c>
      <c r="K42" s="11" t="str">
        <f>IF(K19="","",(K19/$O$23))</f>
        <v/>
      </c>
      <c r="L42" s="11" t="str">
        <f>IF(L19="","",(L19/$O$23))</f>
        <v/>
      </c>
      <c r="M42" s="11" t="str">
        <f>IF(M19="","",(M19/$O$23))</f>
        <v/>
      </c>
      <c r="N42" s="6"/>
      <c r="O42" s="11">
        <f t="shared" ref="O42:AK42" si="26">IF(O19="","",(O19/$O$23))</f>
        <v>0.17329730564164172</v>
      </c>
      <c r="P42" s="11" t="str">
        <f t="shared" si="26"/>
        <v/>
      </c>
      <c r="Q42" s="11" t="str">
        <f t="shared" si="26"/>
        <v/>
      </c>
      <c r="R42" s="11" t="str">
        <f t="shared" si="26"/>
        <v/>
      </c>
      <c r="S42" s="11" t="str">
        <f t="shared" si="26"/>
        <v/>
      </c>
      <c r="T42" s="11" t="str">
        <f t="shared" si="26"/>
        <v/>
      </c>
      <c r="U42" s="11" t="str">
        <f t="shared" si="26"/>
        <v/>
      </c>
      <c r="V42" s="11" t="str">
        <f t="shared" si="26"/>
        <v/>
      </c>
      <c r="W42" s="11" t="str">
        <f t="shared" si="26"/>
        <v/>
      </c>
      <c r="X42" s="11" t="str">
        <f t="shared" si="26"/>
        <v/>
      </c>
      <c r="Y42" s="11" t="str">
        <f t="shared" si="26"/>
        <v/>
      </c>
      <c r="Z42" s="11" t="str">
        <f t="shared" si="26"/>
        <v/>
      </c>
      <c r="AA42" s="11" t="str">
        <f t="shared" si="26"/>
        <v/>
      </c>
      <c r="AB42" s="11" t="str">
        <f t="shared" si="26"/>
        <v/>
      </c>
      <c r="AC42" s="11" t="str">
        <f t="shared" si="26"/>
        <v/>
      </c>
      <c r="AD42" s="11" t="str">
        <f t="shared" si="26"/>
        <v/>
      </c>
      <c r="AE42" s="11" t="str">
        <f t="shared" si="26"/>
        <v/>
      </c>
      <c r="AF42" s="11" t="str">
        <f t="shared" si="26"/>
        <v/>
      </c>
      <c r="AG42" s="11" t="str">
        <f t="shared" si="26"/>
        <v/>
      </c>
      <c r="AH42" s="11" t="str">
        <f t="shared" si="26"/>
        <v/>
      </c>
      <c r="AI42" s="11" t="str">
        <f t="shared" si="26"/>
        <v/>
      </c>
      <c r="AJ42" s="11" t="str">
        <f t="shared" si="26"/>
        <v/>
      </c>
      <c r="AK42" s="11" t="str">
        <f t="shared" si="26"/>
        <v/>
      </c>
    </row>
    <row r="43" spans="1:37" x14ac:dyDescent="0.25">
      <c r="A43" s="235"/>
      <c r="B43" s="11" t="str">
        <f>IF(B20="","",(B20/$O$23))</f>
        <v/>
      </c>
      <c r="C43" s="11" t="str">
        <f>IF(C20="","",(C20/$O$23))</f>
        <v/>
      </c>
      <c r="D43" s="11" t="str">
        <f>IF(D20="","",(D20/$O$23))</f>
        <v/>
      </c>
      <c r="E43" s="11" t="str">
        <f>IF(E20="","",(E20/$O$23))</f>
        <v/>
      </c>
      <c r="F43" s="11" t="str">
        <f>IF(F20="","",(F20/$O$23))</f>
        <v/>
      </c>
      <c r="G43" s="11" t="str">
        <f>IF(G20="","",(G20/$O$23))</f>
        <v/>
      </c>
      <c r="H43" s="11" t="str">
        <f>IF(H20="","",(H20/$O$23))</f>
        <v/>
      </c>
      <c r="I43" s="11" t="str">
        <f>IF(I20="","",(I20/$O$23))</f>
        <v/>
      </c>
      <c r="J43" s="11" t="str">
        <f>IF(J20="","",(J20/$O$23))</f>
        <v/>
      </c>
      <c r="K43" s="11" t="str">
        <f>IF(K20="","",(K20/$O$23))</f>
        <v/>
      </c>
      <c r="L43" s="11" t="str">
        <f>IF(L20="","",(L20/$O$23))</f>
        <v/>
      </c>
      <c r="M43" s="11" t="str">
        <f>IF(M20="","",(M20/$O$23))</f>
        <v/>
      </c>
      <c r="N43" s="6"/>
      <c r="O43" s="11">
        <f t="shared" ref="O43:AK43" si="27">IF(O20="","",(O20/$O$23))</f>
        <v>0.61451002413594202</v>
      </c>
      <c r="P43" s="11" t="str">
        <f t="shared" si="27"/>
        <v/>
      </c>
      <c r="Q43" s="11" t="str">
        <f t="shared" si="27"/>
        <v/>
      </c>
      <c r="R43" s="11" t="str">
        <f t="shared" si="27"/>
        <v/>
      </c>
      <c r="S43" s="11" t="str">
        <f t="shared" si="27"/>
        <v/>
      </c>
      <c r="T43" s="11" t="str">
        <f t="shared" si="27"/>
        <v/>
      </c>
      <c r="U43" s="11" t="str">
        <f t="shared" si="27"/>
        <v/>
      </c>
      <c r="V43" s="11" t="str">
        <f t="shared" si="27"/>
        <v/>
      </c>
      <c r="W43" s="11" t="str">
        <f t="shared" si="27"/>
        <v/>
      </c>
      <c r="X43" s="11" t="str">
        <f t="shared" si="27"/>
        <v/>
      </c>
      <c r="Y43" s="11" t="str">
        <f t="shared" si="27"/>
        <v/>
      </c>
      <c r="Z43" s="11" t="str">
        <f t="shared" si="27"/>
        <v/>
      </c>
      <c r="AA43" s="11" t="str">
        <f t="shared" si="27"/>
        <v/>
      </c>
      <c r="AB43" s="11" t="str">
        <f t="shared" si="27"/>
        <v/>
      </c>
      <c r="AC43" s="11" t="str">
        <f t="shared" si="27"/>
        <v/>
      </c>
      <c r="AD43" s="11" t="str">
        <f t="shared" si="27"/>
        <v/>
      </c>
      <c r="AE43" s="11" t="str">
        <f t="shared" si="27"/>
        <v/>
      </c>
      <c r="AF43" s="11" t="str">
        <f t="shared" si="27"/>
        <v/>
      </c>
      <c r="AG43" s="11" t="str">
        <f t="shared" si="27"/>
        <v/>
      </c>
      <c r="AH43" s="11" t="str">
        <f t="shared" si="27"/>
        <v/>
      </c>
      <c r="AI43" s="11" t="str">
        <f t="shared" si="27"/>
        <v/>
      </c>
      <c r="AJ43" s="11" t="str">
        <f t="shared" si="27"/>
        <v/>
      </c>
      <c r="AK43" s="11" t="str">
        <f t="shared" si="27"/>
        <v/>
      </c>
    </row>
    <row r="44" spans="1:37" x14ac:dyDescent="0.25">
      <c r="A44" s="7"/>
      <c r="B44" s="3"/>
      <c r="C44" s="3"/>
      <c r="D44" s="3"/>
      <c r="E44" s="3"/>
      <c r="F44" s="3"/>
      <c r="G44" s="3"/>
      <c r="H44" s="3"/>
      <c r="I44" s="3"/>
      <c r="J44" s="3"/>
      <c r="K44" s="3"/>
      <c r="L44" s="3"/>
      <c r="M44" s="3"/>
      <c r="N44" s="7"/>
      <c r="O44" s="3"/>
      <c r="P44" s="3"/>
      <c r="Q44" s="3"/>
      <c r="R44" s="3"/>
      <c r="S44" s="3"/>
      <c r="T44" s="3"/>
      <c r="U44" s="3"/>
      <c r="V44" s="3"/>
      <c r="W44" s="3"/>
      <c r="X44" s="3"/>
      <c r="Y44" s="3"/>
      <c r="Z44" s="3"/>
      <c r="AA44" s="3"/>
      <c r="AB44" s="3"/>
      <c r="AC44" s="3"/>
      <c r="AD44" s="3"/>
      <c r="AE44" s="3"/>
      <c r="AF44" s="3"/>
      <c r="AG44" s="3"/>
      <c r="AH44" s="3"/>
      <c r="AI44" s="3"/>
      <c r="AJ44" s="3"/>
      <c r="AK44" s="3"/>
    </row>
    <row r="45" spans="1:37" x14ac:dyDescent="0.25">
      <c r="A45" s="7" t="str">
        <f>A4</f>
        <v>Noms des groupes</v>
      </c>
      <c r="B45" s="7" t="str">
        <f t="shared" ref="B45:R45" si="28">B4</f>
        <v>Témoin solvant</v>
      </c>
      <c r="C45" s="7" t="str">
        <f t="shared" si="28"/>
        <v>EE2-33.8ng/L</v>
      </c>
      <c r="D45" s="7" t="str">
        <f t="shared" si="28"/>
        <v>EE2-50.6ng/L</v>
      </c>
      <c r="E45" s="7" t="str">
        <f t="shared" si="28"/>
        <v>EE2-76ng/L</v>
      </c>
      <c r="F45" s="7" t="str">
        <f t="shared" si="28"/>
        <v>EE2-114ng/L</v>
      </c>
      <c r="G45" s="7" t="str">
        <f t="shared" si="28"/>
        <v>EE2-170.9ng/L</v>
      </c>
      <c r="H45" s="7" t="str">
        <f t="shared" si="28"/>
        <v>EE2-488ng/L</v>
      </c>
      <c r="I45" s="7" t="str">
        <f t="shared" si="28"/>
        <v>estradiol 34ng/L</v>
      </c>
      <c r="J45" s="7" t="str">
        <f t="shared" si="28"/>
        <v>estradiol 68ng/L</v>
      </c>
      <c r="K45" s="7" t="str">
        <f t="shared" ref="K45:M45" si="29">K4</f>
        <v>estradiol 135ng/L</v>
      </c>
      <c r="L45" s="7" t="str">
        <f t="shared" si="29"/>
        <v>estradiol 270ng/L</v>
      </c>
      <c r="M45" s="7" t="str">
        <f t="shared" si="29"/>
        <v>estradiol 540ng/L</v>
      </c>
      <c r="N45" s="7"/>
      <c r="O45" s="7" t="str">
        <f t="shared" si="28"/>
        <v>Testo -30µg/L</v>
      </c>
      <c r="P45" s="7" t="str">
        <f t="shared" si="28"/>
        <v>Testo 30µg/L + EE2 -64ng/L</v>
      </c>
      <c r="Q45" s="7" t="str">
        <f t="shared" si="28"/>
        <v>Testo 30µg/L + FAD-10mg/L</v>
      </c>
      <c r="R45" s="7" t="str">
        <f t="shared" si="28"/>
        <v>estradiol-34ng/L + Testostérone</v>
      </c>
      <c r="S45" s="7" t="str">
        <f t="shared" ref="S45:AK45" si="30">S4</f>
        <v>estradiol-68ng/L + Testostérone</v>
      </c>
      <c r="T45" s="7" t="str">
        <f t="shared" si="30"/>
        <v>estradiol-135ng/L + Testostérone</v>
      </c>
      <c r="U45" s="7" t="str">
        <f t="shared" si="30"/>
        <v>estradiol-270ng/L + Testostérone</v>
      </c>
      <c r="V45" s="7" t="str">
        <f t="shared" si="30"/>
        <v>estradiol-540ng/L + Testostérone</v>
      </c>
      <c r="W45" s="7" t="str">
        <f t="shared" si="30"/>
        <v>0-00 + Testostérone</v>
      </c>
      <c r="X45" s="7" t="str">
        <f t="shared" si="30"/>
        <v>0-00 + Testostérone</v>
      </c>
      <c r="Y45" s="7" t="str">
        <f t="shared" si="30"/>
        <v>0-00 + Testostérone</v>
      </c>
      <c r="Z45" s="7" t="str">
        <f t="shared" si="30"/>
        <v>0-00 + Testostérone</v>
      </c>
      <c r="AA45" s="7" t="str">
        <f t="shared" si="30"/>
        <v>0-00 + Testostérone</v>
      </c>
      <c r="AB45" s="7" t="str">
        <f t="shared" si="30"/>
        <v>0-00 + Testostérone</v>
      </c>
      <c r="AC45" s="7" t="str">
        <f t="shared" si="30"/>
        <v>0-00 + Testostérone</v>
      </c>
      <c r="AD45" s="7" t="str">
        <f t="shared" si="30"/>
        <v>0-00 + Testostérone</v>
      </c>
      <c r="AE45" s="7" t="str">
        <f t="shared" si="30"/>
        <v>0-00 + Testostérone</v>
      </c>
      <c r="AF45" s="7" t="str">
        <f t="shared" si="30"/>
        <v>0-00 + Testostérone</v>
      </c>
      <c r="AG45" s="7" t="str">
        <f t="shared" si="30"/>
        <v>0-00 + Testostérone</v>
      </c>
      <c r="AH45" s="7" t="str">
        <f t="shared" si="30"/>
        <v>0-00 + Testostérone</v>
      </c>
      <c r="AI45" s="7" t="str">
        <f t="shared" si="30"/>
        <v>0-00 + Testostérone</v>
      </c>
      <c r="AJ45" s="7" t="str">
        <f t="shared" si="30"/>
        <v>0-00 + Testostérone</v>
      </c>
      <c r="AK45" s="7" t="str">
        <f t="shared" si="30"/>
        <v>0-00 + Testostérone</v>
      </c>
    </row>
    <row r="46" spans="1:37" x14ac:dyDescent="0.25">
      <c r="A46" s="8" t="s">
        <v>0</v>
      </c>
      <c r="B46" s="10">
        <f t="shared" ref="B46:H46" si="31">AVERAGE(B28:B43)</f>
        <v>7.5471003775064799E-2</v>
      </c>
      <c r="C46" s="10">
        <f t="shared" si="31"/>
        <v>0.10244642144926765</v>
      </c>
      <c r="D46" s="10">
        <f t="shared" si="31"/>
        <v>7.5997429226482019E-2</v>
      </c>
      <c r="E46" s="10">
        <f t="shared" si="31"/>
        <v>0.11780963085220983</v>
      </c>
      <c r="F46" s="10">
        <f t="shared" si="31"/>
        <v>0.17216828052045899</v>
      </c>
      <c r="G46" s="10">
        <f t="shared" si="31"/>
        <v>1.9334980295205682</v>
      </c>
      <c r="H46" s="10">
        <f t="shared" si="31"/>
        <v>3.0003535676119482</v>
      </c>
      <c r="I46" s="10">
        <f>AVERAGE(I28:I43)</f>
        <v>0.13977320123176321</v>
      </c>
      <c r="J46" s="9">
        <f>AVERAGE(J28:J43)</f>
        <v>0.1437241522750746</v>
      </c>
      <c r="K46" s="9">
        <f t="shared" ref="K46:M46" si="32">AVERAGE(K28:K43)</f>
        <v>0.6026985897277326</v>
      </c>
      <c r="L46" s="9">
        <f t="shared" si="32"/>
        <v>1.8832439285592488</v>
      </c>
      <c r="M46" s="9">
        <f t="shared" si="32"/>
        <v>2.3958039016470214</v>
      </c>
      <c r="N46" s="8" t="s">
        <v>0</v>
      </c>
      <c r="O46" s="10">
        <f t="shared" ref="O46:R46" si="33">AVERAGE(O28:O43)</f>
        <v>1</v>
      </c>
      <c r="P46" s="10">
        <f t="shared" si="33"/>
        <v>2.3858498407246445</v>
      </c>
      <c r="Q46" s="10">
        <f t="shared" si="33"/>
        <v>0.11768570181683487</v>
      </c>
      <c r="R46" s="10">
        <f t="shared" si="33"/>
        <v>1.4859339530747047</v>
      </c>
      <c r="S46" s="10">
        <f t="shared" ref="S46:AK46" si="34">AVERAGE(S28:S43)</f>
        <v>1.8534014819418267</v>
      </c>
      <c r="T46" s="10">
        <f t="shared" si="34"/>
        <v>2.1180716649565126</v>
      </c>
      <c r="U46" s="10">
        <f t="shared" si="34"/>
        <v>2.6931738076652039</v>
      </c>
      <c r="V46" s="10">
        <f t="shared" si="34"/>
        <v>3.0131044942692595</v>
      </c>
      <c r="W46" s="10" t="e">
        <f t="shared" si="34"/>
        <v>#DIV/0!</v>
      </c>
      <c r="X46" s="10" t="e">
        <f t="shared" si="34"/>
        <v>#DIV/0!</v>
      </c>
      <c r="Y46" s="10" t="e">
        <f t="shared" si="34"/>
        <v>#DIV/0!</v>
      </c>
      <c r="Z46" s="10" t="e">
        <f t="shared" si="34"/>
        <v>#DIV/0!</v>
      </c>
      <c r="AA46" s="10" t="e">
        <f t="shared" si="34"/>
        <v>#DIV/0!</v>
      </c>
      <c r="AB46" s="10" t="e">
        <f t="shared" si="34"/>
        <v>#DIV/0!</v>
      </c>
      <c r="AC46" s="10" t="e">
        <f t="shared" si="34"/>
        <v>#DIV/0!</v>
      </c>
      <c r="AD46" s="10" t="e">
        <f t="shared" si="34"/>
        <v>#DIV/0!</v>
      </c>
      <c r="AE46" s="10" t="e">
        <f t="shared" si="34"/>
        <v>#DIV/0!</v>
      </c>
      <c r="AF46" s="10" t="e">
        <f t="shared" si="34"/>
        <v>#DIV/0!</v>
      </c>
      <c r="AG46" s="10" t="e">
        <f t="shared" si="34"/>
        <v>#DIV/0!</v>
      </c>
      <c r="AH46" s="10" t="e">
        <f t="shared" si="34"/>
        <v>#DIV/0!</v>
      </c>
      <c r="AI46" s="10" t="e">
        <f t="shared" si="34"/>
        <v>#DIV/0!</v>
      </c>
      <c r="AJ46" s="10" t="e">
        <f t="shared" si="34"/>
        <v>#DIV/0!</v>
      </c>
      <c r="AK46" s="10" t="e">
        <f t="shared" si="34"/>
        <v>#DIV/0!</v>
      </c>
    </row>
    <row r="47" spans="1:37" x14ac:dyDescent="0.25">
      <c r="A47" s="8" t="s">
        <v>1</v>
      </c>
      <c r="B47" s="8">
        <f t="shared" ref="B47:J47" si="35">STDEV(B28:B43)</f>
        <v>5.6010024947128624E-2</v>
      </c>
      <c r="C47" s="8">
        <f t="shared" si="35"/>
        <v>6.8421654034135845E-2</v>
      </c>
      <c r="D47" s="8">
        <f t="shared" si="35"/>
        <v>5.3651429532381251E-2</v>
      </c>
      <c r="E47" s="8">
        <f t="shared" si="35"/>
        <v>0.10142546253418747</v>
      </c>
      <c r="F47" s="8">
        <f t="shared" si="35"/>
        <v>0.2747954108968057</v>
      </c>
      <c r="G47" s="8">
        <f t="shared" si="35"/>
        <v>0.57520324464091521</v>
      </c>
      <c r="H47" s="8">
        <f t="shared" si="35"/>
        <v>0.35035268298196343</v>
      </c>
      <c r="I47" s="8">
        <f t="shared" si="35"/>
        <v>5.333032592817874E-2</v>
      </c>
      <c r="J47" s="8">
        <f t="shared" si="35"/>
        <v>6.913417824710219E-2</v>
      </c>
      <c r="K47" s="8">
        <f t="shared" ref="K47:M47" si="36">STDEV(K28:K43)</f>
        <v>0.56573879730071186</v>
      </c>
      <c r="L47" s="8">
        <f t="shared" si="36"/>
        <v>0.51805222144124363</v>
      </c>
      <c r="M47" s="8">
        <f t="shared" si="36"/>
        <v>0.70519883238405212</v>
      </c>
      <c r="N47" s="8" t="s">
        <v>1</v>
      </c>
      <c r="O47" s="8">
        <f t="shared" ref="O47:R47" si="37">STDEV(O28:O43)</f>
        <v>0.7407583316942089</v>
      </c>
      <c r="P47" s="8">
        <f t="shared" si="37"/>
        <v>0.83510857514121373</v>
      </c>
      <c r="Q47" s="8">
        <f t="shared" si="37"/>
        <v>6.9197187654417736E-2</v>
      </c>
      <c r="R47" s="8">
        <f t="shared" si="37"/>
        <v>0.28137364219959976</v>
      </c>
      <c r="S47" s="8">
        <f t="shared" ref="S47:AK47" si="38">STDEV(S28:S43)</f>
        <v>0.30334771827828194</v>
      </c>
      <c r="T47" s="8">
        <f t="shared" si="38"/>
        <v>0.34434120963073361</v>
      </c>
      <c r="U47" s="8">
        <f t="shared" si="38"/>
        <v>0.3134667647411114</v>
      </c>
      <c r="V47" s="8">
        <f t="shared" si="38"/>
        <v>0.40548098929913057</v>
      </c>
      <c r="W47" s="8" t="e">
        <f t="shared" si="38"/>
        <v>#DIV/0!</v>
      </c>
      <c r="X47" s="8" t="e">
        <f t="shared" si="38"/>
        <v>#DIV/0!</v>
      </c>
      <c r="Y47" s="8" t="e">
        <f t="shared" si="38"/>
        <v>#DIV/0!</v>
      </c>
      <c r="Z47" s="8" t="e">
        <f t="shared" si="38"/>
        <v>#DIV/0!</v>
      </c>
      <c r="AA47" s="8" t="e">
        <f t="shared" si="38"/>
        <v>#DIV/0!</v>
      </c>
      <c r="AB47" s="8" t="e">
        <f t="shared" si="38"/>
        <v>#DIV/0!</v>
      </c>
      <c r="AC47" s="8" t="e">
        <f t="shared" si="38"/>
        <v>#DIV/0!</v>
      </c>
      <c r="AD47" s="8" t="e">
        <f t="shared" si="38"/>
        <v>#DIV/0!</v>
      </c>
      <c r="AE47" s="8" t="e">
        <f t="shared" si="38"/>
        <v>#DIV/0!</v>
      </c>
      <c r="AF47" s="8" t="e">
        <f t="shared" si="38"/>
        <v>#DIV/0!</v>
      </c>
      <c r="AG47" s="8" t="e">
        <f t="shared" si="38"/>
        <v>#DIV/0!</v>
      </c>
      <c r="AH47" s="8" t="e">
        <f t="shared" si="38"/>
        <v>#DIV/0!</v>
      </c>
      <c r="AI47" s="8" t="e">
        <f t="shared" si="38"/>
        <v>#DIV/0!</v>
      </c>
      <c r="AJ47" s="8" t="e">
        <f t="shared" si="38"/>
        <v>#DIV/0!</v>
      </c>
      <c r="AK47" s="8" t="e">
        <f t="shared" si="38"/>
        <v>#DIV/0!</v>
      </c>
    </row>
    <row r="48" spans="1:37" x14ac:dyDescent="0.25">
      <c r="A48" s="8" t="s">
        <v>2</v>
      </c>
      <c r="B48" s="8">
        <f t="shared" ref="B48:J48" si="39" xml:space="preserve"> B47/SQRT(COUNT(B28:B43))</f>
        <v>2.1169799562375139E-2</v>
      </c>
      <c r="C48" s="8">
        <f t="shared" si="39"/>
        <v>2.586095440943182E-2</v>
      </c>
      <c r="D48" s="8">
        <f t="shared" si="39"/>
        <v>1.8968644821349492E-2</v>
      </c>
      <c r="E48" s="8">
        <f t="shared" si="39"/>
        <v>3.8335221496451286E-2</v>
      </c>
      <c r="F48" s="8">
        <f t="shared" si="39"/>
        <v>9.7154849242037503E-2</v>
      </c>
      <c r="G48" s="8">
        <f t="shared" si="39"/>
        <v>0.21740639123390113</v>
      </c>
      <c r="H48" s="8">
        <f t="shared" si="39"/>
        <v>0.12386837897172352</v>
      </c>
      <c r="I48" s="8">
        <f t="shared" si="39"/>
        <v>1.8855117553351973E-2</v>
      </c>
      <c r="J48" s="8">
        <f t="shared" si="39"/>
        <v>2.444262312514273E-2</v>
      </c>
      <c r="K48" s="8">
        <f t="shared" ref="K48:M48" si="40" xml:space="preserve"> K47/SQRT(COUNT(K28:K43))</f>
        <v>0.20001886997582749</v>
      </c>
      <c r="L48" s="8">
        <f t="shared" si="40"/>
        <v>0.18315911939492915</v>
      </c>
      <c r="M48" s="8">
        <f t="shared" si="40"/>
        <v>0.24932543823179937</v>
      </c>
      <c r="N48" s="8" t="s">
        <v>2</v>
      </c>
      <c r="O48" s="8">
        <f t="shared" ref="O48:R48" si="41" xml:space="preserve"> O47/SQRT(COUNT(O28:O43))</f>
        <v>0.19126297881440404</v>
      </c>
      <c r="P48" s="8">
        <f t="shared" si="41"/>
        <v>0.29525546825469384</v>
      </c>
      <c r="Q48" s="8">
        <f t="shared" si="41"/>
        <v>2.4464900314738414E-2</v>
      </c>
      <c r="R48" s="8">
        <f t="shared" si="41"/>
        <v>9.9480605223247143E-2</v>
      </c>
      <c r="S48" s="8">
        <f t="shared" ref="S48:AK48" si="42" xml:space="preserve"> S47/SQRT(COUNT(S28:S43))</f>
        <v>0.10724961432601977</v>
      </c>
      <c r="T48" s="8">
        <f t="shared" si="42"/>
        <v>0.12174300218593512</v>
      </c>
      <c r="U48" s="8">
        <f t="shared" si="42"/>
        <v>0.110827237512524</v>
      </c>
      <c r="V48" s="8">
        <f t="shared" si="42"/>
        <v>0.14335917858782257</v>
      </c>
      <c r="W48" s="8" t="e">
        <f t="shared" si="42"/>
        <v>#DIV/0!</v>
      </c>
      <c r="X48" s="8" t="e">
        <f t="shared" si="42"/>
        <v>#DIV/0!</v>
      </c>
      <c r="Y48" s="8" t="e">
        <f t="shared" si="42"/>
        <v>#DIV/0!</v>
      </c>
      <c r="Z48" s="8" t="e">
        <f t="shared" si="42"/>
        <v>#DIV/0!</v>
      </c>
      <c r="AA48" s="8" t="e">
        <f t="shared" si="42"/>
        <v>#DIV/0!</v>
      </c>
      <c r="AB48" s="8" t="e">
        <f t="shared" si="42"/>
        <v>#DIV/0!</v>
      </c>
      <c r="AC48" s="8" t="e">
        <f t="shared" si="42"/>
        <v>#DIV/0!</v>
      </c>
      <c r="AD48" s="8" t="e">
        <f t="shared" si="42"/>
        <v>#DIV/0!</v>
      </c>
      <c r="AE48" s="8" t="e">
        <f t="shared" si="42"/>
        <v>#DIV/0!</v>
      </c>
      <c r="AF48" s="8" t="e">
        <f t="shared" si="42"/>
        <v>#DIV/0!</v>
      </c>
      <c r="AG48" s="8" t="e">
        <f t="shared" si="42"/>
        <v>#DIV/0!</v>
      </c>
      <c r="AH48" s="8" t="e">
        <f t="shared" si="42"/>
        <v>#DIV/0!</v>
      </c>
      <c r="AI48" s="8" t="e">
        <f t="shared" si="42"/>
        <v>#DIV/0!</v>
      </c>
      <c r="AJ48" s="8" t="e">
        <f t="shared" si="42"/>
        <v>#DIV/0!</v>
      </c>
      <c r="AK48" s="8" t="e">
        <f t="shared" si="42"/>
        <v>#DIV/0!</v>
      </c>
    </row>
    <row r="49" spans="1:37" ht="15.75" thickBot="1" x14ac:dyDescent="0.3">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row>
    <row r="50" spans="1:37" ht="27" thickBot="1" x14ac:dyDescent="0.45">
      <c r="A50" s="224" t="s">
        <v>44</v>
      </c>
      <c r="B50" s="225"/>
      <c r="C50" s="225"/>
      <c r="D50" s="225"/>
      <c r="E50" s="225"/>
      <c r="F50" s="225"/>
      <c r="G50" s="225"/>
      <c r="H50" s="225"/>
      <c r="I50" s="225"/>
      <c r="J50" s="225"/>
      <c r="K50" s="225"/>
      <c r="L50" s="225"/>
      <c r="M50" s="225"/>
      <c r="N50" s="225"/>
      <c r="O50" s="225"/>
      <c r="P50" s="225"/>
      <c r="Q50" s="225"/>
      <c r="R50" s="225"/>
      <c r="S50" s="225"/>
      <c r="T50" s="225"/>
      <c r="U50" s="225"/>
      <c r="V50" s="225"/>
      <c r="W50" s="225"/>
      <c r="X50" s="225"/>
      <c r="Y50" s="225"/>
      <c r="Z50" s="225"/>
      <c r="AA50" s="225"/>
      <c r="AB50" s="225"/>
      <c r="AC50" s="225"/>
      <c r="AD50" s="225"/>
      <c r="AE50" s="225"/>
      <c r="AF50" s="225"/>
      <c r="AG50" s="225"/>
      <c r="AH50" s="225"/>
      <c r="AI50" s="225"/>
      <c r="AJ50" s="225"/>
      <c r="AK50" s="226"/>
    </row>
    <row r="51" spans="1:37" customFormat="1" ht="15.75" thickBot="1" x14ac:dyDescent="0.3">
      <c r="AE51" s="1"/>
      <c r="AF51" s="1"/>
      <c r="AG51" s="1"/>
      <c r="AH51" s="1"/>
      <c r="AI51" s="1"/>
      <c r="AJ51" s="1"/>
    </row>
    <row r="52" spans="1:37" x14ac:dyDescent="0.25">
      <c r="A52" s="45" t="str">
        <f t="shared" ref="A52:H52" si="43">A27</f>
        <v>Noms des groupes</v>
      </c>
      <c r="B52" s="46" t="str">
        <f t="shared" si="43"/>
        <v>Témoin solvant</v>
      </c>
      <c r="C52" s="46" t="str">
        <f t="shared" si="43"/>
        <v>EE2-33.8ng/L</v>
      </c>
      <c r="D52" s="46" t="str">
        <f t="shared" si="43"/>
        <v>EE2-50.6ng/L</v>
      </c>
      <c r="E52" s="46" t="str">
        <f t="shared" si="43"/>
        <v>EE2-76ng/L</v>
      </c>
      <c r="F52" s="46" t="str">
        <f t="shared" si="43"/>
        <v>EE2-114ng/L</v>
      </c>
      <c r="G52" s="46" t="str">
        <f t="shared" si="43"/>
        <v>EE2-170.9ng/L</v>
      </c>
      <c r="H52" s="46" t="str">
        <f t="shared" si="43"/>
        <v>EE2-488ng/L</v>
      </c>
      <c r="I52" s="46" t="str">
        <f>I4</f>
        <v>estradiol 34ng/L</v>
      </c>
      <c r="J52" s="46" t="str">
        <f>J4</f>
        <v>estradiol 68ng/L</v>
      </c>
      <c r="K52" s="46" t="str">
        <f t="shared" ref="K52:M52" si="44">K4</f>
        <v>estradiol 135ng/L</v>
      </c>
      <c r="L52" s="46" t="str">
        <f t="shared" si="44"/>
        <v>estradiol 270ng/L</v>
      </c>
      <c r="M52" s="46" t="str">
        <f t="shared" si="44"/>
        <v>estradiol 540ng/L</v>
      </c>
      <c r="N52" s="47"/>
      <c r="O52" s="46" t="str">
        <f>O27</f>
        <v>Testo -30µg/L</v>
      </c>
      <c r="P52" s="46" t="str">
        <f>P27</f>
        <v>Testo 30µg/L + EE2 -64ng/L</v>
      </c>
      <c r="Q52" s="46" t="str">
        <f>Q27</f>
        <v>Testo 30µg/L + FAD-10mg/L</v>
      </c>
      <c r="R52" s="46" t="str">
        <f>R27</f>
        <v>estradiol-34ng/L + Testostérone</v>
      </c>
      <c r="S52" s="46" t="str">
        <f t="shared" ref="S52:AC52" si="45">S27</f>
        <v>estradiol-68ng/L + Testostérone</v>
      </c>
      <c r="T52" s="46" t="str">
        <f t="shared" si="45"/>
        <v>estradiol-135ng/L + Testostérone</v>
      </c>
      <c r="U52" s="46" t="str">
        <f t="shared" si="45"/>
        <v>estradiol-270ng/L + Testostérone</v>
      </c>
      <c r="V52" s="46" t="str">
        <f t="shared" si="45"/>
        <v>estradiol-540ng/L + Testostérone</v>
      </c>
      <c r="W52" s="46" t="str">
        <f t="shared" si="45"/>
        <v>0-00 + Testostérone</v>
      </c>
      <c r="X52" s="46" t="str">
        <f t="shared" si="45"/>
        <v>0-00 + Testostérone</v>
      </c>
      <c r="Y52" s="46" t="str">
        <f t="shared" si="45"/>
        <v>0-00 + Testostérone</v>
      </c>
      <c r="Z52" s="46" t="str">
        <f t="shared" si="45"/>
        <v>0-00 + Testostérone</v>
      </c>
      <c r="AA52" s="46" t="str">
        <f t="shared" si="45"/>
        <v>0-00 + Testostérone</v>
      </c>
      <c r="AB52" s="46" t="str">
        <f t="shared" si="45"/>
        <v>0-00 + Testostérone</v>
      </c>
      <c r="AC52" s="46" t="str">
        <f t="shared" si="45"/>
        <v>0-00 + Testostérone</v>
      </c>
      <c r="AD52" s="46" t="str">
        <f t="shared" ref="AD52:AK52" si="46">AD27</f>
        <v>0-00 + Testostérone</v>
      </c>
      <c r="AE52" s="46" t="str">
        <f t="shared" si="46"/>
        <v>0-00 + Testostérone</v>
      </c>
      <c r="AF52" s="46" t="str">
        <f t="shared" si="46"/>
        <v>0-00 + Testostérone</v>
      </c>
      <c r="AG52" s="46" t="str">
        <f t="shared" si="46"/>
        <v>0-00 + Testostérone</v>
      </c>
      <c r="AH52" s="46" t="str">
        <f t="shared" si="46"/>
        <v>0-00 + Testostérone</v>
      </c>
      <c r="AI52" s="46" t="str">
        <f t="shared" si="46"/>
        <v>0-00 + Testostérone</v>
      </c>
      <c r="AJ52" s="46" t="str">
        <f t="shared" si="46"/>
        <v>0-00 + Testostérone</v>
      </c>
      <c r="AK52" s="46" t="str">
        <f t="shared" si="46"/>
        <v>0-00 + Testostérone</v>
      </c>
    </row>
    <row r="53" spans="1:37" s="3" customFormat="1" x14ac:dyDescent="0.25">
      <c r="A53" s="64" t="s">
        <v>32</v>
      </c>
      <c r="B53" s="145">
        <f t="shared" ref="B53" si="47">B46</f>
        <v>7.5471003775064799E-2</v>
      </c>
      <c r="C53" s="145">
        <f t="shared" ref="C53:AK53" si="48">C46</f>
        <v>0.10244642144926765</v>
      </c>
      <c r="D53" s="145">
        <f t="shared" si="48"/>
        <v>7.5997429226482019E-2</v>
      </c>
      <c r="E53" s="145">
        <f t="shared" si="48"/>
        <v>0.11780963085220983</v>
      </c>
      <c r="F53" s="145">
        <f t="shared" si="48"/>
        <v>0.17216828052045899</v>
      </c>
      <c r="G53" s="145">
        <f t="shared" si="48"/>
        <v>1.9334980295205682</v>
      </c>
      <c r="H53" s="145">
        <f t="shared" si="48"/>
        <v>3.0003535676119482</v>
      </c>
      <c r="I53" s="145">
        <f t="shared" si="48"/>
        <v>0.13977320123176321</v>
      </c>
      <c r="J53" s="145">
        <f t="shared" si="48"/>
        <v>0.1437241522750746</v>
      </c>
      <c r="K53" s="145">
        <f t="shared" si="48"/>
        <v>0.6026985897277326</v>
      </c>
      <c r="L53" s="145">
        <f t="shared" si="48"/>
        <v>1.8832439285592488</v>
      </c>
      <c r="M53" s="145">
        <f t="shared" si="48"/>
        <v>2.3958039016470214</v>
      </c>
      <c r="N53" s="145"/>
      <c r="O53" s="145">
        <f t="shared" si="48"/>
        <v>1</v>
      </c>
      <c r="P53" s="145">
        <f t="shared" si="48"/>
        <v>2.3858498407246445</v>
      </c>
      <c r="Q53" s="145">
        <f t="shared" si="48"/>
        <v>0.11768570181683487</v>
      </c>
      <c r="R53" s="145">
        <f t="shared" si="48"/>
        <v>1.4859339530747047</v>
      </c>
      <c r="S53" s="145">
        <f t="shared" si="48"/>
        <v>1.8534014819418267</v>
      </c>
      <c r="T53" s="145">
        <f t="shared" si="48"/>
        <v>2.1180716649565126</v>
      </c>
      <c r="U53" s="145">
        <f t="shared" si="48"/>
        <v>2.6931738076652039</v>
      </c>
      <c r="V53" s="145">
        <f t="shared" si="48"/>
        <v>3.0131044942692595</v>
      </c>
      <c r="W53" s="145" t="e">
        <f t="shared" si="48"/>
        <v>#DIV/0!</v>
      </c>
      <c r="X53" s="145" t="e">
        <f t="shared" si="48"/>
        <v>#DIV/0!</v>
      </c>
      <c r="Y53" s="145" t="e">
        <f t="shared" si="48"/>
        <v>#DIV/0!</v>
      </c>
      <c r="Z53" s="145" t="e">
        <f t="shared" si="48"/>
        <v>#DIV/0!</v>
      </c>
      <c r="AA53" s="145" t="e">
        <f t="shared" si="48"/>
        <v>#DIV/0!</v>
      </c>
      <c r="AB53" s="145" t="e">
        <f t="shared" si="48"/>
        <v>#DIV/0!</v>
      </c>
      <c r="AC53" s="145" t="e">
        <f t="shared" si="48"/>
        <v>#DIV/0!</v>
      </c>
      <c r="AD53" s="145" t="e">
        <f t="shared" si="48"/>
        <v>#DIV/0!</v>
      </c>
      <c r="AE53" s="145" t="e">
        <f t="shared" si="48"/>
        <v>#DIV/0!</v>
      </c>
      <c r="AF53" s="145" t="e">
        <f t="shared" si="48"/>
        <v>#DIV/0!</v>
      </c>
      <c r="AG53" s="145" t="e">
        <f t="shared" si="48"/>
        <v>#DIV/0!</v>
      </c>
      <c r="AH53" s="145" t="e">
        <f t="shared" si="48"/>
        <v>#DIV/0!</v>
      </c>
      <c r="AI53" s="145" t="e">
        <f t="shared" si="48"/>
        <v>#DIV/0!</v>
      </c>
      <c r="AJ53" s="145" t="e">
        <f t="shared" si="48"/>
        <v>#DIV/0!</v>
      </c>
      <c r="AK53" s="145" t="e">
        <f t="shared" si="48"/>
        <v>#DIV/0!</v>
      </c>
    </row>
    <row r="54" spans="1:37" s="3" customFormat="1" x14ac:dyDescent="0.25">
      <c r="A54" s="64" t="s">
        <v>2</v>
      </c>
      <c r="B54" s="145">
        <f t="shared" ref="B54" si="49">B48</f>
        <v>2.1169799562375139E-2</v>
      </c>
      <c r="C54" s="145">
        <f t="shared" ref="C54:AK54" si="50">C48</f>
        <v>2.586095440943182E-2</v>
      </c>
      <c r="D54" s="145">
        <f t="shared" si="50"/>
        <v>1.8968644821349492E-2</v>
      </c>
      <c r="E54" s="145">
        <f t="shared" si="50"/>
        <v>3.8335221496451286E-2</v>
      </c>
      <c r="F54" s="145">
        <f t="shared" si="50"/>
        <v>9.7154849242037503E-2</v>
      </c>
      <c r="G54" s="145">
        <f t="shared" si="50"/>
        <v>0.21740639123390113</v>
      </c>
      <c r="H54" s="145">
        <f t="shared" si="50"/>
        <v>0.12386837897172352</v>
      </c>
      <c r="I54" s="145">
        <f t="shared" si="50"/>
        <v>1.8855117553351973E-2</v>
      </c>
      <c r="J54" s="145">
        <f t="shared" si="50"/>
        <v>2.444262312514273E-2</v>
      </c>
      <c r="K54" s="145">
        <f t="shared" si="50"/>
        <v>0.20001886997582749</v>
      </c>
      <c r="L54" s="145">
        <f t="shared" si="50"/>
        <v>0.18315911939492915</v>
      </c>
      <c r="M54" s="145">
        <f t="shared" si="50"/>
        <v>0.24932543823179937</v>
      </c>
      <c r="N54" s="145"/>
      <c r="O54" s="145">
        <f t="shared" si="50"/>
        <v>0.19126297881440404</v>
      </c>
      <c r="P54" s="145">
        <f t="shared" si="50"/>
        <v>0.29525546825469384</v>
      </c>
      <c r="Q54" s="145">
        <f t="shared" si="50"/>
        <v>2.4464900314738414E-2</v>
      </c>
      <c r="R54" s="145">
        <f t="shared" si="50"/>
        <v>9.9480605223247143E-2</v>
      </c>
      <c r="S54" s="145">
        <f t="shared" si="50"/>
        <v>0.10724961432601977</v>
      </c>
      <c r="T54" s="145">
        <f t="shared" si="50"/>
        <v>0.12174300218593512</v>
      </c>
      <c r="U54" s="145">
        <f t="shared" si="50"/>
        <v>0.110827237512524</v>
      </c>
      <c r="V54" s="145">
        <f t="shared" si="50"/>
        <v>0.14335917858782257</v>
      </c>
      <c r="W54" s="145" t="e">
        <f t="shared" si="50"/>
        <v>#DIV/0!</v>
      </c>
      <c r="X54" s="145" t="e">
        <f t="shared" si="50"/>
        <v>#DIV/0!</v>
      </c>
      <c r="Y54" s="145" t="e">
        <f t="shared" si="50"/>
        <v>#DIV/0!</v>
      </c>
      <c r="Z54" s="145" t="e">
        <f t="shared" si="50"/>
        <v>#DIV/0!</v>
      </c>
      <c r="AA54" s="145" t="e">
        <f t="shared" si="50"/>
        <v>#DIV/0!</v>
      </c>
      <c r="AB54" s="145" t="e">
        <f t="shared" si="50"/>
        <v>#DIV/0!</v>
      </c>
      <c r="AC54" s="145" t="e">
        <f t="shared" si="50"/>
        <v>#DIV/0!</v>
      </c>
      <c r="AD54" s="145" t="e">
        <f t="shared" si="50"/>
        <v>#DIV/0!</v>
      </c>
      <c r="AE54" s="145" t="e">
        <f t="shared" si="50"/>
        <v>#DIV/0!</v>
      </c>
      <c r="AF54" s="145" t="e">
        <f t="shared" si="50"/>
        <v>#DIV/0!</v>
      </c>
      <c r="AG54" s="145" t="e">
        <f t="shared" si="50"/>
        <v>#DIV/0!</v>
      </c>
      <c r="AH54" s="145" t="e">
        <f t="shared" si="50"/>
        <v>#DIV/0!</v>
      </c>
      <c r="AI54" s="145" t="e">
        <f t="shared" si="50"/>
        <v>#DIV/0!</v>
      </c>
      <c r="AJ54" s="145" t="e">
        <f t="shared" si="50"/>
        <v>#DIV/0!</v>
      </c>
      <c r="AK54" s="145" t="e">
        <f t="shared" si="50"/>
        <v>#DIV/0!</v>
      </c>
    </row>
    <row r="55" spans="1:37" s="3" customFormat="1" x14ac:dyDescent="0.25">
      <c r="A55" s="64" t="s">
        <v>79</v>
      </c>
      <c r="B55" s="145">
        <f>(B53*100/$B53)-100</f>
        <v>0</v>
      </c>
      <c r="C55" s="145">
        <f t="shared" ref="C55:M55" si="51">(C53*100/$B53)-100</f>
        <v>35.742757250984624</v>
      </c>
      <c r="D55" s="145">
        <f t="shared" si="51"/>
        <v>0.69752014029943155</v>
      </c>
      <c r="E55" s="145">
        <f t="shared" si="51"/>
        <v>56.099196988729432</v>
      </c>
      <c r="F55" s="145">
        <f t="shared" si="51"/>
        <v>128.12507043578296</v>
      </c>
      <c r="G55" s="145">
        <f t="shared" si="51"/>
        <v>2461.9084586223366</v>
      </c>
      <c r="H55" s="145">
        <f t="shared" si="51"/>
        <v>3875.5050516543524</v>
      </c>
      <c r="I55" s="145">
        <f t="shared" si="51"/>
        <v>85.201195479453133</v>
      </c>
      <c r="J55" s="145">
        <f t="shared" si="51"/>
        <v>90.436253774274377</v>
      </c>
      <c r="K55" s="145">
        <f t="shared" si="51"/>
        <v>698.58297833698737</v>
      </c>
      <c r="L55" s="145">
        <f t="shared" si="51"/>
        <v>2395.3211622467675</v>
      </c>
      <c r="M55" s="145">
        <f t="shared" si="51"/>
        <v>3074.4693747383044</v>
      </c>
      <c r="N55" s="145"/>
      <c r="O55" s="145">
        <f>(O53*100/$O53)-100</f>
        <v>0</v>
      </c>
      <c r="P55" s="145">
        <f t="shared" ref="P55:AK55" si="52">(P53*100/$O53)-100</f>
        <v>138.58498407246444</v>
      </c>
      <c r="Q55" s="145">
        <f t="shared" si="52"/>
        <v>-88.231429818316514</v>
      </c>
      <c r="R55" s="145">
        <f t="shared" si="52"/>
        <v>48.593395307470473</v>
      </c>
      <c r="S55" s="145">
        <f t="shared" si="52"/>
        <v>85.340148194182689</v>
      </c>
      <c r="T55" s="145">
        <f t="shared" si="52"/>
        <v>111.80716649565124</v>
      </c>
      <c r="U55" s="145">
        <f t="shared" si="52"/>
        <v>169.31738076652039</v>
      </c>
      <c r="V55" s="145">
        <f t="shared" si="52"/>
        <v>201.31044942692597</v>
      </c>
      <c r="W55" s="145" t="e">
        <f t="shared" si="52"/>
        <v>#DIV/0!</v>
      </c>
      <c r="X55" s="145" t="e">
        <f t="shared" si="52"/>
        <v>#DIV/0!</v>
      </c>
      <c r="Y55" s="145" t="e">
        <f t="shared" si="52"/>
        <v>#DIV/0!</v>
      </c>
      <c r="Z55" s="145" t="e">
        <f t="shared" si="52"/>
        <v>#DIV/0!</v>
      </c>
      <c r="AA55" s="145" t="e">
        <f t="shared" si="52"/>
        <v>#DIV/0!</v>
      </c>
      <c r="AB55" s="145" t="e">
        <f t="shared" si="52"/>
        <v>#DIV/0!</v>
      </c>
      <c r="AC55" s="145" t="e">
        <f t="shared" si="52"/>
        <v>#DIV/0!</v>
      </c>
      <c r="AD55" s="145" t="e">
        <f t="shared" si="52"/>
        <v>#DIV/0!</v>
      </c>
      <c r="AE55" s="145" t="e">
        <f t="shared" si="52"/>
        <v>#DIV/0!</v>
      </c>
      <c r="AF55" s="145" t="e">
        <f t="shared" si="52"/>
        <v>#DIV/0!</v>
      </c>
      <c r="AG55" s="145" t="e">
        <f t="shared" si="52"/>
        <v>#DIV/0!</v>
      </c>
      <c r="AH55" s="145" t="e">
        <f t="shared" si="52"/>
        <v>#DIV/0!</v>
      </c>
      <c r="AI55" s="145" t="e">
        <f t="shared" si="52"/>
        <v>#DIV/0!</v>
      </c>
      <c r="AJ55" s="145" t="e">
        <f t="shared" si="52"/>
        <v>#DIV/0!</v>
      </c>
      <c r="AK55" s="145" t="e">
        <f t="shared" si="52"/>
        <v>#DIV/0!</v>
      </c>
    </row>
    <row r="56" spans="1:37" s="3" customFormat="1" x14ac:dyDescent="0.25">
      <c r="A56" s="64" t="s">
        <v>81</v>
      </c>
      <c r="B56" s="145" t="e">
        <f ca="1">[1]!SWTEST(B28:B43)</f>
        <v>#NAME?</v>
      </c>
      <c r="C56" s="145" t="e">
        <f ca="1">[1]!SWTEST(C28:C43)</f>
        <v>#NAME?</v>
      </c>
      <c r="D56" s="145" t="e">
        <f ca="1">[1]!SWTEST(D28:D43)</f>
        <v>#NAME?</v>
      </c>
      <c r="E56" s="145" t="e">
        <f ca="1">[1]!SWTEST(E28:E43)</f>
        <v>#NAME?</v>
      </c>
      <c r="F56" s="145" t="e">
        <f ca="1">[1]!SWTEST(F28:F43)</f>
        <v>#NAME?</v>
      </c>
      <c r="G56" s="145" t="e">
        <f ca="1">[1]!SWTEST(G28:G43)</f>
        <v>#NAME?</v>
      </c>
      <c r="H56" s="145" t="e">
        <f ca="1">[1]!SWTEST(H28:H43)</f>
        <v>#NAME?</v>
      </c>
      <c r="I56" s="145" t="e">
        <f ca="1">[1]!SWTEST(I28:I43)</f>
        <v>#NAME?</v>
      </c>
      <c r="J56" s="145" t="e">
        <f ca="1">[1]!SWTEST(J28:J43)</f>
        <v>#NAME?</v>
      </c>
      <c r="K56" s="145" t="e">
        <f ca="1">[1]!SWTEST(K28:K43)</f>
        <v>#NAME?</v>
      </c>
      <c r="L56" s="145" t="e">
        <f ca="1">[1]!SWTEST(L28:L43)</f>
        <v>#NAME?</v>
      </c>
      <c r="M56" s="145" t="e">
        <f ca="1">[1]!SWTEST(M28:M43)</f>
        <v>#NAME?</v>
      </c>
      <c r="N56" s="145"/>
      <c r="O56" s="145" t="e">
        <f ca="1">[1]!SWTEST(O28:O43)</f>
        <v>#NAME?</v>
      </c>
      <c r="P56" s="145" t="e">
        <f ca="1">[1]!SWTEST(P28:P43)</f>
        <v>#NAME?</v>
      </c>
      <c r="Q56" s="145" t="e">
        <f ca="1">[1]!SWTEST(Q28:Q43)</f>
        <v>#NAME?</v>
      </c>
      <c r="R56" s="145" t="e">
        <f ca="1">[1]!SWTEST(R28:R43)</f>
        <v>#NAME?</v>
      </c>
      <c r="S56" s="145" t="e">
        <f ca="1">[1]!SWTEST(S28:S43)</f>
        <v>#NAME?</v>
      </c>
      <c r="T56" s="145" t="e">
        <f ca="1">[1]!SWTEST(T28:T43)</f>
        <v>#NAME?</v>
      </c>
      <c r="U56" s="145" t="e">
        <f ca="1">[1]!SWTEST(U28:U43)</f>
        <v>#NAME?</v>
      </c>
      <c r="V56" s="145" t="e">
        <f ca="1">[1]!SWTEST(V28:V43)</f>
        <v>#NAME?</v>
      </c>
      <c r="W56" s="145" t="e">
        <f ca="1">[1]!SWTEST(W28:W43)</f>
        <v>#NAME?</v>
      </c>
      <c r="X56" s="145" t="e">
        <f ca="1">[1]!SWTEST(X28:X43)</f>
        <v>#NAME?</v>
      </c>
      <c r="Y56" s="145" t="e">
        <f ca="1">[1]!SWTEST(Y28:Y43)</f>
        <v>#NAME?</v>
      </c>
      <c r="Z56" s="145" t="e">
        <f ca="1">[1]!SWTEST(Z28:Z43)</f>
        <v>#NAME?</v>
      </c>
      <c r="AA56" s="145" t="e">
        <f ca="1">[1]!SWTEST(AA28:AA43)</f>
        <v>#NAME?</v>
      </c>
      <c r="AB56" s="145" t="e">
        <f ca="1">[1]!SWTEST(AB28:AB43)</f>
        <v>#NAME?</v>
      </c>
      <c r="AC56" s="145" t="e">
        <f ca="1">[1]!SWTEST(AC28:AC43)</f>
        <v>#NAME?</v>
      </c>
      <c r="AD56" s="145" t="e">
        <f ca="1">[1]!SWTEST(AD28:AD43)</f>
        <v>#NAME?</v>
      </c>
      <c r="AE56" s="145" t="e">
        <f ca="1">[1]!SWTEST(AE28:AE43)</f>
        <v>#NAME?</v>
      </c>
      <c r="AF56" s="145" t="e">
        <f ca="1">[1]!SWTEST(AF28:AF43)</f>
        <v>#NAME?</v>
      </c>
      <c r="AG56" s="145" t="e">
        <f ca="1">[1]!SWTEST(AG28:AG43)</f>
        <v>#NAME?</v>
      </c>
      <c r="AH56" s="145" t="e">
        <f ca="1">[1]!SWTEST(AH28:AH43)</f>
        <v>#NAME?</v>
      </c>
      <c r="AI56" s="145" t="e">
        <f ca="1">[1]!SWTEST(AI28:AI43)</f>
        <v>#NAME?</v>
      </c>
      <c r="AJ56" s="145" t="e">
        <f ca="1">[1]!SWTEST(AJ28:AJ43)</f>
        <v>#NAME?</v>
      </c>
      <c r="AK56" s="145" t="e">
        <f ca="1">[1]!SWTEST(AK28:AK43)</f>
        <v>#NAME?</v>
      </c>
    </row>
    <row r="57" spans="1:37" s="3" customFormat="1" x14ac:dyDescent="0.25">
      <c r="A57" s="64" t="s">
        <v>85</v>
      </c>
      <c r="B57" s="145" t="e">
        <f ca="1">IF(B56&gt;0.05,"Oui","Non")</f>
        <v>#NAME?</v>
      </c>
      <c r="C57" s="145" t="e">
        <f t="shared" ref="C57:AK57" ca="1" si="53">IF(C56&gt;0.05,"Oui","Non")</f>
        <v>#NAME?</v>
      </c>
      <c r="D57" s="145" t="e">
        <f t="shared" ca="1" si="53"/>
        <v>#NAME?</v>
      </c>
      <c r="E57" s="145" t="e">
        <f t="shared" ca="1" si="53"/>
        <v>#NAME?</v>
      </c>
      <c r="F57" s="145" t="e">
        <f t="shared" ca="1" si="53"/>
        <v>#NAME?</v>
      </c>
      <c r="G57" s="145" t="e">
        <f t="shared" ca="1" si="53"/>
        <v>#NAME?</v>
      </c>
      <c r="H57" s="145" t="e">
        <f t="shared" ca="1" si="53"/>
        <v>#NAME?</v>
      </c>
      <c r="I57" s="145" t="e">
        <f t="shared" ca="1" si="53"/>
        <v>#NAME?</v>
      </c>
      <c r="J57" s="145" t="e">
        <f t="shared" ca="1" si="53"/>
        <v>#NAME?</v>
      </c>
      <c r="K57" s="145" t="e">
        <f t="shared" ca="1" si="53"/>
        <v>#NAME?</v>
      </c>
      <c r="L57" s="145" t="e">
        <f t="shared" ca="1" si="53"/>
        <v>#NAME?</v>
      </c>
      <c r="M57" s="145" t="e">
        <f t="shared" ca="1" si="53"/>
        <v>#NAME?</v>
      </c>
      <c r="N57" s="145"/>
      <c r="O57" s="145" t="e">
        <f t="shared" ca="1" si="53"/>
        <v>#NAME?</v>
      </c>
      <c r="P57" s="145" t="e">
        <f t="shared" ca="1" si="53"/>
        <v>#NAME?</v>
      </c>
      <c r="Q57" s="145" t="e">
        <f t="shared" ca="1" si="53"/>
        <v>#NAME?</v>
      </c>
      <c r="R57" s="145" t="e">
        <f t="shared" ca="1" si="53"/>
        <v>#NAME?</v>
      </c>
      <c r="S57" s="145" t="e">
        <f t="shared" ca="1" si="53"/>
        <v>#NAME?</v>
      </c>
      <c r="T57" s="145" t="e">
        <f t="shared" ca="1" si="53"/>
        <v>#NAME?</v>
      </c>
      <c r="U57" s="145" t="e">
        <f t="shared" ca="1" si="53"/>
        <v>#NAME?</v>
      </c>
      <c r="V57" s="145" t="e">
        <f t="shared" ca="1" si="53"/>
        <v>#NAME?</v>
      </c>
      <c r="W57" s="145" t="e">
        <f t="shared" ca="1" si="53"/>
        <v>#NAME?</v>
      </c>
      <c r="X57" s="145" t="e">
        <f t="shared" ca="1" si="53"/>
        <v>#NAME?</v>
      </c>
      <c r="Y57" s="145" t="e">
        <f t="shared" ca="1" si="53"/>
        <v>#NAME?</v>
      </c>
      <c r="Z57" s="145" t="e">
        <f t="shared" ca="1" si="53"/>
        <v>#NAME?</v>
      </c>
      <c r="AA57" s="145" t="e">
        <f t="shared" ca="1" si="53"/>
        <v>#NAME?</v>
      </c>
      <c r="AB57" s="145" t="e">
        <f t="shared" ca="1" si="53"/>
        <v>#NAME?</v>
      </c>
      <c r="AC57" s="145" t="e">
        <f t="shared" ca="1" si="53"/>
        <v>#NAME?</v>
      </c>
      <c r="AD57" s="145" t="e">
        <f t="shared" ca="1" si="53"/>
        <v>#NAME?</v>
      </c>
      <c r="AE57" s="145" t="e">
        <f t="shared" ca="1" si="53"/>
        <v>#NAME?</v>
      </c>
      <c r="AF57" s="145" t="e">
        <f t="shared" ca="1" si="53"/>
        <v>#NAME?</v>
      </c>
      <c r="AG57" s="145" t="e">
        <f t="shared" ca="1" si="53"/>
        <v>#NAME?</v>
      </c>
      <c r="AH57" s="145" t="e">
        <f t="shared" ca="1" si="53"/>
        <v>#NAME?</v>
      </c>
      <c r="AI57" s="145" t="e">
        <f t="shared" ca="1" si="53"/>
        <v>#NAME?</v>
      </c>
      <c r="AJ57" s="145" t="e">
        <f t="shared" ca="1" si="53"/>
        <v>#NAME?</v>
      </c>
      <c r="AK57" s="145" t="e">
        <f t="shared" ca="1" si="53"/>
        <v>#NAME?</v>
      </c>
    </row>
    <row r="58" spans="1:37" s="3" customFormat="1" x14ac:dyDescent="0.25">
      <c r="A58" s="64"/>
      <c r="B58" s="145"/>
      <c r="C58" s="145"/>
      <c r="D58" s="145"/>
      <c r="E58" s="145"/>
      <c r="F58" s="145"/>
      <c r="G58" s="145"/>
      <c r="H58" s="145"/>
      <c r="I58" s="145"/>
      <c r="J58" s="145"/>
      <c r="K58" s="145"/>
      <c r="L58" s="145"/>
      <c r="M58" s="145"/>
      <c r="N58" s="152"/>
      <c r="O58" s="153"/>
      <c r="P58" s="145"/>
      <c r="Q58" s="145"/>
      <c r="R58" s="145"/>
      <c r="S58" s="145"/>
      <c r="T58" s="145"/>
      <c r="U58" s="145"/>
      <c r="V58" s="145"/>
      <c r="W58" s="145"/>
      <c r="X58" s="145"/>
      <c r="Y58" s="145"/>
      <c r="Z58" s="145"/>
      <c r="AA58" s="145"/>
      <c r="AB58" s="145"/>
      <c r="AC58" s="145"/>
      <c r="AD58" s="145"/>
      <c r="AE58" s="154"/>
      <c r="AF58" s="154"/>
      <c r="AG58" s="154"/>
      <c r="AH58" s="154"/>
      <c r="AI58" s="154"/>
      <c r="AJ58" s="154"/>
      <c r="AK58" s="155"/>
    </row>
    <row r="59" spans="1:37" s="3" customFormat="1" x14ac:dyDescent="0.25">
      <c r="A59" s="64" t="s">
        <v>82</v>
      </c>
      <c r="B59" s="156"/>
      <c r="C59" s="156" t="e">
        <f t="shared" ref="C59:O59" ca="1" si="54">IF($B57="Non",IF(C57="Non","MW",IF(C57="Oui","MW","")),IF($B57="Oui",IF(C57="Oui","T-Test Welch",IF(C57="Non","MW",""))))</f>
        <v>#NAME?</v>
      </c>
      <c r="D59" s="156" t="e">
        <f t="shared" ca="1" si="54"/>
        <v>#NAME?</v>
      </c>
      <c r="E59" s="156" t="e">
        <f t="shared" ca="1" si="54"/>
        <v>#NAME?</v>
      </c>
      <c r="F59" s="156" t="e">
        <f t="shared" ca="1" si="54"/>
        <v>#NAME?</v>
      </c>
      <c r="G59" s="156" t="e">
        <f t="shared" ca="1" si="54"/>
        <v>#NAME?</v>
      </c>
      <c r="H59" s="156" t="e">
        <f t="shared" ca="1" si="54"/>
        <v>#NAME?</v>
      </c>
      <c r="I59" s="156" t="e">
        <f t="shared" ca="1" si="54"/>
        <v>#NAME?</v>
      </c>
      <c r="J59" s="156" t="e">
        <f t="shared" ca="1" si="54"/>
        <v>#NAME?</v>
      </c>
      <c r="K59" s="156" t="e">
        <f t="shared" ca="1" si="54"/>
        <v>#NAME?</v>
      </c>
      <c r="L59" s="156" t="e">
        <f t="shared" ca="1" si="54"/>
        <v>#NAME?</v>
      </c>
      <c r="M59" s="156" t="e">
        <f t="shared" ca="1" si="54"/>
        <v>#NAME?</v>
      </c>
      <c r="N59" s="156"/>
      <c r="O59" s="156" t="e">
        <f t="shared" ca="1" si="54"/>
        <v>#NAME?</v>
      </c>
      <c r="P59" s="156" t="e">
        <f ca="1">IF($O57="Non",IF(P57="Non","MW",IF(P57="Oui","MW","")),IF($O57="Oui",IF(P57="Oui","T-Test Welch",IF(P57="Non","MW",""))))</f>
        <v>#NAME?</v>
      </c>
      <c r="Q59" s="156" t="e">
        <f t="shared" ref="Q59:AK59" ca="1" si="55">IF($O57="Non",IF(Q57="Non","MW",IF(Q57="Oui","MW","")),IF($O57="Oui",IF(Q57="Oui","T-Test Welch",IF(Q57="Non","MW",""))))</f>
        <v>#NAME?</v>
      </c>
      <c r="R59" s="156" t="e">
        <f t="shared" ca="1" si="55"/>
        <v>#NAME?</v>
      </c>
      <c r="S59" s="156" t="e">
        <f t="shared" ca="1" si="55"/>
        <v>#NAME?</v>
      </c>
      <c r="T59" s="156" t="e">
        <f t="shared" ca="1" si="55"/>
        <v>#NAME?</v>
      </c>
      <c r="U59" s="156" t="e">
        <f t="shared" ca="1" si="55"/>
        <v>#NAME?</v>
      </c>
      <c r="V59" s="156" t="e">
        <f t="shared" ca="1" si="55"/>
        <v>#NAME?</v>
      </c>
      <c r="W59" s="156" t="e">
        <f t="shared" ca="1" si="55"/>
        <v>#NAME?</v>
      </c>
      <c r="X59" s="156" t="e">
        <f t="shared" ca="1" si="55"/>
        <v>#NAME?</v>
      </c>
      <c r="Y59" s="156" t="e">
        <f t="shared" ca="1" si="55"/>
        <v>#NAME?</v>
      </c>
      <c r="Z59" s="156" t="e">
        <f t="shared" ca="1" si="55"/>
        <v>#NAME?</v>
      </c>
      <c r="AA59" s="156" t="e">
        <f t="shared" ca="1" si="55"/>
        <v>#NAME?</v>
      </c>
      <c r="AB59" s="156" t="e">
        <f t="shared" ca="1" si="55"/>
        <v>#NAME?</v>
      </c>
      <c r="AC59" s="156" t="e">
        <f t="shared" ca="1" si="55"/>
        <v>#NAME?</v>
      </c>
      <c r="AD59" s="156" t="e">
        <f t="shared" ca="1" si="55"/>
        <v>#NAME?</v>
      </c>
      <c r="AE59" s="156" t="e">
        <f t="shared" ca="1" si="55"/>
        <v>#NAME?</v>
      </c>
      <c r="AF59" s="156" t="e">
        <f t="shared" ca="1" si="55"/>
        <v>#NAME?</v>
      </c>
      <c r="AG59" s="156" t="e">
        <f t="shared" ca="1" si="55"/>
        <v>#NAME?</v>
      </c>
      <c r="AH59" s="156" t="e">
        <f t="shared" ca="1" si="55"/>
        <v>#NAME?</v>
      </c>
      <c r="AI59" s="156" t="e">
        <f t="shared" ca="1" si="55"/>
        <v>#NAME?</v>
      </c>
      <c r="AJ59" s="156" t="e">
        <f t="shared" ca="1" si="55"/>
        <v>#NAME?</v>
      </c>
      <c r="AK59" s="156" t="e">
        <f t="shared" ca="1" si="55"/>
        <v>#NAME?</v>
      </c>
    </row>
    <row r="60" spans="1:37" s="3" customFormat="1" x14ac:dyDescent="0.25">
      <c r="A60" s="64" t="s">
        <v>83</v>
      </c>
      <c r="B60" s="157"/>
      <c r="C60" s="157" t="e">
        <f ca="1">IF(C59="MW",[1]!MTEST($B28:$B43,C28:C43,2), IF(C59="T-Test Welch",_xlfn.T.TEST($B28:$B43,C28:C43,2,3),""))</f>
        <v>#NAME?</v>
      </c>
      <c r="D60" s="157" t="e">
        <f ca="1">IF(D59="MW",[1]!MTEST($B28:$B43,D28:D43,2), IF(D59="T-Test Welch",_xlfn.T.TEST($B28:$B43,D28:D43,2,3),""))</f>
        <v>#NAME?</v>
      </c>
      <c r="E60" s="157" t="e">
        <f ca="1">IF(E59="MW",[1]!MTEST($B28:$B43,E28:E43,2), IF(E59="T-Test Welch",_xlfn.T.TEST($B28:$B43,E28:E43,2,3),""))</f>
        <v>#NAME?</v>
      </c>
      <c r="F60" s="157" t="e">
        <f ca="1">IF(F59="MW",[1]!MTEST($B28:$B43,F28:F43,2), IF(F59="T-Test Welch",_xlfn.T.TEST($B28:$B43,F28:F43,2,3),""))</f>
        <v>#NAME?</v>
      </c>
      <c r="G60" s="157" t="e">
        <f ca="1">IF(G59="MW",[1]!MTEST($B28:$B43,G28:G43,2), IF(G59="T-Test Welch",_xlfn.T.TEST($B28:$B43,G28:G43,2,3),""))</f>
        <v>#NAME?</v>
      </c>
      <c r="H60" s="157" t="e">
        <f ca="1">IF(H59="MW",[1]!MTEST($B28:$B43,H28:H43,2), IF(H59="T-Test Welch",_xlfn.T.TEST($B28:$B43,H28:H43,2,3),""))</f>
        <v>#NAME?</v>
      </c>
      <c r="I60" s="157" t="e">
        <f ca="1">IF(I59="MW",[1]!MTEST($B28:$B43,I28:I43,2), IF(I59="T-Test Welch",_xlfn.T.TEST($B28:$B43,I28:I43,2,3),""))</f>
        <v>#NAME?</v>
      </c>
      <c r="J60" s="157" t="e">
        <f ca="1">IF(J59="MW",[1]!MTEST($B28:$B43,J28:J43,2), IF(J59="T-Test Welch",_xlfn.T.TEST($B28:$B43,J28:J43,2,3),""))</f>
        <v>#NAME?</v>
      </c>
      <c r="K60" s="157" t="e">
        <f ca="1">IF(K59="MW",[1]!MTEST($B28:$B43,K28:K43,2), IF(K59="T-Test Welch",_xlfn.T.TEST($B28:$B43,K28:K43,2,3),""))</f>
        <v>#NAME?</v>
      </c>
      <c r="L60" s="157" t="e">
        <f ca="1">IF(L59="MW",[1]!MTEST($B28:$B43,L28:L43,2), IF(L59="T-Test Welch",_xlfn.T.TEST($B28:$B43,L28:L43,2,3),""))</f>
        <v>#NAME?</v>
      </c>
      <c r="M60" s="157" t="e">
        <f ca="1">IF(M59="MW",[1]!MTEST($B28:$B43,M28:M43,2), IF(M59="T-Test Welch",_xlfn.T.TEST($B28:$B43,M28:M43,2,3),""))</f>
        <v>#NAME?</v>
      </c>
      <c r="N60" s="157"/>
      <c r="O60" s="157" t="e">
        <f ca="1">IF(O59="MW",[1]!MTEST($B28:$B43,O28:O43,2), IF(O59="T-Test Welch",_xlfn.T.TEST($B28:$B43,O28:O43,2,3),""))</f>
        <v>#NAME?</v>
      </c>
      <c r="P60" s="157" t="e">
        <f ca="1">IF(P59="MW",[1]!MTEST($O28:$O43,P28:P43,2), IF(P59="T-Test Welch",_xlfn.T.TEST($O28:$O43,P28:P43,2,3),""))</f>
        <v>#NAME?</v>
      </c>
      <c r="Q60" s="157" t="e">
        <f ca="1">IF(Q59="MW",[1]!MTEST($O28:$O43,Q28:Q43,2), IF(Q59="T-Test Welch",_xlfn.T.TEST($O28:$O43,Q28:Q43,2,3),""))</f>
        <v>#NAME?</v>
      </c>
      <c r="R60" s="157" t="e">
        <f ca="1">IF(R59="MW",[1]!MTEST($O28:$O43,R28:R43,2), IF(R59="T-Test Welch",_xlfn.T.TEST($O28:$O43,R28:R43,2,3),""))</f>
        <v>#NAME?</v>
      </c>
      <c r="S60" s="157" t="e">
        <f ca="1">IF(S59="MW",[1]!MTEST($O28:$O43,S28:S43,2), IF(S59="T-Test Welch",_xlfn.T.TEST($O28:$O43,S28:S43,2,3),""))</f>
        <v>#NAME?</v>
      </c>
      <c r="T60" s="157" t="e">
        <f ca="1">IF(T59="MW",[1]!MTEST($O28:$O43,T28:T43,2), IF(T59="T-Test Welch",_xlfn.T.TEST($O28:$O43,T28:T43,2,3),""))</f>
        <v>#NAME?</v>
      </c>
      <c r="U60" s="157" t="e">
        <f ca="1">IF(U59="MW",[1]!MTEST($O28:$O43,U28:U43,2), IF(U59="T-Test Welch",_xlfn.T.TEST($O28:$O43,U28:U43,2,3),""))</f>
        <v>#NAME?</v>
      </c>
      <c r="V60" s="157" t="e">
        <f ca="1">IF(V59="MW",[1]!MTEST($O28:$O43,V28:V43,2), IF(V59="T-Test Welch",_xlfn.T.TEST($O28:$O43,V28:V43,2,3),""))</f>
        <v>#NAME?</v>
      </c>
      <c r="W60" s="157" t="e">
        <f ca="1">IF(W59="MW",[1]!MTEST($O28:$O43,W28:W43,2), IF(W59="T-Test Welch",_xlfn.T.TEST($O28:$O43,W28:W43,2,3),""))</f>
        <v>#NAME?</v>
      </c>
      <c r="X60" s="157" t="e">
        <f ca="1">IF(X59="MW",[1]!MTEST($O28:$O43,X28:X43,2), IF(X59="T-Test Welch",_xlfn.T.TEST($O28:$O43,X28:X43,2,3),""))</f>
        <v>#NAME?</v>
      </c>
      <c r="Y60" s="157" t="e">
        <f ca="1">IF(Y59="MW",[1]!MTEST($O28:$O43,Y28:Y43,2), IF(Y59="T-Test Welch",_xlfn.T.TEST($O28:$O43,Y28:Y43,2,3),""))</f>
        <v>#NAME?</v>
      </c>
      <c r="Z60" s="157" t="e">
        <f ca="1">IF(Z59="MW",[1]!MTEST($O28:$O43,Z28:Z43,2), IF(Z59="T-Test Welch",_xlfn.T.TEST($O28:$O43,Z28:Z43,2,3),""))</f>
        <v>#NAME?</v>
      </c>
      <c r="AA60" s="157" t="e">
        <f ca="1">IF(AA59="MW",[1]!MTEST($O28:$O43,AA28:AA43,2), IF(AA59="T-Test Welch",_xlfn.T.TEST($O28:$O43,AA28:AA43,2,3),""))</f>
        <v>#NAME?</v>
      </c>
      <c r="AB60" s="157" t="e">
        <f ca="1">IF(AB59="MW",[1]!MTEST($O28:$O43,AB28:AB43,2), IF(AB59="T-Test Welch",_xlfn.T.TEST($O28:$O43,AB28:AB43,2,3),""))</f>
        <v>#NAME?</v>
      </c>
      <c r="AC60" s="157" t="e">
        <f ca="1">IF(AC59="MW",[1]!MTEST($O28:$O43,AC28:AC43,2), IF(AC59="T-Test Welch",_xlfn.T.TEST($O28:$O43,AC28:AC43,2,3),""))</f>
        <v>#NAME?</v>
      </c>
      <c r="AD60" s="157" t="e">
        <f ca="1">IF(AD59="MW",[1]!MTEST($O28:$O43,AD28:AD43,2), IF(AD59="T-Test Welch",_xlfn.T.TEST($O28:$O43,AD28:AD43,2,3),""))</f>
        <v>#NAME?</v>
      </c>
      <c r="AE60" s="157" t="e">
        <f ca="1">IF(AE59="MW",[1]!MTEST($O28:$O43,AE28:AE43,2), IF(AE59="T-Test Welch",_xlfn.T.TEST($O28:$O43,AE28:AE43,2,3),""))</f>
        <v>#NAME?</v>
      </c>
      <c r="AF60" s="157" t="e">
        <f ca="1">IF(AF59="MW",[1]!MTEST($O28:$O43,AF28:AF43,2), IF(AF59="T-Test Welch",_xlfn.T.TEST($O28:$O43,AF28:AF43,2,3),""))</f>
        <v>#NAME?</v>
      </c>
      <c r="AG60" s="157" t="e">
        <f ca="1">IF(AG59="MW",[1]!MTEST($O28:$O43,AG28:AG43,2), IF(AG59="T-Test Welch",_xlfn.T.TEST($O28:$O43,AG28:AG43,2,3),""))</f>
        <v>#NAME?</v>
      </c>
      <c r="AH60" s="157" t="e">
        <f ca="1">IF(AH59="MW",[1]!MTEST($O28:$O43,AH28:AH43,2), IF(AH59="T-Test Welch",_xlfn.T.TEST($O28:$O43,AH28:AH43,2,3),""))</f>
        <v>#NAME?</v>
      </c>
      <c r="AI60" s="157" t="e">
        <f ca="1">IF(AI59="MW",[1]!MTEST($O28:$O43,AI28:AI43,2), IF(AI59="T-Test Welch",_xlfn.T.TEST($O28:$O43,AI28:AI43,2,3),""))</f>
        <v>#NAME?</v>
      </c>
      <c r="AJ60" s="157" t="e">
        <f ca="1">IF(AJ59="MW",[1]!MTEST($O28:$O43,AJ28:AJ43,2), IF(AJ59="T-Test Welch",_xlfn.T.TEST($O28:$O43,AJ28:AJ43,2,3),""))</f>
        <v>#NAME?</v>
      </c>
      <c r="AK60" s="157" t="e">
        <f ca="1">IF(AK59="MW",[1]!MTEST($O28:$O43,AK28:AK43,2), IF(AK59="T-Test Welch",_xlfn.T.TEST($O28:$O43,AK28:AK43,2,3),""))</f>
        <v>#NAME?</v>
      </c>
    </row>
    <row r="61" spans="1:37" s="3" customFormat="1" ht="15.75" thickBot="1" x14ac:dyDescent="0.3">
      <c r="A61" s="65" t="s">
        <v>84</v>
      </c>
      <c r="B61" s="146"/>
      <c r="C61" s="146" t="e">
        <f t="shared" ref="C61:O61" ca="1" si="56">IF(C60&gt;0.05,"NS",IF(C60&gt;0.01,"*",IF(C60&gt;0.001,"**","***")))</f>
        <v>#NAME?</v>
      </c>
      <c r="D61" s="146" t="e">
        <f t="shared" ca="1" si="56"/>
        <v>#NAME?</v>
      </c>
      <c r="E61" s="146" t="e">
        <f t="shared" ca="1" si="56"/>
        <v>#NAME?</v>
      </c>
      <c r="F61" s="146" t="e">
        <f t="shared" ca="1" si="56"/>
        <v>#NAME?</v>
      </c>
      <c r="G61" s="146" t="e">
        <f t="shared" ca="1" si="56"/>
        <v>#NAME?</v>
      </c>
      <c r="H61" s="146" t="e">
        <f t="shared" ca="1" si="56"/>
        <v>#NAME?</v>
      </c>
      <c r="I61" s="146" t="e">
        <f t="shared" ca="1" si="56"/>
        <v>#NAME?</v>
      </c>
      <c r="J61" s="146" t="e">
        <f t="shared" ca="1" si="56"/>
        <v>#NAME?</v>
      </c>
      <c r="K61" s="146" t="e">
        <f t="shared" ca="1" si="56"/>
        <v>#NAME?</v>
      </c>
      <c r="L61" s="146" t="e">
        <f t="shared" ca="1" si="56"/>
        <v>#NAME?</v>
      </c>
      <c r="M61" s="146" t="e">
        <f t="shared" ca="1" si="56"/>
        <v>#NAME?</v>
      </c>
      <c r="N61" s="146"/>
      <c r="O61" s="146" t="e">
        <f t="shared" ca="1" si="56"/>
        <v>#NAME?</v>
      </c>
      <c r="P61" s="146" t="e">
        <f ca="1">IF(P60&gt;0.05,"NS",IF(P60&gt;0.01,"*",IF(P60&gt;0.001,"**","***")))</f>
        <v>#NAME?</v>
      </c>
      <c r="Q61" s="146" t="e">
        <f t="shared" ref="Q61:AK61" ca="1" si="57">IF(Q60&gt;0.05,"NS",IF(Q60&gt;0.01,"*",IF(Q60&gt;0.001,"**","***")))</f>
        <v>#NAME?</v>
      </c>
      <c r="R61" s="146" t="e">
        <f t="shared" ca="1" si="57"/>
        <v>#NAME?</v>
      </c>
      <c r="S61" s="146" t="e">
        <f t="shared" ca="1" si="57"/>
        <v>#NAME?</v>
      </c>
      <c r="T61" s="146" t="e">
        <f t="shared" ca="1" si="57"/>
        <v>#NAME?</v>
      </c>
      <c r="U61" s="146" t="e">
        <f t="shared" ca="1" si="57"/>
        <v>#NAME?</v>
      </c>
      <c r="V61" s="146" t="e">
        <f t="shared" ca="1" si="57"/>
        <v>#NAME?</v>
      </c>
      <c r="W61" s="146" t="e">
        <f t="shared" ca="1" si="57"/>
        <v>#NAME?</v>
      </c>
      <c r="X61" s="146" t="e">
        <f t="shared" ca="1" si="57"/>
        <v>#NAME?</v>
      </c>
      <c r="Y61" s="146" t="e">
        <f t="shared" ca="1" si="57"/>
        <v>#NAME?</v>
      </c>
      <c r="Z61" s="146" t="e">
        <f t="shared" ca="1" si="57"/>
        <v>#NAME?</v>
      </c>
      <c r="AA61" s="146" t="e">
        <f t="shared" ca="1" si="57"/>
        <v>#NAME?</v>
      </c>
      <c r="AB61" s="146" t="e">
        <f t="shared" ca="1" si="57"/>
        <v>#NAME?</v>
      </c>
      <c r="AC61" s="146" t="e">
        <f t="shared" ca="1" si="57"/>
        <v>#NAME?</v>
      </c>
      <c r="AD61" s="146" t="e">
        <f t="shared" ca="1" si="57"/>
        <v>#NAME?</v>
      </c>
      <c r="AE61" s="146" t="e">
        <f t="shared" ca="1" si="57"/>
        <v>#NAME?</v>
      </c>
      <c r="AF61" s="146" t="e">
        <f t="shared" ca="1" si="57"/>
        <v>#NAME?</v>
      </c>
      <c r="AG61" s="146" t="e">
        <f t="shared" ca="1" si="57"/>
        <v>#NAME?</v>
      </c>
      <c r="AH61" s="146" t="e">
        <f t="shared" ca="1" si="57"/>
        <v>#NAME?</v>
      </c>
      <c r="AI61" s="146" t="e">
        <f t="shared" ca="1" si="57"/>
        <v>#NAME?</v>
      </c>
      <c r="AJ61" s="146" t="e">
        <f t="shared" ca="1" si="57"/>
        <v>#NAME?</v>
      </c>
      <c r="AK61" s="146" t="e">
        <f t="shared" ca="1" si="57"/>
        <v>#NAME?</v>
      </c>
    </row>
    <row r="63" spans="1:37" x14ac:dyDescent="0.25">
      <c r="A63" s="2" t="s">
        <v>39</v>
      </c>
    </row>
    <row r="64" spans="1:37" x14ac:dyDescent="0.25">
      <c r="A64" s="1" t="s">
        <v>23</v>
      </c>
      <c r="B64" s="1">
        <f>B46+(3*B47)</f>
        <v>0.24350107861645068</v>
      </c>
    </row>
    <row r="65" spans="1:37" x14ac:dyDescent="0.25">
      <c r="A65" s="1" t="s">
        <v>24</v>
      </c>
      <c r="B65" s="1">
        <f>B46+(10*B47)</f>
        <v>0.635571253246351</v>
      </c>
    </row>
    <row r="66" spans="1:37" ht="15.75" thickBot="1" x14ac:dyDescent="0.3"/>
    <row r="67" spans="1:37" ht="27" thickBot="1" x14ac:dyDescent="0.45">
      <c r="A67" s="224" t="s">
        <v>45</v>
      </c>
      <c r="B67" s="225"/>
      <c r="C67" s="225"/>
      <c r="D67" s="225"/>
      <c r="E67" s="225"/>
      <c r="F67" s="225"/>
      <c r="G67" s="225"/>
      <c r="H67" s="225"/>
      <c r="I67" s="225"/>
      <c r="J67" s="225"/>
      <c r="K67" s="225"/>
      <c r="L67" s="225"/>
      <c r="M67" s="225"/>
      <c r="N67" s="225"/>
      <c r="O67" s="225"/>
      <c r="P67" s="225"/>
      <c r="Q67" s="225"/>
      <c r="R67" s="225"/>
      <c r="S67" s="225"/>
      <c r="T67" s="225"/>
      <c r="U67" s="225"/>
      <c r="V67" s="225"/>
      <c r="W67" s="225"/>
      <c r="X67" s="225"/>
      <c r="Y67" s="225"/>
      <c r="Z67" s="225"/>
      <c r="AA67" s="225"/>
      <c r="AB67" s="225"/>
      <c r="AC67" s="225"/>
      <c r="AD67" s="225"/>
      <c r="AE67" s="225"/>
      <c r="AF67" s="225"/>
      <c r="AG67" s="225"/>
      <c r="AH67" s="225"/>
      <c r="AI67" s="225"/>
      <c r="AJ67" s="225"/>
      <c r="AK67" s="226"/>
    </row>
    <row r="68" spans="1:37" ht="16.5" x14ac:dyDescent="0.25">
      <c r="A68" s="12"/>
      <c r="B68" s="12"/>
      <c r="C68" s="12"/>
      <c r="D68" s="12"/>
      <c r="E68" s="12"/>
      <c r="F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row>
    <row r="69" spans="1:37" ht="16.5" x14ac:dyDescent="0.25">
      <c r="A69" s="12"/>
      <c r="B69" s="12"/>
      <c r="C69" s="12"/>
      <c r="D69" s="12"/>
      <c r="E69" s="12"/>
      <c r="F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row>
    <row r="70" spans="1:37" ht="16.5" x14ac:dyDescent="0.25">
      <c r="A70" s="12"/>
      <c r="B70" s="12"/>
      <c r="C70" s="12"/>
      <c r="D70" s="12"/>
      <c r="E70" s="12"/>
      <c r="F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row>
    <row r="71" spans="1:37" ht="16.5" x14ac:dyDescent="0.25">
      <c r="A71" s="12"/>
      <c r="B71" s="12"/>
      <c r="C71" s="12"/>
      <c r="D71" s="12"/>
      <c r="E71" s="12"/>
      <c r="F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row>
    <row r="72" spans="1:37" ht="16.5" x14ac:dyDescent="0.25">
      <c r="A72" s="12"/>
      <c r="B72" s="12"/>
      <c r="C72" s="12"/>
      <c r="D72" s="12"/>
      <c r="E72" s="12"/>
      <c r="F72" s="12"/>
      <c r="N72" s="12"/>
      <c r="O72" s="12"/>
      <c r="P72" s="12"/>
      <c r="Q72" s="12"/>
      <c r="R72" s="12"/>
      <c r="S72" s="12"/>
      <c r="T72" s="12"/>
      <c r="U72" s="12"/>
      <c r="V72" s="12"/>
      <c r="W72" s="12"/>
      <c r="X72" s="12"/>
      <c r="Y72" s="12"/>
      <c r="Z72" s="12"/>
      <c r="AA72" s="12"/>
      <c r="AB72" s="12"/>
      <c r="AC72" s="12"/>
      <c r="AD72" s="12"/>
      <c r="AE72" s="12"/>
      <c r="AF72" s="12"/>
      <c r="AG72" s="12"/>
      <c r="AH72" s="12"/>
      <c r="AI72" s="12"/>
      <c r="AJ72" s="12"/>
      <c r="AK72" s="12"/>
    </row>
    <row r="73" spans="1:37" ht="16.5" x14ac:dyDescent="0.25">
      <c r="A73" s="12"/>
      <c r="B73" s="12"/>
      <c r="C73" s="12"/>
      <c r="D73" s="12"/>
      <c r="E73" s="12"/>
      <c r="F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row>
    <row r="74" spans="1:37" ht="16.5" x14ac:dyDescent="0.25">
      <c r="A74" s="12"/>
      <c r="B74" s="12"/>
      <c r="C74" s="12"/>
      <c r="D74" s="12"/>
      <c r="E74" s="12"/>
      <c r="F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row>
  </sheetData>
  <protectedRanges>
    <protectedRange sqref="O51:AK51" name="Plage2"/>
    <protectedRange sqref="R5:AK20" name="Plage1"/>
    <protectedRange sqref="B51:J51" name="Plage2_1"/>
    <protectedRange sqref="O5:O20 B5:J20" name="Plage1_1"/>
  </protectedRanges>
  <mergeCells count="9">
    <mergeCell ref="A1:AK1"/>
    <mergeCell ref="A67:AK67"/>
    <mergeCell ref="A5:A20"/>
    <mergeCell ref="B3:M3"/>
    <mergeCell ref="O3:AK3"/>
    <mergeCell ref="B26:M26"/>
    <mergeCell ref="O26:AK26"/>
    <mergeCell ref="A28:A43"/>
    <mergeCell ref="A50:AK50"/>
  </mergeCells>
  <pageMargins left="0.7" right="0.7" top="0.75" bottom="0.75" header="0.3" footer="0.3"/>
  <pageSetup paperSize="9" scale="21" orientation="landscape" r:id="rId1"/>
  <headerFooter>
    <oddHeader>&amp;C&amp;"-,Gras"&amp;14Données brutes et normalisées R1&amp;R&amp;"-,Gras"&amp;14Page : &amp;P/&amp;P</oddHeader>
    <oddFooter>&amp;C&amp;1#&amp;"Arial"&amp;10&amp;K000000Internal</oddFooter>
  </headerFooter>
  <colBreaks count="1" manualBreakCount="1">
    <brk id="14"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N1711"/>
  <sheetViews>
    <sheetView showGridLines="0" topLeftCell="J1" zoomScale="80" zoomScaleNormal="80" workbookViewId="0">
      <selection activeCell="Z5" sqref="Z5:AD12"/>
    </sheetView>
  </sheetViews>
  <sheetFormatPr defaultColWidth="11.42578125" defaultRowHeight="15" x14ac:dyDescent="0.25"/>
  <cols>
    <col min="1" max="2" width="15" style="1" customWidth="1"/>
    <col min="3" max="3" width="25.42578125" style="1" customWidth="1"/>
    <col min="4" max="4" width="14" style="1" customWidth="1"/>
    <col min="5" max="5" width="21.140625" style="1" customWidth="1"/>
    <col min="6" max="6" width="11.42578125" style="1"/>
    <col min="7" max="7" width="21.42578125" style="1" customWidth="1"/>
    <col min="8" max="8" width="12.28515625" style="1" customWidth="1"/>
    <col min="9" max="9" width="17.140625" style="1" customWidth="1"/>
    <col min="10" max="10" width="11.42578125" style="1"/>
    <col min="11" max="11" width="37.42578125" style="1" bestFit="1" customWidth="1"/>
    <col min="12" max="12" width="38.42578125" style="1" bestFit="1" customWidth="1"/>
    <col min="13" max="14" width="12.85546875" style="1" customWidth="1"/>
    <col min="15" max="25" width="12.28515625" style="1" customWidth="1"/>
    <col min="26" max="16384" width="11.42578125" style="1"/>
  </cols>
  <sheetData>
    <row r="1" spans="1:144" x14ac:dyDescent="0.25">
      <c r="A1" s="1" t="s">
        <v>107</v>
      </c>
      <c r="B1" s="1" t="s">
        <v>108</v>
      </c>
      <c r="C1" s="1" t="s">
        <v>109</v>
      </c>
      <c r="D1" s="1" t="s">
        <v>110</v>
      </c>
      <c r="E1" s="1" t="s">
        <v>111</v>
      </c>
      <c r="F1" s="1" t="s">
        <v>112</v>
      </c>
      <c r="G1" s="1" t="s">
        <v>113</v>
      </c>
      <c r="H1" s="1" t="s">
        <v>117</v>
      </c>
      <c r="I1" s="1" t="s">
        <v>118</v>
      </c>
      <c r="J1" s="1" t="s">
        <v>1677</v>
      </c>
      <c r="K1" s="122"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25">
      <c r="A2" s="1" t="str">
        <f t="shared" ref="A2:A65" si="0">IFERROR(LEFT(RIGHT(C2,LEN(C2)-SEARCH("@",C2)),SEARCH("/",RIGHT(C2,LEN(C2)-SEARCH("@",C2)-1))),"")</f>
        <v>1</v>
      </c>
      <c r="B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 s="1" t="s">
        <v>3061</v>
      </c>
      <c r="D2" s="1" t="s">
        <v>1559</v>
      </c>
      <c r="E2" s="1" t="s">
        <v>3062</v>
      </c>
      <c r="F2" s="1" t="s">
        <v>112</v>
      </c>
      <c r="G2" s="1">
        <v>221360</v>
      </c>
      <c r="K2" s="161" t="s">
        <v>120</v>
      </c>
      <c r="L2" s="161"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25">
      <c r="A3" s="1" t="str">
        <f t="shared" si="0"/>
        <v>1</v>
      </c>
      <c r="B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 s="1" t="s">
        <v>3063</v>
      </c>
      <c r="D3" s="1" t="s">
        <v>3064</v>
      </c>
      <c r="E3" s="1" t="s">
        <v>3065</v>
      </c>
      <c r="F3" s="1" t="s">
        <v>112</v>
      </c>
      <c r="G3" s="1">
        <v>336475</v>
      </c>
      <c r="K3" s="122" t="s">
        <v>154</v>
      </c>
      <c r="L3" s="122"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25">
      <c r="A4" s="1" t="str">
        <f t="shared" si="0"/>
        <v>1</v>
      </c>
      <c r="B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 s="1" t="s">
        <v>3066</v>
      </c>
      <c r="D4" s="1" t="s">
        <v>717</v>
      </c>
      <c r="E4" s="1">
        <v>39</v>
      </c>
      <c r="F4" s="1" t="s">
        <v>112</v>
      </c>
      <c r="G4" s="1">
        <v>2531</v>
      </c>
      <c r="K4" s="122" t="s">
        <v>100</v>
      </c>
      <c r="L4" s="1" t="s">
        <v>1678</v>
      </c>
      <c r="M4" s="1" t="s">
        <v>1679</v>
      </c>
      <c r="N4" s="1" t="s">
        <v>1680</v>
      </c>
      <c r="O4" s="1" t="s">
        <v>1681</v>
      </c>
      <c r="P4" s="1" t="s">
        <v>1682</v>
      </c>
      <c r="Q4" s="1" t="s">
        <v>1683</v>
      </c>
      <c r="R4" s="1" t="s">
        <v>1684</v>
      </c>
      <c r="S4" s="1" t="s">
        <v>1685</v>
      </c>
      <c r="T4" s="1" t="s">
        <v>1686</v>
      </c>
      <c r="U4" s="1" t="s">
        <v>1687</v>
      </c>
      <c r="V4" s="1" t="s">
        <v>1688</v>
      </c>
      <c r="W4" s="1" t="s">
        <v>1689</v>
      </c>
      <c r="X4" s="1" t="s">
        <v>1690</v>
      </c>
      <c r="Y4" s="1" t="s">
        <v>1691</v>
      </c>
      <c r="Z4" s="1" t="s">
        <v>1692</v>
      </c>
      <c r="AA4" s="1" t="s">
        <v>1693</v>
      </c>
      <c r="AB4" s="1" t="s">
        <v>1694</v>
      </c>
      <c r="AC4" s="1" t="s">
        <v>1695</v>
      </c>
      <c r="AD4" s="1" t="s">
        <v>1696</v>
      </c>
      <c r="AE4" s="1" t="s">
        <v>1697</v>
      </c>
      <c r="AF4" s="1" t="s">
        <v>1698</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25">
      <c r="A5" s="1" t="str">
        <f t="shared" si="0"/>
        <v>1</v>
      </c>
      <c r="B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 s="1" t="s">
        <v>3067</v>
      </c>
      <c r="D5" s="1" t="s">
        <v>3068</v>
      </c>
      <c r="E5" s="1" t="s">
        <v>3069</v>
      </c>
      <c r="F5" s="1" t="s">
        <v>112</v>
      </c>
      <c r="G5" s="1">
        <v>219587</v>
      </c>
      <c r="K5" s="149" t="s">
        <v>164</v>
      </c>
      <c r="L5" s="44">
        <v>186788.66666666666</v>
      </c>
      <c r="M5" s="44">
        <v>422215.66666666669</v>
      </c>
      <c r="N5" s="44">
        <v>863645.66666666663</v>
      </c>
      <c r="O5" s="44">
        <v>3171721.3333333335</v>
      </c>
      <c r="P5" s="44">
        <v>272082</v>
      </c>
      <c r="Q5" s="44">
        <v>182318.33333333334</v>
      </c>
      <c r="R5" s="44">
        <v>30678.666666666668</v>
      </c>
      <c r="S5" s="44">
        <v>159239.33333333334</v>
      </c>
      <c r="T5" s="44">
        <v>571389.66666666663</v>
      </c>
      <c r="U5" s="44">
        <v>2933893.6666666665</v>
      </c>
      <c r="V5" s="44">
        <v>4452795</v>
      </c>
      <c r="W5" s="44">
        <v>2185239.3333333335</v>
      </c>
      <c r="X5" s="44">
        <v>4594788</v>
      </c>
      <c r="Y5" s="44">
        <v>4342720.333333333</v>
      </c>
      <c r="Z5" s="44">
        <v>1169795.3333333333</v>
      </c>
      <c r="AA5" s="44">
        <v>3407335.6666666665</v>
      </c>
      <c r="AB5" s="44">
        <v>4070205.3333333335</v>
      </c>
      <c r="AC5" s="44">
        <v>3213207.3333333335</v>
      </c>
      <c r="AD5" s="44">
        <v>3499717</v>
      </c>
      <c r="AE5" s="44">
        <v>196356.33333333334</v>
      </c>
      <c r="AF5" s="44">
        <v>59165</v>
      </c>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25">
      <c r="A6" s="1" t="str">
        <f t="shared" si="0"/>
        <v>1</v>
      </c>
      <c r="B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 s="1" t="s">
        <v>3070</v>
      </c>
      <c r="D6" s="1" t="s">
        <v>1594</v>
      </c>
      <c r="E6" s="1" t="s">
        <v>3071</v>
      </c>
      <c r="F6" s="1" t="s">
        <v>112</v>
      </c>
      <c r="G6" s="1">
        <v>265983</v>
      </c>
      <c r="K6" s="149" t="s">
        <v>1699</v>
      </c>
      <c r="L6" s="44">
        <v>285796</v>
      </c>
      <c r="M6" s="44">
        <v>1704209</v>
      </c>
      <c r="N6" s="44">
        <v>2295753.6666666665</v>
      </c>
      <c r="O6" s="44">
        <v>4704920.333333333</v>
      </c>
      <c r="P6" s="44">
        <v>202218</v>
      </c>
      <c r="Q6" s="44">
        <v>33663.666666666664</v>
      </c>
      <c r="R6" s="44">
        <v>643489.33333333337</v>
      </c>
      <c r="S6" s="44">
        <v>929609.33333333337</v>
      </c>
      <c r="T6" s="44">
        <v>2308530</v>
      </c>
      <c r="U6" s="44">
        <v>3693218</v>
      </c>
      <c r="V6" s="44">
        <v>3993376</v>
      </c>
      <c r="W6" s="44">
        <v>25011</v>
      </c>
      <c r="X6" s="44"/>
      <c r="Y6" s="44">
        <v>3695856.6666666665</v>
      </c>
      <c r="Z6" s="44">
        <v>1808980.3333333333</v>
      </c>
      <c r="AA6" s="44">
        <v>3988019</v>
      </c>
      <c r="AB6" s="44">
        <v>2931925</v>
      </c>
      <c r="AC6" s="44">
        <v>3077263.3333333335</v>
      </c>
      <c r="AD6" s="44">
        <v>2501605.6666666665</v>
      </c>
      <c r="AE6" s="44">
        <v>270258.33333333331</v>
      </c>
      <c r="AF6" s="44">
        <v>164019.5</v>
      </c>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25">
      <c r="A7" s="1" t="str">
        <f t="shared" si="0"/>
        <v>1</v>
      </c>
      <c r="B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 s="1" t="s">
        <v>3072</v>
      </c>
      <c r="D7" s="1" t="s">
        <v>3073</v>
      </c>
      <c r="E7" s="1" t="s">
        <v>3074</v>
      </c>
      <c r="F7" s="1" t="s">
        <v>112</v>
      </c>
      <c r="G7" s="1">
        <v>371818</v>
      </c>
      <c r="K7" s="149" t="s">
        <v>1700</v>
      </c>
      <c r="L7" s="44">
        <v>241616.5</v>
      </c>
      <c r="M7" s="44">
        <v>1350585</v>
      </c>
      <c r="N7" s="44">
        <v>2210741.3333333335</v>
      </c>
      <c r="O7" s="44">
        <v>4637096.333333333</v>
      </c>
      <c r="P7" s="44">
        <v>154653.66666666666</v>
      </c>
      <c r="Q7" s="44">
        <v>132259.33333333334</v>
      </c>
      <c r="R7" s="44">
        <v>149952.66666666666</v>
      </c>
      <c r="S7" s="44">
        <v>463802.66666666669</v>
      </c>
      <c r="T7" s="44">
        <v>2311652</v>
      </c>
      <c r="U7" s="44">
        <v>3003181</v>
      </c>
      <c r="V7" s="44">
        <v>2346483</v>
      </c>
      <c r="W7" s="44">
        <v>128698</v>
      </c>
      <c r="X7" s="44">
        <v>4387631.333333333</v>
      </c>
      <c r="Y7" s="44">
        <v>5394247</v>
      </c>
      <c r="Z7" s="44">
        <v>1191209</v>
      </c>
      <c r="AA7" s="44">
        <v>2611507</v>
      </c>
      <c r="AB7" s="44">
        <v>1343461.6666666667</v>
      </c>
      <c r="AC7" s="44">
        <v>4346304</v>
      </c>
      <c r="AD7" s="44">
        <v>3525788.3333333335</v>
      </c>
      <c r="AE7" s="44">
        <v>210725.66666666666</v>
      </c>
      <c r="AF7" s="44">
        <v>315515</v>
      </c>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25">
      <c r="A8" s="1" t="str">
        <f t="shared" si="0"/>
        <v>1</v>
      </c>
      <c r="B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8" s="1" t="s">
        <v>3075</v>
      </c>
      <c r="D8" s="1" t="s">
        <v>2959</v>
      </c>
      <c r="E8" s="1" t="s">
        <v>3076</v>
      </c>
      <c r="F8" s="1" t="s">
        <v>112</v>
      </c>
      <c r="G8" s="1">
        <v>341687</v>
      </c>
      <c r="K8" s="149" t="s">
        <v>1701</v>
      </c>
      <c r="L8" s="44"/>
      <c r="M8" s="44">
        <v>3397948.3333333335</v>
      </c>
      <c r="N8" s="44">
        <v>4224956.5</v>
      </c>
      <c r="O8" s="44">
        <v>3897281.6666666665</v>
      </c>
      <c r="P8" s="44">
        <v>68083.666666666672</v>
      </c>
      <c r="Q8" s="44">
        <v>219925.33333333334</v>
      </c>
      <c r="R8" s="44">
        <v>152794</v>
      </c>
      <c r="S8" s="44">
        <v>1012956.6666666666</v>
      </c>
      <c r="T8" s="44">
        <v>4124258.3333333335</v>
      </c>
      <c r="U8" s="44">
        <v>1289149</v>
      </c>
      <c r="V8" s="44">
        <v>4714783.333333333</v>
      </c>
      <c r="W8" s="44">
        <v>790010.5</v>
      </c>
      <c r="X8" s="44">
        <v>3132218</v>
      </c>
      <c r="Y8" s="44"/>
      <c r="Z8" s="44">
        <v>2225298</v>
      </c>
      <c r="AA8" s="44">
        <v>1419534</v>
      </c>
      <c r="AB8" s="44">
        <v>3245847</v>
      </c>
      <c r="AC8" s="44">
        <v>3034998.3333333335</v>
      </c>
      <c r="AD8" s="44">
        <v>4563763.666666667</v>
      </c>
      <c r="AE8" s="44">
        <v>44182.666666666664</v>
      </c>
      <c r="AF8" s="44">
        <v>176694.66666666666</v>
      </c>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25">
      <c r="A9" s="1" t="str">
        <f t="shared" si="0"/>
        <v>1</v>
      </c>
      <c r="B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9" s="1" t="s">
        <v>3077</v>
      </c>
      <c r="K9" s="149" t="s">
        <v>1702</v>
      </c>
      <c r="L9" s="44">
        <v>35285.666666666664</v>
      </c>
      <c r="M9" s="44">
        <v>836276.66666666663</v>
      </c>
      <c r="N9" s="44">
        <v>2149283.3333333335</v>
      </c>
      <c r="O9" s="44">
        <v>4072563</v>
      </c>
      <c r="P9" s="44">
        <v>27870</v>
      </c>
      <c r="Q9" s="44">
        <v>710434</v>
      </c>
      <c r="R9" s="44">
        <v>402186.33333333331</v>
      </c>
      <c r="S9" s="44">
        <v>414998.66666666669</v>
      </c>
      <c r="T9" s="44">
        <v>2195729.6666666665</v>
      </c>
      <c r="U9" s="44">
        <v>5059001.333333333</v>
      </c>
      <c r="V9" s="44"/>
      <c r="W9" s="44">
        <v>720174.66666666663</v>
      </c>
      <c r="X9" s="44">
        <v>3152283.3333333335</v>
      </c>
      <c r="Y9" s="44">
        <v>4806054.333333333</v>
      </c>
      <c r="Z9" s="44">
        <v>2346764.3333333335</v>
      </c>
      <c r="AA9" s="44">
        <v>2504972.6666666665</v>
      </c>
      <c r="AB9" s="44">
        <v>4147604.3333333335</v>
      </c>
      <c r="AC9" s="44">
        <v>4180770</v>
      </c>
      <c r="AD9" s="44">
        <v>3622553</v>
      </c>
      <c r="AE9" s="44">
        <v>465792.33333333331</v>
      </c>
      <c r="AF9" s="44">
        <v>279105</v>
      </c>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25">
      <c r="A10" s="1" t="str">
        <f t="shared" si="0"/>
        <v>1</v>
      </c>
      <c r="B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 s="1" t="s">
        <v>3078</v>
      </c>
      <c r="D10" s="1" t="s">
        <v>191</v>
      </c>
      <c r="E10" s="1" t="s">
        <v>3079</v>
      </c>
      <c r="F10" s="1" t="s">
        <v>112</v>
      </c>
      <c r="G10" s="1">
        <v>141546</v>
      </c>
      <c r="K10" s="149" t="s">
        <v>1703</v>
      </c>
      <c r="L10" s="44">
        <v>13919</v>
      </c>
      <c r="M10" s="44">
        <v>1452368</v>
      </c>
      <c r="N10" s="44">
        <v>1940619.6666666667</v>
      </c>
      <c r="O10" s="44">
        <v>2518685.6666666665</v>
      </c>
      <c r="P10" s="44">
        <v>122886.33333333333</v>
      </c>
      <c r="Q10" s="44">
        <v>582623</v>
      </c>
      <c r="R10" s="44">
        <v>152981.33333333334</v>
      </c>
      <c r="S10" s="44">
        <v>1028717.6666666666</v>
      </c>
      <c r="T10" s="44">
        <v>1511576.3333333333</v>
      </c>
      <c r="U10" s="44">
        <v>4806025.666666667</v>
      </c>
      <c r="V10" s="44">
        <v>3322460</v>
      </c>
      <c r="W10" s="44">
        <v>1872413.6666666667</v>
      </c>
      <c r="X10" s="44">
        <v>2711047.6666666665</v>
      </c>
      <c r="Y10" s="44">
        <v>4694235.333333333</v>
      </c>
      <c r="Z10" s="44"/>
      <c r="AA10" s="44">
        <v>2196897.6666666665</v>
      </c>
      <c r="AB10" s="44">
        <v>4029325</v>
      </c>
      <c r="AC10" s="44">
        <v>1343598.6666666667</v>
      </c>
      <c r="AD10" s="44">
        <v>3458360.3333333335</v>
      </c>
      <c r="AE10" s="44">
        <v>233336</v>
      </c>
      <c r="AF10" s="44">
        <v>215087.66666666666</v>
      </c>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25">
      <c r="A11" s="1" t="str">
        <f t="shared" si="0"/>
        <v>1</v>
      </c>
      <c r="B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 s="1" t="s">
        <v>3080</v>
      </c>
      <c r="K11" s="149" t="s">
        <v>1704</v>
      </c>
      <c r="L11" s="44">
        <v>40231.666666666664</v>
      </c>
      <c r="M11" s="44">
        <v>1731192</v>
      </c>
      <c r="N11" s="44">
        <v>1695805.3333333333</v>
      </c>
      <c r="O11" s="44">
        <v>3911334</v>
      </c>
      <c r="P11" s="44">
        <v>57247</v>
      </c>
      <c r="Q11" s="44">
        <v>279746.66666666669</v>
      </c>
      <c r="R11" s="44">
        <v>369229.66666666669</v>
      </c>
      <c r="S11" s="44">
        <v>2110270.3333333335</v>
      </c>
      <c r="T11" s="44">
        <v>1713469.6666666667</v>
      </c>
      <c r="U11" s="44">
        <v>2120941</v>
      </c>
      <c r="V11" s="44">
        <v>4618415.333333333</v>
      </c>
      <c r="W11" s="44">
        <v>2985170.6666666665</v>
      </c>
      <c r="X11" s="44">
        <v>4070032.6666666665</v>
      </c>
      <c r="Y11" s="44">
        <v>3579365.3333333335</v>
      </c>
      <c r="Z11" s="44">
        <v>1658897.6666666667</v>
      </c>
      <c r="AA11" s="44">
        <v>3964947.3333333335</v>
      </c>
      <c r="AB11" s="44">
        <v>1202081.3333333333</v>
      </c>
      <c r="AC11" s="44">
        <v>4511469.666666667</v>
      </c>
      <c r="AD11" s="44">
        <v>2763918.3333333335</v>
      </c>
      <c r="AE11" s="44"/>
      <c r="AF11" s="44">
        <v>260250.66666666666</v>
      </c>
      <c r="AG11"/>
    </row>
    <row r="12" spans="1:144" x14ac:dyDescent="0.25">
      <c r="A12" s="1" t="str">
        <f t="shared" si="0"/>
        <v>1</v>
      </c>
      <c r="B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2" s="1" t="s">
        <v>3081</v>
      </c>
      <c r="K12" s="149" t="s">
        <v>1705</v>
      </c>
      <c r="L12" s="44">
        <v>179347.66666666666</v>
      </c>
      <c r="M12" s="44">
        <v>3280425.6666666665</v>
      </c>
      <c r="N12" s="44">
        <v>390160</v>
      </c>
      <c r="O12" s="44">
        <v>4231644</v>
      </c>
      <c r="P12" s="44">
        <v>202109.5</v>
      </c>
      <c r="Q12" s="44">
        <v>411227.66666666669</v>
      </c>
      <c r="R12" s="44">
        <v>98207</v>
      </c>
      <c r="S12" s="44">
        <v>417795.66666666669</v>
      </c>
      <c r="T12" s="44">
        <v>3282920.6666666665</v>
      </c>
      <c r="U12" s="44">
        <v>3838052</v>
      </c>
      <c r="V12" s="44">
        <v>3175996.6666666665</v>
      </c>
      <c r="W12" s="44">
        <v>1267677.6666666667</v>
      </c>
      <c r="X12" s="44">
        <v>2786644</v>
      </c>
      <c r="Y12" s="44">
        <v>5703695.333333333</v>
      </c>
      <c r="Z12" s="44">
        <v>3020607.6666666665</v>
      </c>
      <c r="AA12" s="44">
        <v>3153588</v>
      </c>
      <c r="AB12" s="44">
        <v>3674169.3333333335</v>
      </c>
      <c r="AC12" s="44">
        <v>4237173.666666667</v>
      </c>
      <c r="AD12" s="44">
        <v>4514256.5</v>
      </c>
      <c r="AE12" s="44">
        <v>139433.66666666666</v>
      </c>
      <c r="AF12" s="44">
        <v>189132</v>
      </c>
      <c r="AG12"/>
    </row>
    <row r="13" spans="1:144" x14ac:dyDescent="0.25">
      <c r="A13" s="1" t="str">
        <f t="shared" si="0"/>
        <v>1</v>
      </c>
      <c r="B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3" s="1" t="s">
        <v>3082</v>
      </c>
      <c r="K13"/>
      <c r="L13"/>
      <c r="M13"/>
      <c r="N13"/>
      <c r="O13"/>
      <c r="P13"/>
      <c r="Q13"/>
      <c r="R13"/>
      <c r="S13"/>
      <c r="T13"/>
      <c r="U13"/>
      <c r="V13"/>
      <c r="W13"/>
      <c r="X13"/>
      <c r="Y13"/>
      <c r="Z13"/>
      <c r="AA13"/>
      <c r="AB13"/>
      <c r="AC13"/>
      <c r="AD13"/>
      <c r="AE13"/>
      <c r="AF13"/>
      <c r="AG13"/>
    </row>
    <row r="14" spans="1:144" x14ac:dyDescent="0.25">
      <c r="A14" s="1" t="str">
        <f t="shared" si="0"/>
        <v>1</v>
      </c>
      <c r="B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 s="1" t="s">
        <v>3083</v>
      </c>
      <c r="D14" s="1" t="s">
        <v>613</v>
      </c>
      <c r="E14" s="1" t="s">
        <v>3084</v>
      </c>
      <c r="F14" s="1" t="s">
        <v>112</v>
      </c>
      <c r="G14" s="1">
        <v>33375</v>
      </c>
      <c r="K14"/>
      <c r="L14"/>
      <c r="M14"/>
      <c r="N14"/>
      <c r="O14"/>
      <c r="P14"/>
      <c r="Q14"/>
      <c r="R14"/>
      <c r="S14"/>
      <c r="T14"/>
      <c r="U14"/>
      <c r="V14"/>
      <c r="W14"/>
      <c r="X14"/>
      <c r="Y14"/>
      <c r="Z14"/>
      <c r="AA14"/>
      <c r="AB14"/>
      <c r="AC14"/>
      <c r="AD14"/>
      <c r="AE14"/>
      <c r="AF14"/>
      <c r="AG14"/>
    </row>
    <row r="15" spans="1:144" x14ac:dyDescent="0.25">
      <c r="A15" s="1" t="str">
        <f t="shared" si="0"/>
        <v>1</v>
      </c>
      <c r="B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5" s="1" t="s">
        <v>3085</v>
      </c>
      <c r="D15" s="1" t="s">
        <v>3086</v>
      </c>
      <c r="E15" s="1" t="s">
        <v>3087</v>
      </c>
      <c r="F15" s="1" t="s">
        <v>112</v>
      </c>
      <c r="G15" s="1">
        <v>72482</v>
      </c>
    </row>
    <row r="16" spans="1:144" x14ac:dyDescent="0.25">
      <c r="A16" s="1" t="str">
        <f t="shared" si="0"/>
        <v>1</v>
      </c>
      <c r="B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6" s="1" t="s">
        <v>3088</v>
      </c>
      <c r="D16" s="1">
        <v>0</v>
      </c>
      <c r="E16" s="1">
        <v>0</v>
      </c>
      <c r="F16" s="1" t="s">
        <v>112</v>
      </c>
      <c r="G16" s="1">
        <v>0</v>
      </c>
    </row>
    <row r="17" spans="1:10" x14ac:dyDescent="0.25">
      <c r="A17" s="1" t="str">
        <f t="shared" si="0"/>
        <v>1</v>
      </c>
      <c r="B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7" s="1" t="s">
        <v>3089</v>
      </c>
      <c r="D17" s="1" t="s">
        <v>3090</v>
      </c>
      <c r="E17" s="1" t="s">
        <v>3091</v>
      </c>
      <c r="F17" s="1" t="s">
        <v>112</v>
      </c>
      <c r="G17" s="1">
        <v>27838</v>
      </c>
    </row>
    <row r="18" spans="1:10" x14ac:dyDescent="0.25">
      <c r="A18" s="1" t="str">
        <f t="shared" si="0"/>
        <v>1</v>
      </c>
      <c r="B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 s="1" t="s">
        <v>3092</v>
      </c>
    </row>
    <row r="19" spans="1:10" x14ac:dyDescent="0.25">
      <c r="A19" s="1" t="str">
        <f t="shared" si="0"/>
        <v>1</v>
      </c>
      <c r="B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9" s="1" t="s">
        <v>3093</v>
      </c>
      <c r="D19" s="1">
        <v>0</v>
      </c>
      <c r="E19" s="1">
        <v>0</v>
      </c>
      <c r="F19" s="1" t="s">
        <v>112</v>
      </c>
      <c r="G19" s="1">
        <v>0</v>
      </c>
    </row>
    <row r="20" spans="1:10" x14ac:dyDescent="0.25">
      <c r="A20" s="1" t="str">
        <f t="shared" si="0"/>
        <v>1</v>
      </c>
      <c r="B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0" s="1" t="s">
        <v>3094</v>
      </c>
      <c r="D20" s="1" t="s">
        <v>2168</v>
      </c>
      <c r="E20" s="1" t="s">
        <v>3095</v>
      </c>
      <c r="F20" s="1" t="s">
        <v>112</v>
      </c>
      <c r="G20" s="1">
        <v>5516</v>
      </c>
    </row>
    <row r="21" spans="1:10" x14ac:dyDescent="0.25">
      <c r="A21" s="1" t="str">
        <f t="shared" si="0"/>
        <v>1</v>
      </c>
      <c r="B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1" s="1" t="s">
        <v>3096</v>
      </c>
      <c r="D21" s="1" t="s">
        <v>3097</v>
      </c>
      <c r="E21" s="1" t="s">
        <v>3098</v>
      </c>
      <c r="F21" s="1" t="s">
        <v>112</v>
      </c>
      <c r="G21" s="1">
        <v>38674</v>
      </c>
    </row>
    <row r="22" spans="1:10" x14ac:dyDescent="0.25">
      <c r="A22" s="1" t="str">
        <f t="shared" si="0"/>
        <v>1</v>
      </c>
      <c r="B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2" s="1" t="s">
        <v>3099</v>
      </c>
      <c r="D22" s="1" t="s">
        <v>3100</v>
      </c>
      <c r="E22" s="1" t="s">
        <v>3101</v>
      </c>
      <c r="F22" s="1" t="s">
        <v>112</v>
      </c>
      <c r="G22" s="1">
        <v>76505</v>
      </c>
    </row>
    <row r="23" spans="1:10" x14ac:dyDescent="0.25">
      <c r="A23" s="1" t="str">
        <f t="shared" si="0"/>
        <v>1</v>
      </c>
      <c r="B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3" s="1" t="s">
        <v>3102</v>
      </c>
      <c r="D23" s="1" t="s">
        <v>2990</v>
      </c>
      <c r="E23" s="1" t="s">
        <v>3103</v>
      </c>
      <c r="F23" s="1" t="s">
        <v>112</v>
      </c>
      <c r="G23" s="1">
        <v>263863</v>
      </c>
    </row>
    <row r="24" spans="1:10" x14ac:dyDescent="0.25">
      <c r="A24" s="1" t="str">
        <f t="shared" si="0"/>
        <v>1</v>
      </c>
      <c r="B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4" s="1" t="s">
        <v>3104</v>
      </c>
      <c r="D24" s="1" t="s">
        <v>3105</v>
      </c>
      <c r="E24" s="1" t="s">
        <v>3106</v>
      </c>
      <c r="F24" s="1" t="s">
        <v>112</v>
      </c>
      <c r="G24" s="1">
        <v>271498</v>
      </c>
    </row>
    <row r="25" spans="1:10" x14ac:dyDescent="0.25">
      <c r="A25" s="1" t="str">
        <f t="shared" si="0"/>
        <v>1</v>
      </c>
      <c r="B2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 s="1" t="s">
        <v>3107</v>
      </c>
      <c r="D25" s="1" t="s">
        <v>551</v>
      </c>
      <c r="E25" s="1">
        <v>31</v>
      </c>
      <c r="F25" s="1" t="s">
        <v>112</v>
      </c>
      <c r="G25" s="1">
        <v>2682</v>
      </c>
    </row>
    <row r="26" spans="1:10" x14ac:dyDescent="0.25">
      <c r="A26" s="1" t="str">
        <f t="shared" si="0"/>
        <v/>
      </c>
      <c r="B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 s="1" t="s">
        <v>112</v>
      </c>
    </row>
    <row r="27" spans="1:10" x14ac:dyDescent="0.25">
      <c r="A27" s="1" t="str">
        <f t="shared" si="0"/>
        <v/>
      </c>
      <c r="B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7" s="1" t="s">
        <v>237</v>
      </c>
      <c r="D27" s="1" t="s">
        <v>112</v>
      </c>
      <c r="E27" s="1" t="s">
        <v>238</v>
      </c>
      <c r="F27" s="1" t="s">
        <v>239</v>
      </c>
      <c r="G27" s="1" t="s">
        <v>240</v>
      </c>
      <c r="H27" s="1" t="s">
        <v>241</v>
      </c>
      <c r="I27" s="1" t="s">
        <v>242</v>
      </c>
      <c r="J27" s="1" t="s">
        <v>243</v>
      </c>
    </row>
    <row r="28" spans="1:10" x14ac:dyDescent="0.25">
      <c r="A28" s="1" t="str">
        <f t="shared" si="0"/>
        <v>1</v>
      </c>
      <c r="B2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8" s="1" t="s">
        <v>3108</v>
      </c>
      <c r="D28" s="1" t="s">
        <v>112</v>
      </c>
      <c r="E28" s="1" t="s">
        <v>3109</v>
      </c>
      <c r="F28" s="1" t="s">
        <v>3110</v>
      </c>
      <c r="G28" s="1">
        <v>231576</v>
      </c>
      <c r="H28" s="1" t="s">
        <v>3111</v>
      </c>
      <c r="I28" s="1">
        <v>21</v>
      </c>
      <c r="J28" s="1">
        <v>24</v>
      </c>
    </row>
    <row r="29" spans="1:10" x14ac:dyDescent="0.25">
      <c r="A29" s="1" t="str">
        <f t="shared" si="0"/>
        <v/>
      </c>
      <c r="B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 s="1" t="s">
        <v>112</v>
      </c>
    </row>
    <row r="30" spans="1:10" x14ac:dyDescent="0.25">
      <c r="A30" s="1" t="str">
        <f t="shared" si="0"/>
        <v/>
      </c>
      <c r="B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0" s="1" t="s">
        <v>112</v>
      </c>
    </row>
    <row r="31" spans="1:10" x14ac:dyDescent="0.25">
      <c r="A31" s="1" t="str">
        <f t="shared" si="0"/>
        <v/>
      </c>
      <c r="B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1" s="1" t="s">
        <v>112</v>
      </c>
    </row>
    <row r="32" spans="1:10" x14ac:dyDescent="0.25">
      <c r="A32" s="1" t="str">
        <f t="shared" si="0"/>
        <v/>
      </c>
      <c r="B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 s="1" t="s">
        <v>112</v>
      </c>
    </row>
    <row r="33" spans="1:7" x14ac:dyDescent="0.25">
      <c r="A33" s="1" t="str">
        <f t="shared" si="0"/>
        <v/>
      </c>
      <c r="B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3" s="1" t="s">
        <v>112</v>
      </c>
    </row>
    <row r="34" spans="1:7" x14ac:dyDescent="0.25">
      <c r="A34" s="1" t="str">
        <f t="shared" si="0"/>
        <v/>
      </c>
      <c r="B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4" s="1" t="s">
        <v>249</v>
      </c>
      <c r="D34" s="1" t="s">
        <v>110</v>
      </c>
      <c r="E34" s="1" t="s">
        <v>111</v>
      </c>
      <c r="F34" s="1" t="s">
        <v>112</v>
      </c>
      <c r="G34" s="1" t="s">
        <v>113</v>
      </c>
    </row>
    <row r="35" spans="1:7" x14ac:dyDescent="0.25">
      <c r="A35" s="1" t="str">
        <f t="shared" si="0"/>
        <v>13</v>
      </c>
      <c r="B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5" s="1" t="s">
        <v>3112</v>
      </c>
      <c r="D35" s="1" t="s">
        <v>3113</v>
      </c>
      <c r="E35" s="1" t="s">
        <v>3114</v>
      </c>
      <c r="F35" s="1" t="s">
        <v>112</v>
      </c>
      <c r="G35" s="1">
        <v>435518</v>
      </c>
    </row>
    <row r="36" spans="1:7" x14ac:dyDescent="0.25">
      <c r="A36" s="1" t="str">
        <f t="shared" si="0"/>
        <v>13</v>
      </c>
      <c r="B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 s="1" t="s">
        <v>3115</v>
      </c>
      <c r="D36" s="1" t="s">
        <v>3116</v>
      </c>
      <c r="E36" s="1" t="s">
        <v>3117</v>
      </c>
      <c r="F36" s="1" t="s">
        <v>112</v>
      </c>
      <c r="G36" s="1">
        <v>494568</v>
      </c>
    </row>
    <row r="37" spans="1:7" x14ac:dyDescent="0.25">
      <c r="A37" s="1" t="str">
        <f t="shared" si="0"/>
        <v>13</v>
      </c>
      <c r="B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7" s="1" t="s">
        <v>3118</v>
      </c>
      <c r="D37" s="1" t="s">
        <v>543</v>
      </c>
      <c r="E37" s="1" t="s">
        <v>3119</v>
      </c>
      <c r="F37" s="1" t="s">
        <v>112</v>
      </c>
      <c r="G37" s="1">
        <v>336561</v>
      </c>
    </row>
    <row r="38" spans="1:7" x14ac:dyDescent="0.25">
      <c r="A38" s="1" t="str">
        <f t="shared" si="0"/>
        <v>13</v>
      </c>
      <c r="B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8" s="1" t="s">
        <v>3120</v>
      </c>
      <c r="D38" s="1" t="s">
        <v>3121</v>
      </c>
      <c r="E38" s="1" t="s">
        <v>3122</v>
      </c>
      <c r="F38" s="1" t="s">
        <v>112</v>
      </c>
      <c r="G38" s="1">
        <v>1963346</v>
      </c>
    </row>
    <row r="39" spans="1:7" x14ac:dyDescent="0.25">
      <c r="A39" s="1" t="str">
        <f t="shared" si="0"/>
        <v>13</v>
      </c>
      <c r="B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9" s="1" t="s">
        <v>3123</v>
      </c>
    </row>
    <row r="40" spans="1:7" x14ac:dyDescent="0.25">
      <c r="A40" s="1" t="str">
        <f t="shared" si="0"/>
        <v>13</v>
      </c>
      <c r="B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 s="1" t="s">
        <v>3124</v>
      </c>
      <c r="D40" s="1" t="s">
        <v>254</v>
      </c>
      <c r="E40" s="1" t="s">
        <v>3125</v>
      </c>
      <c r="F40" s="1" t="s">
        <v>112</v>
      </c>
      <c r="G40" s="1">
        <v>1445072</v>
      </c>
    </row>
    <row r="41" spans="1:7" x14ac:dyDescent="0.25">
      <c r="A41" s="1" t="str">
        <f t="shared" si="0"/>
        <v>13</v>
      </c>
      <c r="B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1" s="1" t="s">
        <v>3126</v>
      </c>
      <c r="D41" s="1" t="s">
        <v>3127</v>
      </c>
      <c r="E41" s="1" t="s">
        <v>3128</v>
      </c>
      <c r="F41" s="1" t="s">
        <v>112</v>
      </c>
      <c r="G41" s="1">
        <v>1262991</v>
      </c>
    </row>
    <row r="42" spans="1:7" x14ac:dyDescent="0.25">
      <c r="A42" s="1" t="str">
        <f t="shared" si="0"/>
        <v>13</v>
      </c>
      <c r="B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2" s="1" t="s">
        <v>3129</v>
      </c>
      <c r="D42" s="1" t="s">
        <v>3130</v>
      </c>
      <c r="E42" s="1" t="s">
        <v>3131</v>
      </c>
      <c r="F42" s="1" t="s">
        <v>112</v>
      </c>
      <c r="G42" s="1">
        <v>1138273</v>
      </c>
    </row>
    <row r="43" spans="1:7" x14ac:dyDescent="0.25">
      <c r="A43" s="1" t="str">
        <f t="shared" si="0"/>
        <v>13</v>
      </c>
      <c r="B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3" s="1" t="s">
        <v>3132</v>
      </c>
      <c r="D43" s="1" t="s">
        <v>3133</v>
      </c>
      <c r="E43" s="1" t="s">
        <v>3134</v>
      </c>
      <c r="F43" s="1" t="s">
        <v>112</v>
      </c>
      <c r="G43" s="1">
        <v>1650491</v>
      </c>
    </row>
    <row r="44" spans="1:7" x14ac:dyDescent="0.25">
      <c r="A44" s="1" t="str">
        <f t="shared" si="0"/>
        <v>13</v>
      </c>
      <c r="B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4" s="1" t="s">
        <v>3135</v>
      </c>
      <c r="D44" s="1" t="s">
        <v>3136</v>
      </c>
      <c r="E44" s="1" t="s">
        <v>3137</v>
      </c>
      <c r="F44" s="1" t="s">
        <v>112</v>
      </c>
      <c r="G44" s="1">
        <v>3642561</v>
      </c>
    </row>
    <row r="45" spans="1:7" x14ac:dyDescent="0.25">
      <c r="A45" s="1" t="str">
        <f t="shared" si="0"/>
        <v>13</v>
      </c>
      <c r="B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5" s="1" t="s">
        <v>3138</v>
      </c>
      <c r="D45" s="1" t="s">
        <v>3139</v>
      </c>
      <c r="E45" s="1" t="s">
        <v>3140</v>
      </c>
      <c r="F45" s="1" t="s">
        <v>112</v>
      </c>
      <c r="G45" s="1">
        <v>3421352</v>
      </c>
    </row>
    <row r="46" spans="1:7" x14ac:dyDescent="0.25">
      <c r="A46" s="1" t="str">
        <f t="shared" si="0"/>
        <v>13</v>
      </c>
      <c r="B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6" s="1" t="s">
        <v>3141</v>
      </c>
      <c r="D46" s="1" t="s">
        <v>3142</v>
      </c>
      <c r="E46" s="1" t="s">
        <v>3143</v>
      </c>
      <c r="F46" s="1" t="s">
        <v>112</v>
      </c>
      <c r="G46" s="1">
        <v>3129932</v>
      </c>
    </row>
    <row r="47" spans="1:7" x14ac:dyDescent="0.25">
      <c r="A47" s="1" t="str">
        <f t="shared" si="0"/>
        <v>13</v>
      </c>
      <c r="B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 s="1" t="s">
        <v>3144</v>
      </c>
      <c r="D47" s="1" t="s">
        <v>3145</v>
      </c>
      <c r="E47" s="1" t="s">
        <v>3146</v>
      </c>
      <c r="F47" s="1" t="s">
        <v>112</v>
      </c>
      <c r="G47" s="1">
        <v>1038862</v>
      </c>
    </row>
    <row r="48" spans="1:7" x14ac:dyDescent="0.25">
      <c r="A48" s="1" t="str">
        <f t="shared" si="0"/>
        <v>13</v>
      </c>
      <c r="B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8" s="1" t="s">
        <v>3147</v>
      </c>
      <c r="D48" s="1" t="s">
        <v>1894</v>
      </c>
      <c r="E48" s="1" t="s">
        <v>3148</v>
      </c>
      <c r="F48" s="1" t="s">
        <v>112</v>
      </c>
      <c r="G48" s="1">
        <v>738380</v>
      </c>
    </row>
    <row r="49" spans="1:10" x14ac:dyDescent="0.25">
      <c r="A49" s="1" t="str">
        <f t="shared" si="0"/>
        <v>13</v>
      </c>
      <c r="B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9" s="1" t="s">
        <v>3149</v>
      </c>
      <c r="D49" s="1" t="s">
        <v>3150</v>
      </c>
      <c r="E49" s="1" t="s">
        <v>3151</v>
      </c>
      <c r="F49" s="1" t="s">
        <v>112</v>
      </c>
      <c r="G49" s="1">
        <v>731588</v>
      </c>
    </row>
    <row r="50" spans="1:10" x14ac:dyDescent="0.25">
      <c r="A50" s="1" t="str">
        <f t="shared" si="0"/>
        <v>13</v>
      </c>
      <c r="B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0" s="1" t="s">
        <v>3152</v>
      </c>
      <c r="D50" s="1" t="s">
        <v>3153</v>
      </c>
      <c r="E50" s="1" t="s">
        <v>3154</v>
      </c>
      <c r="F50" s="1" t="s">
        <v>112</v>
      </c>
      <c r="G50" s="1">
        <v>1408106</v>
      </c>
    </row>
    <row r="51" spans="1:10" x14ac:dyDescent="0.25">
      <c r="A51" s="1" t="str">
        <f t="shared" si="0"/>
        <v>13</v>
      </c>
      <c r="B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 s="1" t="s">
        <v>3155</v>
      </c>
      <c r="D51" s="1" t="s">
        <v>3156</v>
      </c>
      <c r="E51" s="1" t="s">
        <v>3157</v>
      </c>
      <c r="F51" s="1" t="s">
        <v>112</v>
      </c>
      <c r="G51" s="1">
        <v>1532024</v>
      </c>
    </row>
    <row r="52" spans="1:10" x14ac:dyDescent="0.25">
      <c r="A52" s="1" t="str">
        <f t="shared" si="0"/>
        <v>13</v>
      </c>
      <c r="B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2" s="1" t="s">
        <v>3158</v>
      </c>
      <c r="D52" s="1" t="s">
        <v>3159</v>
      </c>
      <c r="E52" s="1" t="s">
        <v>3160</v>
      </c>
      <c r="F52" s="1" t="s">
        <v>112</v>
      </c>
      <c r="G52" s="1">
        <v>1416974</v>
      </c>
    </row>
    <row r="53" spans="1:10" x14ac:dyDescent="0.25">
      <c r="A53" s="1" t="str">
        <f t="shared" si="0"/>
        <v>13</v>
      </c>
      <c r="B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3" s="1" t="s">
        <v>3161</v>
      </c>
      <c r="D53" s="1" t="s">
        <v>3162</v>
      </c>
      <c r="E53" s="1" t="s">
        <v>3163</v>
      </c>
      <c r="F53" s="1" t="s">
        <v>112</v>
      </c>
      <c r="G53" s="1">
        <v>1897526</v>
      </c>
    </row>
    <row r="54" spans="1:10" x14ac:dyDescent="0.25">
      <c r="A54" s="1" t="str">
        <f t="shared" si="0"/>
        <v>13</v>
      </c>
      <c r="B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4" s="1" t="s">
        <v>3164</v>
      </c>
      <c r="D54" s="1" t="s">
        <v>3165</v>
      </c>
      <c r="E54" s="1" t="s">
        <v>3166</v>
      </c>
      <c r="F54" s="1" t="s">
        <v>112</v>
      </c>
      <c r="G54" s="1">
        <v>1440335</v>
      </c>
    </row>
    <row r="55" spans="1:10" x14ac:dyDescent="0.25">
      <c r="A55" s="1" t="str">
        <f t="shared" si="0"/>
        <v>13</v>
      </c>
      <c r="B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5" s="1" t="s">
        <v>3167</v>
      </c>
      <c r="D55" s="1" t="s">
        <v>3168</v>
      </c>
      <c r="E55" s="1" t="s">
        <v>3169</v>
      </c>
      <c r="F55" s="1" t="s">
        <v>112</v>
      </c>
      <c r="G55" s="1">
        <v>1855715</v>
      </c>
    </row>
    <row r="56" spans="1:10" x14ac:dyDescent="0.25">
      <c r="A56" s="1" t="str">
        <f t="shared" si="0"/>
        <v>13</v>
      </c>
      <c r="B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6" s="1" t="s">
        <v>3170</v>
      </c>
      <c r="D56" s="1" t="s">
        <v>1509</v>
      </c>
      <c r="E56" s="1" t="s">
        <v>3171</v>
      </c>
      <c r="F56" s="1" t="s">
        <v>112</v>
      </c>
      <c r="G56" s="1">
        <v>3547692</v>
      </c>
    </row>
    <row r="57" spans="1:10" x14ac:dyDescent="0.25">
      <c r="A57" s="1" t="str">
        <f t="shared" si="0"/>
        <v>13</v>
      </c>
      <c r="B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7" s="1" t="s">
        <v>3172</v>
      </c>
      <c r="D57" s="1" t="s">
        <v>3173</v>
      </c>
      <c r="E57" s="1" t="s">
        <v>3174</v>
      </c>
      <c r="F57" s="1" t="s">
        <v>112</v>
      </c>
      <c r="G57" s="1">
        <v>3177085</v>
      </c>
    </row>
    <row r="58" spans="1:10" x14ac:dyDescent="0.25">
      <c r="A58" s="1" t="str">
        <f t="shared" si="0"/>
        <v>13</v>
      </c>
      <c r="B5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8" s="1" t="s">
        <v>3175</v>
      </c>
      <c r="D58" s="1" t="s">
        <v>3176</v>
      </c>
      <c r="E58" s="1" t="s">
        <v>3177</v>
      </c>
      <c r="F58" s="1" t="s">
        <v>112</v>
      </c>
      <c r="G58" s="1">
        <v>3116500</v>
      </c>
    </row>
    <row r="59" spans="1:10" x14ac:dyDescent="0.25">
      <c r="A59" s="1" t="str">
        <f t="shared" si="0"/>
        <v/>
      </c>
      <c r="B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 s="1" t="s">
        <v>112</v>
      </c>
    </row>
    <row r="60" spans="1:10" x14ac:dyDescent="0.25">
      <c r="A60" s="1" t="str">
        <f t="shared" si="0"/>
        <v/>
      </c>
      <c r="B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0" s="1" t="s">
        <v>237</v>
      </c>
      <c r="D60" s="1" t="s">
        <v>112</v>
      </c>
      <c r="E60" s="1" t="s">
        <v>238</v>
      </c>
      <c r="F60" s="1" t="s">
        <v>239</v>
      </c>
      <c r="G60" s="1" t="s">
        <v>240</v>
      </c>
      <c r="H60" s="1" t="s">
        <v>241</v>
      </c>
      <c r="I60" s="1" t="s">
        <v>242</v>
      </c>
      <c r="J60" s="1" t="s">
        <v>243</v>
      </c>
    </row>
    <row r="61" spans="1:10" x14ac:dyDescent="0.25">
      <c r="A61" s="1" t="str">
        <f t="shared" si="0"/>
        <v>13</v>
      </c>
      <c r="B6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1" s="1" t="s">
        <v>3178</v>
      </c>
      <c r="D61" s="1" t="s">
        <v>112</v>
      </c>
      <c r="E61" s="1" t="s">
        <v>3179</v>
      </c>
      <c r="F61" s="1" t="s">
        <v>3180</v>
      </c>
      <c r="G61" s="1" t="s">
        <v>3181</v>
      </c>
      <c r="H61" s="1" t="s">
        <v>3182</v>
      </c>
      <c r="I61" s="1">
        <v>24</v>
      </c>
      <c r="J61" s="1">
        <v>24</v>
      </c>
    </row>
    <row r="62" spans="1:10" x14ac:dyDescent="0.25">
      <c r="A62" s="1" t="str">
        <f t="shared" si="0"/>
        <v/>
      </c>
      <c r="B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 s="1" t="s">
        <v>112</v>
      </c>
    </row>
    <row r="63" spans="1:10" x14ac:dyDescent="0.25">
      <c r="A63" s="1" t="str">
        <f t="shared" si="0"/>
        <v/>
      </c>
      <c r="B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3" s="1" t="s">
        <v>112</v>
      </c>
    </row>
    <row r="64" spans="1:10" x14ac:dyDescent="0.25">
      <c r="A64" s="1" t="str">
        <f t="shared" si="0"/>
        <v/>
      </c>
      <c r="B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4" s="1" t="s">
        <v>112</v>
      </c>
    </row>
    <row r="65" spans="1:7" x14ac:dyDescent="0.25">
      <c r="A65" s="1" t="str">
        <f t="shared" si="0"/>
        <v/>
      </c>
      <c r="B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 s="1" t="s">
        <v>112</v>
      </c>
    </row>
    <row r="66" spans="1:7" x14ac:dyDescent="0.25">
      <c r="A66" s="1" t="str">
        <f t="shared" ref="A66:A129" si="1">IFERROR(LEFT(RIGHT(C66,LEN(C66)-SEARCH("@",C66)),SEARCH("/",RIGHT(C66,LEN(C66)-SEARCH("@",C66)-1))),"")</f>
        <v/>
      </c>
      <c r="B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6" s="1" t="s">
        <v>112</v>
      </c>
    </row>
    <row r="67" spans="1:7" x14ac:dyDescent="0.25">
      <c r="A67" s="1" t="str">
        <f t="shared" si="1"/>
        <v/>
      </c>
      <c r="B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7" s="1" t="s">
        <v>249</v>
      </c>
      <c r="D67" s="1" t="s">
        <v>110</v>
      </c>
      <c r="E67" s="1" t="s">
        <v>111</v>
      </c>
      <c r="F67" s="1" t="s">
        <v>112</v>
      </c>
      <c r="G67" s="1" t="s">
        <v>113</v>
      </c>
    </row>
    <row r="68" spans="1:7" x14ac:dyDescent="0.25">
      <c r="A68" s="1" t="str">
        <f t="shared" si="1"/>
        <v>14</v>
      </c>
      <c r="B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8" s="1" t="s">
        <v>3183</v>
      </c>
      <c r="D68" s="1" t="s">
        <v>3184</v>
      </c>
      <c r="E68" s="1" t="s">
        <v>3185</v>
      </c>
      <c r="F68" s="1" t="s">
        <v>112</v>
      </c>
      <c r="G68" s="1">
        <v>625190</v>
      </c>
    </row>
    <row r="69" spans="1:7" x14ac:dyDescent="0.25">
      <c r="A69" s="1" t="str">
        <f t="shared" si="1"/>
        <v>14</v>
      </c>
      <c r="B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9" s="1" t="s">
        <v>3186</v>
      </c>
      <c r="D69" s="1" t="s">
        <v>3187</v>
      </c>
      <c r="E69" s="1" t="s">
        <v>3188</v>
      </c>
      <c r="F69" s="1" t="s">
        <v>112</v>
      </c>
      <c r="G69" s="1">
        <v>901318</v>
      </c>
    </row>
    <row r="70" spans="1:7" x14ac:dyDescent="0.25">
      <c r="A70" s="1" t="str">
        <f t="shared" si="1"/>
        <v>14</v>
      </c>
      <c r="B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70" s="1" t="s">
        <v>3189</v>
      </c>
      <c r="D70" s="1" t="s">
        <v>3190</v>
      </c>
      <c r="E70" s="1" t="s">
        <v>3191</v>
      </c>
      <c r="F70" s="1" t="s">
        <v>112</v>
      </c>
      <c r="G70" s="1">
        <v>1064429</v>
      </c>
    </row>
    <row r="71" spans="1:7" x14ac:dyDescent="0.25">
      <c r="A71" s="1" t="str">
        <f t="shared" si="1"/>
        <v>14</v>
      </c>
      <c r="B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1" s="1" t="s">
        <v>3192</v>
      </c>
      <c r="D71" s="1" t="s">
        <v>3193</v>
      </c>
      <c r="E71" s="1" t="s">
        <v>3194</v>
      </c>
      <c r="F71" s="1" t="s">
        <v>112</v>
      </c>
      <c r="G71" s="1">
        <v>2136579</v>
      </c>
    </row>
    <row r="72" spans="1:7" x14ac:dyDescent="0.25">
      <c r="A72" s="1" t="str">
        <f t="shared" si="1"/>
        <v>14</v>
      </c>
      <c r="B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2" s="1" t="s">
        <v>3195</v>
      </c>
      <c r="D72" s="1" t="s">
        <v>3196</v>
      </c>
      <c r="E72" s="1" t="s">
        <v>3197</v>
      </c>
      <c r="F72" s="1" t="s">
        <v>112</v>
      </c>
      <c r="G72" s="1">
        <v>2674688</v>
      </c>
    </row>
    <row r="73" spans="1:7" x14ac:dyDescent="0.25">
      <c r="A73" s="1" t="str">
        <f t="shared" si="1"/>
        <v>14</v>
      </c>
      <c r="B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3" s="1" t="s">
        <v>3198</v>
      </c>
      <c r="D73" s="1" t="s">
        <v>3199</v>
      </c>
      <c r="E73" s="1" t="s">
        <v>3200</v>
      </c>
      <c r="F73" s="1" t="s">
        <v>112</v>
      </c>
      <c r="G73" s="1">
        <v>2075994</v>
      </c>
    </row>
    <row r="74" spans="1:7" x14ac:dyDescent="0.25">
      <c r="A74" s="1" t="str">
        <f t="shared" si="1"/>
        <v>14</v>
      </c>
      <c r="B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4" s="1" t="s">
        <v>3201</v>
      </c>
      <c r="D74" s="1" t="s">
        <v>3202</v>
      </c>
      <c r="E74" s="1" t="s">
        <v>3203</v>
      </c>
      <c r="F74" s="1" t="s">
        <v>112</v>
      </c>
      <c r="G74" s="1">
        <v>2069419</v>
      </c>
    </row>
    <row r="75" spans="1:7" x14ac:dyDescent="0.25">
      <c r="A75" s="1" t="str">
        <f t="shared" si="1"/>
        <v>14</v>
      </c>
      <c r="B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5" s="1" t="s">
        <v>3204</v>
      </c>
      <c r="D75" s="1" t="s">
        <v>3205</v>
      </c>
      <c r="E75" s="1" t="s">
        <v>3206</v>
      </c>
      <c r="F75" s="1" t="s">
        <v>112</v>
      </c>
      <c r="G75" s="1">
        <v>2140603</v>
      </c>
    </row>
    <row r="76" spans="1:7" x14ac:dyDescent="0.25">
      <c r="A76" s="1" t="str">
        <f t="shared" si="1"/>
        <v>14</v>
      </c>
      <c r="B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6" s="1" t="s">
        <v>3207</v>
      </c>
      <c r="D76" s="1" t="s">
        <v>3208</v>
      </c>
      <c r="E76" s="1" t="s">
        <v>3209</v>
      </c>
      <c r="F76" s="1" t="s">
        <v>112</v>
      </c>
      <c r="G76" s="1">
        <v>2422202</v>
      </c>
    </row>
    <row r="77" spans="1:7" x14ac:dyDescent="0.25">
      <c r="A77" s="1" t="str">
        <f t="shared" si="1"/>
        <v>14</v>
      </c>
      <c r="B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7" s="1" t="s">
        <v>3210</v>
      </c>
    </row>
    <row r="78" spans="1:7" x14ac:dyDescent="0.25">
      <c r="A78" s="1" t="str">
        <f t="shared" si="1"/>
        <v>14</v>
      </c>
      <c r="B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8" s="1" t="s">
        <v>3211</v>
      </c>
      <c r="D78" s="1" t="s">
        <v>3212</v>
      </c>
      <c r="E78" s="1" t="s">
        <v>3213</v>
      </c>
      <c r="F78" s="1" t="s">
        <v>112</v>
      </c>
      <c r="G78" s="1">
        <v>4113335</v>
      </c>
    </row>
    <row r="79" spans="1:7" x14ac:dyDescent="0.25">
      <c r="A79" s="1" t="str">
        <f t="shared" si="1"/>
        <v>14</v>
      </c>
      <c r="B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9" s="1" t="s">
        <v>3214</v>
      </c>
      <c r="D79" s="1" t="s">
        <v>3215</v>
      </c>
      <c r="E79" s="1" t="s">
        <v>3216</v>
      </c>
      <c r="F79" s="1" t="s">
        <v>112</v>
      </c>
      <c r="G79" s="1">
        <v>4336578</v>
      </c>
    </row>
    <row r="80" spans="1:7" x14ac:dyDescent="0.25">
      <c r="A80" s="1" t="str">
        <f t="shared" si="1"/>
        <v>14</v>
      </c>
      <c r="B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80" s="1" t="s">
        <v>3217</v>
      </c>
      <c r="D80" s="1" t="s">
        <v>3218</v>
      </c>
      <c r="E80" s="1" t="s">
        <v>3219</v>
      </c>
      <c r="F80" s="1" t="s">
        <v>112</v>
      </c>
      <c r="G80" s="1">
        <v>2753897</v>
      </c>
    </row>
    <row r="81" spans="1:10" x14ac:dyDescent="0.25">
      <c r="A81" s="1" t="str">
        <f t="shared" si="1"/>
        <v>14</v>
      </c>
      <c r="B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81" s="1" t="s">
        <v>3220</v>
      </c>
      <c r="D81" s="1" t="s">
        <v>3221</v>
      </c>
      <c r="E81" s="1" t="s">
        <v>3222</v>
      </c>
      <c r="F81" s="1" t="s">
        <v>112</v>
      </c>
      <c r="G81" s="1">
        <v>2156565</v>
      </c>
    </row>
    <row r="82" spans="1:10" x14ac:dyDescent="0.25">
      <c r="A82" s="1" t="str">
        <f t="shared" si="1"/>
        <v>14</v>
      </c>
      <c r="B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82" s="1" t="s">
        <v>3223</v>
      </c>
      <c r="D82" s="1" t="s">
        <v>3224</v>
      </c>
      <c r="E82" s="1" t="s">
        <v>3225</v>
      </c>
      <c r="F82" s="1" t="s">
        <v>112</v>
      </c>
      <c r="G82" s="1">
        <v>1537388</v>
      </c>
    </row>
    <row r="83" spans="1:10" x14ac:dyDescent="0.25">
      <c r="A83" s="1" t="str">
        <f t="shared" si="1"/>
        <v>14</v>
      </c>
      <c r="B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83" s="1" t="s">
        <v>3226</v>
      </c>
      <c r="D83" s="1" t="s">
        <v>3227</v>
      </c>
      <c r="E83" s="1" t="s">
        <v>3228</v>
      </c>
      <c r="F83" s="1" t="s">
        <v>112</v>
      </c>
      <c r="G83" s="1">
        <v>1844165</v>
      </c>
    </row>
    <row r="84" spans="1:10" x14ac:dyDescent="0.25">
      <c r="A84" s="1" t="str">
        <f t="shared" si="1"/>
        <v>14</v>
      </c>
      <c r="B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84" s="1" t="s">
        <v>3229</v>
      </c>
      <c r="D84" s="1" t="s">
        <v>3230</v>
      </c>
      <c r="E84" s="1" t="s">
        <v>3231</v>
      </c>
      <c r="F84" s="1" t="s">
        <v>112</v>
      </c>
      <c r="G84" s="1">
        <v>2102209</v>
      </c>
    </row>
    <row r="85" spans="1:10" x14ac:dyDescent="0.25">
      <c r="A85" s="1" t="str">
        <f t="shared" si="1"/>
        <v>14</v>
      </c>
      <c r="B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85" s="1" t="s">
        <v>3232</v>
      </c>
      <c r="D85" s="1" t="s">
        <v>3233</v>
      </c>
      <c r="E85" s="1" t="s">
        <v>3234</v>
      </c>
      <c r="F85" s="1" t="s">
        <v>112</v>
      </c>
      <c r="G85" s="1">
        <v>1875485</v>
      </c>
    </row>
    <row r="86" spans="1:10" x14ac:dyDescent="0.25">
      <c r="A86" s="1" t="str">
        <f t="shared" si="1"/>
        <v>14</v>
      </c>
      <c r="B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86" s="1" t="s">
        <v>3235</v>
      </c>
      <c r="D86" s="1" t="s">
        <v>1853</v>
      </c>
      <c r="E86" s="1" t="s">
        <v>3236</v>
      </c>
      <c r="F86" s="1" t="s">
        <v>112</v>
      </c>
      <c r="G86" s="1">
        <v>1587115</v>
      </c>
    </row>
    <row r="87" spans="1:10" x14ac:dyDescent="0.25">
      <c r="A87" s="1" t="str">
        <f t="shared" si="1"/>
        <v>14</v>
      </c>
      <c r="B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87" s="1" t="s">
        <v>3237</v>
      </c>
      <c r="D87" s="1" t="s">
        <v>3238</v>
      </c>
      <c r="E87" s="1" t="s">
        <v>3239</v>
      </c>
      <c r="F87" s="1" t="s">
        <v>112</v>
      </c>
      <c r="G87" s="1">
        <v>1698790</v>
      </c>
    </row>
    <row r="88" spans="1:10" x14ac:dyDescent="0.25">
      <c r="A88" s="1" t="str">
        <f t="shared" si="1"/>
        <v>14</v>
      </c>
      <c r="B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88" s="1" t="s">
        <v>3240</v>
      </c>
      <c r="D88" s="1" t="s">
        <v>3241</v>
      </c>
      <c r="E88" s="1" t="s">
        <v>3242</v>
      </c>
      <c r="F88" s="1" t="s">
        <v>112</v>
      </c>
      <c r="G88" s="1">
        <v>1801511</v>
      </c>
    </row>
    <row r="89" spans="1:10" x14ac:dyDescent="0.25">
      <c r="A89" s="1" t="str">
        <f t="shared" si="1"/>
        <v>14</v>
      </c>
      <c r="B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89" s="1" t="s">
        <v>3243</v>
      </c>
      <c r="D89" s="1" t="s">
        <v>3244</v>
      </c>
      <c r="E89" s="1" t="s">
        <v>3245</v>
      </c>
      <c r="F89" s="1" t="s">
        <v>112</v>
      </c>
      <c r="G89" s="1">
        <v>451784</v>
      </c>
    </row>
    <row r="90" spans="1:10" x14ac:dyDescent="0.25">
      <c r="A90" s="1" t="str">
        <f t="shared" si="1"/>
        <v>14</v>
      </c>
      <c r="B9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90" s="1" t="s">
        <v>3246</v>
      </c>
      <c r="D90" s="1" t="s">
        <v>3247</v>
      </c>
      <c r="E90" s="1" t="s">
        <v>3248</v>
      </c>
      <c r="F90" s="1" t="s">
        <v>112</v>
      </c>
      <c r="G90" s="1">
        <v>371688</v>
      </c>
    </row>
    <row r="91" spans="1:10" x14ac:dyDescent="0.25">
      <c r="A91" s="1" t="str">
        <f t="shared" si="1"/>
        <v>14</v>
      </c>
      <c r="B9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91" s="1" t="s">
        <v>3249</v>
      </c>
      <c r="D91" s="1" t="s">
        <v>3250</v>
      </c>
      <c r="E91" s="1" t="s">
        <v>3251</v>
      </c>
      <c r="F91" s="1" t="s">
        <v>112</v>
      </c>
      <c r="G91" s="1">
        <v>347008</v>
      </c>
    </row>
    <row r="92" spans="1:10" x14ac:dyDescent="0.25">
      <c r="A92" s="1" t="str">
        <f t="shared" si="1"/>
        <v/>
      </c>
      <c r="B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2" s="1" t="s">
        <v>112</v>
      </c>
    </row>
    <row r="93" spans="1:10" x14ac:dyDescent="0.25">
      <c r="A93" s="1" t="str">
        <f t="shared" si="1"/>
        <v/>
      </c>
      <c r="B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3" s="1" t="s">
        <v>237</v>
      </c>
      <c r="D93" s="1" t="s">
        <v>112</v>
      </c>
      <c r="E93" s="1" t="s">
        <v>238</v>
      </c>
      <c r="F93" s="1" t="s">
        <v>239</v>
      </c>
      <c r="G93" s="1" t="s">
        <v>240</v>
      </c>
      <c r="H93" s="1" t="s">
        <v>241</v>
      </c>
      <c r="I93" s="1" t="s">
        <v>242</v>
      </c>
      <c r="J93" s="1" t="s">
        <v>243</v>
      </c>
    </row>
    <row r="94" spans="1:10" x14ac:dyDescent="0.25">
      <c r="A94" s="1" t="str">
        <f t="shared" si="1"/>
        <v>14</v>
      </c>
      <c r="B9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94" s="1" t="s">
        <v>3252</v>
      </c>
      <c r="D94" s="1" t="s">
        <v>112</v>
      </c>
      <c r="E94" s="1" t="s">
        <v>3253</v>
      </c>
      <c r="F94" s="1" t="s">
        <v>3254</v>
      </c>
      <c r="G94" s="1" t="s">
        <v>3255</v>
      </c>
      <c r="H94" s="1" t="s">
        <v>3256</v>
      </c>
      <c r="I94" s="1">
        <v>24</v>
      </c>
      <c r="J94" s="1">
        <v>24</v>
      </c>
    </row>
    <row r="95" spans="1:10" x14ac:dyDescent="0.25">
      <c r="A95" s="1" t="str">
        <f t="shared" si="1"/>
        <v/>
      </c>
      <c r="B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5" s="1" t="s">
        <v>112</v>
      </c>
    </row>
    <row r="96" spans="1:10" x14ac:dyDescent="0.25">
      <c r="A96" s="1" t="str">
        <f t="shared" si="1"/>
        <v/>
      </c>
      <c r="B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6" s="1" t="s">
        <v>112</v>
      </c>
    </row>
    <row r="97" spans="1:7" x14ac:dyDescent="0.25">
      <c r="A97" s="1" t="str">
        <f t="shared" si="1"/>
        <v/>
      </c>
      <c r="B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7" s="1" t="s">
        <v>112</v>
      </c>
    </row>
    <row r="98" spans="1:7" x14ac:dyDescent="0.25">
      <c r="A98" s="1" t="str">
        <f t="shared" si="1"/>
        <v/>
      </c>
      <c r="B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8" s="1" t="s">
        <v>112</v>
      </c>
    </row>
    <row r="99" spans="1:7" x14ac:dyDescent="0.25">
      <c r="A99" s="1" t="str">
        <f t="shared" si="1"/>
        <v/>
      </c>
      <c r="B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9" s="1" t="s">
        <v>112</v>
      </c>
    </row>
    <row r="100" spans="1:7" x14ac:dyDescent="0.25">
      <c r="A100" s="1" t="str">
        <f t="shared" si="1"/>
        <v/>
      </c>
      <c r="B1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00" s="1" t="s">
        <v>249</v>
      </c>
      <c r="D100" s="1" t="s">
        <v>110</v>
      </c>
      <c r="E100" s="1" t="s">
        <v>111</v>
      </c>
      <c r="F100" s="1" t="s">
        <v>112</v>
      </c>
      <c r="G100" s="1" t="s">
        <v>113</v>
      </c>
    </row>
    <row r="101" spans="1:7" x14ac:dyDescent="0.25">
      <c r="A101" s="1" t="str">
        <f t="shared" si="1"/>
        <v>15</v>
      </c>
      <c r="B1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01" s="1" t="s">
        <v>3257</v>
      </c>
      <c r="D101" s="1" t="s">
        <v>3258</v>
      </c>
      <c r="E101" s="1" t="s">
        <v>3259</v>
      </c>
      <c r="F101" s="1" t="s">
        <v>112</v>
      </c>
      <c r="G101" s="1">
        <v>3269597</v>
      </c>
    </row>
    <row r="102" spans="1:7" x14ac:dyDescent="0.25">
      <c r="A102" s="1" t="str">
        <f t="shared" si="1"/>
        <v>15</v>
      </c>
      <c r="B1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02" s="1" t="s">
        <v>3260</v>
      </c>
      <c r="D102" s="1" t="s">
        <v>419</v>
      </c>
      <c r="E102" s="1" t="s">
        <v>3261</v>
      </c>
      <c r="F102" s="1" t="s">
        <v>112</v>
      </c>
      <c r="G102" s="1">
        <v>3341905</v>
      </c>
    </row>
    <row r="103" spans="1:7" x14ac:dyDescent="0.25">
      <c r="A103" s="1" t="str">
        <f t="shared" si="1"/>
        <v>15</v>
      </c>
      <c r="B1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03" s="1" t="s">
        <v>3262</v>
      </c>
      <c r="D103" s="1" t="s">
        <v>3263</v>
      </c>
      <c r="E103" s="1" t="s">
        <v>3264</v>
      </c>
      <c r="F103" s="1" t="s">
        <v>112</v>
      </c>
      <c r="G103" s="1">
        <v>2903662</v>
      </c>
    </row>
    <row r="104" spans="1:7" x14ac:dyDescent="0.25">
      <c r="A104" s="1" t="str">
        <f t="shared" si="1"/>
        <v>15</v>
      </c>
      <c r="B1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04" s="1" t="s">
        <v>3265</v>
      </c>
      <c r="D104" s="1" t="s">
        <v>3266</v>
      </c>
      <c r="E104" s="1" t="s">
        <v>3267</v>
      </c>
      <c r="F104" s="1" t="s">
        <v>112</v>
      </c>
      <c r="G104" s="1">
        <v>5111231</v>
      </c>
    </row>
    <row r="105" spans="1:7" x14ac:dyDescent="0.25">
      <c r="A105" s="1" t="str">
        <f t="shared" si="1"/>
        <v>15</v>
      </c>
      <c r="B1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05" s="1" t="s">
        <v>3268</v>
      </c>
      <c r="D105" s="1" t="s">
        <v>3269</v>
      </c>
      <c r="E105" s="1" t="s">
        <v>3270</v>
      </c>
      <c r="F105" s="1" t="s">
        <v>112</v>
      </c>
      <c r="G105" s="1">
        <v>4379924</v>
      </c>
    </row>
    <row r="106" spans="1:7" x14ac:dyDescent="0.25">
      <c r="A106" s="1" t="str">
        <f t="shared" si="1"/>
        <v>15</v>
      </c>
      <c r="B1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06" s="1" t="s">
        <v>3271</v>
      </c>
      <c r="D106" s="1" t="s">
        <v>3272</v>
      </c>
      <c r="E106" s="1" t="s">
        <v>3273</v>
      </c>
      <c r="F106" s="1" t="s">
        <v>112</v>
      </c>
      <c r="G106" s="1">
        <v>4623606</v>
      </c>
    </row>
    <row r="107" spans="1:7" x14ac:dyDescent="0.25">
      <c r="A107" s="1" t="str">
        <f t="shared" si="1"/>
        <v>15</v>
      </c>
      <c r="B1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7" s="1" t="s">
        <v>3274</v>
      </c>
      <c r="D107" s="1" t="s">
        <v>3275</v>
      </c>
      <c r="E107" s="1" t="s">
        <v>3276</v>
      </c>
      <c r="F107" s="1" t="s">
        <v>112</v>
      </c>
      <c r="G107" s="1">
        <v>4513164</v>
      </c>
    </row>
    <row r="108" spans="1:7" x14ac:dyDescent="0.25">
      <c r="A108" s="1" t="str">
        <f t="shared" si="1"/>
        <v>15</v>
      </c>
      <c r="B1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8" s="1" t="s">
        <v>3277</v>
      </c>
      <c r="D108" s="1" t="s">
        <v>3278</v>
      </c>
      <c r="E108" s="1" t="s">
        <v>3279</v>
      </c>
      <c r="F108" s="1" t="s">
        <v>112</v>
      </c>
      <c r="G108" s="1">
        <v>5115146</v>
      </c>
    </row>
    <row r="109" spans="1:7" x14ac:dyDescent="0.25">
      <c r="A109" s="1" t="str">
        <f t="shared" si="1"/>
        <v>15</v>
      </c>
      <c r="B1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9" s="1" t="s">
        <v>3280</v>
      </c>
      <c r="D109" s="1" t="s">
        <v>3281</v>
      </c>
      <c r="E109" s="1" t="s">
        <v>3282</v>
      </c>
      <c r="F109" s="1" t="s">
        <v>112</v>
      </c>
      <c r="G109" s="1">
        <v>4282979</v>
      </c>
    </row>
    <row r="110" spans="1:7" x14ac:dyDescent="0.25">
      <c r="A110" s="1" t="str">
        <f t="shared" si="1"/>
        <v>15</v>
      </c>
      <c r="B1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0" s="1" t="s">
        <v>3283</v>
      </c>
      <c r="D110" s="1" t="s">
        <v>2663</v>
      </c>
      <c r="E110" s="1" t="s">
        <v>3284</v>
      </c>
      <c r="F110" s="1" t="s">
        <v>112</v>
      </c>
      <c r="G110" s="1">
        <v>3568154</v>
      </c>
    </row>
    <row r="111" spans="1:7" x14ac:dyDescent="0.25">
      <c r="A111" s="1" t="str">
        <f t="shared" si="1"/>
        <v>15</v>
      </c>
      <c r="B1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1" s="1" t="s">
        <v>3285</v>
      </c>
      <c r="D111" s="1" t="s">
        <v>3286</v>
      </c>
      <c r="E111" s="1" t="s">
        <v>3287</v>
      </c>
      <c r="F111" s="1" t="s">
        <v>112</v>
      </c>
      <c r="G111" s="1">
        <v>4190597</v>
      </c>
    </row>
    <row r="112" spans="1:7" x14ac:dyDescent="0.25">
      <c r="A112" s="1" t="str">
        <f t="shared" si="1"/>
        <v>15</v>
      </c>
      <c r="B1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2" s="1" t="s">
        <v>3288</v>
      </c>
      <c r="D112" s="1" t="s">
        <v>3289</v>
      </c>
      <c r="E112" s="1" t="s">
        <v>3290</v>
      </c>
      <c r="F112" s="1" t="s">
        <v>112</v>
      </c>
      <c r="G112" s="1">
        <v>3933094</v>
      </c>
    </row>
    <row r="113" spans="1:10" x14ac:dyDescent="0.25">
      <c r="A113" s="1" t="str">
        <f t="shared" si="1"/>
        <v>15</v>
      </c>
      <c r="B1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13" s="1" t="s">
        <v>3291</v>
      </c>
      <c r="D113" s="1" t="s">
        <v>953</v>
      </c>
      <c r="E113" s="1" t="s">
        <v>3292</v>
      </c>
      <c r="F113" s="1" t="s">
        <v>112</v>
      </c>
      <c r="G113" s="1">
        <v>4072563</v>
      </c>
    </row>
    <row r="114" spans="1:10" x14ac:dyDescent="0.25">
      <c r="A114" s="1" t="str">
        <f t="shared" si="1"/>
        <v>15</v>
      </c>
      <c r="B1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14" s="1" t="s">
        <v>3293</v>
      </c>
    </row>
    <row r="115" spans="1:10" x14ac:dyDescent="0.25">
      <c r="A115" s="1" t="str">
        <f t="shared" si="1"/>
        <v>15</v>
      </c>
      <c r="B1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15" s="1" t="s">
        <v>3294</v>
      </c>
    </row>
    <row r="116" spans="1:10" x14ac:dyDescent="0.25">
      <c r="A116" s="1" t="str">
        <f t="shared" si="1"/>
        <v>15</v>
      </c>
      <c r="B1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16" s="1" t="s">
        <v>3295</v>
      </c>
      <c r="D116" s="1" t="s">
        <v>2303</v>
      </c>
      <c r="E116" s="1" t="s">
        <v>3296</v>
      </c>
      <c r="F116" s="1" t="s">
        <v>112</v>
      </c>
      <c r="G116" s="1">
        <v>2348271</v>
      </c>
    </row>
    <row r="117" spans="1:10" x14ac:dyDescent="0.25">
      <c r="A117" s="1" t="str">
        <f t="shared" si="1"/>
        <v>15</v>
      </c>
      <c r="B1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17" s="1" t="s">
        <v>3297</v>
      </c>
      <c r="D117" s="1" t="s">
        <v>3298</v>
      </c>
      <c r="E117" s="1" t="s">
        <v>3299</v>
      </c>
      <c r="F117" s="1" t="s">
        <v>112</v>
      </c>
      <c r="G117" s="1">
        <v>2630606</v>
      </c>
    </row>
    <row r="118" spans="1:10" x14ac:dyDescent="0.25">
      <c r="A118" s="1" t="str">
        <f t="shared" si="1"/>
        <v>15</v>
      </c>
      <c r="B1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18" s="1" t="s">
        <v>3300</v>
      </c>
      <c r="D118" s="1" t="s">
        <v>3301</v>
      </c>
      <c r="E118" s="1" t="s">
        <v>3302</v>
      </c>
      <c r="F118" s="1" t="s">
        <v>112</v>
      </c>
      <c r="G118" s="1">
        <v>2577180</v>
      </c>
    </row>
    <row r="119" spans="1:10" x14ac:dyDescent="0.25">
      <c r="A119" s="1" t="str">
        <f t="shared" si="1"/>
        <v>15</v>
      </c>
      <c r="B1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19" s="1" t="s">
        <v>3303</v>
      </c>
      <c r="D119" s="1" t="s">
        <v>3304</v>
      </c>
      <c r="E119" s="1" t="s">
        <v>3305</v>
      </c>
      <c r="F119" s="1" t="s">
        <v>112</v>
      </c>
      <c r="G119" s="1">
        <v>3889423</v>
      </c>
    </row>
    <row r="120" spans="1:10" x14ac:dyDescent="0.25">
      <c r="A120" s="1" t="str">
        <f t="shared" si="1"/>
        <v>15</v>
      </c>
      <c r="B1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20" s="1" t="s">
        <v>3306</v>
      </c>
      <c r="D120" s="1" t="s">
        <v>3307</v>
      </c>
      <c r="E120" s="1" t="s">
        <v>3308</v>
      </c>
      <c r="F120" s="1" t="s">
        <v>112</v>
      </c>
      <c r="G120" s="1">
        <v>3933245</v>
      </c>
    </row>
    <row r="121" spans="1:10" x14ac:dyDescent="0.25">
      <c r="A121" s="1" t="str">
        <f t="shared" si="1"/>
        <v>15</v>
      </c>
      <c r="B1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21" s="1" t="s">
        <v>3309</v>
      </c>
    </row>
    <row r="122" spans="1:10" x14ac:dyDescent="0.25">
      <c r="A122" s="1" t="str">
        <f t="shared" si="1"/>
        <v>15</v>
      </c>
      <c r="B1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22" s="1" t="s">
        <v>3310</v>
      </c>
      <c r="D122" s="1" t="s">
        <v>1424</v>
      </c>
      <c r="E122" s="1" t="s">
        <v>3311</v>
      </c>
      <c r="F122" s="1" t="s">
        <v>112</v>
      </c>
      <c r="G122" s="1">
        <v>4313715</v>
      </c>
    </row>
    <row r="123" spans="1:10" x14ac:dyDescent="0.25">
      <c r="A123" s="1" t="str">
        <f t="shared" si="1"/>
        <v>15</v>
      </c>
      <c r="B1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23" s="1" t="s">
        <v>3312</v>
      </c>
      <c r="D123" s="1" t="s">
        <v>3313</v>
      </c>
      <c r="E123" s="1" t="s">
        <v>3314</v>
      </c>
      <c r="F123" s="1" t="s">
        <v>112</v>
      </c>
      <c r="G123" s="1">
        <v>4268249</v>
      </c>
    </row>
    <row r="124" spans="1:10" x14ac:dyDescent="0.25">
      <c r="A124" s="1" t="str">
        <f t="shared" si="1"/>
        <v>15</v>
      </c>
      <c r="B1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24" s="1" t="s">
        <v>3315</v>
      </c>
      <c r="D124" s="1" t="s">
        <v>2368</v>
      </c>
      <c r="E124" s="1" t="s">
        <v>3316</v>
      </c>
      <c r="F124" s="1" t="s">
        <v>112</v>
      </c>
      <c r="G124" s="1">
        <v>4112968</v>
      </c>
    </row>
    <row r="125" spans="1:10" x14ac:dyDescent="0.25">
      <c r="A125" s="1" t="str">
        <f t="shared" si="1"/>
        <v/>
      </c>
      <c r="B1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5" s="1" t="s">
        <v>112</v>
      </c>
    </row>
    <row r="126" spans="1:10" x14ac:dyDescent="0.25">
      <c r="A126" s="1" t="str">
        <f t="shared" si="1"/>
        <v/>
      </c>
      <c r="B1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6" s="1" t="s">
        <v>237</v>
      </c>
      <c r="D126" s="1" t="s">
        <v>112</v>
      </c>
      <c r="E126" s="1" t="s">
        <v>238</v>
      </c>
      <c r="F126" s="1" t="s">
        <v>239</v>
      </c>
      <c r="G126" s="1" t="s">
        <v>240</v>
      </c>
      <c r="H126" s="1" t="s">
        <v>241</v>
      </c>
      <c r="I126" s="1" t="s">
        <v>242</v>
      </c>
      <c r="J126" s="1" t="s">
        <v>243</v>
      </c>
    </row>
    <row r="127" spans="1:10" x14ac:dyDescent="0.25">
      <c r="A127" s="1" t="str">
        <f t="shared" si="1"/>
        <v>15</v>
      </c>
      <c r="B12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127" s="1" t="s">
        <v>3317</v>
      </c>
      <c r="D127" s="1" t="s">
        <v>112</v>
      </c>
      <c r="E127" s="1" t="s">
        <v>3318</v>
      </c>
      <c r="F127" s="1" t="s">
        <v>3319</v>
      </c>
      <c r="G127" s="1" t="s">
        <v>3320</v>
      </c>
      <c r="H127" s="1" t="s">
        <v>3321</v>
      </c>
      <c r="I127" s="1">
        <v>24</v>
      </c>
      <c r="J127" s="1">
        <v>24</v>
      </c>
    </row>
    <row r="128" spans="1:10" x14ac:dyDescent="0.25">
      <c r="A128" s="1" t="str">
        <f t="shared" si="1"/>
        <v/>
      </c>
      <c r="B1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8" s="1" t="s">
        <v>112</v>
      </c>
    </row>
    <row r="129" spans="1:7" x14ac:dyDescent="0.25">
      <c r="A129" s="1" t="str">
        <f t="shared" si="1"/>
        <v/>
      </c>
      <c r="B1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9" s="1" t="s">
        <v>112</v>
      </c>
    </row>
    <row r="130" spans="1:7" x14ac:dyDescent="0.25">
      <c r="A130" s="1" t="str">
        <f t="shared" ref="A130:A193" si="2">IFERROR(LEFT(RIGHT(C130,LEN(C130)-SEARCH("@",C130)),SEARCH("/",RIGHT(C130,LEN(C130)-SEARCH("@",C130)-1))),"")</f>
        <v/>
      </c>
      <c r="B1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0" s="1" t="s">
        <v>112</v>
      </c>
    </row>
    <row r="131" spans="1:7" x14ac:dyDescent="0.25">
      <c r="A131" s="1" t="str">
        <f t="shared" si="2"/>
        <v/>
      </c>
      <c r="B1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1" s="1" t="s">
        <v>112</v>
      </c>
    </row>
    <row r="132" spans="1:7" x14ac:dyDescent="0.25">
      <c r="A132" s="1" t="str">
        <f t="shared" si="2"/>
        <v/>
      </c>
      <c r="B1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2" s="1" t="s">
        <v>112</v>
      </c>
    </row>
    <row r="133" spans="1:7" x14ac:dyDescent="0.25">
      <c r="A133" s="1" t="str">
        <f t="shared" si="2"/>
        <v/>
      </c>
      <c r="B1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3" s="1" t="s">
        <v>249</v>
      </c>
      <c r="D133" s="1" t="s">
        <v>110</v>
      </c>
      <c r="E133" s="1" t="s">
        <v>111</v>
      </c>
      <c r="F133" s="1" t="s">
        <v>112</v>
      </c>
      <c r="G133" s="1" t="s">
        <v>113</v>
      </c>
    </row>
    <row r="134" spans="1:7" x14ac:dyDescent="0.25">
      <c r="A134" s="1" t="str">
        <f t="shared" si="2"/>
        <v>16</v>
      </c>
      <c r="B1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34" s="1" t="s">
        <v>3322</v>
      </c>
    </row>
    <row r="135" spans="1:7" x14ac:dyDescent="0.25">
      <c r="A135" s="1" t="str">
        <f t="shared" si="2"/>
        <v>16</v>
      </c>
      <c r="B1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35" s="1" t="s">
        <v>3323</v>
      </c>
      <c r="D135" s="1" t="s">
        <v>1599</v>
      </c>
      <c r="E135" s="1" t="s">
        <v>3324</v>
      </c>
      <c r="F135" s="1" t="s">
        <v>112</v>
      </c>
      <c r="G135" s="1">
        <v>272082</v>
      </c>
    </row>
    <row r="136" spans="1:7" x14ac:dyDescent="0.25">
      <c r="A136" s="1" t="str">
        <f t="shared" si="2"/>
        <v>16</v>
      </c>
      <c r="B1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36" s="1" t="s">
        <v>3325</v>
      </c>
    </row>
    <row r="137" spans="1:7" x14ac:dyDescent="0.25">
      <c r="A137" s="1" t="str">
        <f t="shared" si="2"/>
        <v>16</v>
      </c>
      <c r="B1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37" s="1" t="s">
        <v>3326</v>
      </c>
      <c r="D137" s="1" t="s">
        <v>589</v>
      </c>
      <c r="E137" s="1" t="s">
        <v>3327</v>
      </c>
      <c r="F137" s="1" t="s">
        <v>112</v>
      </c>
      <c r="G137" s="1">
        <v>170487</v>
      </c>
    </row>
    <row r="138" spans="1:7" x14ac:dyDescent="0.25">
      <c r="A138" s="1" t="str">
        <f t="shared" si="2"/>
        <v>16</v>
      </c>
      <c r="B1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38" s="1" t="s">
        <v>3328</v>
      </c>
      <c r="D138" s="1" t="s">
        <v>149</v>
      </c>
      <c r="E138" s="1" t="s">
        <v>3329</v>
      </c>
      <c r="F138" s="1" t="s">
        <v>112</v>
      </c>
      <c r="G138" s="1">
        <v>186904</v>
      </c>
    </row>
    <row r="139" spans="1:7" x14ac:dyDescent="0.25">
      <c r="A139" s="1" t="str">
        <f t="shared" si="2"/>
        <v>16</v>
      </c>
      <c r="B1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39" s="1" t="s">
        <v>3330</v>
      </c>
      <c r="D139" s="1" t="s">
        <v>722</v>
      </c>
      <c r="E139" s="1" t="s">
        <v>3331</v>
      </c>
      <c r="F139" s="1" t="s">
        <v>112</v>
      </c>
      <c r="G139" s="1">
        <v>249263</v>
      </c>
    </row>
    <row r="140" spans="1:7" x14ac:dyDescent="0.25">
      <c r="A140" s="1" t="str">
        <f t="shared" si="2"/>
        <v>16</v>
      </c>
      <c r="B1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40" s="1" t="s">
        <v>3332</v>
      </c>
      <c r="D140" s="1" t="s">
        <v>3333</v>
      </c>
      <c r="E140" s="1" t="s">
        <v>3334</v>
      </c>
      <c r="F140" s="1" t="s">
        <v>112</v>
      </c>
      <c r="G140" s="1">
        <v>120197</v>
      </c>
    </row>
    <row r="141" spans="1:7" x14ac:dyDescent="0.25">
      <c r="A141" s="1" t="str">
        <f t="shared" si="2"/>
        <v>16</v>
      </c>
      <c r="B1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41" s="1" t="s">
        <v>3335</v>
      </c>
      <c r="D141" s="1" t="s">
        <v>3105</v>
      </c>
      <c r="E141" s="1" t="s">
        <v>3336</v>
      </c>
      <c r="F141" s="1" t="s">
        <v>112</v>
      </c>
      <c r="G141" s="1">
        <v>271152</v>
      </c>
    </row>
    <row r="142" spans="1:7" x14ac:dyDescent="0.25">
      <c r="A142" s="1" t="str">
        <f t="shared" si="2"/>
        <v>16</v>
      </c>
      <c r="B1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42" s="1" t="s">
        <v>3337</v>
      </c>
      <c r="D142" s="1" t="s">
        <v>1868</v>
      </c>
      <c r="E142" s="1" t="s">
        <v>3338</v>
      </c>
      <c r="F142" s="1" t="s">
        <v>112</v>
      </c>
      <c r="G142" s="1">
        <v>72612</v>
      </c>
    </row>
    <row r="143" spans="1:7" x14ac:dyDescent="0.25">
      <c r="A143" s="1" t="str">
        <f t="shared" si="2"/>
        <v>16</v>
      </c>
      <c r="B1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43" s="1" t="s">
        <v>3339</v>
      </c>
      <c r="D143" s="1" t="s">
        <v>648</v>
      </c>
      <c r="E143" s="1" t="s">
        <v>3340</v>
      </c>
      <c r="F143" s="1" t="s">
        <v>112</v>
      </c>
      <c r="G143" s="1">
        <v>102374</v>
      </c>
    </row>
    <row r="144" spans="1:7" x14ac:dyDescent="0.25">
      <c r="A144" s="1" t="str">
        <f t="shared" si="2"/>
        <v>16</v>
      </c>
      <c r="B1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44" s="1" t="s">
        <v>3341</v>
      </c>
      <c r="D144" s="1">
        <v>0</v>
      </c>
      <c r="E144" s="1">
        <v>0</v>
      </c>
      <c r="F144" s="1" t="s">
        <v>112</v>
      </c>
      <c r="G144" s="1">
        <v>0</v>
      </c>
    </row>
    <row r="145" spans="1:10" x14ac:dyDescent="0.25">
      <c r="A145" s="1" t="str">
        <f t="shared" si="2"/>
        <v>16</v>
      </c>
      <c r="B1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45" s="1" t="s">
        <v>3342</v>
      </c>
      <c r="D145" s="1" t="s">
        <v>3343</v>
      </c>
      <c r="E145" s="1" t="s">
        <v>3344</v>
      </c>
      <c r="F145" s="1" t="s">
        <v>112</v>
      </c>
      <c r="G145" s="1">
        <v>101877</v>
      </c>
    </row>
    <row r="146" spans="1:10" x14ac:dyDescent="0.25">
      <c r="A146" s="1" t="str">
        <f t="shared" si="2"/>
        <v>16</v>
      </c>
      <c r="B1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6" s="1" t="s">
        <v>3345</v>
      </c>
      <c r="D146" s="1" t="s">
        <v>1661</v>
      </c>
      <c r="E146" s="1" t="s">
        <v>3346</v>
      </c>
      <c r="F146" s="1" t="s">
        <v>112</v>
      </c>
      <c r="G146" s="1">
        <v>40945</v>
      </c>
    </row>
    <row r="147" spans="1:10" x14ac:dyDescent="0.25">
      <c r="A147" s="1" t="str">
        <f t="shared" si="2"/>
        <v>16</v>
      </c>
      <c r="B1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7" s="1" t="s">
        <v>3347</v>
      </c>
    </row>
    <row r="148" spans="1:10" x14ac:dyDescent="0.25">
      <c r="A148" s="1" t="str">
        <f t="shared" si="2"/>
        <v>16</v>
      </c>
      <c r="B1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8" s="1" t="s">
        <v>3348</v>
      </c>
      <c r="D148" s="1" t="s">
        <v>1727</v>
      </c>
      <c r="E148" s="1" t="s">
        <v>3349</v>
      </c>
      <c r="F148" s="1" t="s">
        <v>112</v>
      </c>
      <c r="G148" s="1">
        <v>14795</v>
      </c>
    </row>
    <row r="149" spans="1:10" x14ac:dyDescent="0.25">
      <c r="A149" s="1" t="str">
        <f t="shared" si="2"/>
        <v>16</v>
      </c>
      <c r="B1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49" s="1" t="s">
        <v>3350</v>
      </c>
      <c r="D149" s="1" t="s">
        <v>2009</v>
      </c>
      <c r="E149" s="1" t="s">
        <v>3351</v>
      </c>
      <c r="F149" s="1" t="s">
        <v>112</v>
      </c>
      <c r="G149" s="1">
        <v>59936</v>
      </c>
    </row>
    <row r="150" spans="1:10" x14ac:dyDescent="0.25">
      <c r="A150" s="1" t="str">
        <f t="shared" si="2"/>
        <v>16</v>
      </c>
      <c r="B1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50" s="1" t="s">
        <v>3352</v>
      </c>
      <c r="D150" s="1" t="s">
        <v>3353</v>
      </c>
      <c r="E150" s="1" t="s">
        <v>3354</v>
      </c>
      <c r="F150" s="1" t="s">
        <v>112</v>
      </c>
      <c r="G150" s="1">
        <v>180458</v>
      </c>
    </row>
    <row r="151" spans="1:10" x14ac:dyDescent="0.25">
      <c r="A151" s="1" t="str">
        <f t="shared" si="2"/>
        <v>16</v>
      </c>
      <c r="B1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51" s="1" t="s">
        <v>3355</v>
      </c>
      <c r="D151" s="1" t="s">
        <v>1565</v>
      </c>
      <c r="E151" s="1" t="s">
        <v>3356</v>
      </c>
      <c r="F151" s="1" t="s">
        <v>112</v>
      </c>
      <c r="G151" s="1">
        <v>128265</v>
      </c>
    </row>
    <row r="152" spans="1:10" x14ac:dyDescent="0.25">
      <c r="A152" s="1" t="str">
        <f t="shared" si="2"/>
        <v>16</v>
      </c>
      <c r="B1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52" s="1" t="s">
        <v>3357</v>
      </c>
      <c r="D152" s="1">
        <v>0</v>
      </c>
      <c r="E152" s="1">
        <v>0</v>
      </c>
      <c r="F152" s="1" t="s">
        <v>112</v>
      </c>
      <c r="G152" s="1">
        <v>0</v>
      </c>
    </row>
    <row r="153" spans="1:10" x14ac:dyDescent="0.25">
      <c r="A153" s="1" t="str">
        <f t="shared" si="2"/>
        <v>16</v>
      </c>
      <c r="B1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53" s="1" t="s">
        <v>3358</v>
      </c>
      <c r="D153" s="1">
        <v>0</v>
      </c>
      <c r="E153" s="1">
        <v>0</v>
      </c>
      <c r="F153" s="1" t="s">
        <v>112</v>
      </c>
      <c r="G153" s="1">
        <v>0</v>
      </c>
    </row>
    <row r="154" spans="1:10" x14ac:dyDescent="0.25">
      <c r="A154" s="1" t="str">
        <f t="shared" si="2"/>
        <v>16</v>
      </c>
      <c r="B1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54" s="1" t="s">
        <v>3359</v>
      </c>
      <c r="D154" s="1" t="s">
        <v>375</v>
      </c>
      <c r="E154" s="1" t="s">
        <v>3360</v>
      </c>
      <c r="F154" s="1" t="s">
        <v>112</v>
      </c>
      <c r="G154" s="1">
        <v>171741</v>
      </c>
    </row>
    <row r="155" spans="1:10" x14ac:dyDescent="0.25">
      <c r="A155" s="1" t="str">
        <f t="shared" si="2"/>
        <v>16</v>
      </c>
      <c r="B1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55" s="1" t="s">
        <v>3361</v>
      </c>
      <c r="D155" s="1" t="s">
        <v>3362</v>
      </c>
      <c r="E155" s="1" t="s">
        <v>3363</v>
      </c>
      <c r="F155" s="1" t="s">
        <v>112</v>
      </c>
      <c r="G155" s="1">
        <v>350685</v>
      </c>
    </row>
    <row r="156" spans="1:10" x14ac:dyDescent="0.25">
      <c r="A156" s="1" t="str">
        <f t="shared" si="2"/>
        <v>16</v>
      </c>
      <c r="B1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56" s="1" t="s">
        <v>3364</v>
      </c>
      <c r="D156" s="1" t="s">
        <v>496</v>
      </c>
      <c r="E156" s="1" t="s">
        <v>3365</v>
      </c>
      <c r="F156" s="1" t="s">
        <v>112</v>
      </c>
      <c r="G156" s="1">
        <v>53534</v>
      </c>
    </row>
    <row r="157" spans="1:10" x14ac:dyDescent="0.25">
      <c r="A157" s="1" t="str">
        <f t="shared" si="2"/>
        <v>16</v>
      </c>
      <c r="B1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57" s="1" t="s">
        <v>3366</v>
      </c>
    </row>
    <row r="158" spans="1:10" x14ac:dyDescent="0.25">
      <c r="A158" s="1" t="str">
        <f t="shared" si="2"/>
        <v/>
      </c>
      <c r="B1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58" s="1" t="s">
        <v>112</v>
      </c>
    </row>
    <row r="159" spans="1:10" x14ac:dyDescent="0.25">
      <c r="A159" s="1" t="str">
        <f t="shared" si="2"/>
        <v/>
      </c>
      <c r="B1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59" s="1" t="s">
        <v>237</v>
      </c>
      <c r="D159" s="1" t="s">
        <v>112</v>
      </c>
      <c r="E159" s="1" t="s">
        <v>238</v>
      </c>
      <c r="F159" s="1" t="s">
        <v>239</v>
      </c>
      <c r="G159" s="1" t="s">
        <v>240</v>
      </c>
      <c r="H159" s="1" t="s">
        <v>241</v>
      </c>
      <c r="I159" s="1" t="s">
        <v>242</v>
      </c>
      <c r="J159" s="1" t="s">
        <v>243</v>
      </c>
    </row>
    <row r="160" spans="1:10" x14ac:dyDescent="0.25">
      <c r="A160" s="1" t="str">
        <f t="shared" si="2"/>
        <v>16</v>
      </c>
      <c r="B16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160" s="1" t="s">
        <v>3367</v>
      </c>
      <c r="D160" s="1" t="s">
        <v>112</v>
      </c>
      <c r="E160" s="1" t="s">
        <v>3368</v>
      </c>
      <c r="F160" s="1" t="s">
        <v>3369</v>
      </c>
      <c r="G160" s="1" t="s">
        <v>3370</v>
      </c>
      <c r="H160" s="1" t="s">
        <v>3371</v>
      </c>
      <c r="I160" s="1">
        <v>20</v>
      </c>
      <c r="J160" s="1">
        <v>24</v>
      </c>
    </row>
    <row r="161" spans="1:7" x14ac:dyDescent="0.25">
      <c r="A161" s="1" t="str">
        <f t="shared" si="2"/>
        <v/>
      </c>
      <c r="B1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1" s="1" t="s">
        <v>112</v>
      </c>
    </row>
    <row r="162" spans="1:7" x14ac:dyDescent="0.25">
      <c r="A162" s="1" t="str">
        <f t="shared" si="2"/>
        <v/>
      </c>
      <c r="B1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2" s="1" t="s">
        <v>112</v>
      </c>
    </row>
    <row r="163" spans="1:7" x14ac:dyDescent="0.25">
      <c r="A163" s="1" t="str">
        <f t="shared" si="2"/>
        <v/>
      </c>
      <c r="B1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3" s="1" t="s">
        <v>112</v>
      </c>
    </row>
    <row r="164" spans="1:7" x14ac:dyDescent="0.25">
      <c r="A164" s="1" t="str">
        <f t="shared" si="2"/>
        <v/>
      </c>
      <c r="B1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4" s="1" t="s">
        <v>112</v>
      </c>
    </row>
    <row r="165" spans="1:7" x14ac:dyDescent="0.25">
      <c r="A165" s="1" t="str">
        <f t="shared" si="2"/>
        <v/>
      </c>
      <c r="B1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5" s="1" t="s">
        <v>112</v>
      </c>
    </row>
    <row r="166" spans="1:7" x14ac:dyDescent="0.25">
      <c r="A166" s="1" t="str">
        <f t="shared" si="2"/>
        <v/>
      </c>
      <c r="B1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6" s="1" t="s">
        <v>249</v>
      </c>
      <c r="D166" s="1" t="s">
        <v>110</v>
      </c>
      <c r="E166" s="1" t="s">
        <v>111</v>
      </c>
      <c r="F166" s="1" t="s">
        <v>112</v>
      </c>
      <c r="G166" s="1" t="s">
        <v>113</v>
      </c>
    </row>
    <row r="167" spans="1:7" x14ac:dyDescent="0.25">
      <c r="A167" s="1" t="str">
        <f t="shared" si="2"/>
        <v>2</v>
      </c>
      <c r="B1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67" s="1" t="s">
        <v>3372</v>
      </c>
      <c r="D167" s="1" t="s">
        <v>3373</v>
      </c>
      <c r="E167" s="1" t="s">
        <v>3374</v>
      </c>
      <c r="F167" s="1" t="s">
        <v>112</v>
      </c>
      <c r="G167" s="1">
        <v>148143</v>
      </c>
    </row>
    <row r="168" spans="1:7" x14ac:dyDescent="0.25">
      <c r="A168" s="1" t="str">
        <f t="shared" si="2"/>
        <v>2</v>
      </c>
      <c r="B1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68" s="1" t="s">
        <v>3375</v>
      </c>
      <c r="D168" s="1" t="s">
        <v>3376</v>
      </c>
      <c r="E168" s="1" t="s">
        <v>3377</v>
      </c>
      <c r="F168" s="1" t="s">
        <v>112</v>
      </c>
      <c r="G168" s="1">
        <v>172239</v>
      </c>
    </row>
    <row r="169" spans="1:7" x14ac:dyDescent="0.25">
      <c r="A169" s="1" t="str">
        <f t="shared" si="2"/>
        <v>2</v>
      </c>
      <c r="B1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69" s="1" t="s">
        <v>3378</v>
      </c>
      <c r="D169" s="1" t="s">
        <v>3379</v>
      </c>
      <c r="E169" s="1" t="s">
        <v>3380</v>
      </c>
      <c r="F169" s="1" t="s">
        <v>112</v>
      </c>
      <c r="G169" s="1">
        <v>226573</v>
      </c>
    </row>
    <row r="170" spans="1:7" x14ac:dyDescent="0.25">
      <c r="A170" s="1" t="str">
        <f t="shared" si="2"/>
        <v>2</v>
      </c>
      <c r="B1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70" s="1" t="s">
        <v>3381</v>
      </c>
      <c r="D170" s="1" t="s">
        <v>3382</v>
      </c>
      <c r="E170" s="1" t="s">
        <v>3383</v>
      </c>
      <c r="F170" s="1" t="s">
        <v>112</v>
      </c>
      <c r="G170" s="1">
        <v>85525</v>
      </c>
    </row>
    <row r="171" spans="1:7" x14ac:dyDescent="0.25">
      <c r="A171" s="1" t="str">
        <f t="shared" si="2"/>
        <v>2</v>
      </c>
      <c r="B1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71" s="1" t="s">
        <v>3384</v>
      </c>
      <c r="D171" s="1" t="s">
        <v>549</v>
      </c>
      <c r="E171" s="1">
        <v>36</v>
      </c>
      <c r="F171" s="1" t="s">
        <v>112</v>
      </c>
      <c r="G171" s="1">
        <v>779</v>
      </c>
    </row>
    <row r="172" spans="1:7" x14ac:dyDescent="0.25">
      <c r="A172" s="1" t="str">
        <f t="shared" si="2"/>
        <v>2</v>
      </c>
      <c r="B1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72" s="1" t="s">
        <v>3385</v>
      </c>
      <c r="D172" s="1" t="s">
        <v>3386</v>
      </c>
      <c r="E172" s="1" t="s">
        <v>3387</v>
      </c>
      <c r="F172" s="1" t="s">
        <v>112</v>
      </c>
      <c r="G172" s="1">
        <v>14687</v>
      </c>
    </row>
    <row r="173" spans="1:7" x14ac:dyDescent="0.25">
      <c r="A173" s="1" t="str">
        <f t="shared" si="2"/>
        <v>2</v>
      </c>
      <c r="B1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73" s="1" t="s">
        <v>3388</v>
      </c>
      <c r="D173" s="1" t="s">
        <v>3389</v>
      </c>
      <c r="E173" s="1" t="s">
        <v>3390</v>
      </c>
      <c r="F173" s="1" t="s">
        <v>112</v>
      </c>
      <c r="G173" s="1">
        <v>225794</v>
      </c>
    </row>
    <row r="174" spans="1:7" x14ac:dyDescent="0.25">
      <c r="A174" s="1" t="str">
        <f t="shared" si="2"/>
        <v>2</v>
      </c>
      <c r="B1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74" s="1" t="s">
        <v>3391</v>
      </c>
      <c r="D174" s="1" t="s">
        <v>260</v>
      </c>
      <c r="E174" s="1" t="s">
        <v>3392</v>
      </c>
      <c r="F174" s="1" t="s">
        <v>112</v>
      </c>
      <c r="G174" s="1">
        <v>39366</v>
      </c>
    </row>
    <row r="175" spans="1:7" x14ac:dyDescent="0.25">
      <c r="A175" s="1" t="str">
        <f t="shared" si="2"/>
        <v>2</v>
      </c>
      <c r="B1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75" s="1" t="s">
        <v>3393</v>
      </c>
      <c r="D175" s="1" t="s">
        <v>2093</v>
      </c>
      <c r="E175" s="1" t="s">
        <v>3394</v>
      </c>
      <c r="F175" s="1" t="s">
        <v>112</v>
      </c>
      <c r="G175" s="1">
        <v>131618</v>
      </c>
    </row>
    <row r="176" spans="1:7" x14ac:dyDescent="0.25">
      <c r="A176" s="1" t="str">
        <f t="shared" si="2"/>
        <v>2</v>
      </c>
      <c r="B1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76" s="1" t="s">
        <v>3395</v>
      </c>
      <c r="D176" s="1" t="s">
        <v>1983</v>
      </c>
      <c r="E176" s="1" t="s">
        <v>3396</v>
      </c>
      <c r="F176" s="1" t="s">
        <v>112</v>
      </c>
      <c r="G176" s="1">
        <v>254389</v>
      </c>
    </row>
    <row r="177" spans="1:10" x14ac:dyDescent="0.25">
      <c r="A177" s="1" t="str">
        <f t="shared" si="2"/>
        <v>2</v>
      </c>
      <c r="B1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77" s="1" t="s">
        <v>3397</v>
      </c>
      <c r="D177" s="1" t="s">
        <v>1610</v>
      </c>
      <c r="E177" s="1" t="s">
        <v>3398</v>
      </c>
      <c r="F177" s="1" t="s">
        <v>112</v>
      </c>
      <c r="G177" s="1">
        <v>119548</v>
      </c>
    </row>
    <row r="178" spans="1:10" x14ac:dyDescent="0.25">
      <c r="A178" s="1" t="str">
        <f t="shared" si="2"/>
        <v>2</v>
      </c>
      <c r="B1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78" s="1" t="s">
        <v>3399</v>
      </c>
      <c r="D178" s="1" t="s">
        <v>3400</v>
      </c>
      <c r="E178" s="1" t="s">
        <v>3401</v>
      </c>
      <c r="F178" s="1" t="s">
        <v>112</v>
      </c>
      <c r="G178" s="1">
        <v>285839</v>
      </c>
    </row>
    <row r="179" spans="1:10" x14ac:dyDescent="0.25">
      <c r="A179" s="1" t="str">
        <f t="shared" si="2"/>
        <v>2</v>
      </c>
      <c r="B1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79" s="1" t="s">
        <v>3402</v>
      </c>
      <c r="D179" s="1" t="s">
        <v>3403</v>
      </c>
      <c r="E179" s="1" t="s">
        <v>3404</v>
      </c>
      <c r="F179" s="1" t="s">
        <v>112</v>
      </c>
      <c r="G179" s="1">
        <v>393405</v>
      </c>
    </row>
    <row r="180" spans="1:10" x14ac:dyDescent="0.25">
      <c r="A180" s="1" t="str">
        <f t="shared" si="2"/>
        <v>2</v>
      </c>
      <c r="B1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80" s="1" t="s">
        <v>3405</v>
      </c>
      <c r="D180" s="1" t="s">
        <v>3406</v>
      </c>
      <c r="E180" s="1" t="s">
        <v>3407</v>
      </c>
      <c r="F180" s="1" t="s">
        <v>112</v>
      </c>
      <c r="G180" s="1">
        <v>1270259</v>
      </c>
    </row>
    <row r="181" spans="1:10" x14ac:dyDescent="0.25">
      <c r="A181" s="1" t="str">
        <f t="shared" si="2"/>
        <v>2</v>
      </c>
      <c r="B1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81" s="1" t="s">
        <v>3408</v>
      </c>
      <c r="D181" s="1" t="s">
        <v>3409</v>
      </c>
      <c r="E181" s="1" t="s">
        <v>3410</v>
      </c>
      <c r="F181" s="1" t="s">
        <v>112</v>
      </c>
      <c r="G181" s="1">
        <v>467638</v>
      </c>
    </row>
    <row r="182" spans="1:10" x14ac:dyDescent="0.25">
      <c r="A182" s="1" t="str">
        <f t="shared" si="2"/>
        <v>2</v>
      </c>
      <c r="B1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2" s="1" t="s">
        <v>3411</v>
      </c>
      <c r="D182" s="1" t="s">
        <v>1632</v>
      </c>
      <c r="E182" s="1" t="s">
        <v>3412</v>
      </c>
      <c r="F182" s="1" t="s">
        <v>112</v>
      </c>
      <c r="G182" s="1">
        <v>597721</v>
      </c>
    </row>
    <row r="183" spans="1:10" x14ac:dyDescent="0.25">
      <c r="A183" s="1" t="str">
        <f t="shared" si="2"/>
        <v>2</v>
      </c>
      <c r="B1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3" s="1" t="s">
        <v>3413</v>
      </c>
      <c r="D183" s="1" t="s">
        <v>3414</v>
      </c>
      <c r="E183" s="1" t="s">
        <v>3415</v>
      </c>
      <c r="F183" s="1" t="s">
        <v>112</v>
      </c>
      <c r="G183" s="1">
        <v>605961</v>
      </c>
    </row>
    <row r="184" spans="1:10" x14ac:dyDescent="0.25">
      <c r="A184" s="1" t="str">
        <f t="shared" si="2"/>
        <v>2</v>
      </c>
      <c r="B1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4" s="1" t="s">
        <v>3416</v>
      </c>
      <c r="D184" s="1" t="s">
        <v>3417</v>
      </c>
      <c r="E184" s="1" t="s">
        <v>3418</v>
      </c>
      <c r="F184" s="1" t="s">
        <v>112</v>
      </c>
      <c r="G184" s="1">
        <v>544187</v>
      </c>
    </row>
    <row r="185" spans="1:10" x14ac:dyDescent="0.25">
      <c r="A185" s="1" t="str">
        <f t="shared" si="2"/>
        <v>2</v>
      </c>
      <c r="B1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85" s="1" t="s">
        <v>3419</v>
      </c>
      <c r="D185" s="1" t="s">
        <v>2971</v>
      </c>
      <c r="E185" s="1" t="s">
        <v>3420</v>
      </c>
      <c r="F185" s="1" t="s">
        <v>112</v>
      </c>
      <c r="G185" s="1">
        <v>314239</v>
      </c>
    </row>
    <row r="186" spans="1:10" x14ac:dyDescent="0.25">
      <c r="A186" s="1" t="str">
        <f t="shared" si="2"/>
        <v>2</v>
      </c>
      <c r="B1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86" s="1" t="s">
        <v>3421</v>
      </c>
      <c r="D186" s="1" t="s">
        <v>3422</v>
      </c>
      <c r="E186" s="1" t="s">
        <v>3423</v>
      </c>
      <c r="F186" s="1" t="s">
        <v>112</v>
      </c>
      <c r="G186" s="1">
        <v>258261</v>
      </c>
    </row>
    <row r="187" spans="1:10" x14ac:dyDescent="0.25">
      <c r="A187" s="1" t="str">
        <f t="shared" si="2"/>
        <v>2</v>
      </c>
      <c r="B1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87" s="1" t="s">
        <v>3424</v>
      </c>
      <c r="D187" s="1" t="s">
        <v>3425</v>
      </c>
      <c r="E187" s="1" t="s">
        <v>3426</v>
      </c>
      <c r="F187" s="1" t="s">
        <v>112</v>
      </c>
      <c r="G187" s="1">
        <v>266740</v>
      </c>
    </row>
    <row r="188" spans="1:10" x14ac:dyDescent="0.25">
      <c r="A188" s="1" t="str">
        <f t="shared" si="2"/>
        <v>2</v>
      </c>
      <c r="B1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88" s="1" t="s">
        <v>3427</v>
      </c>
      <c r="D188" s="1" t="s">
        <v>3428</v>
      </c>
      <c r="E188" s="1" t="s">
        <v>3429</v>
      </c>
      <c r="F188" s="1" t="s">
        <v>112</v>
      </c>
      <c r="G188" s="1">
        <v>470775</v>
      </c>
    </row>
    <row r="189" spans="1:10" x14ac:dyDescent="0.25">
      <c r="A189" s="1" t="str">
        <f t="shared" si="2"/>
        <v>2</v>
      </c>
      <c r="B1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89" s="1" t="s">
        <v>3430</v>
      </c>
      <c r="D189" s="1" t="s">
        <v>3431</v>
      </c>
      <c r="E189" s="1" t="s">
        <v>3432</v>
      </c>
      <c r="F189" s="1" t="s">
        <v>112</v>
      </c>
      <c r="G189" s="1">
        <v>441488</v>
      </c>
    </row>
    <row r="190" spans="1:10" x14ac:dyDescent="0.25">
      <c r="A190" s="1" t="str">
        <f t="shared" si="2"/>
        <v>2</v>
      </c>
      <c r="B19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90" s="1" t="s">
        <v>3433</v>
      </c>
      <c r="D190" s="1" t="s">
        <v>3434</v>
      </c>
      <c r="E190" s="1" t="s">
        <v>3435</v>
      </c>
      <c r="F190" s="1" t="s">
        <v>112</v>
      </c>
      <c r="G190" s="1">
        <v>321420</v>
      </c>
    </row>
    <row r="191" spans="1:10" x14ac:dyDescent="0.25">
      <c r="A191" s="1" t="str">
        <f t="shared" si="2"/>
        <v/>
      </c>
      <c r="B1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1" s="1" t="s">
        <v>112</v>
      </c>
    </row>
    <row r="192" spans="1:10" x14ac:dyDescent="0.25">
      <c r="A192" s="1" t="str">
        <f t="shared" si="2"/>
        <v/>
      </c>
      <c r="B1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2" s="1" t="s">
        <v>237</v>
      </c>
      <c r="D192" s="1" t="s">
        <v>112</v>
      </c>
      <c r="E192" s="1" t="s">
        <v>238</v>
      </c>
      <c r="F192" s="1" t="s">
        <v>239</v>
      </c>
      <c r="G192" s="1" t="s">
        <v>240</v>
      </c>
      <c r="H192" s="1" t="s">
        <v>241</v>
      </c>
      <c r="I192" s="1" t="s">
        <v>242</v>
      </c>
      <c r="J192" s="1" t="s">
        <v>243</v>
      </c>
    </row>
    <row r="193" spans="1:10" x14ac:dyDescent="0.25">
      <c r="A193" s="1" t="str">
        <f t="shared" si="2"/>
        <v>2</v>
      </c>
      <c r="B19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193" s="1" t="s">
        <v>3436</v>
      </c>
      <c r="D193" s="1" t="s">
        <v>112</v>
      </c>
      <c r="E193" s="1" t="s">
        <v>3437</v>
      </c>
      <c r="F193" s="1" t="s">
        <v>3438</v>
      </c>
      <c r="G193" s="1" t="s">
        <v>3439</v>
      </c>
      <c r="H193" s="1" t="s">
        <v>3440</v>
      </c>
      <c r="I193" s="1">
        <v>24</v>
      </c>
      <c r="J193" s="1">
        <v>24</v>
      </c>
    </row>
    <row r="194" spans="1:10" x14ac:dyDescent="0.25">
      <c r="A194" s="1" t="str">
        <f t="shared" ref="A194:A257" si="3">IFERROR(LEFT(RIGHT(C194,LEN(C194)-SEARCH("@",C194)),SEARCH("/",RIGHT(C194,LEN(C194)-SEARCH("@",C194)-1))),"")</f>
        <v/>
      </c>
      <c r="B1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4" s="1" t="s">
        <v>112</v>
      </c>
    </row>
    <row r="195" spans="1:10" x14ac:dyDescent="0.25">
      <c r="A195" s="1" t="str">
        <f t="shared" si="3"/>
        <v/>
      </c>
      <c r="B1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5" s="1" t="s">
        <v>112</v>
      </c>
    </row>
    <row r="196" spans="1:10" x14ac:dyDescent="0.25">
      <c r="A196" s="1" t="str">
        <f t="shared" si="3"/>
        <v/>
      </c>
      <c r="B1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6" s="1" t="s">
        <v>112</v>
      </c>
    </row>
    <row r="197" spans="1:10" x14ac:dyDescent="0.25">
      <c r="A197" s="1" t="str">
        <f t="shared" si="3"/>
        <v/>
      </c>
      <c r="B1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7" s="1" t="s">
        <v>112</v>
      </c>
    </row>
    <row r="198" spans="1:10" x14ac:dyDescent="0.25">
      <c r="A198" s="1" t="str">
        <f t="shared" si="3"/>
        <v/>
      </c>
      <c r="B1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8" s="1" t="s">
        <v>112</v>
      </c>
    </row>
    <row r="199" spans="1:10" x14ac:dyDescent="0.25">
      <c r="A199" s="1" t="str">
        <f t="shared" si="3"/>
        <v/>
      </c>
      <c r="B1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9" s="1" t="s">
        <v>249</v>
      </c>
      <c r="D199" s="1" t="s">
        <v>110</v>
      </c>
      <c r="E199" s="1" t="s">
        <v>111</v>
      </c>
      <c r="F199" s="1" t="s">
        <v>112</v>
      </c>
      <c r="G199" s="1" t="s">
        <v>113</v>
      </c>
    </row>
    <row r="200" spans="1:10" x14ac:dyDescent="0.25">
      <c r="A200" s="1" t="str">
        <f t="shared" si="3"/>
        <v>3</v>
      </c>
      <c r="B2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00" s="1" t="s">
        <v>3441</v>
      </c>
      <c r="D200" s="1" t="s">
        <v>3442</v>
      </c>
      <c r="E200" s="1" t="s">
        <v>3443</v>
      </c>
      <c r="F200" s="1" t="s">
        <v>112</v>
      </c>
      <c r="G200" s="1">
        <v>71963</v>
      </c>
    </row>
    <row r="201" spans="1:10" x14ac:dyDescent="0.25">
      <c r="A201" s="1" t="str">
        <f t="shared" si="3"/>
        <v>3</v>
      </c>
      <c r="B2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01" s="1" t="s">
        <v>3444</v>
      </c>
      <c r="D201" s="1">
        <v>0</v>
      </c>
      <c r="E201" s="1">
        <v>0</v>
      </c>
      <c r="F201" s="1" t="s">
        <v>112</v>
      </c>
      <c r="G201" s="1">
        <v>0</v>
      </c>
    </row>
    <row r="202" spans="1:10" x14ac:dyDescent="0.25">
      <c r="A202" s="1" t="str">
        <f t="shared" si="3"/>
        <v>3</v>
      </c>
      <c r="B2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02" s="1" t="s">
        <v>3445</v>
      </c>
      <c r="D202" s="1" t="s">
        <v>3446</v>
      </c>
      <c r="E202" s="1">
        <v>32</v>
      </c>
      <c r="F202" s="1" t="s">
        <v>112</v>
      </c>
      <c r="G202" s="1">
        <v>20073</v>
      </c>
    </row>
    <row r="203" spans="1:10" x14ac:dyDescent="0.25">
      <c r="A203" s="1" t="str">
        <f t="shared" si="3"/>
        <v>3</v>
      </c>
      <c r="B2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03" s="1" t="s">
        <v>3447</v>
      </c>
      <c r="D203" s="1" t="s">
        <v>3448</v>
      </c>
      <c r="E203" s="1" t="s">
        <v>3449</v>
      </c>
      <c r="F203" s="1" t="s">
        <v>112</v>
      </c>
      <c r="G203" s="1">
        <v>489874</v>
      </c>
    </row>
    <row r="204" spans="1:10" x14ac:dyDescent="0.25">
      <c r="A204" s="1" t="str">
        <f t="shared" si="3"/>
        <v>3</v>
      </c>
      <c r="B2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04" s="1" t="s">
        <v>3450</v>
      </c>
      <c r="D204" s="1" t="s">
        <v>3451</v>
      </c>
      <c r="E204" s="1" t="s">
        <v>3452</v>
      </c>
      <c r="F204" s="1" t="s">
        <v>112</v>
      </c>
      <c r="G204" s="1">
        <v>687225</v>
      </c>
    </row>
    <row r="205" spans="1:10" x14ac:dyDescent="0.25">
      <c r="A205" s="1" t="str">
        <f t="shared" si="3"/>
        <v>3</v>
      </c>
      <c r="B2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05" s="1" t="s">
        <v>3453</v>
      </c>
      <c r="D205" s="1" t="s">
        <v>3454</v>
      </c>
      <c r="E205" s="1" t="s">
        <v>3455</v>
      </c>
      <c r="F205" s="1" t="s">
        <v>112</v>
      </c>
      <c r="G205" s="1">
        <v>753369</v>
      </c>
    </row>
    <row r="206" spans="1:10" x14ac:dyDescent="0.25">
      <c r="A206" s="1" t="str">
        <f t="shared" si="3"/>
        <v>3</v>
      </c>
      <c r="B2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06" s="1" t="s">
        <v>3456</v>
      </c>
      <c r="D206" s="1" t="s">
        <v>325</v>
      </c>
      <c r="E206" s="1" t="s">
        <v>3457</v>
      </c>
      <c r="F206" s="1" t="s">
        <v>112</v>
      </c>
      <c r="G206" s="1">
        <v>115871</v>
      </c>
    </row>
    <row r="207" spans="1:10" x14ac:dyDescent="0.25">
      <c r="A207" s="1" t="str">
        <f t="shared" si="3"/>
        <v>3</v>
      </c>
      <c r="B2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07" s="1" t="s">
        <v>3458</v>
      </c>
      <c r="D207" s="1" t="s">
        <v>2087</v>
      </c>
      <c r="E207" s="1" t="s">
        <v>3459</v>
      </c>
      <c r="F207" s="1" t="s">
        <v>112</v>
      </c>
      <c r="G207" s="1">
        <v>144942</v>
      </c>
    </row>
    <row r="208" spans="1:10" x14ac:dyDescent="0.25">
      <c r="A208" s="1" t="str">
        <f t="shared" si="3"/>
        <v>3</v>
      </c>
      <c r="B2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08" s="1" t="s">
        <v>3460</v>
      </c>
      <c r="D208" s="1" t="s">
        <v>3461</v>
      </c>
      <c r="E208" s="1" t="s">
        <v>3462</v>
      </c>
      <c r="F208" s="1" t="s">
        <v>112</v>
      </c>
      <c r="G208" s="1">
        <v>189045</v>
      </c>
    </row>
    <row r="209" spans="1:7" x14ac:dyDescent="0.25">
      <c r="A209" s="1" t="str">
        <f t="shared" si="3"/>
        <v>3</v>
      </c>
      <c r="B2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09" s="1" t="s">
        <v>3463</v>
      </c>
      <c r="D209" s="1" t="s">
        <v>372</v>
      </c>
      <c r="E209" s="1" t="s">
        <v>3464</v>
      </c>
      <c r="F209" s="1" t="s">
        <v>112</v>
      </c>
      <c r="G209" s="1">
        <v>152794</v>
      </c>
    </row>
    <row r="210" spans="1:7" x14ac:dyDescent="0.25">
      <c r="A210" s="1" t="str">
        <f t="shared" si="3"/>
        <v>3</v>
      </c>
      <c r="B2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10" s="1" t="s">
        <v>3465</v>
      </c>
    </row>
    <row r="211" spans="1:7" x14ac:dyDescent="0.25">
      <c r="A211" s="1" t="str">
        <f t="shared" si="3"/>
        <v>3</v>
      </c>
      <c r="B2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11" s="1" t="s">
        <v>3466</v>
      </c>
    </row>
    <row r="212" spans="1:7" x14ac:dyDescent="0.25">
      <c r="A212" s="1" t="str">
        <f t="shared" si="3"/>
        <v>3</v>
      </c>
      <c r="B2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12" s="1" t="s">
        <v>3467</v>
      </c>
      <c r="D212" s="1" t="s">
        <v>3468</v>
      </c>
      <c r="E212" s="1" t="s">
        <v>3469</v>
      </c>
      <c r="F212" s="1" t="s">
        <v>112</v>
      </c>
      <c r="G212" s="1">
        <v>312660</v>
      </c>
    </row>
    <row r="213" spans="1:7" x14ac:dyDescent="0.25">
      <c r="A213" s="1" t="str">
        <f t="shared" si="3"/>
        <v>3</v>
      </c>
      <c r="B2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13" s="1" t="s">
        <v>3470</v>
      </c>
      <c r="D213" s="1" t="s">
        <v>3471</v>
      </c>
      <c r="E213" s="1" t="s">
        <v>3472</v>
      </c>
      <c r="F213" s="1" t="s">
        <v>112</v>
      </c>
      <c r="G213" s="1">
        <v>407421</v>
      </c>
    </row>
    <row r="214" spans="1:7" x14ac:dyDescent="0.25">
      <c r="A214" s="1" t="str">
        <f t="shared" si="3"/>
        <v>3</v>
      </c>
      <c r="B2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14" s="1" t="s">
        <v>3473</v>
      </c>
      <c r="D214" s="1" t="s">
        <v>3474</v>
      </c>
      <c r="E214" s="1" t="s">
        <v>3475</v>
      </c>
      <c r="F214" s="1" t="s">
        <v>112</v>
      </c>
      <c r="G214" s="1">
        <v>486478</v>
      </c>
    </row>
    <row r="215" spans="1:7" x14ac:dyDescent="0.25">
      <c r="A215" s="1" t="str">
        <f t="shared" si="3"/>
        <v>3</v>
      </c>
      <c r="B2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15" s="1" t="s">
        <v>3476</v>
      </c>
      <c r="D215" s="1" t="s">
        <v>2136</v>
      </c>
      <c r="E215" s="1" t="s">
        <v>3477</v>
      </c>
      <c r="F215" s="1" t="s">
        <v>112</v>
      </c>
      <c r="G215" s="1">
        <v>197265</v>
      </c>
    </row>
    <row r="216" spans="1:7" x14ac:dyDescent="0.25">
      <c r="A216" s="1" t="str">
        <f t="shared" si="3"/>
        <v>3</v>
      </c>
      <c r="B2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16" s="1" t="s">
        <v>3478</v>
      </c>
      <c r="D216" s="1" t="s">
        <v>3479</v>
      </c>
      <c r="E216" s="1" t="s">
        <v>3480</v>
      </c>
      <c r="F216" s="1" t="s">
        <v>112</v>
      </c>
      <c r="G216" s="1">
        <v>112000</v>
      </c>
    </row>
    <row r="217" spans="1:7" x14ac:dyDescent="0.25">
      <c r="A217" s="1" t="str">
        <f t="shared" si="3"/>
        <v>3</v>
      </c>
      <c r="B2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17" s="1" t="s">
        <v>3481</v>
      </c>
      <c r="D217" s="1" t="s">
        <v>645</v>
      </c>
      <c r="E217" s="1" t="s">
        <v>3482</v>
      </c>
      <c r="F217" s="1" t="s">
        <v>112</v>
      </c>
      <c r="G217" s="1">
        <v>149679</v>
      </c>
    </row>
    <row r="218" spans="1:7" x14ac:dyDescent="0.25">
      <c r="A218" s="1" t="str">
        <f t="shared" si="3"/>
        <v>3</v>
      </c>
      <c r="B2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18" s="1" t="s">
        <v>3483</v>
      </c>
      <c r="D218" s="1" t="s">
        <v>3484</v>
      </c>
      <c r="E218" s="1" t="s">
        <v>3485</v>
      </c>
      <c r="F218" s="1" t="s">
        <v>112</v>
      </c>
      <c r="G218" s="1">
        <v>395892</v>
      </c>
    </row>
    <row r="219" spans="1:7" x14ac:dyDescent="0.25">
      <c r="A219" s="1" t="str">
        <f t="shared" si="3"/>
        <v>3</v>
      </c>
      <c r="B2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19" s="1" t="s">
        <v>3486</v>
      </c>
      <c r="D219" s="1" t="s">
        <v>206</v>
      </c>
      <c r="E219" s="1" t="s">
        <v>3487</v>
      </c>
      <c r="F219" s="1" t="s">
        <v>112</v>
      </c>
      <c r="G219" s="1">
        <v>296654</v>
      </c>
    </row>
    <row r="220" spans="1:7" x14ac:dyDescent="0.25">
      <c r="A220" s="1" t="str">
        <f t="shared" si="3"/>
        <v>3</v>
      </c>
      <c r="B2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20" s="1" t="s">
        <v>3488</v>
      </c>
      <c r="D220" s="1" t="s">
        <v>691</v>
      </c>
      <c r="E220" s="1" t="s">
        <v>3489</v>
      </c>
      <c r="F220" s="1" t="s">
        <v>112</v>
      </c>
      <c r="G220" s="1">
        <v>415143</v>
      </c>
    </row>
    <row r="221" spans="1:7" x14ac:dyDescent="0.25">
      <c r="A221" s="1" t="str">
        <f t="shared" si="3"/>
        <v>3</v>
      </c>
      <c r="B2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21" s="1" t="s">
        <v>3490</v>
      </c>
      <c r="D221" s="1" t="s">
        <v>3491</v>
      </c>
      <c r="E221" s="1" t="s">
        <v>3492</v>
      </c>
      <c r="F221" s="1" t="s">
        <v>112</v>
      </c>
      <c r="G221" s="1">
        <v>121495</v>
      </c>
    </row>
    <row r="222" spans="1:7" x14ac:dyDescent="0.25">
      <c r="A222" s="1" t="str">
        <f t="shared" si="3"/>
        <v>3</v>
      </c>
      <c r="B2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22" s="1" t="s">
        <v>3493</v>
      </c>
      <c r="D222" s="1" t="s">
        <v>3494</v>
      </c>
      <c r="E222" s="1" t="s">
        <v>3495</v>
      </c>
      <c r="F222" s="1" t="s">
        <v>112</v>
      </c>
      <c r="G222" s="1">
        <v>171698</v>
      </c>
    </row>
    <row r="223" spans="1:7" x14ac:dyDescent="0.25">
      <c r="A223" s="1" t="str">
        <f t="shared" si="3"/>
        <v>3</v>
      </c>
      <c r="B2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23" s="1" t="s">
        <v>3496</v>
      </c>
      <c r="D223" s="1" t="s">
        <v>227</v>
      </c>
      <c r="E223" s="1">
        <v>33</v>
      </c>
      <c r="F223" s="1" t="s">
        <v>112</v>
      </c>
      <c r="G223" s="1">
        <v>1428</v>
      </c>
    </row>
    <row r="224" spans="1:7" x14ac:dyDescent="0.25">
      <c r="A224" s="1" t="str">
        <f t="shared" si="3"/>
        <v/>
      </c>
      <c r="B2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4" s="1" t="s">
        <v>112</v>
      </c>
    </row>
    <row r="225" spans="1:10" x14ac:dyDescent="0.25">
      <c r="A225" s="1" t="str">
        <f t="shared" si="3"/>
        <v/>
      </c>
      <c r="B2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5" s="1" t="s">
        <v>237</v>
      </c>
      <c r="D225" s="1" t="s">
        <v>112</v>
      </c>
      <c r="E225" s="1" t="s">
        <v>238</v>
      </c>
      <c r="F225" s="1" t="s">
        <v>239</v>
      </c>
      <c r="G225" s="1" t="s">
        <v>240</v>
      </c>
      <c r="H225" s="1" t="s">
        <v>241</v>
      </c>
      <c r="I225" s="1" t="s">
        <v>242</v>
      </c>
      <c r="J225" s="1" t="s">
        <v>243</v>
      </c>
    </row>
    <row r="226" spans="1:10" x14ac:dyDescent="0.25">
      <c r="A226" s="1" t="str">
        <f t="shared" si="3"/>
        <v>3</v>
      </c>
      <c r="B22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26" s="1" t="s">
        <v>3497</v>
      </c>
      <c r="D226" s="1" t="s">
        <v>112</v>
      </c>
      <c r="E226" s="1" t="s">
        <v>3498</v>
      </c>
      <c r="F226" s="1" t="s">
        <v>3499</v>
      </c>
      <c r="G226" s="1" t="s">
        <v>3500</v>
      </c>
      <c r="H226" s="1" t="s">
        <v>3501</v>
      </c>
      <c r="I226" s="1">
        <v>22</v>
      </c>
      <c r="J226" s="1">
        <v>24</v>
      </c>
    </row>
    <row r="227" spans="1:10" x14ac:dyDescent="0.25">
      <c r="A227" s="1" t="str">
        <f t="shared" si="3"/>
        <v/>
      </c>
      <c r="B2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7" s="1" t="s">
        <v>112</v>
      </c>
    </row>
    <row r="228" spans="1:10" x14ac:dyDescent="0.25">
      <c r="A228" s="1" t="str">
        <f t="shared" si="3"/>
        <v/>
      </c>
      <c r="B2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8" s="1" t="s">
        <v>112</v>
      </c>
    </row>
    <row r="229" spans="1:10" x14ac:dyDescent="0.25">
      <c r="A229" s="1" t="str">
        <f t="shared" si="3"/>
        <v/>
      </c>
      <c r="B2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9" s="1" t="s">
        <v>112</v>
      </c>
    </row>
    <row r="230" spans="1:10" x14ac:dyDescent="0.25">
      <c r="A230" s="1" t="str">
        <f t="shared" si="3"/>
        <v/>
      </c>
      <c r="B2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30" s="1" t="s">
        <v>112</v>
      </c>
    </row>
    <row r="231" spans="1:10" x14ac:dyDescent="0.25">
      <c r="A231" s="1" t="str">
        <f t="shared" si="3"/>
        <v/>
      </c>
      <c r="B2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31" s="1" t="s">
        <v>112</v>
      </c>
    </row>
    <row r="232" spans="1:10" x14ac:dyDescent="0.25">
      <c r="A232" s="1" t="str">
        <f t="shared" si="3"/>
        <v/>
      </c>
      <c r="B2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32" s="1" t="s">
        <v>249</v>
      </c>
      <c r="D232" s="1" t="s">
        <v>110</v>
      </c>
      <c r="E232" s="1" t="s">
        <v>111</v>
      </c>
      <c r="F232" s="1" t="s">
        <v>112</v>
      </c>
      <c r="G232" s="1" t="s">
        <v>113</v>
      </c>
    </row>
    <row r="233" spans="1:10" x14ac:dyDescent="0.25">
      <c r="A233" s="1" t="str">
        <f t="shared" si="3"/>
        <v>4</v>
      </c>
      <c r="B2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33" s="1" t="s">
        <v>3502</v>
      </c>
      <c r="D233" s="1" t="s">
        <v>1727</v>
      </c>
      <c r="E233" s="1" t="s">
        <v>3503</v>
      </c>
      <c r="F233" s="1" t="s">
        <v>112</v>
      </c>
      <c r="G233" s="1">
        <v>14860</v>
      </c>
    </row>
    <row r="234" spans="1:10" x14ac:dyDescent="0.25">
      <c r="A234" s="1" t="str">
        <f t="shared" si="3"/>
        <v>4</v>
      </c>
      <c r="B2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34" s="1" t="s">
        <v>3504</v>
      </c>
      <c r="D234" s="1" t="s">
        <v>3505</v>
      </c>
      <c r="E234" s="1" t="s">
        <v>3506</v>
      </c>
      <c r="F234" s="1" t="s">
        <v>112</v>
      </c>
      <c r="G234" s="1">
        <v>403700</v>
      </c>
    </row>
    <row r="235" spans="1:10" x14ac:dyDescent="0.25">
      <c r="A235" s="1" t="str">
        <f t="shared" si="3"/>
        <v>4</v>
      </c>
      <c r="B2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35" s="1" t="s">
        <v>3507</v>
      </c>
      <c r="D235" s="1" t="s">
        <v>1986</v>
      </c>
      <c r="E235" s="1" t="s">
        <v>3508</v>
      </c>
      <c r="F235" s="1" t="s">
        <v>112</v>
      </c>
      <c r="G235" s="1">
        <v>59158</v>
      </c>
    </row>
    <row r="236" spans="1:10" x14ac:dyDescent="0.25">
      <c r="A236" s="1" t="str">
        <f t="shared" si="3"/>
        <v>4</v>
      </c>
      <c r="B2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36" s="1" t="s">
        <v>3509</v>
      </c>
      <c r="D236" s="1" t="s">
        <v>3510</v>
      </c>
      <c r="E236" s="1" t="s">
        <v>3511</v>
      </c>
      <c r="F236" s="1" t="s">
        <v>112</v>
      </c>
      <c r="G236" s="1">
        <v>919811</v>
      </c>
    </row>
    <row r="237" spans="1:10" x14ac:dyDescent="0.25">
      <c r="A237" s="1" t="str">
        <f t="shared" si="3"/>
        <v>4</v>
      </c>
      <c r="B2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37" s="1" t="s">
        <v>3512</v>
      </c>
      <c r="D237" s="1" t="s">
        <v>3513</v>
      </c>
      <c r="E237" s="1" t="s">
        <v>3514</v>
      </c>
      <c r="F237" s="1" t="s">
        <v>112</v>
      </c>
      <c r="G237" s="1">
        <v>907071</v>
      </c>
    </row>
    <row r="238" spans="1:10" x14ac:dyDescent="0.25">
      <c r="A238" s="1" t="str">
        <f t="shared" si="3"/>
        <v>4</v>
      </c>
      <c r="B2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38" s="1" t="s">
        <v>3515</v>
      </c>
      <c r="D238" s="1" t="s">
        <v>3516</v>
      </c>
      <c r="E238" s="1" t="s">
        <v>3517</v>
      </c>
      <c r="F238" s="1" t="s">
        <v>112</v>
      </c>
      <c r="G238" s="1">
        <v>961946</v>
      </c>
    </row>
    <row r="239" spans="1:10" x14ac:dyDescent="0.25">
      <c r="A239" s="1" t="str">
        <f t="shared" si="3"/>
        <v>4</v>
      </c>
      <c r="B2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39" s="1" t="s">
        <v>3518</v>
      </c>
      <c r="D239" s="1" t="s">
        <v>3519</v>
      </c>
      <c r="E239" s="1" t="s">
        <v>3520</v>
      </c>
      <c r="F239" s="1" t="s">
        <v>112</v>
      </c>
      <c r="G239" s="1">
        <v>576112</v>
      </c>
    </row>
    <row r="240" spans="1:10" x14ac:dyDescent="0.25">
      <c r="A240" s="1" t="str">
        <f t="shared" si="3"/>
        <v>4</v>
      </c>
      <c r="B2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40" s="1" t="s">
        <v>3521</v>
      </c>
      <c r="D240" s="1" t="s">
        <v>2977</v>
      </c>
      <c r="E240" s="1" t="s">
        <v>3522</v>
      </c>
      <c r="F240" s="1" t="s">
        <v>112</v>
      </c>
      <c r="G240" s="1">
        <v>414775</v>
      </c>
    </row>
    <row r="241" spans="1:7" x14ac:dyDescent="0.25">
      <c r="A241" s="1" t="str">
        <f t="shared" si="3"/>
        <v>4</v>
      </c>
      <c r="B2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41" s="1" t="s">
        <v>3523</v>
      </c>
      <c r="D241" s="1" t="s">
        <v>3524</v>
      </c>
      <c r="E241" s="1" t="s">
        <v>3525</v>
      </c>
      <c r="F241" s="1" t="s">
        <v>112</v>
      </c>
      <c r="G241" s="1">
        <v>400521</v>
      </c>
    </row>
    <row r="242" spans="1:7" x14ac:dyDescent="0.25">
      <c r="A242" s="1" t="str">
        <f t="shared" si="3"/>
        <v>4</v>
      </c>
      <c r="B2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42" s="1" t="s">
        <v>3526</v>
      </c>
      <c r="D242" s="1" t="s">
        <v>3527</v>
      </c>
      <c r="E242" s="1" t="s">
        <v>3528</v>
      </c>
      <c r="F242" s="1" t="s">
        <v>112</v>
      </c>
      <c r="G242" s="1">
        <v>850250</v>
      </c>
    </row>
    <row r="243" spans="1:7" x14ac:dyDescent="0.25">
      <c r="A243" s="1" t="str">
        <f t="shared" si="3"/>
        <v>4</v>
      </c>
      <c r="B2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43" s="1" t="s">
        <v>3529</v>
      </c>
      <c r="D243" s="1" t="s">
        <v>1796</v>
      </c>
      <c r="E243" s="1" t="s">
        <v>3530</v>
      </c>
      <c r="F243" s="1" t="s">
        <v>112</v>
      </c>
      <c r="G243" s="1">
        <v>1388509</v>
      </c>
    </row>
    <row r="244" spans="1:7" x14ac:dyDescent="0.25">
      <c r="A244" s="1" t="str">
        <f t="shared" si="3"/>
        <v>4</v>
      </c>
      <c r="B2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44" s="1" t="s">
        <v>3531</v>
      </c>
      <c r="D244" s="1" t="s">
        <v>3532</v>
      </c>
      <c r="E244" s="1" t="s">
        <v>3533</v>
      </c>
      <c r="F244" s="1" t="s">
        <v>112</v>
      </c>
      <c r="G244" s="1">
        <v>800111</v>
      </c>
    </row>
    <row r="245" spans="1:7" x14ac:dyDescent="0.25">
      <c r="A245" s="1" t="str">
        <f t="shared" si="3"/>
        <v>4</v>
      </c>
      <c r="B2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45" s="1" t="s">
        <v>3534</v>
      </c>
      <c r="D245" s="1" t="s">
        <v>3535</v>
      </c>
      <c r="E245" s="1" t="s">
        <v>3536</v>
      </c>
      <c r="F245" s="1" t="s">
        <v>112</v>
      </c>
      <c r="G245" s="1">
        <v>287094</v>
      </c>
    </row>
    <row r="246" spans="1:7" x14ac:dyDescent="0.25">
      <c r="A246" s="1" t="str">
        <f t="shared" si="3"/>
        <v>4</v>
      </c>
      <c r="B2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46" s="1" t="s">
        <v>3537</v>
      </c>
      <c r="D246" s="1" t="s">
        <v>3538</v>
      </c>
      <c r="E246" s="1" t="s">
        <v>3539</v>
      </c>
      <c r="F246" s="1" t="s">
        <v>112</v>
      </c>
      <c r="G246" s="1">
        <v>584721</v>
      </c>
    </row>
    <row r="247" spans="1:7" x14ac:dyDescent="0.25">
      <c r="A247" s="1" t="str">
        <f t="shared" si="3"/>
        <v>4</v>
      </c>
      <c r="B2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47" s="1" t="s">
        <v>3540</v>
      </c>
      <c r="D247" s="1" t="s">
        <v>3541</v>
      </c>
      <c r="E247" s="1" t="s">
        <v>3542</v>
      </c>
      <c r="F247" s="1" t="s">
        <v>112</v>
      </c>
      <c r="G247" s="1">
        <v>373181</v>
      </c>
    </row>
    <row r="248" spans="1:7" x14ac:dyDescent="0.25">
      <c r="A248" s="1" t="str">
        <f t="shared" si="3"/>
        <v>4</v>
      </c>
      <c r="B2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48" s="1" t="s">
        <v>3543</v>
      </c>
      <c r="D248" s="1" t="s">
        <v>3544</v>
      </c>
      <c r="E248" s="1" t="s">
        <v>3545</v>
      </c>
      <c r="F248" s="1" t="s">
        <v>112</v>
      </c>
      <c r="G248" s="1">
        <v>1131049</v>
      </c>
    </row>
    <row r="249" spans="1:7" x14ac:dyDescent="0.25">
      <c r="A249" s="1" t="str">
        <f t="shared" si="3"/>
        <v>4</v>
      </c>
      <c r="B2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49" s="1" t="s">
        <v>3546</v>
      </c>
      <c r="D249" s="1" t="s">
        <v>3547</v>
      </c>
      <c r="E249" s="1" t="s">
        <v>3548</v>
      </c>
      <c r="F249" s="1" t="s">
        <v>112</v>
      </c>
      <c r="G249" s="1">
        <v>1360888</v>
      </c>
    </row>
    <row r="250" spans="1:7" x14ac:dyDescent="0.25">
      <c r="A250" s="1" t="str">
        <f t="shared" si="3"/>
        <v>4</v>
      </c>
      <c r="B2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50" s="1" t="s">
        <v>3549</v>
      </c>
      <c r="D250" s="1" t="s">
        <v>3550</v>
      </c>
      <c r="E250" s="1" t="s">
        <v>3551</v>
      </c>
      <c r="F250" s="1" t="s">
        <v>112</v>
      </c>
      <c r="G250" s="1">
        <v>594216</v>
      </c>
    </row>
    <row r="251" spans="1:7" x14ac:dyDescent="0.25">
      <c r="A251" s="1" t="str">
        <f t="shared" si="3"/>
        <v>4</v>
      </c>
      <c r="B2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51" s="1" t="s">
        <v>3552</v>
      </c>
      <c r="D251" s="1" t="s">
        <v>3553</v>
      </c>
      <c r="E251" s="1" t="s">
        <v>3554</v>
      </c>
      <c r="F251" s="1" t="s">
        <v>112</v>
      </c>
      <c r="G251" s="1">
        <v>2035395</v>
      </c>
    </row>
    <row r="252" spans="1:7" x14ac:dyDescent="0.25">
      <c r="A252" s="1" t="str">
        <f t="shared" si="3"/>
        <v>4</v>
      </c>
      <c r="B2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52" s="1" t="s">
        <v>3555</v>
      </c>
      <c r="D252" s="1" t="s">
        <v>3556</v>
      </c>
      <c r="E252" s="1" t="s">
        <v>3557</v>
      </c>
      <c r="F252" s="1" t="s">
        <v>112</v>
      </c>
      <c r="G252" s="1">
        <v>2201253</v>
      </c>
    </row>
    <row r="253" spans="1:7" x14ac:dyDescent="0.25">
      <c r="A253" s="1" t="str">
        <f t="shared" si="3"/>
        <v>4</v>
      </c>
      <c r="B2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53" s="1" t="s">
        <v>3558</v>
      </c>
      <c r="D253" s="1" t="s">
        <v>3559</v>
      </c>
      <c r="E253" s="1" t="s">
        <v>3560</v>
      </c>
      <c r="F253" s="1" t="s">
        <v>112</v>
      </c>
      <c r="G253" s="1">
        <v>2094163</v>
      </c>
    </row>
    <row r="254" spans="1:7" x14ac:dyDescent="0.25">
      <c r="A254" s="1" t="str">
        <f t="shared" si="3"/>
        <v>4</v>
      </c>
      <c r="B2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4" s="1" t="s">
        <v>3561</v>
      </c>
      <c r="D254" s="1" t="s">
        <v>3562</v>
      </c>
      <c r="E254" s="1" t="s">
        <v>3563</v>
      </c>
      <c r="F254" s="1" t="s">
        <v>112</v>
      </c>
      <c r="G254" s="1">
        <v>456585</v>
      </c>
    </row>
    <row r="255" spans="1:7" x14ac:dyDescent="0.25">
      <c r="A255" s="1" t="str">
        <f t="shared" si="3"/>
        <v>4</v>
      </c>
      <c r="B2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5" s="1" t="s">
        <v>3564</v>
      </c>
      <c r="D255" s="1" t="s">
        <v>3565</v>
      </c>
      <c r="E255" s="1" t="s">
        <v>3566</v>
      </c>
      <c r="F255" s="1" t="s">
        <v>112</v>
      </c>
      <c r="G255" s="1">
        <v>590864</v>
      </c>
    </row>
    <row r="256" spans="1:7" x14ac:dyDescent="0.25">
      <c r="A256" s="1" t="str">
        <f t="shared" si="3"/>
        <v>4</v>
      </c>
      <c r="B2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6" s="1" t="s">
        <v>3567</v>
      </c>
      <c r="D256" s="1" t="s">
        <v>3568</v>
      </c>
      <c r="E256" s="1" t="s">
        <v>3569</v>
      </c>
      <c r="F256" s="1" t="s">
        <v>112</v>
      </c>
      <c r="G256" s="1">
        <v>205938</v>
      </c>
    </row>
    <row r="257" spans="1:10" x14ac:dyDescent="0.25">
      <c r="A257" s="1" t="str">
        <f t="shared" si="3"/>
        <v/>
      </c>
      <c r="B2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57" s="1" t="s">
        <v>112</v>
      </c>
    </row>
    <row r="258" spans="1:10" x14ac:dyDescent="0.25">
      <c r="A258" s="1" t="str">
        <f t="shared" ref="A258:A321" si="4">IFERROR(LEFT(RIGHT(C258,LEN(C258)-SEARCH("@",C258)),SEARCH("/",RIGHT(C258,LEN(C258)-SEARCH("@",C258)-1))),"")</f>
        <v/>
      </c>
      <c r="B2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58" s="1" t="s">
        <v>237</v>
      </c>
      <c r="D258" s="1" t="s">
        <v>112</v>
      </c>
      <c r="E258" s="1" t="s">
        <v>238</v>
      </c>
      <c r="F258" s="1" t="s">
        <v>239</v>
      </c>
      <c r="G258" s="1" t="s">
        <v>240</v>
      </c>
      <c r="H258" s="1" t="s">
        <v>241</v>
      </c>
      <c r="I258" s="1" t="s">
        <v>242</v>
      </c>
      <c r="J258" s="1" t="s">
        <v>243</v>
      </c>
    </row>
    <row r="259" spans="1:10" x14ac:dyDescent="0.25">
      <c r="A259" s="1" t="str">
        <f t="shared" si="4"/>
        <v>4</v>
      </c>
      <c r="B25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59" s="1" t="s">
        <v>3570</v>
      </c>
      <c r="D259" s="1" t="s">
        <v>112</v>
      </c>
      <c r="E259" s="1" t="s">
        <v>3571</v>
      </c>
      <c r="F259" s="1" t="s">
        <v>3572</v>
      </c>
      <c r="G259" s="1" t="s">
        <v>3573</v>
      </c>
      <c r="H259" s="1" t="s">
        <v>3574</v>
      </c>
      <c r="I259" s="1">
        <v>24</v>
      </c>
      <c r="J259" s="1">
        <v>24</v>
      </c>
    </row>
    <row r="260" spans="1:10" x14ac:dyDescent="0.25">
      <c r="A260" s="1" t="str">
        <f t="shared" si="4"/>
        <v/>
      </c>
      <c r="B2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0" s="1" t="s">
        <v>112</v>
      </c>
    </row>
    <row r="261" spans="1:10" x14ac:dyDescent="0.25">
      <c r="A261" s="1" t="str">
        <f t="shared" si="4"/>
        <v/>
      </c>
      <c r="B2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1" s="1" t="s">
        <v>112</v>
      </c>
    </row>
    <row r="262" spans="1:10" x14ac:dyDescent="0.25">
      <c r="A262" s="1" t="str">
        <f t="shared" si="4"/>
        <v/>
      </c>
      <c r="B2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2" s="1" t="s">
        <v>112</v>
      </c>
    </row>
    <row r="263" spans="1:10" x14ac:dyDescent="0.25">
      <c r="A263" s="1" t="str">
        <f t="shared" si="4"/>
        <v/>
      </c>
      <c r="B2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3" s="1" t="s">
        <v>112</v>
      </c>
    </row>
    <row r="264" spans="1:10" x14ac:dyDescent="0.25">
      <c r="A264" s="1" t="str">
        <f t="shared" si="4"/>
        <v/>
      </c>
      <c r="B2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4" s="1" t="s">
        <v>112</v>
      </c>
    </row>
    <row r="265" spans="1:10" x14ac:dyDescent="0.25">
      <c r="A265" s="1" t="str">
        <f t="shared" si="4"/>
        <v/>
      </c>
      <c r="B2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5" s="1" t="s">
        <v>249</v>
      </c>
      <c r="D265" s="1" t="s">
        <v>110</v>
      </c>
      <c r="E265" s="1" t="s">
        <v>111</v>
      </c>
      <c r="F265" s="1" t="s">
        <v>112</v>
      </c>
      <c r="G265" s="1" t="s">
        <v>113</v>
      </c>
    </row>
    <row r="266" spans="1:10" x14ac:dyDescent="0.25">
      <c r="A266" s="1" t="str">
        <f t="shared" si="4"/>
        <v>5</v>
      </c>
      <c r="B2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66" s="1" t="s">
        <v>3575</v>
      </c>
      <c r="D266" s="1" t="s">
        <v>1880</v>
      </c>
      <c r="E266" s="1" t="s">
        <v>3576</v>
      </c>
      <c r="F266" s="1" t="s">
        <v>112</v>
      </c>
      <c r="G266" s="1">
        <v>811986</v>
      </c>
    </row>
    <row r="267" spans="1:10" x14ac:dyDescent="0.25">
      <c r="A267" s="1" t="str">
        <f t="shared" si="4"/>
        <v>5</v>
      </c>
      <c r="B2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67" s="1" t="s">
        <v>3577</v>
      </c>
      <c r="D267" s="1" t="s">
        <v>1104</v>
      </c>
      <c r="E267" s="1" t="s">
        <v>3578</v>
      </c>
      <c r="F267" s="1" t="s">
        <v>112</v>
      </c>
      <c r="G267" s="1">
        <v>394659</v>
      </c>
    </row>
    <row r="268" spans="1:10" x14ac:dyDescent="0.25">
      <c r="A268" s="1" t="str">
        <f t="shared" si="4"/>
        <v>5</v>
      </c>
      <c r="B2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68" s="1" t="s">
        <v>3579</v>
      </c>
      <c r="D268" s="1" t="s">
        <v>3580</v>
      </c>
      <c r="E268" s="1" t="s">
        <v>3581</v>
      </c>
      <c r="F268" s="1" t="s">
        <v>112</v>
      </c>
      <c r="G268" s="1">
        <v>507524</v>
      </c>
    </row>
    <row r="269" spans="1:10" x14ac:dyDescent="0.25">
      <c r="A269" s="1" t="str">
        <f t="shared" si="4"/>
        <v>5</v>
      </c>
      <c r="B2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69" s="1" t="s">
        <v>3582</v>
      </c>
      <c r="D269" s="1" t="s">
        <v>3583</v>
      </c>
      <c r="E269" s="1" t="s">
        <v>3584</v>
      </c>
      <c r="F269" s="1" t="s">
        <v>112</v>
      </c>
      <c r="G269" s="1">
        <v>2259113</v>
      </c>
    </row>
    <row r="270" spans="1:10" x14ac:dyDescent="0.25">
      <c r="A270" s="1" t="str">
        <f t="shared" si="4"/>
        <v>5</v>
      </c>
      <c r="B2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70" s="1" t="s">
        <v>3585</v>
      </c>
      <c r="D270" s="1" t="s">
        <v>3586</v>
      </c>
      <c r="E270" s="1" t="s">
        <v>3587</v>
      </c>
      <c r="F270" s="1" t="s">
        <v>112</v>
      </c>
      <c r="G270" s="1">
        <v>2201318</v>
      </c>
    </row>
    <row r="271" spans="1:10" x14ac:dyDescent="0.25">
      <c r="A271" s="1" t="str">
        <f t="shared" si="4"/>
        <v>5</v>
      </c>
      <c r="B2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71" s="1" t="s">
        <v>3588</v>
      </c>
      <c r="D271" s="1" t="s">
        <v>3589</v>
      </c>
      <c r="E271" s="1" t="s">
        <v>3590</v>
      </c>
      <c r="F271" s="1" t="s">
        <v>112</v>
      </c>
      <c r="G271" s="1">
        <v>2465159</v>
      </c>
    </row>
    <row r="272" spans="1:10" x14ac:dyDescent="0.25">
      <c r="A272" s="1" t="str">
        <f t="shared" si="4"/>
        <v>5</v>
      </c>
      <c r="B2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72" s="1" t="s">
        <v>3591</v>
      </c>
      <c r="D272" s="1" t="s">
        <v>2608</v>
      </c>
      <c r="E272" s="1" t="s">
        <v>3592</v>
      </c>
      <c r="F272" s="1" t="s">
        <v>112</v>
      </c>
      <c r="G272" s="1">
        <v>2391423</v>
      </c>
    </row>
    <row r="273" spans="1:7" x14ac:dyDescent="0.25">
      <c r="A273" s="1" t="str">
        <f t="shared" si="4"/>
        <v>5</v>
      </c>
      <c r="B2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73" s="1" t="s">
        <v>3593</v>
      </c>
      <c r="D273" s="1" t="s">
        <v>3594</v>
      </c>
      <c r="E273" s="1" t="s">
        <v>3595</v>
      </c>
      <c r="F273" s="1" t="s">
        <v>112</v>
      </c>
      <c r="G273" s="1">
        <v>2418612</v>
      </c>
    </row>
    <row r="274" spans="1:7" x14ac:dyDescent="0.25">
      <c r="A274" s="1" t="str">
        <f t="shared" si="4"/>
        <v>5</v>
      </c>
      <c r="B2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74" s="1" t="s">
        <v>3596</v>
      </c>
      <c r="D274" s="1" t="s">
        <v>3597</v>
      </c>
      <c r="E274" s="1" t="s">
        <v>3598</v>
      </c>
      <c r="F274" s="1" t="s">
        <v>112</v>
      </c>
      <c r="G274" s="1">
        <v>2124921</v>
      </c>
    </row>
    <row r="275" spans="1:7" x14ac:dyDescent="0.25">
      <c r="A275" s="1" t="str">
        <f t="shared" si="4"/>
        <v>5</v>
      </c>
      <c r="B2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75" s="1" t="s">
        <v>3599</v>
      </c>
      <c r="D275" s="1" t="s">
        <v>3600</v>
      </c>
      <c r="E275" s="1" t="s">
        <v>3601</v>
      </c>
      <c r="F275" s="1" t="s">
        <v>112</v>
      </c>
      <c r="G275" s="1">
        <v>3713939</v>
      </c>
    </row>
    <row r="276" spans="1:7" x14ac:dyDescent="0.25">
      <c r="A276" s="1" t="str">
        <f t="shared" si="4"/>
        <v>5</v>
      </c>
      <c r="B2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76" s="1" t="s">
        <v>3602</v>
      </c>
      <c r="D276" s="1" t="s">
        <v>3603</v>
      </c>
      <c r="E276" s="1" t="s">
        <v>3604</v>
      </c>
      <c r="F276" s="1" t="s">
        <v>112</v>
      </c>
      <c r="G276" s="1">
        <v>4097827</v>
      </c>
    </row>
    <row r="277" spans="1:7" x14ac:dyDescent="0.25">
      <c r="A277" s="1" t="str">
        <f t="shared" si="4"/>
        <v>5</v>
      </c>
      <c r="B2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77" s="1" t="s">
        <v>3605</v>
      </c>
      <c r="D277" s="1" t="s">
        <v>3606</v>
      </c>
      <c r="E277" s="1" t="s">
        <v>3607</v>
      </c>
      <c r="F277" s="1" t="s">
        <v>112</v>
      </c>
      <c r="G277" s="1">
        <v>4561009</v>
      </c>
    </row>
    <row r="278" spans="1:7" x14ac:dyDescent="0.25">
      <c r="A278" s="1" t="str">
        <f t="shared" si="4"/>
        <v>5</v>
      </c>
      <c r="B2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78" s="1" t="s">
        <v>3608</v>
      </c>
      <c r="D278" s="1" t="s">
        <v>2321</v>
      </c>
      <c r="E278" s="1" t="s">
        <v>3609</v>
      </c>
      <c r="F278" s="1" t="s">
        <v>112</v>
      </c>
      <c r="G278" s="1">
        <v>2545860</v>
      </c>
    </row>
    <row r="279" spans="1:7" x14ac:dyDescent="0.25">
      <c r="A279" s="1" t="str">
        <f t="shared" si="4"/>
        <v>5</v>
      </c>
      <c r="B2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79" s="1" t="s">
        <v>3610</v>
      </c>
      <c r="D279" s="1" t="s">
        <v>3611</v>
      </c>
      <c r="E279" s="1" t="s">
        <v>3612</v>
      </c>
      <c r="F279" s="1" t="s">
        <v>112</v>
      </c>
      <c r="G279" s="1">
        <v>1871678</v>
      </c>
    </row>
    <row r="280" spans="1:7" x14ac:dyDescent="0.25">
      <c r="A280" s="1" t="str">
        <f t="shared" si="4"/>
        <v>5</v>
      </c>
      <c r="B2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80" s="1" t="s">
        <v>3613</v>
      </c>
      <c r="D280" s="1" t="s">
        <v>3614</v>
      </c>
      <c r="E280" s="1" t="s">
        <v>3615</v>
      </c>
      <c r="F280" s="1" t="s">
        <v>112</v>
      </c>
      <c r="G280" s="1">
        <v>2169651</v>
      </c>
    </row>
    <row r="281" spans="1:7" x14ac:dyDescent="0.25">
      <c r="A281" s="1" t="str">
        <f t="shared" si="4"/>
        <v>5</v>
      </c>
      <c r="B2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81" s="1" t="s">
        <v>3616</v>
      </c>
      <c r="D281" s="1" t="s">
        <v>3617</v>
      </c>
      <c r="E281" s="1" t="s">
        <v>3618</v>
      </c>
      <c r="F281" s="1" t="s">
        <v>112</v>
      </c>
      <c r="G281" s="1">
        <v>1877150</v>
      </c>
    </row>
    <row r="282" spans="1:7" x14ac:dyDescent="0.25">
      <c r="A282" s="1" t="str">
        <f t="shared" si="4"/>
        <v>5</v>
      </c>
      <c r="B2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82" s="1" t="s">
        <v>3619</v>
      </c>
      <c r="D282" s="1" t="s">
        <v>3620</v>
      </c>
      <c r="E282" s="1" t="s">
        <v>3621</v>
      </c>
      <c r="F282" s="1" t="s">
        <v>112</v>
      </c>
      <c r="G282" s="1">
        <v>1330087</v>
      </c>
    </row>
    <row r="283" spans="1:7" x14ac:dyDescent="0.25">
      <c r="A283" s="1" t="str">
        <f t="shared" si="4"/>
        <v>5</v>
      </c>
      <c r="B2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83" s="1" t="s">
        <v>3622</v>
      </c>
      <c r="D283" s="1" t="s">
        <v>3623</v>
      </c>
      <c r="E283" s="1" t="s">
        <v>3624</v>
      </c>
      <c r="F283" s="1" t="s">
        <v>112</v>
      </c>
      <c r="G283" s="1">
        <v>1327492</v>
      </c>
    </row>
    <row r="284" spans="1:7" x14ac:dyDescent="0.25">
      <c r="A284" s="1" t="str">
        <f t="shared" si="4"/>
        <v>5</v>
      </c>
      <c r="B2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84" s="1" t="s">
        <v>3625</v>
      </c>
      <c r="D284" s="1" t="s">
        <v>3626</v>
      </c>
      <c r="E284" s="1" t="s">
        <v>3627</v>
      </c>
      <c r="F284" s="1" t="s">
        <v>112</v>
      </c>
      <c r="G284" s="1">
        <v>1549652</v>
      </c>
    </row>
    <row r="285" spans="1:7" x14ac:dyDescent="0.25">
      <c r="A285" s="1" t="str">
        <f t="shared" si="4"/>
        <v>5</v>
      </c>
      <c r="B2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85" s="1" t="s">
        <v>3628</v>
      </c>
      <c r="D285" s="1" t="s">
        <v>3629</v>
      </c>
      <c r="E285" s="1" t="s">
        <v>3630</v>
      </c>
      <c r="F285" s="1" t="s">
        <v>112</v>
      </c>
      <c r="G285" s="1">
        <v>1522528</v>
      </c>
    </row>
    <row r="286" spans="1:7" x14ac:dyDescent="0.25">
      <c r="A286" s="1" t="str">
        <f t="shared" si="4"/>
        <v>5</v>
      </c>
      <c r="B2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86" s="1" t="s">
        <v>3631</v>
      </c>
      <c r="D286" s="1" t="s">
        <v>3632</v>
      </c>
      <c r="E286" s="1" t="s">
        <v>3633</v>
      </c>
      <c r="F286" s="1" t="s">
        <v>112</v>
      </c>
      <c r="G286" s="1">
        <v>2068229</v>
      </c>
    </row>
    <row r="287" spans="1:7" x14ac:dyDescent="0.25">
      <c r="A287" s="1" t="str">
        <f t="shared" si="4"/>
        <v>5</v>
      </c>
      <c r="B2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87" s="1" t="s">
        <v>3634</v>
      </c>
      <c r="D287" s="1" t="s">
        <v>3635</v>
      </c>
      <c r="E287" s="1" t="s">
        <v>3636</v>
      </c>
      <c r="F287" s="1" t="s">
        <v>112</v>
      </c>
      <c r="G287" s="1">
        <v>3359880</v>
      </c>
    </row>
    <row r="288" spans="1:7" x14ac:dyDescent="0.25">
      <c r="A288" s="1" t="str">
        <f t="shared" si="4"/>
        <v>5</v>
      </c>
      <c r="B2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88" s="1" t="s">
        <v>3637</v>
      </c>
      <c r="D288" s="1" t="s">
        <v>3638</v>
      </c>
      <c r="E288" s="1" t="s">
        <v>3639</v>
      </c>
      <c r="F288" s="1" t="s">
        <v>112</v>
      </c>
      <c r="G288" s="1">
        <v>3648033</v>
      </c>
    </row>
    <row r="289" spans="1:10" x14ac:dyDescent="0.25">
      <c r="A289" s="1" t="str">
        <f t="shared" si="4"/>
        <v>5</v>
      </c>
      <c r="B2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89" s="1" t="s">
        <v>3640</v>
      </c>
      <c r="D289" s="1" t="s">
        <v>3641</v>
      </c>
      <c r="E289" s="1" t="s">
        <v>3642</v>
      </c>
      <c r="F289" s="1" t="s">
        <v>112</v>
      </c>
      <c r="G289" s="1">
        <v>2840849</v>
      </c>
    </row>
    <row r="290" spans="1:10" x14ac:dyDescent="0.25">
      <c r="A290" s="1" t="str">
        <f t="shared" si="4"/>
        <v/>
      </c>
      <c r="B2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0" s="1" t="s">
        <v>112</v>
      </c>
    </row>
    <row r="291" spans="1:10" x14ac:dyDescent="0.25">
      <c r="A291" s="1" t="str">
        <f t="shared" si="4"/>
        <v/>
      </c>
      <c r="B2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1" s="1" t="s">
        <v>237</v>
      </c>
      <c r="D291" s="1" t="s">
        <v>112</v>
      </c>
      <c r="E291" s="1" t="s">
        <v>238</v>
      </c>
      <c r="F291" s="1" t="s">
        <v>239</v>
      </c>
      <c r="G291" s="1" t="s">
        <v>240</v>
      </c>
      <c r="H291" s="1" t="s">
        <v>241</v>
      </c>
      <c r="I291" s="1" t="s">
        <v>242</v>
      </c>
      <c r="J291" s="1" t="s">
        <v>243</v>
      </c>
    </row>
    <row r="292" spans="1:10" x14ac:dyDescent="0.25">
      <c r="A292" s="1" t="str">
        <f t="shared" si="4"/>
        <v>5</v>
      </c>
      <c r="B29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92" s="1" t="s">
        <v>3643</v>
      </c>
      <c r="D292" s="1" t="s">
        <v>112</v>
      </c>
      <c r="E292" s="1" t="s">
        <v>3644</v>
      </c>
      <c r="F292" s="1" t="s">
        <v>3645</v>
      </c>
      <c r="G292" s="1" t="s">
        <v>3646</v>
      </c>
      <c r="H292" s="1" t="s">
        <v>3647</v>
      </c>
      <c r="I292" s="1">
        <v>24</v>
      </c>
      <c r="J292" s="1">
        <v>24</v>
      </c>
    </row>
    <row r="293" spans="1:10" x14ac:dyDescent="0.25">
      <c r="A293" s="1" t="str">
        <f t="shared" si="4"/>
        <v/>
      </c>
      <c r="B2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3" s="1" t="s">
        <v>112</v>
      </c>
    </row>
    <row r="294" spans="1:10" x14ac:dyDescent="0.25">
      <c r="A294" s="1" t="str">
        <f t="shared" si="4"/>
        <v/>
      </c>
      <c r="B2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4" s="1" t="s">
        <v>112</v>
      </c>
    </row>
    <row r="295" spans="1:10" x14ac:dyDescent="0.25">
      <c r="A295" s="1" t="str">
        <f t="shared" si="4"/>
        <v/>
      </c>
      <c r="B2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5" s="1" t="s">
        <v>112</v>
      </c>
    </row>
    <row r="296" spans="1:10" x14ac:dyDescent="0.25">
      <c r="A296" s="1" t="str">
        <f t="shared" si="4"/>
        <v/>
      </c>
      <c r="B2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6" s="1" t="s">
        <v>112</v>
      </c>
    </row>
    <row r="297" spans="1:10" x14ac:dyDescent="0.25">
      <c r="A297" s="1" t="str">
        <f t="shared" si="4"/>
        <v/>
      </c>
      <c r="B2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7" s="1" t="s">
        <v>112</v>
      </c>
    </row>
    <row r="298" spans="1:10" x14ac:dyDescent="0.25">
      <c r="A298" s="1" t="str">
        <f t="shared" si="4"/>
        <v/>
      </c>
      <c r="B2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8" s="1" t="s">
        <v>249</v>
      </c>
      <c r="D298" s="1" t="s">
        <v>110</v>
      </c>
      <c r="E298" s="1" t="s">
        <v>111</v>
      </c>
      <c r="F298" s="1" t="s">
        <v>112</v>
      </c>
      <c r="G298" s="1" t="s">
        <v>113</v>
      </c>
    </row>
    <row r="299" spans="1:10" x14ac:dyDescent="0.25">
      <c r="A299" s="1" t="str">
        <f t="shared" si="4"/>
        <v>6</v>
      </c>
      <c r="B2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99" s="1" t="s">
        <v>3648</v>
      </c>
      <c r="D299" s="1" t="s">
        <v>3649</v>
      </c>
      <c r="E299" s="1" t="s">
        <v>3650</v>
      </c>
      <c r="F299" s="1" t="s">
        <v>112</v>
      </c>
      <c r="G299" s="1">
        <v>2774640</v>
      </c>
    </row>
    <row r="300" spans="1:10" x14ac:dyDescent="0.25">
      <c r="A300" s="1" t="str">
        <f t="shared" si="4"/>
        <v>6</v>
      </c>
      <c r="B3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00" s="1" t="s">
        <v>3651</v>
      </c>
      <c r="D300" s="1" t="s">
        <v>3652</v>
      </c>
      <c r="E300" s="1" t="s">
        <v>3653</v>
      </c>
      <c r="F300" s="1" t="s">
        <v>112</v>
      </c>
      <c r="G300" s="1">
        <v>2954103</v>
      </c>
    </row>
    <row r="301" spans="1:10" x14ac:dyDescent="0.25">
      <c r="A301" s="1" t="str">
        <f t="shared" si="4"/>
        <v>6</v>
      </c>
      <c r="B3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01" s="1" t="s">
        <v>3654</v>
      </c>
      <c r="D301" s="1" t="s">
        <v>3655</v>
      </c>
      <c r="E301" s="1" t="s">
        <v>3435</v>
      </c>
      <c r="F301" s="1" t="s">
        <v>112</v>
      </c>
      <c r="G301" s="1">
        <v>3072938</v>
      </c>
    </row>
    <row r="302" spans="1:10" x14ac:dyDescent="0.25">
      <c r="A302" s="1" t="str">
        <f t="shared" si="4"/>
        <v>6</v>
      </c>
      <c r="B3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02" s="1" t="s">
        <v>3656</v>
      </c>
      <c r="D302" s="1" t="s">
        <v>3657</v>
      </c>
      <c r="E302" s="1" t="s">
        <v>3658</v>
      </c>
      <c r="F302" s="1" t="s">
        <v>112</v>
      </c>
      <c r="G302" s="1">
        <v>3418886</v>
      </c>
    </row>
    <row r="303" spans="1:10" x14ac:dyDescent="0.25">
      <c r="A303" s="1" t="str">
        <f t="shared" si="4"/>
        <v>6</v>
      </c>
      <c r="B3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03" s="1" t="s">
        <v>3659</v>
      </c>
      <c r="D303" s="1" t="s">
        <v>3660</v>
      </c>
      <c r="E303" s="1" t="s">
        <v>3661</v>
      </c>
      <c r="F303" s="1" t="s">
        <v>112</v>
      </c>
      <c r="G303" s="1">
        <v>3902574</v>
      </c>
    </row>
    <row r="304" spans="1:10" x14ac:dyDescent="0.25">
      <c r="A304" s="1" t="str">
        <f t="shared" si="4"/>
        <v>6</v>
      </c>
      <c r="B3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04" s="1" t="s">
        <v>3662</v>
      </c>
      <c r="D304" s="1" t="s">
        <v>3663</v>
      </c>
      <c r="E304" s="1" t="s">
        <v>3664</v>
      </c>
      <c r="F304" s="1" t="s">
        <v>112</v>
      </c>
      <c r="G304" s="1">
        <v>3758194</v>
      </c>
    </row>
    <row r="305" spans="1:7" x14ac:dyDescent="0.25">
      <c r="A305" s="1" t="str">
        <f t="shared" si="4"/>
        <v>6</v>
      </c>
      <c r="B3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05" s="1" t="s">
        <v>3665</v>
      </c>
      <c r="D305" s="1" t="s">
        <v>3666</v>
      </c>
      <c r="E305" s="1" t="s">
        <v>3667</v>
      </c>
      <c r="F305" s="1" t="s">
        <v>112</v>
      </c>
      <c r="G305" s="1">
        <v>3000239</v>
      </c>
    </row>
    <row r="306" spans="1:7" x14ac:dyDescent="0.25">
      <c r="A306" s="1" t="str">
        <f t="shared" si="4"/>
        <v>6</v>
      </c>
      <c r="B3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06" s="1" t="s">
        <v>3668</v>
      </c>
      <c r="D306" s="1" t="s">
        <v>3669</v>
      </c>
      <c r="E306" s="1" t="s">
        <v>3670</v>
      </c>
      <c r="F306" s="1" t="s">
        <v>112</v>
      </c>
      <c r="G306" s="1">
        <v>2994053</v>
      </c>
    </row>
    <row r="307" spans="1:7" x14ac:dyDescent="0.25">
      <c r="A307" s="1" t="str">
        <f t="shared" si="4"/>
        <v>6</v>
      </c>
      <c r="B3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07" s="1" t="s">
        <v>3671</v>
      </c>
      <c r="D307" s="1" t="s">
        <v>813</v>
      </c>
      <c r="E307" s="1" t="s">
        <v>3672</v>
      </c>
      <c r="F307" s="1" t="s">
        <v>112</v>
      </c>
      <c r="G307" s="1">
        <v>3015251</v>
      </c>
    </row>
    <row r="308" spans="1:7" x14ac:dyDescent="0.25">
      <c r="A308" s="1" t="str">
        <f t="shared" si="4"/>
        <v>6</v>
      </c>
      <c r="B3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08" s="1" t="s">
        <v>3673</v>
      </c>
      <c r="D308" s="1" t="s">
        <v>3674</v>
      </c>
      <c r="E308" s="1" t="s">
        <v>3675</v>
      </c>
      <c r="F308" s="1" t="s">
        <v>112</v>
      </c>
      <c r="G308" s="1">
        <v>1426189</v>
      </c>
    </row>
    <row r="309" spans="1:7" x14ac:dyDescent="0.25">
      <c r="A309" s="1" t="str">
        <f t="shared" si="4"/>
        <v>6</v>
      </c>
      <c r="B3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09" s="1" t="s">
        <v>3676</v>
      </c>
      <c r="D309" s="1" t="s">
        <v>3677</v>
      </c>
      <c r="E309" s="1" t="s">
        <v>3678</v>
      </c>
      <c r="F309" s="1" t="s">
        <v>112</v>
      </c>
      <c r="G309" s="1">
        <v>1304131</v>
      </c>
    </row>
    <row r="310" spans="1:7" x14ac:dyDescent="0.25">
      <c r="A310" s="1" t="str">
        <f t="shared" si="4"/>
        <v>6</v>
      </c>
      <c r="B3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10" s="1" t="s">
        <v>3679</v>
      </c>
      <c r="D310" s="1" t="s">
        <v>3680</v>
      </c>
      <c r="E310" s="1" t="s">
        <v>3681</v>
      </c>
      <c r="F310" s="1" t="s">
        <v>112</v>
      </c>
      <c r="G310" s="1">
        <v>1137127</v>
      </c>
    </row>
    <row r="311" spans="1:7" x14ac:dyDescent="0.25">
      <c r="A311" s="1" t="str">
        <f t="shared" si="4"/>
        <v>6</v>
      </c>
      <c r="B3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11" s="1" t="s">
        <v>3682</v>
      </c>
      <c r="D311" s="1" t="s">
        <v>3683</v>
      </c>
      <c r="E311" s="1" t="s">
        <v>3684</v>
      </c>
      <c r="F311" s="1" t="s">
        <v>112</v>
      </c>
      <c r="G311" s="1">
        <v>5209841</v>
      </c>
    </row>
    <row r="312" spans="1:7" x14ac:dyDescent="0.25">
      <c r="A312" s="1" t="str">
        <f t="shared" si="4"/>
        <v>6</v>
      </c>
      <c r="B3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12" s="1" t="s">
        <v>3685</v>
      </c>
      <c r="D312" s="1" t="s">
        <v>3686</v>
      </c>
      <c r="E312" s="1" t="s">
        <v>3687</v>
      </c>
      <c r="F312" s="1" t="s">
        <v>112</v>
      </c>
      <c r="G312" s="1">
        <v>4787539</v>
      </c>
    </row>
    <row r="313" spans="1:7" x14ac:dyDescent="0.25">
      <c r="A313" s="1" t="str">
        <f t="shared" si="4"/>
        <v>6</v>
      </c>
      <c r="B3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13" s="1" t="s">
        <v>3688</v>
      </c>
      <c r="D313" s="1" t="s">
        <v>3689</v>
      </c>
      <c r="E313" s="1" t="s">
        <v>3690</v>
      </c>
      <c r="F313" s="1" t="s">
        <v>112</v>
      </c>
      <c r="G313" s="1">
        <v>5179624</v>
      </c>
    </row>
    <row r="314" spans="1:7" x14ac:dyDescent="0.25">
      <c r="A314" s="1" t="str">
        <f t="shared" si="4"/>
        <v>6</v>
      </c>
      <c r="B3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14" s="1" t="s">
        <v>3691</v>
      </c>
      <c r="D314" s="1" t="s">
        <v>3692</v>
      </c>
      <c r="E314" s="1" t="s">
        <v>3693</v>
      </c>
      <c r="F314" s="1" t="s">
        <v>112</v>
      </c>
      <c r="G314" s="1">
        <v>5059730</v>
      </c>
    </row>
    <row r="315" spans="1:7" x14ac:dyDescent="0.25">
      <c r="A315" s="1" t="str">
        <f t="shared" si="4"/>
        <v>6</v>
      </c>
      <c r="B3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15" s="1" t="s">
        <v>3694</v>
      </c>
      <c r="D315" s="1" t="s">
        <v>3695</v>
      </c>
      <c r="E315" s="1" t="s">
        <v>3696</v>
      </c>
      <c r="F315" s="1" t="s">
        <v>112</v>
      </c>
      <c r="G315" s="1">
        <v>4722844</v>
      </c>
    </row>
    <row r="316" spans="1:7" x14ac:dyDescent="0.25">
      <c r="A316" s="1" t="str">
        <f t="shared" si="4"/>
        <v>6</v>
      </c>
      <c r="B3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16" s="1" t="s">
        <v>3697</v>
      </c>
      <c r="D316" s="1" t="s">
        <v>3635</v>
      </c>
      <c r="E316" s="1" t="s">
        <v>3698</v>
      </c>
      <c r="F316" s="1" t="s">
        <v>112</v>
      </c>
      <c r="G316" s="1">
        <v>4635503</v>
      </c>
    </row>
    <row r="317" spans="1:7" x14ac:dyDescent="0.25">
      <c r="A317" s="1" t="str">
        <f t="shared" si="4"/>
        <v>6</v>
      </c>
      <c r="B3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17" s="1" t="s">
        <v>3699</v>
      </c>
      <c r="D317" s="1" t="s">
        <v>3700</v>
      </c>
      <c r="E317" s="1" t="s">
        <v>3701</v>
      </c>
      <c r="F317" s="1" t="s">
        <v>112</v>
      </c>
      <c r="G317" s="1">
        <v>1941283</v>
      </c>
    </row>
    <row r="318" spans="1:7" x14ac:dyDescent="0.25">
      <c r="A318" s="1" t="str">
        <f t="shared" si="4"/>
        <v>6</v>
      </c>
      <c r="B3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18" s="1" t="s">
        <v>3702</v>
      </c>
      <c r="D318" s="1" t="s">
        <v>3703</v>
      </c>
      <c r="E318" s="1" t="s">
        <v>3704</v>
      </c>
      <c r="F318" s="1" t="s">
        <v>112</v>
      </c>
      <c r="G318" s="1">
        <v>2286799</v>
      </c>
    </row>
    <row r="319" spans="1:7" x14ac:dyDescent="0.25">
      <c r="A319" s="1" t="str">
        <f t="shared" si="4"/>
        <v>6</v>
      </c>
      <c r="B3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19" s="1" t="s">
        <v>3705</v>
      </c>
      <c r="D319" s="1" t="s">
        <v>1934</v>
      </c>
      <c r="E319" s="1" t="s">
        <v>3706</v>
      </c>
      <c r="F319" s="1" t="s">
        <v>112</v>
      </c>
      <c r="G319" s="1">
        <v>2134741</v>
      </c>
    </row>
    <row r="320" spans="1:7" x14ac:dyDescent="0.25">
      <c r="A320" s="1" t="str">
        <f t="shared" si="4"/>
        <v>6</v>
      </c>
      <c r="B3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20" s="1" t="s">
        <v>3707</v>
      </c>
      <c r="D320" s="1" t="s">
        <v>3708</v>
      </c>
      <c r="E320" s="1" t="s">
        <v>3709</v>
      </c>
      <c r="F320" s="1" t="s">
        <v>112</v>
      </c>
      <c r="G320" s="1">
        <v>3673059</v>
      </c>
    </row>
    <row r="321" spans="1:10" x14ac:dyDescent="0.25">
      <c r="A321" s="1" t="str">
        <f t="shared" si="4"/>
        <v>6</v>
      </c>
      <c r="B3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21" s="1" t="s">
        <v>3710</v>
      </c>
      <c r="D321" s="1" t="s">
        <v>3711</v>
      </c>
      <c r="E321" s="1" t="s">
        <v>3712</v>
      </c>
      <c r="F321" s="1" t="s">
        <v>112</v>
      </c>
      <c r="G321" s="1">
        <v>3842897</v>
      </c>
    </row>
    <row r="322" spans="1:10" x14ac:dyDescent="0.25">
      <c r="A322" s="1" t="str">
        <f t="shared" ref="A322:A385" si="5">IFERROR(LEFT(RIGHT(C322,LEN(C322)-SEARCH("@",C322)),SEARCH("/",RIGHT(C322,LEN(C322)-SEARCH("@",C322)-1))),"")</f>
        <v>6</v>
      </c>
      <c r="B3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22" s="1" t="s">
        <v>3713</v>
      </c>
      <c r="D322" s="1" t="s">
        <v>3714</v>
      </c>
      <c r="E322" s="1" t="s">
        <v>3715</v>
      </c>
      <c r="F322" s="1" t="s">
        <v>112</v>
      </c>
      <c r="G322" s="1">
        <v>3998200</v>
      </c>
    </row>
    <row r="323" spans="1:10" x14ac:dyDescent="0.25">
      <c r="A323" s="1" t="str">
        <f t="shared" si="5"/>
        <v/>
      </c>
      <c r="B3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3" s="1" t="s">
        <v>112</v>
      </c>
    </row>
    <row r="324" spans="1:10" x14ac:dyDescent="0.25">
      <c r="A324" s="1" t="str">
        <f t="shared" si="5"/>
        <v/>
      </c>
      <c r="B3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4" s="1" t="s">
        <v>237</v>
      </c>
      <c r="D324" s="1" t="s">
        <v>112</v>
      </c>
      <c r="E324" s="1" t="s">
        <v>238</v>
      </c>
      <c r="F324" s="1" t="s">
        <v>239</v>
      </c>
      <c r="G324" s="1" t="s">
        <v>240</v>
      </c>
      <c r="H324" s="1" t="s">
        <v>241</v>
      </c>
      <c r="I324" s="1" t="s">
        <v>242</v>
      </c>
      <c r="J324" s="1" t="s">
        <v>243</v>
      </c>
    </row>
    <row r="325" spans="1:10" x14ac:dyDescent="0.25">
      <c r="A325" s="1" t="str">
        <f t="shared" si="5"/>
        <v>6</v>
      </c>
      <c r="B32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325" s="1" t="s">
        <v>3716</v>
      </c>
      <c r="D325" s="1" t="s">
        <v>112</v>
      </c>
      <c r="E325" s="1" t="s">
        <v>1399</v>
      </c>
      <c r="F325" s="1" t="s">
        <v>3717</v>
      </c>
      <c r="G325" s="1" t="s">
        <v>3718</v>
      </c>
      <c r="H325" s="1" t="s">
        <v>3719</v>
      </c>
      <c r="I325" s="1">
        <v>24</v>
      </c>
      <c r="J325" s="1">
        <v>24</v>
      </c>
    </row>
    <row r="326" spans="1:10" x14ac:dyDescent="0.25">
      <c r="A326" s="1" t="str">
        <f t="shared" si="5"/>
        <v/>
      </c>
      <c r="B3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6" s="1" t="s">
        <v>112</v>
      </c>
    </row>
    <row r="327" spans="1:10" x14ac:dyDescent="0.25">
      <c r="A327" s="1" t="str">
        <f t="shared" si="5"/>
        <v/>
      </c>
      <c r="B3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7" s="1" t="s">
        <v>112</v>
      </c>
    </row>
    <row r="328" spans="1:10" x14ac:dyDescent="0.25">
      <c r="A328" s="1" t="str">
        <f t="shared" si="5"/>
        <v/>
      </c>
      <c r="B3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8" s="1" t="s">
        <v>112</v>
      </c>
    </row>
    <row r="329" spans="1:10" x14ac:dyDescent="0.25">
      <c r="A329" s="1" t="str">
        <f t="shared" si="5"/>
        <v/>
      </c>
      <c r="B3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9" s="1" t="s">
        <v>112</v>
      </c>
    </row>
    <row r="330" spans="1:10" x14ac:dyDescent="0.25">
      <c r="A330" s="1" t="str">
        <f t="shared" si="5"/>
        <v/>
      </c>
      <c r="B3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30" s="1" t="s">
        <v>112</v>
      </c>
    </row>
    <row r="331" spans="1:10" x14ac:dyDescent="0.25">
      <c r="A331" s="1" t="str">
        <f t="shared" si="5"/>
        <v/>
      </c>
      <c r="B3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31" s="1" t="s">
        <v>249</v>
      </c>
      <c r="D331" s="1" t="s">
        <v>110</v>
      </c>
      <c r="E331" s="1" t="s">
        <v>111</v>
      </c>
      <c r="F331" s="1" t="s">
        <v>112</v>
      </c>
      <c r="G331" s="1" t="s">
        <v>113</v>
      </c>
    </row>
    <row r="332" spans="1:10" x14ac:dyDescent="0.25">
      <c r="A332" s="1" t="str">
        <f t="shared" si="5"/>
        <v>7</v>
      </c>
      <c r="B3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32" s="1" t="s">
        <v>3720</v>
      </c>
      <c r="D332" s="1" t="s">
        <v>3721</v>
      </c>
      <c r="E332" s="1" t="s">
        <v>3722</v>
      </c>
      <c r="F332" s="1" t="s">
        <v>112</v>
      </c>
      <c r="G332" s="1">
        <v>3767906</v>
      </c>
    </row>
    <row r="333" spans="1:10" x14ac:dyDescent="0.25">
      <c r="A333" s="1" t="str">
        <f t="shared" si="5"/>
        <v>7</v>
      </c>
      <c r="B3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33" s="1" t="s">
        <v>3723</v>
      </c>
      <c r="D333" s="1" t="s">
        <v>3724</v>
      </c>
      <c r="E333" s="1" t="s">
        <v>3725</v>
      </c>
      <c r="F333" s="1" t="s">
        <v>112</v>
      </c>
      <c r="G333" s="1">
        <v>4926879</v>
      </c>
    </row>
    <row r="334" spans="1:10" x14ac:dyDescent="0.25">
      <c r="A334" s="1" t="str">
        <f t="shared" si="5"/>
        <v>7</v>
      </c>
      <c r="B3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34" s="1" t="s">
        <v>3726</v>
      </c>
      <c r="D334" s="1" t="s">
        <v>3727</v>
      </c>
      <c r="E334" s="1" t="s">
        <v>3728</v>
      </c>
      <c r="F334" s="1" t="s">
        <v>112</v>
      </c>
      <c r="G334" s="1">
        <v>4663600</v>
      </c>
    </row>
    <row r="335" spans="1:10" x14ac:dyDescent="0.25">
      <c r="A335" s="1" t="str">
        <f t="shared" si="5"/>
        <v>7</v>
      </c>
      <c r="B3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35" s="1" t="s">
        <v>3729</v>
      </c>
      <c r="D335" s="1" t="s">
        <v>3730</v>
      </c>
      <c r="E335" s="1" t="s">
        <v>3731</v>
      </c>
      <c r="F335" s="1" t="s">
        <v>112</v>
      </c>
      <c r="G335" s="1">
        <v>4231067</v>
      </c>
    </row>
    <row r="336" spans="1:10" x14ac:dyDescent="0.25">
      <c r="A336" s="1" t="str">
        <f t="shared" si="5"/>
        <v>7</v>
      </c>
      <c r="B3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36" s="1" t="s">
        <v>3732</v>
      </c>
    </row>
    <row r="337" spans="1:7" x14ac:dyDescent="0.25">
      <c r="A337" s="1" t="str">
        <f t="shared" si="5"/>
        <v>7</v>
      </c>
      <c r="B3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37" s="1" t="s">
        <v>3733</v>
      </c>
      <c r="D337" s="1" t="s">
        <v>3734</v>
      </c>
      <c r="E337" s="1" t="s">
        <v>3735</v>
      </c>
      <c r="F337" s="1" t="s">
        <v>112</v>
      </c>
      <c r="G337" s="1">
        <v>3755685</v>
      </c>
    </row>
    <row r="338" spans="1:7" x14ac:dyDescent="0.25">
      <c r="A338" s="1" t="str">
        <f t="shared" si="5"/>
        <v>7</v>
      </c>
      <c r="B3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38" s="1" t="s">
        <v>3736</v>
      </c>
      <c r="D338" s="1" t="s">
        <v>3737</v>
      </c>
      <c r="E338" s="1" t="s">
        <v>3738</v>
      </c>
      <c r="F338" s="1" t="s">
        <v>112</v>
      </c>
      <c r="G338" s="1">
        <v>2409700</v>
      </c>
    </row>
    <row r="339" spans="1:7" x14ac:dyDescent="0.25">
      <c r="A339" s="1" t="str">
        <f t="shared" si="5"/>
        <v>7</v>
      </c>
      <c r="B3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39" s="1" t="s">
        <v>3739</v>
      </c>
      <c r="D339" s="1" t="s">
        <v>3740</v>
      </c>
      <c r="E339" s="1" t="s">
        <v>3741</v>
      </c>
      <c r="F339" s="1" t="s">
        <v>112</v>
      </c>
      <c r="G339" s="1">
        <v>2267808</v>
      </c>
    </row>
    <row r="340" spans="1:7" x14ac:dyDescent="0.25">
      <c r="A340" s="1" t="str">
        <f t="shared" si="5"/>
        <v>7</v>
      </c>
      <c r="B3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40" s="1" t="s">
        <v>3742</v>
      </c>
      <c r="D340" s="1" t="s">
        <v>3743</v>
      </c>
      <c r="E340" s="1" t="s">
        <v>3744</v>
      </c>
      <c r="F340" s="1" t="s">
        <v>112</v>
      </c>
      <c r="G340" s="1">
        <v>2361941</v>
      </c>
    </row>
    <row r="341" spans="1:7" x14ac:dyDescent="0.25">
      <c r="A341" s="1" t="str">
        <f t="shared" si="5"/>
        <v>7</v>
      </c>
      <c r="B3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41" s="1" t="s">
        <v>3745</v>
      </c>
      <c r="D341" s="1" t="s">
        <v>3746</v>
      </c>
      <c r="E341" s="1" t="s">
        <v>3747</v>
      </c>
      <c r="F341" s="1" t="s">
        <v>112</v>
      </c>
      <c r="G341" s="1">
        <v>4603750</v>
      </c>
    </row>
    <row r="342" spans="1:7" x14ac:dyDescent="0.25">
      <c r="A342" s="1" t="str">
        <f t="shared" si="5"/>
        <v>7</v>
      </c>
      <c r="B3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42" s="1" t="s">
        <v>3748</v>
      </c>
      <c r="D342" s="1" t="s">
        <v>3727</v>
      </c>
      <c r="E342" s="1" t="s">
        <v>3749</v>
      </c>
      <c r="F342" s="1" t="s">
        <v>112</v>
      </c>
      <c r="G342" s="1">
        <v>4772506</v>
      </c>
    </row>
    <row r="343" spans="1:7" x14ac:dyDescent="0.25">
      <c r="A343" s="1" t="str">
        <f t="shared" si="5"/>
        <v>7</v>
      </c>
      <c r="B3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43" s="1" t="s">
        <v>3750</v>
      </c>
      <c r="D343" s="1" t="s">
        <v>3751</v>
      </c>
      <c r="E343" s="1" t="s">
        <v>3752</v>
      </c>
      <c r="F343" s="1" t="s">
        <v>112</v>
      </c>
      <c r="G343" s="1">
        <v>4768094</v>
      </c>
    </row>
    <row r="344" spans="1:7" x14ac:dyDescent="0.25">
      <c r="A344" s="1" t="str">
        <f t="shared" si="5"/>
        <v>7</v>
      </c>
      <c r="B3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44" s="1" t="s">
        <v>3753</v>
      </c>
    </row>
    <row r="345" spans="1:7" x14ac:dyDescent="0.25">
      <c r="A345" s="1" t="str">
        <f t="shared" si="5"/>
        <v>7</v>
      </c>
      <c r="B3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45" s="1" t="s">
        <v>3754</v>
      </c>
    </row>
    <row r="346" spans="1:7" x14ac:dyDescent="0.25">
      <c r="A346" s="1" t="str">
        <f t="shared" si="5"/>
        <v>7</v>
      </c>
      <c r="B3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46" s="1" t="s">
        <v>3755</v>
      </c>
    </row>
    <row r="347" spans="1:7" x14ac:dyDescent="0.25">
      <c r="A347" s="1" t="str">
        <f t="shared" si="5"/>
        <v>7</v>
      </c>
      <c r="B3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47" s="1" t="s">
        <v>3756</v>
      </c>
      <c r="D347" s="1" t="s">
        <v>3757</v>
      </c>
      <c r="E347" s="1" t="s">
        <v>3758</v>
      </c>
      <c r="F347" s="1" t="s">
        <v>112</v>
      </c>
      <c r="G347" s="1">
        <v>3741539</v>
      </c>
    </row>
    <row r="348" spans="1:7" x14ac:dyDescent="0.25">
      <c r="A348" s="1" t="str">
        <f t="shared" si="5"/>
        <v>7</v>
      </c>
      <c r="B3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48" s="1" t="s">
        <v>3759</v>
      </c>
      <c r="D348" s="1" t="s">
        <v>3760</v>
      </c>
      <c r="E348" s="1" t="s">
        <v>3761</v>
      </c>
      <c r="F348" s="1" t="s">
        <v>112</v>
      </c>
      <c r="G348" s="1">
        <v>3076269</v>
      </c>
    </row>
    <row r="349" spans="1:7" x14ac:dyDescent="0.25">
      <c r="A349" s="1" t="str">
        <f t="shared" si="5"/>
        <v>7</v>
      </c>
      <c r="B3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49" s="1" t="s">
        <v>3762</v>
      </c>
      <c r="D349" s="1" t="s">
        <v>3763</v>
      </c>
      <c r="E349" s="1" t="s">
        <v>3764</v>
      </c>
      <c r="F349" s="1" t="s">
        <v>112</v>
      </c>
      <c r="G349" s="1">
        <v>3149572</v>
      </c>
    </row>
    <row r="350" spans="1:7" x14ac:dyDescent="0.25">
      <c r="A350" s="1" t="str">
        <f t="shared" si="5"/>
        <v>7</v>
      </c>
      <c r="B3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50" s="1" t="s">
        <v>3765</v>
      </c>
      <c r="D350" s="1" t="s">
        <v>2552</v>
      </c>
      <c r="E350" s="1" t="s">
        <v>3766</v>
      </c>
      <c r="F350" s="1" t="s">
        <v>112</v>
      </c>
      <c r="G350" s="1">
        <v>4372721</v>
      </c>
    </row>
    <row r="351" spans="1:7" x14ac:dyDescent="0.25">
      <c r="A351" s="1" t="str">
        <f t="shared" si="5"/>
        <v>7</v>
      </c>
      <c r="B3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51" s="1" t="s">
        <v>3767</v>
      </c>
      <c r="D351" s="1" t="s">
        <v>3768</v>
      </c>
      <c r="E351" s="1" t="s">
        <v>3769</v>
      </c>
      <c r="F351" s="1" t="s">
        <v>112</v>
      </c>
      <c r="G351" s="1">
        <v>4875422</v>
      </c>
    </row>
    <row r="352" spans="1:7" x14ac:dyDescent="0.25">
      <c r="A352" s="1" t="str">
        <f t="shared" si="5"/>
        <v>7</v>
      </c>
      <c r="B3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52" s="1" t="s">
        <v>3770</v>
      </c>
      <c r="D352" s="1" t="s">
        <v>2552</v>
      </c>
      <c r="E352" s="1" t="s">
        <v>3771</v>
      </c>
      <c r="F352" s="1" t="s">
        <v>112</v>
      </c>
      <c r="G352" s="1">
        <v>4607103</v>
      </c>
    </row>
    <row r="353" spans="1:10" x14ac:dyDescent="0.25">
      <c r="A353" s="1" t="str">
        <f t="shared" si="5"/>
        <v>7</v>
      </c>
      <c r="B3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53" s="1" t="s">
        <v>3772</v>
      </c>
      <c r="D353" s="1" t="s">
        <v>3773</v>
      </c>
      <c r="E353" s="1" t="s">
        <v>3774</v>
      </c>
      <c r="F353" s="1" t="s">
        <v>112</v>
      </c>
      <c r="G353" s="1">
        <v>3335654</v>
      </c>
    </row>
    <row r="354" spans="1:10" x14ac:dyDescent="0.25">
      <c r="A354" s="1" t="str">
        <f t="shared" si="5"/>
        <v>7</v>
      </c>
      <c r="B3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54" s="1" t="s">
        <v>3775</v>
      </c>
      <c r="D354" s="1" t="s">
        <v>3776</v>
      </c>
      <c r="E354" s="1" t="s">
        <v>3777</v>
      </c>
      <c r="F354" s="1" t="s">
        <v>112</v>
      </c>
      <c r="G354" s="1">
        <v>3126580</v>
      </c>
    </row>
    <row r="355" spans="1:10" x14ac:dyDescent="0.25">
      <c r="A355" s="1" t="str">
        <f t="shared" si="5"/>
        <v>7</v>
      </c>
      <c r="B3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55" s="1" t="s">
        <v>3778</v>
      </c>
      <c r="D355" s="1" t="s">
        <v>3779</v>
      </c>
      <c r="E355" s="1" t="s">
        <v>3780</v>
      </c>
      <c r="F355" s="1" t="s">
        <v>112</v>
      </c>
      <c r="G355" s="1">
        <v>3065756</v>
      </c>
    </row>
    <row r="356" spans="1:10" x14ac:dyDescent="0.25">
      <c r="A356" s="1" t="str">
        <f t="shared" si="5"/>
        <v/>
      </c>
      <c r="B3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56" s="1" t="s">
        <v>112</v>
      </c>
    </row>
    <row r="357" spans="1:10" x14ac:dyDescent="0.25">
      <c r="A357" s="1" t="str">
        <f t="shared" si="5"/>
        <v/>
      </c>
      <c r="B3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57" s="1" t="s">
        <v>237</v>
      </c>
      <c r="D357" s="1" t="s">
        <v>112</v>
      </c>
      <c r="E357" s="1" t="s">
        <v>238</v>
      </c>
      <c r="F357" s="1" t="s">
        <v>239</v>
      </c>
      <c r="G357" s="1" t="s">
        <v>240</v>
      </c>
      <c r="H357" s="1" t="s">
        <v>241</v>
      </c>
      <c r="I357" s="1" t="s">
        <v>242</v>
      </c>
      <c r="J357" s="1" t="s">
        <v>243</v>
      </c>
    </row>
    <row r="358" spans="1:10" x14ac:dyDescent="0.25">
      <c r="A358" s="1" t="str">
        <f t="shared" si="5"/>
        <v>7</v>
      </c>
      <c r="B35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358" s="1" t="s">
        <v>3781</v>
      </c>
      <c r="D358" s="1" t="s">
        <v>112</v>
      </c>
      <c r="E358" s="1" t="s">
        <v>3782</v>
      </c>
      <c r="F358" s="1" t="s">
        <v>3783</v>
      </c>
      <c r="G358" s="1" t="s">
        <v>3784</v>
      </c>
      <c r="H358" s="1" t="s">
        <v>3785</v>
      </c>
      <c r="I358" s="1">
        <v>24</v>
      </c>
      <c r="J358" s="1">
        <v>24</v>
      </c>
    </row>
    <row r="359" spans="1:10" x14ac:dyDescent="0.25">
      <c r="A359" s="1" t="str">
        <f t="shared" si="5"/>
        <v/>
      </c>
      <c r="B3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59" s="1" t="s">
        <v>112</v>
      </c>
    </row>
    <row r="360" spans="1:10" x14ac:dyDescent="0.25">
      <c r="A360" s="1" t="str">
        <f t="shared" si="5"/>
        <v/>
      </c>
      <c r="B3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0" s="1" t="s">
        <v>112</v>
      </c>
    </row>
    <row r="361" spans="1:10" x14ac:dyDescent="0.25">
      <c r="A361" s="1" t="str">
        <f t="shared" si="5"/>
        <v/>
      </c>
      <c r="B3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1" s="1" t="s">
        <v>112</v>
      </c>
    </row>
    <row r="362" spans="1:10" x14ac:dyDescent="0.25">
      <c r="A362" s="1" t="str">
        <f t="shared" si="5"/>
        <v/>
      </c>
      <c r="B3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2" s="1" t="s">
        <v>112</v>
      </c>
    </row>
    <row r="363" spans="1:10" x14ac:dyDescent="0.25">
      <c r="A363" s="1" t="str">
        <f t="shared" si="5"/>
        <v/>
      </c>
      <c r="B3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3" s="1" t="s">
        <v>112</v>
      </c>
    </row>
    <row r="364" spans="1:10" x14ac:dyDescent="0.25">
      <c r="A364" s="1" t="str">
        <f t="shared" si="5"/>
        <v/>
      </c>
      <c r="B3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4" s="1" t="s">
        <v>249</v>
      </c>
      <c r="D364" s="1" t="s">
        <v>110</v>
      </c>
      <c r="E364" s="1" t="s">
        <v>111</v>
      </c>
      <c r="F364" s="1" t="s">
        <v>112</v>
      </c>
      <c r="G364" s="1" t="s">
        <v>113</v>
      </c>
    </row>
    <row r="365" spans="1:10" x14ac:dyDescent="0.25">
      <c r="A365" s="1" t="str">
        <f t="shared" si="5"/>
        <v>10</v>
      </c>
      <c r="B3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5" s="1" t="s">
        <v>3786</v>
      </c>
      <c r="D365" s="1" t="s">
        <v>3787</v>
      </c>
      <c r="E365" s="1" t="s">
        <v>3788</v>
      </c>
      <c r="F365" s="1" t="s">
        <v>112</v>
      </c>
      <c r="G365" s="1">
        <v>2468598</v>
      </c>
    </row>
    <row r="366" spans="1:10" x14ac:dyDescent="0.25">
      <c r="A366" s="1" t="str">
        <f t="shared" si="5"/>
        <v>10</v>
      </c>
      <c r="B3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6" s="1" t="s">
        <v>3789</v>
      </c>
      <c r="D366" s="1" t="s">
        <v>3790</v>
      </c>
      <c r="E366" s="1" t="s">
        <v>3791</v>
      </c>
      <c r="F366" s="1" t="s">
        <v>112</v>
      </c>
      <c r="G366" s="1">
        <v>2417984</v>
      </c>
    </row>
    <row r="367" spans="1:10" x14ac:dyDescent="0.25">
      <c r="A367" s="1" t="str">
        <f t="shared" si="5"/>
        <v>10</v>
      </c>
      <c r="B3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7" s="1" t="s">
        <v>3792</v>
      </c>
      <c r="D367" s="1" t="s">
        <v>3793</v>
      </c>
      <c r="E367" s="1" t="s">
        <v>3794</v>
      </c>
      <c r="F367" s="1" t="s">
        <v>112</v>
      </c>
      <c r="G367" s="1">
        <v>1669136</v>
      </c>
    </row>
    <row r="368" spans="1:10" x14ac:dyDescent="0.25">
      <c r="A368" s="1" t="str">
        <f t="shared" si="5"/>
        <v>10</v>
      </c>
      <c r="B3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68" s="1" t="s">
        <v>3795</v>
      </c>
      <c r="D368" s="1" t="s">
        <v>2009</v>
      </c>
      <c r="E368" s="1" t="s">
        <v>3796</v>
      </c>
      <c r="F368" s="1" t="s">
        <v>112</v>
      </c>
      <c r="G368" s="1">
        <v>55805</v>
      </c>
    </row>
    <row r="369" spans="1:7" x14ac:dyDescent="0.25">
      <c r="A369" s="1" t="str">
        <f t="shared" si="5"/>
        <v>10</v>
      </c>
      <c r="B3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69" s="1" t="s">
        <v>3797</v>
      </c>
      <c r="D369" s="1" t="s">
        <v>3798</v>
      </c>
      <c r="E369" s="1" t="s">
        <v>3799</v>
      </c>
      <c r="F369" s="1" t="s">
        <v>112</v>
      </c>
      <c r="G369" s="1">
        <v>12653</v>
      </c>
    </row>
    <row r="370" spans="1:7" x14ac:dyDescent="0.25">
      <c r="A370" s="1" t="str">
        <f t="shared" si="5"/>
        <v>10</v>
      </c>
      <c r="B3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70" s="1" t="s">
        <v>3800</v>
      </c>
      <c r="D370" s="1" t="s">
        <v>309</v>
      </c>
      <c r="E370" s="1" t="s">
        <v>3801</v>
      </c>
      <c r="F370" s="1" t="s">
        <v>112</v>
      </c>
      <c r="G370" s="1">
        <v>6575</v>
      </c>
    </row>
    <row r="371" spans="1:7" x14ac:dyDescent="0.25">
      <c r="A371" s="1" t="str">
        <f t="shared" si="5"/>
        <v>10</v>
      </c>
      <c r="B3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71" s="1" t="s">
        <v>3802</v>
      </c>
      <c r="D371" s="1" t="s">
        <v>3803</v>
      </c>
      <c r="E371" s="1" t="s">
        <v>3804</v>
      </c>
      <c r="F371" s="1" t="s">
        <v>112</v>
      </c>
      <c r="G371" s="1">
        <v>128698</v>
      </c>
    </row>
    <row r="372" spans="1:7" x14ac:dyDescent="0.25">
      <c r="A372" s="1" t="str">
        <f t="shared" si="5"/>
        <v>10</v>
      </c>
      <c r="B3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72" s="1" t="s">
        <v>3805</v>
      </c>
    </row>
    <row r="373" spans="1:7" x14ac:dyDescent="0.25">
      <c r="A373" s="1" t="str">
        <f t="shared" si="5"/>
        <v>10</v>
      </c>
      <c r="B3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73" s="1" t="s">
        <v>3806</v>
      </c>
    </row>
    <row r="374" spans="1:7" x14ac:dyDescent="0.25">
      <c r="A374" s="1" t="str">
        <f t="shared" si="5"/>
        <v>10</v>
      </c>
      <c r="B3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74" s="1" t="s">
        <v>3807</v>
      </c>
    </row>
    <row r="375" spans="1:7" x14ac:dyDescent="0.25">
      <c r="A375" s="1" t="str">
        <f t="shared" si="5"/>
        <v>10</v>
      </c>
      <c r="B3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75" s="1" t="s">
        <v>3808</v>
      </c>
      <c r="D375" s="1" t="s">
        <v>3809</v>
      </c>
      <c r="E375" s="1" t="s">
        <v>3810</v>
      </c>
      <c r="F375" s="1" t="s">
        <v>112</v>
      </c>
      <c r="G375" s="1">
        <v>1035250</v>
      </c>
    </row>
    <row r="376" spans="1:7" x14ac:dyDescent="0.25">
      <c r="A376" s="1" t="str">
        <f t="shared" si="5"/>
        <v>10</v>
      </c>
      <c r="B3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76" s="1" t="s">
        <v>3811</v>
      </c>
      <c r="D376" s="1" t="s">
        <v>3812</v>
      </c>
      <c r="E376" s="1" t="s">
        <v>3813</v>
      </c>
      <c r="F376" s="1" t="s">
        <v>112</v>
      </c>
      <c r="G376" s="1">
        <v>544771</v>
      </c>
    </row>
    <row r="377" spans="1:7" x14ac:dyDescent="0.25">
      <c r="A377" s="1" t="str">
        <f t="shared" si="5"/>
        <v>10</v>
      </c>
      <c r="B3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77" s="1" t="s">
        <v>3814</v>
      </c>
      <c r="D377" s="1" t="s">
        <v>3815</v>
      </c>
      <c r="E377" s="1" t="s">
        <v>3816</v>
      </c>
      <c r="F377" s="1" t="s">
        <v>112</v>
      </c>
      <c r="G377" s="1">
        <v>921196</v>
      </c>
    </row>
    <row r="378" spans="1:7" x14ac:dyDescent="0.25">
      <c r="A378" s="1" t="str">
        <f t="shared" si="5"/>
        <v>10</v>
      </c>
      <c r="B3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78" s="1" t="s">
        <v>3817</v>
      </c>
      <c r="D378" s="1" t="s">
        <v>3818</v>
      </c>
      <c r="E378" s="1" t="s">
        <v>3819</v>
      </c>
      <c r="F378" s="1" t="s">
        <v>112</v>
      </c>
      <c r="G378" s="1">
        <v>382373</v>
      </c>
    </row>
    <row r="379" spans="1:7" x14ac:dyDescent="0.25">
      <c r="A379" s="1" t="str">
        <f t="shared" si="5"/>
        <v>10</v>
      </c>
      <c r="B3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79" s="1" t="s">
        <v>3820</v>
      </c>
      <c r="D379" s="1" t="s">
        <v>3821</v>
      </c>
      <c r="E379" s="1" t="s">
        <v>3822</v>
      </c>
      <c r="F379" s="1" t="s">
        <v>112</v>
      </c>
      <c r="G379" s="1">
        <v>856955</v>
      </c>
    </row>
    <row r="380" spans="1:7" x14ac:dyDescent="0.25">
      <c r="A380" s="1" t="str">
        <f t="shared" si="5"/>
        <v>10</v>
      </c>
      <c r="B3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80" s="1" t="s">
        <v>3823</v>
      </c>
      <c r="D380" s="1" t="s">
        <v>3824</v>
      </c>
      <c r="E380" s="1" t="s">
        <v>3825</v>
      </c>
      <c r="F380" s="1" t="s">
        <v>112</v>
      </c>
      <c r="G380" s="1">
        <v>2012489</v>
      </c>
    </row>
    <row r="381" spans="1:7" x14ac:dyDescent="0.25">
      <c r="A381" s="1" t="str">
        <f t="shared" si="5"/>
        <v>10</v>
      </c>
      <c r="B3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81" s="1" t="s">
        <v>3826</v>
      </c>
      <c r="D381" s="1" t="s">
        <v>3827</v>
      </c>
      <c r="E381" s="1" t="s">
        <v>3828</v>
      </c>
      <c r="F381" s="1" t="s">
        <v>112</v>
      </c>
      <c r="G381" s="1">
        <v>1611449</v>
      </c>
    </row>
    <row r="382" spans="1:7" x14ac:dyDescent="0.25">
      <c r="A382" s="1" t="str">
        <f t="shared" si="5"/>
        <v>10</v>
      </c>
      <c r="B3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82" s="1" t="s">
        <v>3829</v>
      </c>
      <c r="D382" s="1" t="s">
        <v>3830</v>
      </c>
      <c r="E382" s="1" t="s">
        <v>3831</v>
      </c>
      <c r="F382" s="1" t="s">
        <v>112</v>
      </c>
      <c r="G382" s="1">
        <v>1993303</v>
      </c>
    </row>
    <row r="383" spans="1:7" x14ac:dyDescent="0.25">
      <c r="A383" s="1" t="str">
        <f t="shared" si="5"/>
        <v>10</v>
      </c>
      <c r="B3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83" s="1" t="s">
        <v>3832</v>
      </c>
      <c r="D383" s="1" t="s">
        <v>3833</v>
      </c>
      <c r="E383" s="1" t="s">
        <v>3834</v>
      </c>
      <c r="F383" s="1" t="s">
        <v>112</v>
      </c>
      <c r="G383" s="1">
        <v>3050832</v>
      </c>
    </row>
    <row r="384" spans="1:7" x14ac:dyDescent="0.25">
      <c r="A384" s="1" t="str">
        <f t="shared" si="5"/>
        <v>10</v>
      </c>
      <c r="B3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84" s="1" t="s">
        <v>3835</v>
      </c>
      <c r="D384" s="1" t="s">
        <v>2908</v>
      </c>
      <c r="E384" s="1" t="s">
        <v>3836</v>
      </c>
      <c r="F384" s="1" t="s">
        <v>112</v>
      </c>
      <c r="G384" s="1">
        <v>2900699</v>
      </c>
    </row>
    <row r="385" spans="1:10" x14ac:dyDescent="0.25">
      <c r="A385" s="1" t="str">
        <f t="shared" si="5"/>
        <v>10</v>
      </c>
      <c r="B3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85" s="1" t="s">
        <v>3837</v>
      </c>
      <c r="D385" s="1" t="s">
        <v>3838</v>
      </c>
      <c r="E385" s="1" t="s">
        <v>3839</v>
      </c>
      <c r="F385" s="1" t="s">
        <v>112</v>
      </c>
      <c r="G385" s="1">
        <v>3003981</v>
      </c>
    </row>
    <row r="386" spans="1:10" x14ac:dyDescent="0.25">
      <c r="A386" s="1" t="str">
        <f t="shared" ref="A386:A449" si="6">IFERROR(LEFT(RIGHT(C386,LEN(C386)-SEARCH("@",C386)),SEARCH("/",RIGHT(C386,LEN(C386)-SEARCH("@",C386)-1))),"")</f>
        <v>10</v>
      </c>
      <c r="B3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86" s="1" t="s">
        <v>3840</v>
      </c>
      <c r="D386" s="1" t="s">
        <v>3841</v>
      </c>
      <c r="E386" s="1" t="s">
        <v>3842</v>
      </c>
      <c r="F386" s="1" t="s">
        <v>112</v>
      </c>
      <c r="G386" s="1">
        <v>1467697</v>
      </c>
    </row>
    <row r="387" spans="1:10" x14ac:dyDescent="0.25">
      <c r="A387" s="1" t="str">
        <f t="shared" si="6"/>
        <v>10</v>
      </c>
      <c r="B3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87" s="1" t="s">
        <v>3843</v>
      </c>
      <c r="D387" s="1" t="s">
        <v>3547</v>
      </c>
      <c r="E387" s="1" t="s">
        <v>3844</v>
      </c>
      <c r="F387" s="1" t="s">
        <v>112</v>
      </c>
      <c r="G387" s="1">
        <v>1349467</v>
      </c>
    </row>
    <row r="388" spans="1:10" x14ac:dyDescent="0.25">
      <c r="A388" s="1" t="str">
        <f t="shared" si="6"/>
        <v>10</v>
      </c>
      <c r="B3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88" s="1" t="s">
        <v>3845</v>
      </c>
      <c r="D388" s="1" t="s">
        <v>3846</v>
      </c>
      <c r="E388" s="1" t="s">
        <v>3847</v>
      </c>
      <c r="F388" s="1" t="s">
        <v>112</v>
      </c>
      <c r="G388" s="1">
        <v>985869</v>
      </c>
    </row>
    <row r="389" spans="1:10" x14ac:dyDescent="0.25">
      <c r="A389" s="1" t="str">
        <f t="shared" si="6"/>
        <v/>
      </c>
      <c r="B3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89" s="1" t="s">
        <v>112</v>
      </c>
    </row>
    <row r="390" spans="1:10" x14ac:dyDescent="0.25">
      <c r="A390" s="1" t="str">
        <f t="shared" si="6"/>
        <v/>
      </c>
      <c r="B3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0" s="1" t="s">
        <v>237</v>
      </c>
      <c r="D390" s="1" t="s">
        <v>112</v>
      </c>
      <c r="E390" s="1" t="s">
        <v>238</v>
      </c>
      <c r="F390" s="1" t="s">
        <v>239</v>
      </c>
      <c r="G390" s="1" t="s">
        <v>240</v>
      </c>
      <c r="H390" s="1" t="s">
        <v>241</v>
      </c>
      <c r="I390" s="1" t="s">
        <v>242</v>
      </c>
      <c r="J390" s="1" t="s">
        <v>243</v>
      </c>
    </row>
    <row r="391" spans="1:10" x14ac:dyDescent="0.25">
      <c r="A391" s="1" t="str">
        <f t="shared" si="6"/>
        <v>10</v>
      </c>
      <c r="B39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391" s="1" t="s">
        <v>3848</v>
      </c>
      <c r="D391" s="1" t="s">
        <v>112</v>
      </c>
      <c r="E391" s="1" t="s">
        <v>3849</v>
      </c>
      <c r="F391" s="1" t="s">
        <v>3850</v>
      </c>
      <c r="G391" s="1" t="s">
        <v>3851</v>
      </c>
      <c r="H391" s="1" t="s">
        <v>3852</v>
      </c>
      <c r="I391" s="1">
        <v>24</v>
      </c>
      <c r="J391" s="1">
        <v>24</v>
      </c>
    </row>
    <row r="392" spans="1:10" x14ac:dyDescent="0.25">
      <c r="A392" s="1" t="str">
        <f t="shared" si="6"/>
        <v/>
      </c>
      <c r="B3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2" s="1" t="s">
        <v>112</v>
      </c>
    </row>
    <row r="393" spans="1:10" x14ac:dyDescent="0.25">
      <c r="A393" s="1" t="str">
        <f t="shared" si="6"/>
        <v/>
      </c>
      <c r="B3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3" s="1" t="s">
        <v>112</v>
      </c>
    </row>
    <row r="394" spans="1:10" x14ac:dyDescent="0.25">
      <c r="A394" s="1" t="str">
        <f t="shared" si="6"/>
        <v/>
      </c>
      <c r="B3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4" s="1" t="s">
        <v>112</v>
      </c>
    </row>
    <row r="395" spans="1:10" x14ac:dyDescent="0.25">
      <c r="A395" s="1" t="str">
        <f t="shared" si="6"/>
        <v/>
      </c>
      <c r="B3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5" s="1" t="s">
        <v>112</v>
      </c>
    </row>
    <row r="396" spans="1:10" x14ac:dyDescent="0.25">
      <c r="A396" s="1" t="str">
        <f t="shared" si="6"/>
        <v/>
      </c>
      <c r="B3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6" s="1" t="s">
        <v>112</v>
      </c>
    </row>
    <row r="397" spans="1:10" x14ac:dyDescent="0.25">
      <c r="A397" s="1" t="str">
        <f t="shared" si="6"/>
        <v/>
      </c>
      <c r="B3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7" s="1" t="s">
        <v>249</v>
      </c>
      <c r="D397" s="1" t="s">
        <v>110</v>
      </c>
      <c r="E397" s="1" t="s">
        <v>111</v>
      </c>
      <c r="F397" s="1" t="s">
        <v>112</v>
      </c>
      <c r="G397" s="1" t="s">
        <v>113</v>
      </c>
    </row>
    <row r="398" spans="1:10" x14ac:dyDescent="0.25">
      <c r="A398" s="1" t="str">
        <f t="shared" si="6"/>
        <v>11</v>
      </c>
      <c r="B39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98" s="1" t="s">
        <v>3853</v>
      </c>
      <c r="D398" s="1" t="s">
        <v>3854</v>
      </c>
      <c r="E398" s="1" t="s">
        <v>3855</v>
      </c>
      <c r="F398" s="1" t="s">
        <v>112</v>
      </c>
      <c r="G398" s="1">
        <v>4666693</v>
      </c>
    </row>
    <row r="399" spans="1:10" x14ac:dyDescent="0.25">
      <c r="A399" s="1" t="str">
        <f t="shared" si="6"/>
        <v>11</v>
      </c>
      <c r="B3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99" s="1" t="s">
        <v>3856</v>
      </c>
      <c r="D399" s="1" t="s">
        <v>3857</v>
      </c>
      <c r="E399" s="1" t="s">
        <v>3858</v>
      </c>
      <c r="F399" s="1" t="s">
        <v>112</v>
      </c>
      <c r="G399" s="1">
        <v>4376701</v>
      </c>
    </row>
    <row r="400" spans="1:10" x14ac:dyDescent="0.25">
      <c r="A400" s="1" t="str">
        <f t="shared" si="6"/>
        <v>11</v>
      </c>
      <c r="B4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00" s="1" t="s">
        <v>3859</v>
      </c>
      <c r="D400" s="1" t="s">
        <v>3860</v>
      </c>
      <c r="E400" s="1" t="s">
        <v>3861</v>
      </c>
      <c r="F400" s="1" t="s">
        <v>112</v>
      </c>
      <c r="G400" s="1">
        <v>4740970</v>
      </c>
    </row>
    <row r="401" spans="1:7" x14ac:dyDescent="0.25">
      <c r="A401" s="1" t="str">
        <f t="shared" si="6"/>
        <v>11</v>
      </c>
      <c r="B4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1" s="1" t="s">
        <v>3862</v>
      </c>
    </row>
    <row r="402" spans="1:7" x14ac:dyDescent="0.25">
      <c r="A402" s="1" t="str">
        <f t="shared" si="6"/>
        <v>11</v>
      </c>
      <c r="B4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2" s="1" t="s">
        <v>3863</v>
      </c>
    </row>
    <row r="403" spans="1:7" x14ac:dyDescent="0.25">
      <c r="A403" s="1" t="str">
        <f t="shared" si="6"/>
        <v>11</v>
      </c>
      <c r="B4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3" s="1" t="s">
        <v>3864</v>
      </c>
    </row>
    <row r="404" spans="1:7" x14ac:dyDescent="0.25">
      <c r="A404" s="1" t="str">
        <f t="shared" si="6"/>
        <v>11</v>
      </c>
      <c r="B4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04" s="1" t="s">
        <v>3865</v>
      </c>
      <c r="D404" s="1" t="s">
        <v>2582</v>
      </c>
      <c r="E404" s="1" t="s">
        <v>3866</v>
      </c>
      <c r="F404" s="1" t="s">
        <v>112</v>
      </c>
      <c r="G404" s="1">
        <v>4250447</v>
      </c>
    </row>
    <row r="405" spans="1:7" x14ac:dyDescent="0.25">
      <c r="A405" s="1" t="str">
        <f t="shared" si="6"/>
        <v>11</v>
      </c>
      <c r="B4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05" s="1" t="s">
        <v>3867</v>
      </c>
      <c r="D405" s="1" t="s">
        <v>3868</v>
      </c>
      <c r="E405" s="1" t="s">
        <v>3869</v>
      </c>
      <c r="F405" s="1" t="s">
        <v>112</v>
      </c>
      <c r="G405" s="1">
        <v>4870555</v>
      </c>
    </row>
    <row r="406" spans="1:7" x14ac:dyDescent="0.25">
      <c r="A406" s="1" t="str">
        <f t="shared" si="6"/>
        <v>11</v>
      </c>
      <c r="B4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06" s="1" t="s">
        <v>3870</v>
      </c>
      <c r="D406" s="1" t="s">
        <v>3663</v>
      </c>
      <c r="E406" s="1" t="s">
        <v>3871</v>
      </c>
      <c r="F406" s="1" t="s">
        <v>112</v>
      </c>
      <c r="G406" s="1">
        <v>4041892</v>
      </c>
    </row>
    <row r="407" spans="1:7" x14ac:dyDescent="0.25">
      <c r="A407" s="1" t="str">
        <f t="shared" si="6"/>
        <v>11</v>
      </c>
      <c r="B4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07" s="1" t="s">
        <v>3872</v>
      </c>
      <c r="D407" s="1" t="s">
        <v>3773</v>
      </c>
      <c r="E407" s="1" t="s">
        <v>3873</v>
      </c>
      <c r="F407" s="1" t="s">
        <v>112</v>
      </c>
      <c r="G407" s="1">
        <v>3232069</v>
      </c>
    </row>
    <row r="408" spans="1:7" x14ac:dyDescent="0.25">
      <c r="A408" s="1" t="str">
        <f t="shared" si="6"/>
        <v>11</v>
      </c>
      <c r="B4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08" s="1" t="s">
        <v>3874</v>
      </c>
      <c r="D408" s="1" t="s">
        <v>3875</v>
      </c>
      <c r="E408" s="1" t="s">
        <v>3876</v>
      </c>
      <c r="F408" s="1" t="s">
        <v>112</v>
      </c>
      <c r="G408" s="1">
        <v>2958580</v>
      </c>
    </row>
    <row r="409" spans="1:7" x14ac:dyDescent="0.25">
      <c r="A409" s="1" t="str">
        <f t="shared" si="6"/>
        <v>11</v>
      </c>
      <c r="B4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09" s="1" t="s">
        <v>3877</v>
      </c>
      <c r="D409" s="1" t="s">
        <v>3878</v>
      </c>
      <c r="E409" s="1" t="s">
        <v>3879</v>
      </c>
      <c r="F409" s="1" t="s">
        <v>112</v>
      </c>
      <c r="G409" s="1">
        <v>3206005</v>
      </c>
    </row>
    <row r="410" spans="1:7" x14ac:dyDescent="0.25">
      <c r="A410" s="1" t="str">
        <f t="shared" si="6"/>
        <v>11</v>
      </c>
      <c r="B4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10" s="1" t="s">
        <v>3880</v>
      </c>
      <c r="D410" s="1" t="s">
        <v>3878</v>
      </c>
      <c r="E410" s="1" t="s">
        <v>3881</v>
      </c>
      <c r="F410" s="1" t="s">
        <v>112</v>
      </c>
      <c r="G410" s="1">
        <v>3462687</v>
      </c>
    </row>
    <row r="411" spans="1:7" x14ac:dyDescent="0.25">
      <c r="A411" s="1" t="str">
        <f t="shared" si="6"/>
        <v>11</v>
      </c>
      <c r="B4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11" s="1" t="s">
        <v>3882</v>
      </c>
      <c r="D411" s="1" t="s">
        <v>3883</v>
      </c>
      <c r="E411" s="1" t="s">
        <v>3884</v>
      </c>
      <c r="F411" s="1" t="s">
        <v>112</v>
      </c>
      <c r="G411" s="1">
        <v>3039779</v>
      </c>
    </row>
    <row r="412" spans="1:7" x14ac:dyDescent="0.25">
      <c r="A412" s="1" t="str">
        <f t="shared" si="6"/>
        <v>11</v>
      </c>
      <c r="B4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12" s="1" t="s">
        <v>3885</v>
      </c>
      <c r="D412" s="1" t="s">
        <v>3886</v>
      </c>
      <c r="E412" s="1" t="s">
        <v>3887</v>
      </c>
      <c r="F412" s="1" t="s">
        <v>112</v>
      </c>
      <c r="G412" s="1">
        <v>2954384</v>
      </c>
    </row>
    <row r="413" spans="1:7" x14ac:dyDescent="0.25">
      <c r="A413" s="1" t="str">
        <f t="shared" si="6"/>
        <v>11</v>
      </c>
      <c r="B4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13" s="1" t="s">
        <v>3888</v>
      </c>
      <c r="D413" s="1" t="s">
        <v>251</v>
      </c>
      <c r="E413" s="1" t="s">
        <v>3889</v>
      </c>
      <c r="F413" s="1" t="s">
        <v>112</v>
      </c>
      <c r="G413" s="1">
        <v>2456010</v>
      </c>
    </row>
    <row r="414" spans="1:7" x14ac:dyDescent="0.25">
      <c r="A414" s="1" t="str">
        <f t="shared" si="6"/>
        <v>11</v>
      </c>
      <c r="B4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14" s="1" t="s">
        <v>3890</v>
      </c>
      <c r="D414" s="1" t="s">
        <v>3891</v>
      </c>
      <c r="E414" s="1" t="s">
        <v>3892</v>
      </c>
      <c r="F414" s="1" t="s">
        <v>112</v>
      </c>
      <c r="G414" s="1">
        <v>2786709</v>
      </c>
    </row>
    <row r="415" spans="1:7" x14ac:dyDescent="0.25">
      <c r="A415" s="1" t="str">
        <f t="shared" si="6"/>
        <v>11</v>
      </c>
      <c r="B4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15" s="1" t="s">
        <v>3893</v>
      </c>
      <c r="D415" s="1" t="s">
        <v>3894</v>
      </c>
      <c r="E415" s="1" t="s">
        <v>3895</v>
      </c>
      <c r="F415" s="1" t="s">
        <v>112</v>
      </c>
      <c r="G415" s="1">
        <v>2890424</v>
      </c>
    </row>
    <row r="416" spans="1:7" x14ac:dyDescent="0.25">
      <c r="A416" s="1" t="str">
        <f t="shared" si="6"/>
        <v>11</v>
      </c>
      <c r="B4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16" s="1" t="s">
        <v>3896</v>
      </c>
      <c r="D416" s="1" t="s">
        <v>3897</v>
      </c>
      <c r="E416" s="1" t="s">
        <v>3898</v>
      </c>
      <c r="F416" s="1" t="s">
        <v>112</v>
      </c>
      <c r="G416" s="1">
        <v>4289338</v>
      </c>
    </row>
    <row r="417" spans="1:10" x14ac:dyDescent="0.25">
      <c r="A417" s="1" t="str">
        <f t="shared" si="6"/>
        <v>11</v>
      </c>
      <c r="B4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17" s="1" t="s">
        <v>3899</v>
      </c>
      <c r="D417" s="1" t="s">
        <v>3307</v>
      </c>
      <c r="E417" s="1" t="s">
        <v>3900</v>
      </c>
      <c r="F417" s="1" t="s">
        <v>112</v>
      </c>
      <c r="G417" s="1">
        <v>4079896</v>
      </c>
    </row>
    <row r="418" spans="1:10" x14ac:dyDescent="0.25">
      <c r="A418" s="1" t="str">
        <f t="shared" si="6"/>
        <v>11</v>
      </c>
      <c r="B4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18" s="1" t="s">
        <v>3901</v>
      </c>
      <c r="D418" s="1" t="s">
        <v>3902</v>
      </c>
      <c r="E418" s="1" t="s">
        <v>3903</v>
      </c>
      <c r="F418" s="1" t="s">
        <v>112</v>
      </c>
      <c r="G418" s="1">
        <v>3840864</v>
      </c>
    </row>
    <row r="419" spans="1:10" x14ac:dyDescent="0.25">
      <c r="A419" s="1" t="str">
        <f t="shared" si="6"/>
        <v>11</v>
      </c>
      <c r="B4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19" s="1" t="s">
        <v>3904</v>
      </c>
      <c r="D419" s="1" t="s">
        <v>2821</v>
      </c>
      <c r="E419" s="1" t="s">
        <v>3905</v>
      </c>
      <c r="F419" s="1" t="s">
        <v>112</v>
      </c>
      <c r="G419" s="1">
        <v>3023210</v>
      </c>
    </row>
    <row r="420" spans="1:10" x14ac:dyDescent="0.25">
      <c r="A420" s="1" t="str">
        <f t="shared" si="6"/>
        <v>11</v>
      </c>
      <c r="B4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20" s="1" t="s">
        <v>3906</v>
      </c>
      <c r="D420" s="1" t="s">
        <v>3907</v>
      </c>
      <c r="E420" s="1" t="s">
        <v>3908</v>
      </c>
      <c r="F420" s="1" t="s">
        <v>112</v>
      </c>
      <c r="G420" s="1">
        <v>2550078</v>
      </c>
    </row>
    <row r="421" spans="1:10" x14ac:dyDescent="0.25">
      <c r="A421" s="1" t="str">
        <f t="shared" si="6"/>
        <v>11</v>
      </c>
      <c r="B4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21" s="1" t="s">
        <v>3909</v>
      </c>
    </row>
    <row r="422" spans="1:10" x14ac:dyDescent="0.25">
      <c r="A422" s="1" t="str">
        <f t="shared" si="6"/>
        <v/>
      </c>
      <c r="B4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2" s="1" t="s">
        <v>112</v>
      </c>
    </row>
    <row r="423" spans="1:10" x14ac:dyDescent="0.25">
      <c r="A423" s="1" t="str">
        <f t="shared" si="6"/>
        <v/>
      </c>
      <c r="B4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3" s="1" t="s">
        <v>237</v>
      </c>
      <c r="D423" s="1" t="s">
        <v>112</v>
      </c>
      <c r="E423" s="1" t="s">
        <v>238</v>
      </c>
      <c r="F423" s="1" t="s">
        <v>239</v>
      </c>
      <c r="G423" s="1" t="s">
        <v>240</v>
      </c>
      <c r="H423" s="1" t="s">
        <v>241</v>
      </c>
      <c r="I423" s="1" t="s">
        <v>242</v>
      </c>
      <c r="J423" s="1" t="s">
        <v>243</v>
      </c>
    </row>
    <row r="424" spans="1:10" x14ac:dyDescent="0.25">
      <c r="A424" s="1" t="str">
        <f t="shared" si="6"/>
        <v>11</v>
      </c>
      <c r="B4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424" s="1" t="s">
        <v>3910</v>
      </c>
      <c r="D424" s="1" t="s">
        <v>112</v>
      </c>
      <c r="E424" s="1" t="s">
        <v>3911</v>
      </c>
      <c r="F424" s="1" t="s">
        <v>3912</v>
      </c>
      <c r="G424" s="1" t="s">
        <v>3913</v>
      </c>
      <c r="H424" s="1" t="s">
        <v>3914</v>
      </c>
      <c r="I424" s="1">
        <v>24</v>
      </c>
      <c r="J424" s="1">
        <v>24</v>
      </c>
    </row>
    <row r="425" spans="1:10" x14ac:dyDescent="0.25">
      <c r="A425" s="1" t="str">
        <f t="shared" si="6"/>
        <v/>
      </c>
      <c r="B4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5" s="1" t="s">
        <v>112</v>
      </c>
    </row>
    <row r="426" spans="1:10" x14ac:dyDescent="0.25">
      <c r="A426" s="1" t="str">
        <f t="shared" si="6"/>
        <v/>
      </c>
      <c r="B4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6" s="1" t="s">
        <v>112</v>
      </c>
    </row>
    <row r="427" spans="1:10" x14ac:dyDescent="0.25">
      <c r="A427" s="1" t="str">
        <f t="shared" si="6"/>
        <v/>
      </c>
      <c r="B4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7" s="1" t="s">
        <v>112</v>
      </c>
    </row>
    <row r="428" spans="1:10" x14ac:dyDescent="0.25">
      <c r="A428" s="1" t="str">
        <f t="shared" si="6"/>
        <v/>
      </c>
      <c r="B4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8" s="1" t="s">
        <v>112</v>
      </c>
    </row>
    <row r="429" spans="1:10" x14ac:dyDescent="0.25">
      <c r="A429" s="1" t="str">
        <f t="shared" si="6"/>
        <v/>
      </c>
      <c r="B4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9" s="1" t="s">
        <v>112</v>
      </c>
    </row>
    <row r="430" spans="1:10" x14ac:dyDescent="0.25">
      <c r="A430" s="1" t="str">
        <f t="shared" si="6"/>
        <v/>
      </c>
      <c r="B4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30" s="1" t="s">
        <v>249</v>
      </c>
      <c r="D430" s="1" t="s">
        <v>110</v>
      </c>
      <c r="E430" s="1" t="s">
        <v>111</v>
      </c>
      <c r="F430" s="1" t="s">
        <v>112</v>
      </c>
      <c r="G430" s="1" t="s">
        <v>113</v>
      </c>
    </row>
    <row r="431" spans="1:10" x14ac:dyDescent="0.25">
      <c r="A431" s="1" t="str">
        <f t="shared" si="6"/>
        <v>12</v>
      </c>
      <c r="B43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31" s="1" t="s">
        <v>3915</v>
      </c>
      <c r="D431" s="1" t="s">
        <v>3916</v>
      </c>
      <c r="E431" s="1" t="s">
        <v>3917</v>
      </c>
      <c r="F431" s="1" t="s">
        <v>112</v>
      </c>
      <c r="G431" s="1">
        <v>4467071</v>
      </c>
    </row>
    <row r="432" spans="1:10" x14ac:dyDescent="0.25">
      <c r="A432" s="1" t="str">
        <f t="shared" si="6"/>
        <v>12</v>
      </c>
      <c r="B4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32" s="1" t="s">
        <v>3918</v>
      </c>
      <c r="D432" s="1" t="s">
        <v>3919</v>
      </c>
      <c r="E432" s="1" t="s">
        <v>3920</v>
      </c>
      <c r="F432" s="1" t="s">
        <v>112</v>
      </c>
      <c r="G432" s="1">
        <v>4440682</v>
      </c>
    </row>
    <row r="433" spans="1:7" x14ac:dyDescent="0.25">
      <c r="A433" s="1" t="str">
        <f t="shared" si="6"/>
        <v>12</v>
      </c>
      <c r="B4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33" s="1" t="s">
        <v>3921</v>
      </c>
      <c r="D433" s="1" t="s">
        <v>3922</v>
      </c>
      <c r="E433" s="1" t="s">
        <v>3923</v>
      </c>
      <c r="F433" s="1" t="s">
        <v>112</v>
      </c>
      <c r="G433" s="1">
        <v>4120408</v>
      </c>
    </row>
    <row r="434" spans="1:7" x14ac:dyDescent="0.25">
      <c r="A434" s="1" t="str">
        <f t="shared" si="6"/>
        <v>12</v>
      </c>
      <c r="B4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34" s="1" t="s">
        <v>3924</v>
      </c>
      <c r="D434" s="1" t="s">
        <v>3925</v>
      </c>
      <c r="E434" s="1" t="s">
        <v>3926</v>
      </c>
      <c r="F434" s="1" t="s">
        <v>112</v>
      </c>
      <c r="G434" s="1">
        <v>3708467</v>
      </c>
    </row>
    <row r="435" spans="1:7" x14ac:dyDescent="0.25">
      <c r="A435" s="1" t="str">
        <f t="shared" si="6"/>
        <v>12</v>
      </c>
      <c r="B4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35" s="1" t="s">
        <v>3927</v>
      </c>
      <c r="D435" s="1" t="s">
        <v>3928</v>
      </c>
      <c r="E435" s="1" t="s">
        <v>3929</v>
      </c>
      <c r="F435" s="1" t="s">
        <v>112</v>
      </c>
      <c r="G435" s="1">
        <v>3422736</v>
      </c>
    </row>
    <row r="436" spans="1:7" x14ac:dyDescent="0.25">
      <c r="A436" s="1" t="str">
        <f t="shared" si="6"/>
        <v>12</v>
      </c>
      <c r="B4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36" s="1" t="s">
        <v>3930</v>
      </c>
      <c r="D436" s="1" t="s">
        <v>1962</v>
      </c>
      <c r="E436" s="1" t="s">
        <v>3931</v>
      </c>
      <c r="F436" s="1" t="s">
        <v>112</v>
      </c>
      <c r="G436" s="1">
        <v>3956367</v>
      </c>
    </row>
    <row r="437" spans="1:7" x14ac:dyDescent="0.25">
      <c r="A437" s="1" t="str">
        <f t="shared" si="6"/>
        <v>12</v>
      </c>
      <c r="B4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37" s="1" t="s">
        <v>3932</v>
      </c>
    </row>
    <row r="438" spans="1:7" x14ac:dyDescent="0.25">
      <c r="A438" s="1" t="str">
        <f t="shared" si="6"/>
        <v>12</v>
      </c>
      <c r="B4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38" s="1" t="s">
        <v>3933</v>
      </c>
      <c r="D438" s="1" t="s">
        <v>3934</v>
      </c>
      <c r="E438" s="1" t="s">
        <v>3935</v>
      </c>
      <c r="F438" s="1" t="s">
        <v>112</v>
      </c>
      <c r="G438" s="1">
        <v>5043832</v>
      </c>
    </row>
    <row r="439" spans="1:7" x14ac:dyDescent="0.25">
      <c r="A439" s="1" t="str">
        <f t="shared" si="6"/>
        <v>12</v>
      </c>
      <c r="B4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39" s="1" t="s">
        <v>3936</v>
      </c>
      <c r="D439" s="1" t="s">
        <v>3937</v>
      </c>
      <c r="E439" s="1" t="s">
        <v>3938</v>
      </c>
      <c r="F439" s="1" t="s">
        <v>112</v>
      </c>
      <c r="G439" s="1">
        <v>5744662</v>
      </c>
    </row>
    <row r="440" spans="1:7" x14ac:dyDescent="0.25">
      <c r="A440" s="1" t="str">
        <f t="shared" si="6"/>
        <v>12</v>
      </c>
      <c r="B4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40" s="1" t="s">
        <v>3939</v>
      </c>
    </row>
    <row r="441" spans="1:7" x14ac:dyDescent="0.25">
      <c r="A441" s="1" t="str">
        <f t="shared" si="6"/>
        <v>12</v>
      </c>
      <c r="B4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41" s="1" t="s">
        <v>3940</v>
      </c>
    </row>
    <row r="442" spans="1:7" x14ac:dyDescent="0.25">
      <c r="A442" s="1" t="str">
        <f t="shared" si="6"/>
        <v>12</v>
      </c>
      <c r="B4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42" s="1" t="s">
        <v>3941</v>
      </c>
    </row>
    <row r="443" spans="1:7" x14ac:dyDescent="0.25">
      <c r="A443" s="1" t="str">
        <f t="shared" si="6"/>
        <v>12</v>
      </c>
      <c r="B4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43" s="1" t="s">
        <v>3942</v>
      </c>
      <c r="D443" s="1" t="s">
        <v>3943</v>
      </c>
      <c r="E443" s="1" t="s">
        <v>3944</v>
      </c>
      <c r="F443" s="1" t="s">
        <v>112</v>
      </c>
      <c r="G443" s="1">
        <v>5244730</v>
      </c>
    </row>
    <row r="444" spans="1:7" x14ac:dyDescent="0.25">
      <c r="A444" s="1" t="str">
        <f t="shared" si="6"/>
        <v>12</v>
      </c>
      <c r="B4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44" s="1" t="s">
        <v>3945</v>
      </c>
      <c r="D444" s="1" t="s">
        <v>3946</v>
      </c>
      <c r="E444" s="1" t="s">
        <v>3947</v>
      </c>
      <c r="F444" s="1" t="s">
        <v>112</v>
      </c>
      <c r="G444" s="1">
        <v>4496682</v>
      </c>
    </row>
    <row r="445" spans="1:7" x14ac:dyDescent="0.25">
      <c r="A445" s="1" t="str">
        <f t="shared" si="6"/>
        <v>12</v>
      </c>
      <c r="B4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45" s="1" t="s">
        <v>3948</v>
      </c>
      <c r="D445" s="1" t="s">
        <v>3949</v>
      </c>
      <c r="E445" s="1" t="s">
        <v>3950</v>
      </c>
      <c r="F445" s="1" t="s">
        <v>112</v>
      </c>
      <c r="G445" s="1">
        <v>4676751</v>
      </c>
    </row>
    <row r="446" spans="1:7" x14ac:dyDescent="0.25">
      <c r="A446" s="1" t="str">
        <f t="shared" si="6"/>
        <v>12</v>
      </c>
      <c r="B4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46" s="1" t="s">
        <v>3951</v>
      </c>
      <c r="D446" s="1" t="s">
        <v>3952</v>
      </c>
      <c r="E446" s="1" t="s">
        <v>3953</v>
      </c>
      <c r="F446" s="1" t="s">
        <v>112</v>
      </c>
      <c r="G446" s="1">
        <v>4980262</v>
      </c>
    </row>
    <row r="447" spans="1:7" x14ac:dyDescent="0.25">
      <c r="A447" s="1" t="str">
        <f t="shared" si="6"/>
        <v>12</v>
      </c>
      <c r="B4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47" s="1" t="s">
        <v>3954</v>
      </c>
      <c r="D447" s="1" t="s">
        <v>3955</v>
      </c>
      <c r="E447" s="1" t="s">
        <v>3956</v>
      </c>
      <c r="F447" s="1" t="s">
        <v>112</v>
      </c>
      <c r="G447" s="1">
        <v>4380378</v>
      </c>
    </row>
    <row r="448" spans="1:7" x14ac:dyDescent="0.25">
      <c r="A448" s="1" t="str">
        <f t="shared" si="6"/>
        <v>12</v>
      </c>
      <c r="B4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48" s="1" t="s">
        <v>3957</v>
      </c>
      <c r="D448" s="1" t="s">
        <v>3958</v>
      </c>
      <c r="E448" s="1" t="s">
        <v>3959</v>
      </c>
      <c r="F448" s="1" t="s">
        <v>112</v>
      </c>
      <c r="G448" s="1">
        <v>4722066</v>
      </c>
    </row>
    <row r="449" spans="1:10" x14ac:dyDescent="0.25">
      <c r="A449" s="1" t="str">
        <f t="shared" si="6"/>
        <v>12</v>
      </c>
      <c r="B4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49" s="1" t="s">
        <v>3960</v>
      </c>
      <c r="D449" s="1" t="s">
        <v>3961</v>
      </c>
      <c r="E449" s="1" t="s">
        <v>3962</v>
      </c>
      <c r="F449" s="1" t="s">
        <v>112</v>
      </c>
      <c r="G449" s="1">
        <v>3867814</v>
      </c>
    </row>
    <row r="450" spans="1:10" x14ac:dyDescent="0.25">
      <c r="A450" s="1" t="str">
        <f t="shared" ref="A450:A513" si="7">IFERROR(LEFT(RIGHT(C450,LEN(C450)-SEARCH("@",C450)),SEARCH("/",RIGHT(C450,LEN(C450)-SEARCH("@",C450)-1))),"")</f>
        <v>12</v>
      </c>
      <c r="B4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50" s="1" t="s">
        <v>3963</v>
      </c>
      <c r="D450" s="1" t="s">
        <v>1531</v>
      </c>
      <c r="E450" s="1" t="s">
        <v>3964</v>
      </c>
      <c r="F450" s="1" t="s">
        <v>112</v>
      </c>
      <c r="G450" s="1">
        <v>3291616</v>
      </c>
    </row>
    <row r="451" spans="1:10" x14ac:dyDescent="0.25">
      <c r="A451" s="1" t="str">
        <f t="shared" si="7"/>
        <v>12</v>
      </c>
      <c r="B4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51" s="1" t="s">
        <v>3965</v>
      </c>
      <c r="D451" s="1" t="s">
        <v>3966</v>
      </c>
      <c r="E451" s="1" t="s">
        <v>3967</v>
      </c>
      <c r="F451" s="1" t="s">
        <v>112</v>
      </c>
      <c r="G451" s="1">
        <v>3578666</v>
      </c>
    </row>
    <row r="452" spans="1:10" x14ac:dyDescent="0.25">
      <c r="A452" s="1" t="str">
        <f t="shared" si="7"/>
        <v>12</v>
      </c>
      <c r="B4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52" s="1" t="s">
        <v>3968</v>
      </c>
      <c r="D452" s="1" t="s">
        <v>3969</v>
      </c>
      <c r="E452" s="1" t="s">
        <v>3970</v>
      </c>
      <c r="F452" s="1" t="s">
        <v>112</v>
      </c>
      <c r="G452" s="1">
        <v>6172372</v>
      </c>
    </row>
    <row r="453" spans="1:10" x14ac:dyDescent="0.25">
      <c r="A453" s="1" t="str">
        <f t="shared" si="7"/>
        <v>12</v>
      </c>
      <c r="B4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53" s="1" t="s">
        <v>3971</v>
      </c>
      <c r="D453" s="1" t="s">
        <v>3972</v>
      </c>
      <c r="E453" s="1" t="s">
        <v>3973</v>
      </c>
      <c r="F453" s="1" t="s">
        <v>112</v>
      </c>
      <c r="G453" s="1">
        <v>5443834</v>
      </c>
    </row>
    <row r="454" spans="1:10" x14ac:dyDescent="0.25">
      <c r="A454" s="1" t="str">
        <f t="shared" si="7"/>
        <v>12</v>
      </c>
      <c r="B4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54" s="1" t="s">
        <v>3974</v>
      </c>
      <c r="D454" s="1" t="s">
        <v>3975</v>
      </c>
      <c r="E454" s="1" t="s">
        <v>3976</v>
      </c>
      <c r="F454" s="1" t="s">
        <v>112</v>
      </c>
      <c r="G454" s="1">
        <v>5494880</v>
      </c>
    </row>
    <row r="455" spans="1:10" x14ac:dyDescent="0.25">
      <c r="A455" s="1" t="str">
        <f t="shared" si="7"/>
        <v/>
      </c>
      <c r="B4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5" s="1" t="s">
        <v>112</v>
      </c>
    </row>
    <row r="456" spans="1:10" x14ac:dyDescent="0.25">
      <c r="A456" s="1" t="str">
        <f t="shared" si="7"/>
        <v/>
      </c>
      <c r="B4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6" s="1" t="s">
        <v>237</v>
      </c>
      <c r="D456" s="1" t="s">
        <v>112</v>
      </c>
      <c r="E456" s="1" t="s">
        <v>238</v>
      </c>
      <c r="F456" s="1" t="s">
        <v>239</v>
      </c>
      <c r="G456" s="1" t="s">
        <v>240</v>
      </c>
      <c r="H456" s="1" t="s">
        <v>241</v>
      </c>
      <c r="I456" s="1" t="s">
        <v>242</v>
      </c>
      <c r="J456" s="1" t="s">
        <v>243</v>
      </c>
    </row>
    <row r="457" spans="1:10" x14ac:dyDescent="0.25">
      <c r="A457" s="1" t="str">
        <f t="shared" si="7"/>
        <v>12</v>
      </c>
      <c r="B4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457" s="1" t="s">
        <v>3977</v>
      </c>
      <c r="D457" s="1" t="s">
        <v>112</v>
      </c>
      <c r="E457" s="1" t="s">
        <v>3978</v>
      </c>
      <c r="F457" s="1" t="s">
        <v>3979</v>
      </c>
      <c r="G457" s="1" t="s">
        <v>3980</v>
      </c>
      <c r="H457" s="1" t="s">
        <v>3981</v>
      </c>
      <c r="I457" s="1">
        <v>24</v>
      </c>
      <c r="J457" s="1">
        <v>24</v>
      </c>
    </row>
    <row r="458" spans="1:10" x14ac:dyDescent="0.25">
      <c r="A458" s="1" t="str">
        <f t="shared" si="7"/>
        <v/>
      </c>
      <c r="B4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8" s="1" t="s">
        <v>112</v>
      </c>
    </row>
    <row r="459" spans="1:10" x14ac:dyDescent="0.25">
      <c r="A459" s="1" t="str">
        <f t="shared" si="7"/>
        <v/>
      </c>
      <c r="B4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9" s="1" t="s">
        <v>112</v>
      </c>
    </row>
    <row r="460" spans="1:10" x14ac:dyDescent="0.25">
      <c r="A460" s="1" t="str">
        <f t="shared" si="7"/>
        <v/>
      </c>
      <c r="B4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60" s="1" t="s">
        <v>112</v>
      </c>
    </row>
    <row r="461" spans="1:10" x14ac:dyDescent="0.25">
      <c r="A461" s="1" t="str">
        <f t="shared" si="7"/>
        <v/>
      </c>
      <c r="B4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61" s="1" t="s">
        <v>112</v>
      </c>
    </row>
    <row r="462" spans="1:10" x14ac:dyDescent="0.25">
      <c r="A462" s="1" t="str">
        <f t="shared" si="7"/>
        <v/>
      </c>
      <c r="B4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62" s="1" t="s">
        <v>112</v>
      </c>
    </row>
    <row r="463" spans="1:10" x14ac:dyDescent="0.25">
      <c r="A463" s="1" t="str">
        <f t="shared" si="7"/>
        <v/>
      </c>
      <c r="B4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63" s="1" t="s">
        <v>249</v>
      </c>
      <c r="D463" s="1" t="s">
        <v>110</v>
      </c>
      <c r="E463" s="1" t="s">
        <v>111</v>
      </c>
      <c r="F463" s="1" t="s">
        <v>112</v>
      </c>
      <c r="G463" s="1" t="s">
        <v>113</v>
      </c>
    </row>
    <row r="464" spans="1:10" x14ac:dyDescent="0.25">
      <c r="A464" s="1" t="str">
        <f t="shared" si="7"/>
        <v>17</v>
      </c>
      <c r="B46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64" s="1" t="s">
        <v>3982</v>
      </c>
      <c r="D464" s="1" t="s">
        <v>3983</v>
      </c>
      <c r="E464" s="1" t="s">
        <v>3984</v>
      </c>
      <c r="F464" s="1" t="s">
        <v>112</v>
      </c>
      <c r="G464" s="1">
        <v>1231866</v>
      </c>
    </row>
    <row r="465" spans="1:7" x14ac:dyDescent="0.25">
      <c r="A465" s="1" t="str">
        <f t="shared" si="7"/>
        <v>17</v>
      </c>
      <c r="B4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65" s="1" t="s">
        <v>3985</v>
      </c>
      <c r="D465" s="1" t="s">
        <v>3986</v>
      </c>
      <c r="E465" s="1" t="s">
        <v>3987</v>
      </c>
      <c r="F465" s="1" t="s">
        <v>112</v>
      </c>
      <c r="G465" s="1">
        <v>1104855</v>
      </c>
    </row>
    <row r="466" spans="1:7" x14ac:dyDescent="0.25">
      <c r="A466" s="1" t="str">
        <f t="shared" si="7"/>
        <v>17</v>
      </c>
      <c r="B4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66" s="1" t="s">
        <v>3988</v>
      </c>
      <c r="D466" s="1" t="s">
        <v>3989</v>
      </c>
      <c r="E466" s="1" t="s">
        <v>3990</v>
      </c>
      <c r="F466" s="1" t="s">
        <v>112</v>
      </c>
      <c r="G466" s="1">
        <v>1172665</v>
      </c>
    </row>
    <row r="467" spans="1:7" x14ac:dyDescent="0.25">
      <c r="A467" s="1" t="str">
        <f t="shared" si="7"/>
        <v>17</v>
      </c>
      <c r="B4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67" s="1" t="s">
        <v>3991</v>
      </c>
      <c r="D467" s="1" t="s">
        <v>3992</v>
      </c>
      <c r="E467" s="1" t="s">
        <v>3993</v>
      </c>
      <c r="F467" s="1" t="s">
        <v>112</v>
      </c>
      <c r="G467" s="1">
        <v>1856926</v>
      </c>
    </row>
    <row r="468" spans="1:7" x14ac:dyDescent="0.25">
      <c r="A468" s="1" t="str">
        <f t="shared" si="7"/>
        <v>17</v>
      </c>
      <c r="B4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68" s="1" t="s">
        <v>3994</v>
      </c>
      <c r="D468" s="1" t="s">
        <v>3995</v>
      </c>
      <c r="E468" s="1" t="s">
        <v>3996</v>
      </c>
      <c r="F468" s="1" t="s">
        <v>112</v>
      </c>
      <c r="G468" s="1">
        <v>1554130</v>
      </c>
    </row>
    <row r="469" spans="1:7" x14ac:dyDescent="0.25">
      <c r="A469" s="1" t="str">
        <f t="shared" si="7"/>
        <v>17</v>
      </c>
      <c r="B4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69" s="1" t="s">
        <v>3997</v>
      </c>
      <c r="D469" s="1" t="s">
        <v>3998</v>
      </c>
      <c r="E469" s="1" t="s">
        <v>3999</v>
      </c>
      <c r="F469" s="1" t="s">
        <v>112</v>
      </c>
      <c r="G469" s="1">
        <v>2015885</v>
      </c>
    </row>
    <row r="470" spans="1:7" x14ac:dyDescent="0.25">
      <c r="A470" s="1" t="str">
        <f t="shared" si="7"/>
        <v>17</v>
      </c>
      <c r="B4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70" s="1" t="s">
        <v>4000</v>
      </c>
      <c r="D470" s="1" t="s">
        <v>4001</v>
      </c>
      <c r="E470" s="1" t="s">
        <v>4002</v>
      </c>
      <c r="F470" s="1" t="s">
        <v>112</v>
      </c>
      <c r="G470" s="1">
        <v>1410745</v>
      </c>
    </row>
    <row r="471" spans="1:7" x14ac:dyDescent="0.25">
      <c r="A471" s="1" t="str">
        <f t="shared" si="7"/>
        <v>17</v>
      </c>
      <c r="B4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71" s="1" t="s">
        <v>4003</v>
      </c>
      <c r="D471" s="1" t="s">
        <v>4004</v>
      </c>
      <c r="E471" s="1" t="s">
        <v>4005</v>
      </c>
      <c r="F471" s="1" t="s">
        <v>112</v>
      </c>
      <c r="G471" s="1">
        <v>1180495</v>
      </c>
    </row>
    <row r="472" spans="1:7" x14ac:dyDescent="0.25">
      <c r="A472" s="1" t="str">
        <f t="shared" si="7"/>
        <v>17</v>
      </c>
      <c r="B4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72" s="1" t="s">
        <v>4006</v>
      </c>
      <c r="D472" s="1" t="s">
        <v>4007</v>
      </c>
      <c r="E472" s="1" t="s">
        <v>4008</v>
      </c>
      <c r="F472" s="1" t="s">
        <v>112</v>
      </c>
      <c r="G472" s="1">
        <v>982387</v>
      </c>
    </row>
    <row r="473" spans="1:7" x14ac:dyDescent="0.25">
      <c r="A473" s="1" t="str">
        <f t="shared" si="7"/>
        <v>17</v>
      </c>
      <c r="B4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73" s="1" t="s">
        <v>4009</v>
      </c>
      <c r="D473" s="1" t="s">
        <v>4010</v>
      </c>
      <c r="E473" s="1" t="s">
        <v>4011</v>
      </c>
      <c r="F473" s="1" t="s">
        <v>112</v>
      </c>
      <c r="G473" s="1">
        <v>2402887</v>
      </c>
    </row>
    <row r="474" spans="1:7" x14ac:dyDescent="0.25">
      <c r="A474" s="1" t="str">
        <f t="shared" si="7"/>
        <v>17</v>
      </c>
      <c r="B4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74" s="1" t="s">
        <v>4012</v>
      </c>
      <c r="D474" s="1" t="s">
        <v>3553</v>
      </c>
      <c r="E474" s="1" t="s">
        <v>4013</v>
      </c>
      <c r="F474" s="1" t="s">
        <v>112</v>
      </c>
      <c r="G474" s="1">
        <v>2331010</v>
      </c>
    </row>
    <row r="475" spans="1:7" x14ac:dyDescent="0.25">
      <c r="A475" s="1" t="str">
        <f t="shared" si="7"/>
        <v>17</v>
      </c>
      <c r="B4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75" s="1" t="s">
        <v>4014</v>
      </c>
      <c r="D475" s="1" t="s">
        <v>4015</v>
      </c>
      <c r="E475" s="1" t="s">
        <v>4016</v>
      </c>
      <c r="F475" s="1" t="s">
        <v>112</v>
      </c>
      <c r="G475" s="1">
        <v>1941997</v>
      </c>
    </row>
    <row r="476" spans="1:7" x14ac:dyDescent="0.25">
      <c r="A476" s="1" t="str">
        <f t="shared" si="7"/>
        <v>17</v>
      </c>
      <c r="B4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6" s="1" t="s">
        <v>4017</v>
      </c>
      <c r="D476" s="1" t="s">
        <v>4018</v>
      </c>
      <c r="E476" s="1" t="s">
        <v>4019</v>
      </c>
      <c r="F476" s="1" t="s">
        <v>112</v>
      </c>
      <c r="G476" s="1">
        <v>2392894</v>
      </c>
    </row>
    <row r="477" spans="1:7" x14ac:dyDescent="0.25">
      <c r="A477" s="1" t="str">
        <f t="shared" si="7"/>
        <v>17</v>
      </c>
      <c r="B4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7" s="1" t="s">
        <v>4020</v>
      </c>
      <c r="D477" s="1" t="s">
        <v>1519</v>
      </c>
      <c r="E477" s="1" t="s">
        <v>4021</v>
      </c>
      <c r="F477" s="1" t="s">
        <v>112</v>
      </c>
      <c r="G477" s="1">
        <v>2293288</v>
      </c>
    </row>
    <row r="478" spans="1:7" x14ac:dyDescent="0.25">
      <c r="A478" s="1" t="str">
        <f t="shared" si="7"/>
        <v>17</v>
      </c>
      <c r="B4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8" s="1" t="s">
        <v>4022</v>
      </c>
      <c r="D478" s="1" t="s">
        <v>4023</v>
      </c>
      <c r="E478" s="1" t="s">
        <v>4024</v>
      </c>
      <c r="F478" s="1" t="s">
        <v>112</v>
      </c>
      <c r="G478" s="1">
        <v>2354111</v>
      </c>
    </row>
    <row r="479" spans="1:7" x14ac:dyDescent="0.25">
      <c r="A479" s="1" t="str">
        <f t="shared" si="7"/>
        <v>17</v>
      </c>
      <c r="B4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79" s="1" t="s">
        <v>4025</v>
      </c>
    </row>
    <row r="480" spans="1:7" x14ac:dyDescent="0.25">
      <c r="A480" s="1" t="str">
        <f t="shared" si="7"/>
        <v>17</v>
      </c>
      <c r="B4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80" s="1" t="s">
        <v>4026</v>
      </c>
    </row>
    <row r="481" spans="1:10" x14ac:dyDescent="0.25">
      <c r="A481" s="1" t="str">
        <f t="shared" si="7"/>
        <v>17</v>
      </c>
      <c r="B4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81" s="1" t="s">
        <v>4027</v>
      </c>
    </row>
    <row r="482" spans="1:10" x14ac:dyDescent="0.25">
      <c r="A482" s="1" t="str">
        <f t="shared" si="7"/>
        <v>17</v>
      </c>
      <c r="B4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82" s="1" t="s">
        <v>4028</v>
      </c>
      <c r="D482" s="1" t="s">
        <v>345</v>
      </c>
      <c r="E482" s="1" t="s">
        <v>4029</v>
      </c>
      <c r="F482" s="1" t="s">
        <v>112</v>
      </c>
      <c r="G482" s="1">
        <v>1753903</v>
      </c>
    </row>
    <row r="483" spans="1:10" x14ac:dyDescent="0.25">
      <c r="A483" s="1" t="str">
        <f t="shared" si="7"/>
        <v>17</v>
      </c>
      <c r="B4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83" s="1" t="s">
        <v>4030</v>
      </c>
      <c r="D483" s="1" t="s">
        <v>4031</v>
      </c>
      <c r="E483" s="1" t="s">
        <v>4032</v>
      </c>
      <c r="F483" s="1" t="s">
        <v>112</v>
      </c>
      <c r="G483" s="1">
        <v>1302596</v>
      </c>
    </row>
    <row r="484" spans="1:10" x14ac:dyDescent="0.25">
      <c r="A484" s="1" t="str">
        <f t="shared" si="7"/>
        <v>17</v>
      </c>
      <c r="B4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84" s="1" t="s">
        <v>4033</v>
      </c>
      <c r="D484" s="1" t="s">
        <v>1050</v>
      </c>
      <c r="E484" s="1" t="s">
        <v>4034</v>
      </c>
      <c r="F484" s="1" t="s">
        <v>112</v>
      </c>
      <c r="G484" s="1">
        <v>1920194</v>
      </c>
    </row>
    <row r="485" spans="1:10" x14ac:dyDescent="0.25">
      <c r="A485" s="1" t="str">
        <f t="shared" si="7"/>
        <v>17</v>
      </c>
      <c r="B4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85" s="1" t="s">
        <v>4035</v>
      </c>
      <c r="D485" s="1" t="s">
        <v>4036</v>
      </c>
      <c r="E485" s="1" t="s">
        <v>4037</v>
      </c>
      <c r="F485" s="1" t="s">
        <v>112</v>
      </c>
      <c r="G485" s="1">
        <v>2787423</v>
      </c>
    </row>
    <row r="486" spans="1:10" x14ac:dyDescent="0.25">
      <c r="A486" s="1" t="str">
        <f t="shared" si="7"/>
        <v>17</v>
      </c>
      <c r="B4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86" s="1" t="s">
        <v>4038</v>
      </c>
      <c r="D486" s="1" t="s">
        <v>1327</v>
      </c>
      <c r="E486" s="1" t="s">
        <v>4039</v>
      </c>
      <c r="F486" s="1" t="s">
        <v>112</v>
      </c>
      <c r="G486" s="1">
        <v>2973440</v>
      </c>
    </row>
    <row r="487" spans="1:10" x14ac:dyDescent="0.25">
      <c r="A487" s="1" t="str">
        <f t="shared" si="7"/>
        <v>17</v>
      </c>
      <c r="B4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87" s="1" t="s">
        <v>4040</v>
      </c>
      <c r="D487" s="1" t="s">
        <v>4041</v>
      </c>
      <c r="E487" s="1" t="s">
        <v>4042</v>
      </c>
      <c r="F487" s="1" t="s">
        <v>112</v>
      </c>
      <c r="G487" s="1">
        <v>3300960</v>
      </c>
    </row>
    <row r="488" spans="1:10" x14ac:dyDescent="0.25">
      <c r="A488" s="1" t="str">
        <f t="shared" si="7"/>
        <v/>
      </c>
      <c r="B4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88" s="1" t="s">
        <v>112</v>
      </c>
    </row>
    <row r="489" spans="1:10" x14ac:dyDescent="0.25">
      <c r="A489" s="1" t="str">
        <f t="shared" si="7"/>
        <v/>
      </c>
      <c r="B4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89" s="1" t="s">
        <v>237</v>
      </c>
      <c r="D489" s="1" t="s">
        <v>112</v>
      </c>
      <c r="E489" s="1" t="s">
        <v>238</v>
      </c>
      <c r="F489" s="1" t="s">
        <v>239</v>
      </c>
      <c r="G489" s="1" t="s">
        <v>240</v>
      </c>
      <c r="H489" s="1" t="s">
        <v>241</v>
      </c>
      <c r="I489" s="1" t="s">
        <v>242</v>
      </c>
      <c r="J489" s="1" t="s">
        <v>243</v>
      </c>
    </row>
    <row r="490" spans="1:10" x14ac:dyDescent="0.25">
      <c r="A490" s="1" t="str">
        <f t="shared" si="7"/>
        <v>17</v>
      </c>
      <c r="B49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490" s="1" t="s">
        <v>4043</v>
      </c>
      <c r="D490" s="1" t="s">
        <v>112</v>
      </c>
      <c r="E490" s="1" t="s">
        <v>4044</v>
      </c>
      <c r="F490" s="1" t="s">
        <v>4045</v>
      </c>
      <c r="G490" s="1" t="s">
        <v>4046</v>
      </c>
      <c r="H490" s="1" t="s">
        <v>4047</v>
      </c>
      <c r="I490" s="1">
        <v>24</v>
      </c>
      <c r="J490" s="1">
        <v>24</v>
      </c>
    </row>
    <row r="491" spans="1:10" x14ac:dyDescent="0.25">
      <c r="A491" s="1" t="str">
        <f t="shared" si="7"/>
        <v/>
      </c>
      <c r="B4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1" s="1" t="s">
        <v>112</v>
      </c>
    </row>
    <row r="492" spans="1:10" x14ac:dyDescent="0.25">
      <c r="A492" s="1" t="str">
        <f t="shared" si="7"/>
        <v/>
      </c>
      <c r="B4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2" s="1" t="s">
        <v>112</v>
      </c>
    </row>
    <row r="493" spans="1:10" x14ac:dyDescent="0.25">
      <c r="A493" s="1" t="str">
        <f t="shared" si="7"/>
        <v/>
      </c>
      <c r="B4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3" s="1" t="s">
        <v>112</v>
      </c>
    </row>
    <row r="494" spans="1:10" x14ac:dyDescent="0.25">
      <c r="A494" s="1" t="str">
        <f t="shared" si="7"/>
        <v/>
      </c>
      <c r="B4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4" s="1" t="s">
        <v>112</v>
      </c>
    </row>
    <row r="495" spans="1:10" x14ac:dyDescent="0.25">
      <c r="A495" s="1" t="str">
        <f t="shared" si="7"/>
        <v/>
      </c>
      <c r="B4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5" s="1" t="s">
        <v>112</v>
      </c>
    </row>
    <row r="496" spans="1:10" x14ac:dyDescent="0.25">
      <c r="A496" s="1" t="str">
        <f t="shared" si="7"/>
        <v/>
      </c>
      <c r="B4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6" s="1" t="s">
        <v>249</v>
      </c>
      <c r="D496" s="1" t="s">
        <v>110</v>
      </c>
      <c r="E496" s="1" t="s">
        <v>111</v>
      </c>
      <c r="F496" s="1" t="s">
        <v>112</v>
      </c>
      <c r="G496" s="1" t="s">
        <v>113</v>
      </c>
    </row>
    <row r="497" spans="1:7" x14ac:dyDescent="0.25">
      <c r="A497" s="1" t="str">
        <f t="shared" si="7"/>
        <v>18</v>
      </c>
      <c r="B49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97" s="1" t="s">
        <v>4048</v>
      </c>
      <c r="D497" s="1" t="s">
        <v>1525</v>
      </c>
      <c r="E497" s="1" t="s">
        <v>4049</v>
      </c>
      <c r="F497" s="1" t="s">
        <v>112</v>
      </c>
      <c r="G497" s="1">
        <v>3295120</v>
      </c>
    </row>
    <row r="498" spans="1:7" x14ac:dyDescent="0.25">
      <c r="A498" s="1" t="str">
        <f t="shared" si="7"/>
        <v>18</v>
      </c>
      <c r="B49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98" s="1" t="s">
        <v>4050</v>
      </c>
      <c r="D498" s="1" t="s">
        <v>4051</v>
      </c>
      <c r="E498" s="1" t="s">
        <v>4052</v>
      </c>
      <c r="F498" s="1" t="s">
        <v>112</v>
      </c>
      <c r="G498" s="1">
        <v>3579531</v>
      </c>
    </row>
    <row r="499" spans="1:7" x14ac:dyDescent="0.25">
      <c r="A499" s="1" t="str">
        <f t="shared" si="7"/>
        <v>18</v>
      </c>
      <c r="B4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99" s="1" t="s">
        <v>4053</v>
      </c>
      <c r="D499" s="1" t="s">
        <v>4054</v>
      </c>
      <c r="E499" s="1" t="s">
        <v>4055</v>
      </c>
      <c r="F499" s="1" t="s">
        <v>112</v>
      </c>
      <c r="G499" s="1">
        <v>3347356</v>
      </c>
    </row>
    <row r="500" spans="1:7" x14ac:dyDescent="0.25">
      <c r="A500" s="1" t="str">
        <f t="shared" si="7"/>
        <v>18</v>
      </c>
      <c r="B5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00" s="1" t="s">
        <v>4056</v>
      </c>
      <c r="D500" s="1" t="s">
        <v>4057</v>
      </c>
      <c r="E500" s="1" t="s">
        <v>4058</v>
      </c>
      <c r="F500" s="1" t="s">
        <v>112</v>
      </c>
      <c r="G500" s="1">
        <v>3599950</v>
      </c>
    </row>
    <row r="501" spans="1:7" x14ac:dyDescent="0.25">
      <c r="A501" s="1" t="str">
        <f t="shared" si="7"/>
        <v>18</v>
      </c>
      <c r="B5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01" s="1" t="s">
        <v>4059</v>
      </c>
      <c r="D501" s="1" t="s">
        <v>4060</v>
      </c>
      <c r="E501" s="1" t="s">
        <v>4061</v>
      </c>
      <c r="F501" s="1" t="s">
        <v>112</v>
      </c>
      <c r="G501" s="1">
        <v>4074423</v>
      </c>
    </row>
    <row r="502" spans="1:7" x14ac:dyDescent="0.25">
      <c r="A502" s="1" t="str">
        <f t="shared" si="7"/>
        <v>18</v>
      </c>
      <c r="B5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02" s="1" t="s">
        <v>4062</v>
      </c>
      <c r="D502" s="1" t="s">
        <v>4063</v>
      </c>
      <c r="E502" s="1" t="s">
        <v>4064</v>
      </c>
      <c r="F502" s="1" t="s">
        <v>112</v>
      </c>
      <c r="G502" s="1">
        <v>4289684</v>
      </c>
    </row>
    <row r="503" spans="1:7" x14ac:dyDescent="0.25">
      <c r="A503" s="1" t="str">
        <f t="shared" si="7"/>
        <v>18</v>
      </c>
      <c r="B5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03" s="1" t="s">
        <v>4065</v>
      </c>
      <c r="D503" s="1" t="s">
        <v>3966</v>
      </c>
      <c r="E503" s="1" t="s">
        <v>4066</v>
      </c>
      <c r="F503" s="1" t="s">
        <v>112</v>
      </c>
      <c r="G503" s="1">
        <v>2625826</v>
      </c>
    </row>
    <row r="504" spans="1:7" x14ac:dyDescent="0.25">
      <c r="A504" s="1" t="str">
        <f t="shared" si="7"/>
        <v>18</v>
      </c>
      <c r="B5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04" s="1" t="s">
        <v>4067</v>
      </c>
      <c r="D504" s="1" t="s">
        <v>4068</v>
      </c>
      <c r="E504" s="1" t="s">
        <v>4069</v>
      </c>
      <c r="F504" s="1" t="s">
        <v>112</v>
      </c>
      <c r="G504" s="1">
        <v>2476991</v>
      </c>
    </row>
    <row r="505" spans="1:7" x14ac:dyDescent="0.25">
      <c r="A505" s="1" t="str">
        <f t="shared" si="7"/>
        <v>18</v>
      </c>
      <c r="B5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05" s="1" t="s">
        <v>4070</v>
      </c>
      <c r="D505" s="1" t="s">
        <v>4071</v>
      </c>
      <c r="E505" s="1" t="s">
        <v>4072</v>
      </c>
      <c r="F505" s="1" t="s">
        <v>112</v>
      </c>
      <c r="G505" s="1">
        <v>2731704</v>
      </c>
    </row>
    <row r="506" spans="1:7" x14ac:dyDescent="0.25">
      <c r="A506" s="1" t="str">
        <f t="shared" si="7"/>
        <v>18</v>
      </c>
      <c r="B5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06" s="1" t="s">
        <v>4073</v>
      </c>
      <c r="D506" s="1" t="s">
        <v>4074</v>
      </c>
      <c r="E506" s="1" t="s">
        <v>4075</v>
      </c>
      <c r="F506" s="1" t="s">
        <v>112</v>
      </c>
      <c r="G506" s="1">
        <v>1288147</v>
      </c>
    </row>
    <row r="507" spans="1:7" x14ac:dyDescent="0.25">
      <c r="A507" s="1" t="str">
        <f t="shared" si="7"/>
        <v>18</v>
      </c>
      <c r="B5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07" s="1" t="s">
        <v>4076</v>
      </c>
      <c r="D507" s="1" t="s">
        <v>4077</v>
      </c>
      <c r="E507" s="1" t="s">
        <v>4078</v>
      </c>
      <c r="F507" s="1" t="s">
        <v>112</v>
      </c>
      <c r="G507" s="1">
        <v>1264289</v>
      </c>
    </row>
    <row r="508" spans="1:7" x14ac:dyDescent="0.25">
      <c r="A508" s="1" t="str">
        <f t="shared" si="7"/>
        <v>18</v>
      </c>
      <c r="B5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08" s="1" t="s">
        <v>4079</v>
      </c>
      <c r="D508" s="1" t="s">
        <v>4080</v>
      </c>
      <c r="E508" s="1" t="s">
        <v>4081</v>
      </c>
      <c r="F508" s="1" t="s">
        <v>112</v>
      </c>
      <c r="G508" s="1">
        <v>1706166</v>
      </c>
    </row>
    <row r="509" spans="1:7" x14ac:dyDescent="0.25">
      <c r="A509" s="1" t="str">
        <f t="shared" si="7"/>
        <v>18</v>
      </c>
      <c r="B5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09" s="1" t="s">
        <v>4082</v>
      </c>
      <c r="D509" s="1" t="s">
        <v>4083</v>
      </c>
      <c r="E509" s="1" t="s">
        <v>4084</v>
      </c>
      <c r="F509" s="1" t="s">
        <v>112</v>
      </c>
      <c r="G509" s="1">
        <v>2416860</v>
      </c>
    </row>
    <row r="510" spans="1:7" x14ac:dyDescent="0.25">
      <c r="A510" s="1" t="str">
        <f t="shared" si="7"/>
        <v>18</v>
      </c>
      <c r="B5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10" s="1" t="s">
        <v>4085</v>
      </c>
      <c r="D510" s="1" t="s">
        <v>4086</v>
      </c>
      <c r="E510" s="1" t="s">
        <v>4087</v>
      </c>
      <c r="F510" s="1" t="s">
        <v>112</v>
      </c>
      <c r="G510" s="1">
        <v>2498339</v>
      </c>
    </row>
    <row r="511" spans="1:7" x14ac:dyDescent="0.25">
      <c r="A511" s="1" t="str">
        <f t="shared" si="7"/>
        <v>18</v>
      </c>
      <c r="B5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11" s="1" t="s">
        <v>4088</v>
      </c>
      <c r="D511" s="1" t="s">
        <v>4089</v>
      </c>
      <c r="E511" s="1" t="s">
        <v>4090</v>
      </c>
      <c r="F511" s="1" t="s">
        <v>112</v>
      </c>
      <c r="G511" s="1">
        <v>2599719</v>
      </c>
    </row>
    <row r="512" spans="1:7" x14ac:dyDescent="0.25">
      <c r="A512" s="1" t="str">
        <f t="shared" si="7"/>
        <v>18</v>
      </c>
      <c r="B5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2" s="1" t="s">
        <v>4091</v>
      </c>
      <c r="D512" s="1" t="s">
        <v>4092</v>
      </c>
      <c r="E512" s="1" t="s">
        <v>4093</v>
      </c>
      <c r="F512" s="1" t="s">
        <v>112</v>
      </c>
      <c r="G512" s="1">
        <v>2382857</v>
      </c>
    </row>
    <row r="513" spans="1:10" x14ac:dyDescent="0.25">
      <c r="A513" s="1" t="str">
        <f t="shared" si="7"/>
        <v>18</v>
      </c>
      <c r="B5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3" s="1" t="s">
        <v>4094</v>
      </c>
      <c r="D513" s="1" t="s">
        <v>4095</v>
      </c>
      <c r="E513" s="1" t="s">
        <v>4096</v>
      </c>
      <c r="F513" s="1" t="s">
        <v>112</v>
      </c>
      <c r="G513" s="1">
        <v>2105670</v>
      </c>
    </row>
    <row r="514" spans="1:10" x14ac:dyDescent="0.25">
      <c r="A514" s="1" t="str">
        <f t="shared" ref="A514:A577" si="8">IFERROR(LEFT(RIGHT(C514,LEN(C514)-SEARCH("@",C514)),SEARCH("/",RIGHT(C514,LEN(C514)-SEARCH("@",C514)-1))),"")</f>
        <v>18</v>
      </c>
      <c r="B5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4" s="1" t="s">
        <v>4097</v>
      </c>
      <c r="D514" s="1" t="s">
        <v>4098</v>
      </c>
      <c r="E514" s="1" t="s">
        <v>4099</v>
      </c>
      <c r="F514" s="1" t="s">
        <v>112</v>
      </c>
      <c r="G514" s="1">
        <v>2102166</v>
      </c>
    </row>
    <row r="515" spans="1:10" x14ac:dyDescent="0.25">
      <c r="A515" s="1" t="str">
        <f t="shared" si="8"/>
        <v>18</v>
      </c>
      <c r="B5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15" s="1" t="s">
        <v>4100</v>
      </c>
      <c r="D515" s="1" t="s">
        <v>4101</v>
      </c>
      <c r="E515" s="1" t="s">
        <v>4102</v>
      </c>
      <c r="F515" s="1" t="s">
        <v>112</v>
      </c>
      <c r="G515" s="1">
        <v>3936879</v>
      </c>
    </row>
    <row r="516" spans="1:10" x14ac:dyDescent="0.25">
      <c r="A516" s="1" t="str">
        <f t="shared" si="8"/>
        <v>18</v>
      </c>
      <c r="B5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16" s="1" t="s">
        <v>4103</v>
      </c>
      <c r="D516" s="1" t="s">
        <v>4104</v>
      </c>
      <c r="E516" s="1" t="s">
        <v>4105</v>
      </c>
      <c r="F516" s="1" t="s">
        <v>112</v>
      </c>
      <c r="G516" s="1">
        <v>3891564</v>
      </c>
    </row>
    <row r="517" spans="1:10" x14ac:dyDescent="0.25">
      <c r="A517" s="1" t="str">
        <f t="shared" si="8"/>
        <v>18</v>
      </c>
      <c r="B5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17" s="1" t="s">
        <v>4106</v>
      </c>
      <c r="D517" s="1" t="s">
        <v>4107</v>
      </c>
      <c r="E517" s="1" t="s">
        <v>4108</v>
      </c>
      <c r="F517" s="1" t="s">
        <v>112</v>
      </c>
      <c r="G517" s="1">
        <v>4066399</v>
      </c>
    </row>
    <row r="518" spans="1:10" x14ac:dyDescent="0.25">
      <c r="A518" s="1" t="str">
        <f t="shared" si="8"/>
        <v>18</v>
      </c>
      <c r="B5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18" s="1" t="s">
        <v>4109</v>
      </c>
      <c r="D518" s="1" t="s">
        <v>771</v>
      </c>
      <c r="E518" s="1" t="s">
        <v>4110</v>
      </c>
      <c r="F518" s="1" t="s">
        <v>112</v>
      </c>
      <c r="G518" s="1">
        <v>3190777</v>
      </c>
    </row>
    <row r="519" spans="1:10" x14ac:dyDescent="0.25">
      <c r="A519" s="1" t="str">
        <f t="shared" si="8"/>
        <v>18</v>
      </c>
      <c r="B5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19" s="1" t="s">
        <v>4111</v>
      </c>
      <c r="D519" s="1" t="s">
        <v>4112</v>
      </c>
      <c r="E519" s="1" t="s">
        <v>4113</v>
      </c>
      <c r="F519" s="1" t="s">
        <v>112</v>
      </c>
      <c r="G519" s="1">
        <v>3271651</v>
      </c>
    </row>
    <row r="520" spans="1:10" x14ac:dyDescent="0.25">
      <c r="A520" s="1" t="str">
        <f t="shared" si="8"/>
        <v>18</v>
      </c>
      <c r="B5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20" s="1" t="s">
        <v>4114</v>
      </c>
      <c r="D520" s="1" t="s">
        <v>4115</v>
      </c>
      <c r="E520" s="1" t="s">
        <v>4116</v>
      </c>
      <c r="F520" s="1" t="s">
        <v>112</v>
      </c>
      <c r="G520" s="1">
        <v>2998336</v>
      </c>
    </row>
    <row r="521" spans="1:10" x14ac:dyDescent="0.25">
      <c r="A521" s="1" t="str">
        <f t="shared" si="8"/>
        <v/>
      </c>
      <c r="B5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1" s="1" t="s">
        <v>112</v>
      </c>
    </row>
    <row r="522" spans="1:10" x14ac:dyDescent="0.25">
      <c r="A522" s="1" t="str">
        <f t="shared" si="8"/>
        <v/>
      </c>
      <c r="B5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2" s="1" t="s">
        <v>237</v>
      </c>
      <c r="D522" s="1" t="s">
        <v>112</v>
      </c>
      <c r="E522" s="1" t="s">
        <v>238</v>
      </c>
      <c r="F522" s="1" t="s">
        <v>239</v>
      </c>
      <c r="G522" s="1" t="s">
        <v>240</v>
      </c>
      <c r="H522" s="1" t="s">
        <v>241</v>
      </c>
      <c r="I522" s="1" t="s">
        <v>242</v>
      </c>
      <c r="J522" s="1" t="s">
        <v>243</v>
      </c>
    </row>
    <row r="523" spans="1:10" x14ac:dyDescent="0.25">
      <c r="A523" s="1" t="str">
        <f t="shared" si="8"/>
        <v>18</v>
      </c>
      <c r="B5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523" s="1" t="s">
        <v>4117</v>
      </c>
      <c r="D523" s="1" t="s">
        <v>112</v>
      </c>
      <c r="E523" s="1" t="s">
        <v>4118</v>
      </c>
      <c r="F523" s="1" t="s">
        <v>4119</v>
      </c>
      <c r="G523" s="1" t="s">
        <v>4120</v>
      </c>
      <c r="H523" s="1" t="s">
        <v>4121</v>
      </c>
      <c r="I523" s="1">
        <v>24</v>
      </c>
      <c r="J523" s="1">
        <v>24</v>
      </c>
    </row>
    <row r="524" spans="1:10" x14ac:dyDescent="0.25">
      <c r="A524" s="1" t="str">
        <f t="shared" si="8"/>
        <v/>
      </c>
      <c r="B5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4" s="1" t="s">
        <v>112</v>
      </c>
    </row>
    <row r="525" spans="1:10" x14ac:dyDescent="0.25">
      <c r="A525" s="1" t="str">
        <f t="shared" si="8"/>
        <v/>
      </c>
      <c r="B5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5" s="1" t="s">
        <v>112</v>
      </c>
    </row>
    <row r="526" spans="1:10" x14ac:dyDescent="0.25">
      <c r="A526" s="1" t="str">
        <f t="shared" si="8"/>
        <v/>
      </c>
      <c r="B5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6" s="1" t="s">
        <v>112</v>
      </c>
    </row>
    <row r="527" spans="1:10" x14ac:dyDescent="0.25">
      <c r="A527" s="1" t="str">
        <f t="shared" si="8"/>
        <v/>
      </c>
      <c r="B5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7" s="1" t="s">
        <v>112</v>
      </c>
    </row>
    <row r="528" spans="1:10" x14ac:dyDescent="0.25">
      <c r="A528" s="1" t="str">
        <f t="shared" si="8"/>
        <v/>
      </c>
      <c r="B5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8" s="1" t="s">
        <v>112</v>
      </c>
    </row>
    <row r="529" spans="1:7" x14ac:dyDescent="0.25">
      <c r="A529" s="1" t="str">
        <f t="shared" si="8"/>
        <v/>
      </c>
      <c r="B5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9" s="1" t="s">
        <v>249</v>
      </c>
      <c r="D529" s="1" t="s">
        <v>110</v>
      </c>
      <c r="E529" s="1" t="s">
        <v>111</v>
      </c>
      <c r="F529" s="1" t="s">
        <v>112</v>
      </c>
      <c r="G529" s="1" t="s">
        <v>113</v>
      </c>
    </row>
    <row r="530" spans="1:7" x14ac:dyDescent="0.25">
      <c r="A530" s="1" t="str">
        <f t="shared" si="8"/>
        <v>19</v>
      </c>
      <c r="B53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30" s="1" t="s">
        <v>4122</v>
      </c>
      <c r="D530" s="1" t="s">
        <v>4123</v>
      </c>
      <c r="E530" s="1" t="s">
        <v>4124</v>
      </c>
      <c r="F530" s="1" t="s">
        <v>112</v>
      </c>
      <c r="G530" s="1">
        <v>4295913</v>
      </c>
    </row>
    <row r="531" spans="1:7" x14ac:dyDescent="0.25">
      <c r="A531" s="1" t="str">
        <f t="shared" si="8"/>
        <v>19</v>
      </c>
      <c r="B53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31" s="1" t="s">
        <v>4125</v>
      </c>
      <c r="D531" s="1" t="s">
        <v>4126</v>
      </c>
      <c r="E531" s="1" t="s">
        <v>4127</v>
      </c>
      <c r="F531" s="1" t="s">
        <v>112</v>
      </c>
      <c r="G531" s="1">
        <v>4206647</v>
      </c>
    </row>
    <row r="532" spans="1:7" x14ac:dyDescent="0.25">
      <c r="A532" s="1" t="str">
        <f t="shared" si="8"/>
        <v>19</v>
      </c>
      <c r="B5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32" s="1" t="s">
        <v>4128</v>
      </c>
      <c r="D532" s="1" t="s">
        <v>4129</v>
      </c>
      <c r="E532" s="1" t="s">
        <v>4130</v>
      </c>
      <c r="F532" s="1" t="s">
        <v>112</v>
      </c>
      <c r="G532" s="1">
        <v>3708056</v>
      </c>
    </row>
    <row r="533" spans="1:7" x14ac:dyDescent="0.25">
      <c r="A533" s="1" t="str">
        <f t="shared" si="8"/>
        <v>19</v>
      </c>
      <c r="B5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33" s="1" t="s">
        <v>4131</v>
      </c>
      <c r="D533" s="1" t="s">
        <v>2767</v>
      </c>
      <c r="E533" s="1" t="s">
        <v>4132</v>
      </c>
      <c r="F533" s="1" t="s">
        <v>112</v>
      </c>
      <c r="G533" s="1">
        <v>3142153</v>
      </c>
    </row>
    <row r="534" spans="1:7" x14ac:dyDescent="0.25">
      <c r="A534" s="1" t="str">
        <f t="shared" si="8"/>
        <v>19</v>
      </c>
      <c r="B5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34" s="1" t="s">
        <v>4133</v>
      </c>
      <c r="D534" s="1" t="s">
        <v>3928</v>
      </c>
      <c r="E534" s="1" t="s">
        <v>4134</v>
      </c>
      <c r="F534" s="1" t="s">
        <v>112</v>
      </c>
      <c r="G534" s="1">
        <v>2764301</v>
      </c>
    </row>
    <row r="535" spans="1:7" x14ac:dyDescent="0.25">
      <c r="A535" s="1" t="str">
        <f t="shared" si="8"/>
        <v>19</v>
      </c>
      <c r="B5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35" s="1" t="s">
        <v>4135</v>
      </c>
      <c r="D535" s="1" t="s">
        <v>4136</v>
      </c>
      <c r="E535" s="1" t="s">
        <v>4137</v>
      </c>
      <c r="F535" s="1" t="s">
        <v>112</v>
      </c>
      <c r="G535" s="1">
        <v>2889321</v>
      </c>
    </row>
    <row r="536" spans="1:7" x14ac:dyDescent="0.25">
      <c r="A536" s="1" t="str">
        <f t="shared" si="8"/>
        <v>19</v>
      </c>
      <c r="B5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36" s="1" t="s">
        <v>4138</v>
      </c>
      <c r="D536" s="1" t="s">
        <v>4139</v>
      </c>
      <c r="E536" s="1" t="s">
        <v>4140</v>
      </c>
      <c r="F536" s="1" t="s">
        <v>112</v>
      </c>
      <c r="G536" s="1">
        <v>1112923</v>
      </c>
    </row>
    <row r="537" spans="1:7" x14ac:dyDescent="0.25">
      <c r="A537" s="1" t="str">
        <f t="shared" si="8"/>
        <v>19</v>
      </c>
      <c r="B5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37" s="1" t="s">
        <v>4141</v>
      </c>
      <c r="D537" s="1" t="s">
        <v>4142</v>
      </c>
      <c r="E537" s="1" t="s">
        <v>4143</v>
      </c>
      <c r="F537" s="1" t="s">
        <v>112</v>
      </c>
      <c r="G537" s="1">
        <v>1559559</v>
      </c>
    </row>
    <row r="538" spans="1:7" x14ac:dyDescent="0.25">
      <c r="A538" s="1" t="str">
        <f t="shared" si="8"/>
        <v>19</v>
      </c>
      <c r="B5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38" s="1" t="s">
        <v>4144</v>
      </c>
      <c r="D538" s="1" t="s">
        <v>4145</v>
      </c>
      <c r="E538" s="1" t="s">
        <v>4146</v>
      </c>
      <c r="F538" s="1" t="s">
        <v>112</v>
      </c>
      <c r="G538" s="1">
        <v>1357903</v>
      </c>
    </row>
    <row r="539" spans="1:7" x14ac:dyDescent="0.25">
      <c r="A539" s="1" t="str">
        <f t="shared" si="8"/>
        <v>19</v>
      </c>
      <c r="B5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39" s="1" t="s">
        <v>4147</v>
      </c>
      <c r="D539" s="1" t="s">
        <v>996</v>
      </c>
      <c r="E539" s="1" t="s">
        <v>4148</v>
      </c>
      <c r="F539" s="1" t="s">
        <v>112</v>
      </c>
      <c r="G539" s="1">
        <v>3245847</v>
      </c>
    </row>
    <row r="540" spans="1:7" x14ac:dyDescent="0.25">
      <c r="A540" s="1" t="str">
        <f t="shared" si="8"/>
        <v>19</v>
      </c>
      <c r="B5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40" s="1" t="s">
        <v>4149</v>
      </c>
    </row>
    <row r="541" spans="1:7" x14ac:dyDescent="0.25">
      <c r="A541" s="1" t="str">
        <f t="shared" si="8"/>
        <v>19</v>
      </c>
      <c r="B5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41" s="1" t="s">
        <v>4150</v>
      </c>
    </row>
    <row r="542" spans="1:7" x14ac:dyDescent="0.25">
      <c r="A542" s="1" t="str">
        <f t="shared" si="8"/>
        <v>19</v>
      </c>
      <c r="B5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42" s="1" t="s">
        <v>4151</v>
      </c>
      <c r="D542" s="1" t="s">
        <v>4152</v>
      </c>
      <c r="E542" s="1" t="s">
        <v>4153</v>
      </c>
      <c r="F542" s="1" t="s">
        <v>112</v>
      </c>
      <c r="G542" s="1">
        <v>4009231</v>
      </c>
    </row>
    <row r="543" spans="1:7" x14ac:dyDescent="0.25">
      <c r="A543" s="1" t="str">
        <f t="shared" si="8"/>
        <v>19</v>
      </c>
      <c r="B5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43" s="1" t="s">
        <v>4154</v>
      </c>
      <c r="D543" s="1" t="s">
        <v>4155</v>
      </c>
      <c r="E543" s="1" t="s">
        <v>4156</v>
      </c>
      <c r="F543" s="1" t="s">
        <v>112</v>
      </c>
      <c r="G543" s="1">
        <v>4448577</v>
      </c>
    </row>
    <row r="544" spans="1:7" x14ac:dyDescent="0.25">
      <c r="A544" s="1" t="str">
        <f t="shared" si="8"/>
        <v>19</v>
      </c>
      <c r="B5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44" s="1" t="s">
        <v>4157</v>
      </c>
      <c r="D544" s="1" t="s">
        <v>2356</v>
      </c>
      <c r="E544" s="1" t="s">
        <v>4158</v>
      </c>
      <c r="F544" s="1" t="s">
        <v>112</v>
      </c>
      <c r="G544" s="1">
        <v>3985005</v>
      </c>
    </row>
    <row r="545" spans="1:10" x14ac:dyDescent="0.25">
      <c r="A545" s="1" t="str">
        <f t="shared" si="8"/>
        <v>19</v>
      </c>
      <c r="B5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45" s="1" t="s">
        <v>4159</v>
      </c>
    </row>
    <row r="546" spans="1:10" x14ac:dyDescent="0.25">
      <c r="A546" s="1" t="str">
        <f t="shared" si="8"/>
        <v>19</v>
      </c>
      <c r="B5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46" s="1" t="s">
        <v>4160</v>
      </c>
      <c r="D546" s="1" t="s">
        <v>4161</v>
      </c>
      <c r="E546" s="1" t="s">
        <v>4162</v>
      </c>
      <c r="F546" s="1" t="s">
        <v>112</v>
      </c>
      <c r="G546" s="1">
        <v>3978949</v>
      </c>
    </row>
    <row r="547" spans="1:10" x14ac:dyDescent="0.25">
      <c r="A547" s="1" t="str">
        <f t="shared" si="8"/>
        <v>19</v>
      </c>
      <c r="B5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47" s="1" t="s">
        <v>4163</v>
      </c>
      <c r="D547" s="1" t="s">
        <v>4164</v>
      </c>
      <c r="E547" s="1" t="s">
        <v>4165</v>
      </c>
      <c r="F547" s="1" t="s">
        <v>112</v>
      </c>
      <c r="G547" s="1">
        <v>4079701</v>
      </c>
    </row>
    <row r="548" spans="1:10" x14ac:dyDescent="0.25">
      <c r="A548" s="1" t="str">
        <f t="shared" si="8"/>
        <v>19</v>
      </c>
      <c r="B5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48" s="1" t="s">
        <v>4166</v>
      </c>
      <c r="D548" s="1" t="s">
        <v>4167</v>
      </c>
      <c r="E548" s="1" t="s">
        <v>4168</v>
      </c>
      <c r="F548" s="1" t="s">
        <v>112</v>
      </c>
      <c r="G548" s="1">
        <v>990022</v>
      </c>
    </row>
    <row r="549" spans="1:10" x14ac:dyDescent="0.25">
      <c r="A549" s="1" t="str">
        <f t="shared" si="8"/>
        <v>19</v>
      </c>
      <c r="B5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49" s="1" t="s">
        <v>4169</v>
      </c>
      <c r="D549" s="1" t="s">
        <v>4170</v>
      </c>
      <c r="E549" s="1" t="s">
        <v>4171</v>
      </c>
      <c r="F549" s="1" t="s">
        <v>112</v>
      </c>
      <c r="G549" s="1">
        <v>1443406</v>
      </c>
    </row>
    <row r="550" spans="1:10" x14ac:dyDescent="0.25">
      <c r="A550" s="1" t="str">
        <f t="shared" si="8"/>
        <v>19</v>
      </c>
      <c r="B5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50" s="1" t="s">
        <v>4172</v>
      </c>
      <c r="D550" s="1" t="s">
        <v>4173</v>
      </c>
      <c r="E550" s="1" t="s">
        <v>4174</v>
      </c>
      <c r="F550" s="1" t="s">
        <v>112</v>
      </c>
      <c r="G550" s="1">
        <v>1172816</v>
      </c>
    </row>
    <row r="551" spans="1:10" x14ac:dyDescent="0.25">
      <c r="A551" s="1" t="str">
        <f t="shared" si="8"/>
        <v>19</v>
      </c>
      <c r="B5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51" s="1" t="s">
        <v>4175</v>
      </c>
      <c r="D551" s="1" t="s">
        <v>4176</v>
      </c>
      <c r="E551" s="1" t="s">
        <v>4177</v>
      </c>
      <c r="F551" s="1" t="s">
        <v>112</v>
      </c>
      <c r="G551" s="1">
        <v>3645913</v>
      </c>
    </row>
    <row r="552" spans="1:10" x14ac:dyDescent="0.25">
      <c r="A552" s="1" t="str">
        <f t="shared" si="8"/>
        <v>19</v>
      </c>
      <c r="B5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52" s="1" t="s">
        <v>4178</v>
      </c>
      <c r="D552" s="1" t="s">
        <v>4179</v>
      </c>
      <c r="E552" s="1" t="s">
        <v>4180</v>
      </c>
      <c r="F552" s="1" t="s">
        <v>112</v>
      </c>
      <c r="G552" s="1">
        <v>3464439</v>
      </c>
    </row>
    <row r="553" spans="1:10" x14ac:dyDescent="0.25">
      <c r="A553" s="1" t="str">
        <f t="shared" si="8"/>
        <v>19</v>
      </c>
      <c r="B5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53" s="1" t="s">
        <v>4181</v>
      </c>
      <c r="D553" s="1" t="s">
        <v>4182</v>
      </c>
      <c r="E553" s="1" t="s">
        <v>4183</v>
      </c>
      <c r="F553" s="1" t="s">
        <v>112</v>
      </c>
      <c r="G553" s="1">
        <v>3912156</v>
      </c>
    </row>
    <row r="554" spans="1:10" x14ac:dyDescent="0.25">
      <c r="A554" s="1" t="str">
        <f t="shared" si="8"/>
        <v/>
      </c>
      <c r="B5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4" s="1" t="s">
        <v>112</v>
      </c>
    </row>
    <row r="555" spans="1:10" x14ac:dyDescent="0.25">
      <c r="A555" s="1" t="str">
        <f t="shared" si="8"/>
        <v/>
      </c>
      <c r="B5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5" s="1" t="s">
        <v>237</v>
      </c>
      <c r="D555" s="1" t="s">
        <v>112</v>
      </c>
      <c r="E555" s="1" t="s">
        <v>238</v>
      </c>
      <c r="F555" s="1" t="s">
        <v>239</v>
      </c>
      <c r="G555" s="1" t="s">
        <v>240</v>
      </c>
      <c r="H555" s="1" t="s">
        <v>241</v>
      </c>
      <c r="I555" s="1" t="s">
        <v>242</v>
      </c>
      <c r="J555" s="1" t="s">
        <v>243</v>
      </c>
    </row>
    <row r="556" spans="1:10" x14ac:dyDescent="0.25">
      <c r="A556" s="1" t="str">
        <f t="shared" si="8"/>
        <v>19</v>
      </c>
      <c r="B5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556" s="1" t="s">
        <v>4184</v>
      </c>
      <c r="D556" s="1" t="s">
        <v>112</v>
      </c>
      <c r="E556" s="1" t="s">
        <v>4185</v>
      </c>
      <c r="F556" s="1" t="s">
        <v>4186</v>
      </c>
      <c r="G556" s="1" t="s">
        <v>4187</v>
      </c>
      <c r="H556" s="1" t="s">
        <v>4188</v>
      </c>
      <c r="I556" s="1">
        <v>24</v>
      </c>
      <c r="J556" s="1">
        <v>24</v>
      </c>
    </row>
    <row r="557" spans="1:10" x14ac:dyDescent="0.25">
      <c r="A557" s="1" t="str">
        <f t="shared" si="8"/>
        <v/>
      </c>
      <c r="B5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7" s="1" t="s">
        <v>112</v>
      </c>
    </row>
    <row r="558" spans="1:10" x14ac:dyDescent="0.25">
      <c r="A558" s="1" t="str">
        <f t="shared" si="8"/>
        <v/>
      </c>
      <c r="B5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8" s="1" t="s">
        <v>112</v>
      </c>
    </row>
    <row r="559" spans="1:10" x14ac:dyDescent="0.25">
      <c r="A559" s="1" t="str">
        <f t="shared" si="8"/>
        <v/>
      </c>
      <c r="B5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9" s="1" t="s">
        <v>112</v>
      </c>
    </row>
    <row r="560" spans="1:10" x14ac:dyDescent="0.25">
      <c r="A560" s="1" t="str">
        <f t="shared" si="8"/>
        <v/>
      </c>
      <c r="B5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60" s="1" t="s">
        <v>112</v>
      </c>
    </row>
    <row r="561" spans="1:7" x14ac:dyDescent="0.25">
      <c r="A561" s="1" t="str">
        <f t="shared" si="8"/>
        <v/>
      </c>
      <c r="B5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61" s="1" t="s">
        <v>112</v>
      </c>
    </row>
    <row r="562" spans="1:7" x14ac:dyDescent="0.25">
      <c r="A562" s="1" t="str">
        <f t="shared" si="8"/>
        <v/>
      </c>
      <c r="B5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62" s="1" t="s">
        <v>249</v>
      </c>
      <c r="D562" s="1" t="s">
        <v>110</v>
      </c>
      <c r="E562" s="1" t="s">
        <v>111</v>
      </c>
      <c r="F562" s="1" t="s">
        <v>112</v>
      </c>
      <c r="G562" s="1" t="s">
        <v>113</v>
      </c>
    </row>
    <row r="563" spans="1:7" x14ac:dyDescent="0.25">
      <c r="A563" s="1" t="str">
        <f t="shared" si="8"/>
        <v>20</v>
      </c>
      <c r="B56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63" s="1" t="s">
        <v>4189</v>
      </c>
      <c r="D563" s="1" t="s">
        <v>4190</v>
      </c>
      <c r="E563" s="1" t="s">
        <v>4191</v>
      </c>
      <c r="F563" s="1" t="s">
        <v>112</v>
      </c>
      <c r="G563" s="1">
        <v>3231398</v>
      </c>
    </row>
    <row r="564" spans="1:7" x14ac:dyDescent="0.25">
      <c r="A564" s="1" t="str">
        <f t="shared" si="8"/>
        <v>20</v>
      </c>
      <c r="B56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64" s="1" t="s">
        <v>4192</v>
      </c>
      <c r="D564" s="1" t="s">
        <v>4193</v>
      </c>
      <c r="E564" s="1" t="s">
        <v>4194</v>
      </c>
      <c r="F564" s="1" t="s">
        <v>112</v>
      </c>
      <c r="G564" s="1">
        <v>3472939</v>
      </c>
    </row>
    <row r="565" spans="1:7" x14ac:dyDescent="0.25">
      <c r="A565" s="1" t="str">
        <f t="shared" si="8"/>
        <v>20</v>
      </c>
      <c r="B5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65" s="1" t="s">
        <v>4195</v>
      </c>
      <c r="D565" s="1" t="s">
        <v>2456</v>
      </c>
      <c r="E565" s="1" t="s">
        <v>4196</v>
      </c>
      <c r="F565" s="1" t="s">
        <v>112</v>
      </c>
      <c r="G565" s="1">
        <v>2935285</v>
      </c>
    </row>
    <row r="566" spans="1:7" x14ac:dyDescent="0.25">
      <c r="A566" s="1" t="str">
        <f t="shared" si="8"/>
        <v>20</v>
      </c>
      <c r="B5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66" s="1" t="s">
        <v>4197</v>
      </c>
      <c r="D566" s="1" t="s">
        <v>4198</v>
      </c>
      <c r="E566" s="1" t="s">
        <v>4199</v>
      </c>
      <c r="F566" s="1" t="s">
        <v>112</v>
      </c>
      <c r="G566" s="1">
        <v>2941363</v>
      </c>
    </row>
    <row r="567" spans="1:7" x14ac:dyDescent="0.25">
      <c r="A567" s="1" t="str">
        <f t="shared" si="8"/>
        <v>20</v>
      </c>
      <c r="B5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67" s="1" t="s">
        <v>4200</v>
      </c>
      <c r="D567" s="1" t="s">
        <v>4201</v>
      </c>
      <c r="E567" s="1" t="s">
        <v>4202</v>
      </c>
      <c r="F567" s="1" t="s">
        <v>112</v>
      </c>
      <c r="G567" s="1">
        <v>3149031</v>
      </c>
    </row>
    <row r="568" spans="1:7" x14ac:dyDescent="0.25">
      <c r="A568" s="1" t="str">
        <f t="shared" si="8"/>
        <v>20</v>
      </c>
      <c r="B5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68" s="1" t="s">
        <v>4203</v>
      </c>
      <c r="D568" s="1" t="s">
        <v>4204</v>
      </c>
      <c r="E568" s="1" t="s">
        <v>4205</v>
      </c>
      <c r="F568" s="1" t="s">
        <v>112</v>
      </c>
      <c r="G568" s="1">
        <v>3141396</v>
      </c>
    </row>
    <row r="569" spans="1:7" x14ac:dyDescent="0.25">
      <c r="A569" s="1" t="str">
        <f t="shared" si="8"/>
        <v>20</v>
      </c>
      <c r="B5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69" s="1" t="s">
        <v>4206</v>
      </c>
      <c r="D569" s="1" t="s">
        <v>407</v>
      </c>
      <c r="E569" s="1" t="s">
        <v>4207</v>
      </c>
      <c r="F569" s="1" t="s">
        <v>112</v>
      </c>
      <c r="G569" s="1">
        <v>4452622</v>
      </c>
    </row>
    <row r="570" spans="1:7" x14ac:dyDescent="0.25">
      <c r="A570" s="1" t="str">
        <f t="shared" si="8"/>
        <v>20</v>
      </c>
      <c r="B5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70" s="1" t="s">
        <v>4208</v>
      </c>
      <c r="D570" s="1" t="s">
        <v>4209</v>
      </c>
      <c r="E570" s="1" t="s">
        <v>4210</v>
      </c>
      <c r="F570" s="1" t="s">
        <v>112</v>
      </c>
      <c r="G570" s="1">
        <v>4221442</v>
      </c>
    </row>
    <row r="571" spans="1:7" x14ac:dyDescent="0.25">
      <c r="A571" s="1" t="str">
        <f t="shared" si="8"/>
        <v>20</v>
      </c>
      <c r="B5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71" s="1" t="s">
        <v>4211</v>
      </c>
      <c r="D571" s="1" t="s">
        <v>4212</v>
      </c>
      <c r="E571" s="1" t="s">
        <v>4213</v>
      </c>
      <c r="F571" s="1" t="s">
        <v>112</v>
      </c>
      <c r="G571" s="1">
        <v>4364848</v>
      </c>
    </row>
    <row r="572" spans="1:7" x14ac:dyDescent="0.25">
      <c r="A572" s="1" t="str">
        <f t="shared" si="8"/>
        <v>20</v>
      </c>
      <c r="B5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72" s="1" t="s">
        <v>4214</v>
      </c>
      <c r="D572" s="1" t="s">
        <v>807</v>
      </c>
      <c r="E572" s="1" t="s">
        <v>4215</v>
      </c>
      <c r="F572" s="1" t="s">
        <v>112</v>
      </c>
      <c r="G572" s="1">
        <v>2778446</v>
      </c>
    </row>
    <row r="573" spans="1:7" x14ac:dyDescent="0.25">
      <c r="A573" s="1" t="str">
        <f t="shared" si="8"/>
        <v>20</v>
      </c>
      <c r="B5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73" s="1" t="s">
        <v>4216</v>
      </c>
      <c r="D573" s="1" t="s">
        <v>4217</v>
      </c>
      <c r="E573" s="1" t="s">
        <v>4218</v>
      </c>
      <c r="F573" s="1" t="s">
        <v>112</v>
      </c>
      <c r="G573" s="1">
        <v>2764019</v>
      </c>
    </row>
    <row r="574" spans="1:7" x14ac:dyDescent="0.25">
      <c r="A574" s="1" t="str">
        <f t="shared" si="8"/>
        <v>20</v>
      </c>
      <c r="B5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74" s="1" t="s">
        <v>4219</v>
      </c>
      <c r="D574" s="1" t="s">
        <v>1847</v>
      </c>
      <c r="E574" s="1" t="s">
        <v>4220</v>
      </c>
      <c r="F574" s="1" t="s">
        <v>112</v>
      </c>
      <c r="G574" s="1">
        <v>3562530</v>
      </c>
    </row>
    <row r="575" spans="1:7" x14ac:dyDescent="0.25">
      <c r="A575" s="1" t="str">
        <f t="shared" si="8"/>
        <v>20</v>
      </c>
      <c r="B5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75" s="1" t="s">
        <v>4221</v>
      </c>
      <c r="D575" s="1" t="s">
        <v>4222</v>
      </c>
      <c r="E575" s="1" t="s">
        <v>4223</v>
      </c>
      <c r="F575" s="1" t="s">
        <v>112</v>
      </c>
      <c r="G575" s="1">
        <v>4254535</v>
      </c>
    </row>
    <row r="576" spans="1:7" x14ac:dyDescent="0.25">
      <c r="A576" s="1" t="str">
        <f t="shared" si="8"/>
        <v>20</v>
      </c>
      <c r="B5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76" s="1" t="s">
        <v>4224</v>
      </c>
      <c r="D576" s="1" t="s">
        <v>3751</v>
      </c>
      <c r="E576" s="1" t="s">
        <v>4225</v>
      </c>
      <c r="F576" s="1" t="s">
        <v>112</v>
      </c>
      <c r="G576" s="1">
        <v>4268184</v>
      </c>
    </row>
    <row r="577" spans="1:10" x14ac:dyDescent="0.25">
      <c r="A577" s="1" t="str">
        <f t="shared" si="8"/>
        <v>20</v>
      </c>
      <c r="B5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77" s="1" t="s">
        <v>4226</v>
      </c>
      <c r="D577" s="1" t="s">
        <v>4227</v>
      </c>
      <c r="E577" s="1" t="s">
        <v>4228</v>
      </c>
      <c r="F577" s="1" t="s">
        <v>112</v>
      </c>
      <c r="G577" s="1">
        <v>4019591</v>
      </c>
    </row>
    <row r="578" spans="1:10" x14ac:dyDescent="0.25">
      <c r="A578" s="1" t="str">
        <f t="shared" ref="A578:A641" si="9">IFERROR(LEFT(RIGHT(C578,LEN(C578)-SEARCH("@",C578)),SEARCH("/",RIGHT(C578,LEN(C578)-SEARCH("@",C578)-1))),"")</f>
        <v>20</v>
      </c>
      <c r="B5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78" s="1" t="s">
        <v>4229</v>
      </c>
      <c r="D578" s="1" t="s">
        <v>4230</v>
      </c>
      <c r="E578" s="1" t="s">
        <v>4231</v>
      </c>
      <c r="F578" s="1" t="s">
        <v>112</v>
      </c>
      <c r="G578" s="1">
        <v>1267620</v>
      </c>
    </row>
    <row r="579" spans="1:10" x14ac:dyDescent="0.25">
      <c r="A579" s="1" t="str">
        <f t="shared" si="9"/>
        <v>20</v>
      </c>
      <c r="B5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79" s="1" t="s">
        <v>4232</v>
      </c>
      <c r="D579" s="1" t="s">
        <v>4170</v>
      </c>
      <c r="E579" s="1" t="s">
        <v>4233</v>
      </c>
      <c r="F579" s="1" t="s">
        <v>112</v>
      </c>
      <c r="G579" s="1">
        <v>1432937</v>
      </c>
    </row>
    <row r="580" spans="1:10" x14ac:dyDescent="0.25">
      <c r="A580" s="1" t="str">
        <f t="shared" si="9"/>
        <v>20</v>
      </c>
      <c r="B5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80" s="1" t="s">
        <v>4234</v>
      </c>
      <c r="D580" s="1" t="s">
        <v>4235</v>
      </c>
      <c r="E580" s="1" t="s">
        <v>4236</v>
      </c>
      <c r="F580" s="1" t="s">
        <v>112</v>
      </c>
      <c r="G580" s="1">
        <v>1330239</v>
      </c>
    </row>
    <row r="581" spans="1:10" x14ac:dyDescent="0.25">
      <c r="A581" s="1" t="str">
        <f t="shared" si="9"/>
        <v>20</v>
      </c>
      <c r="B5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81" s="1" t="s">
        <v>4237</v>
      </c>
      <c r="D581" s="1" t="s">
        <v>4238</v>
      </c>
      <c r="E581" s="1" t="s">
        <v>4239</v>
      </c>
      <c r="F581" s="1" t="s">
        <v>112</v>
      </c>
      <c r="G581" s="1">
        <v>4656505</v>
      </c>
    </row>
    <row r="582" spans="1:10" x14ac:dyDescent="0.25">
      <c r="A582" s="1" t="str">
        <f t="shared" si="9"/>
        <v>20</v>
      </c>
      <c r="B5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82" s="1" t="s">
        <v>4240</v>
      </c>
      <c r="D582" s="1" t="s">
        <v>4241</v>
      </c>
      <c r="E582" s="1" t="s">
        <v>4242</v>
      </c>
      <c r="F582" s="1" t="s">
        <v>112</v>
      </c>
      <c r="G582" s="1">
        <v>4861730</v>
      </c>
    </row>
    <row r="583" spans="1:10" x14ac:dyDescent="0.25">
      <c r="A583" s="1" t="str">
        <f t="shared" si="9"/>
        <v>20</v>
      </c>
      <c r="B5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83" s="1" t="s">
        <v>4243</v>
      </c>
      <c r="D583" s="1" t="s">
        <v>4244</v>
      </c>
      <c r="E583" s="1" t="s">
        <v>4245</v>
      </c>
      <c r="F583" s="1" t="s">
        <v>112</v>
      </c>
      <c r="G583" s="1">
        <v>4016174</v>
      </c>
    </row>
    <row r="584" spans="1:10" x14ac:dyDescent="0.25">
      <c r="A584" s="1" t="str">
        <f t="shared" si="9"/>
        <v>20</v>
      </c>
      <c r="B5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84" s="1" t="s">
        <v>4246</v>
      </c>
      <c r="D584" s="1" t="s">
        <v>4247</v>
      </c>
      <c r="E584" s="1" t="s">
        <v>4248</v>
      </c>
      <c r="F584" s="1" t="s">
        <v>112</v>
      </c>
      <c r="G584" s="1">
        <v>4042995</v>
      </c>
    </row>
    <row r="585" spans="1:10" x14ac:dyDescent="0.25">
      <c r="A585" s="1" t="str">
        <f t="shared" si="9"/>
        <v>20</v>
      </c>
      <c r="B5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85" s="1" t="s">
        <v>4249</v>
      </c>
      <c r="D585" s="1" t="s">
        <v>1424</v>
      </c>
      <c r="E585" s="1" t="s">
        <v>4250</v>
      </c>
      <c r="F585" s="1" t="s">
        <v>112</v>
      </c>
      <c r="G585" s="1">
        <v>4225162</v>
      </c>
    </row>
    <row r="586" spans="1:10" x14ac:dyDescent="0.25">
      <c r="A586" s="1" t="str">
        <f t="shared" si="9"/>
        <v>20</v>
      </c>
      <c r="B5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86" s="1" t="s">
        <v>4251</v>
      </c>
      <c r="D586" s="1" t="s">
        <v>4252</v>
      </c>
      <c r="E586" s="1" t="s">
        <v>4253</v>
      </c>
      <c r="F586" s="1" t="s">
        <v>112</v>
      </c>
      <c r="G586" s="1">
        <v>4443364</v>
      </c>
    </row>
    <row r="587" spans="1:10" x14ac:dyDescent="0.25">
      <c r="A587" s="1" t="str">
        <f t="shared" si="9"/>
        <v/>
      </c>
      <c r="B5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87" s="1" t="s">
        <v>112</v>
      </c>
    </row>
    <row r="588" spans="1:10" x14ac:dyDescent="0.25">
      <c r="A588" s="1" t="str">
        <f t="shared" si="9"/>
        <v/>
      </c>
      <c r="B5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88" s="1" t="s">
        <v>237</v>
      </c>
      <c r="D588" s="1" t="s">
        <v>112</v>
      </c>
      <c r="E588" s="1" t="s">
        <v>238</v>
      </c>
      <c r="F588" s="1" t="s">
        <v>239</v>
      </c>
      <c r="G588" s="1" t="s">
        <v>240</v>
      </c>
      <c r="H588" s="1" t="s">
        <v>241</v>
      </c>
      <c r="I588" s="1" t="s">
        <v>242</v>
      </c>
      <c r="J588" s="1" t="s">
        <v>243</v>
      </c>
    </row>
    <row r="589" spans="1:10" x14ac:dyDescent="0.25">
      <c r="A589" s="1" t="str">
        <f t="shared" si="9"/>
        <v>20</v>
      </c>
      <c r="B5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589" s="1" t="s">
        <v>4254</v>
      </c>
      <c r="D589" s="1" t="s">
        <v>112</v>
      </c>
      <c r="E589" s="1" t="s">
        <v>4255</v>
      </c>
      <c r="F589" s="1" t="s">
        <v>4256</v>
      </c>
      <c r="G589" s="1" t="s">
        <v>4257</v>
      </c>
      <c r="H589" s="1" t="s">
        <v>4258</v>
      </c>
      <c r="I589" s="1">
        <v>24</v>
      </c>
      <c r="J589" s="1">
        <v>24</v>
      </c>
    </row>
    <row r="590" spans="1:10" x14ac:dyDescent="0.25">
      <c r="A590" s="1" t="str">
        <f t="shared" si="9"/>
        <v/>
      </c>
      <c r="B5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0" s="1" t="s">
        <v>112</v>
      </c>
    </row>
    <row r="591" spans="1:10" x14ac:dyDescent="0.25">
      <c r="A591" s="1" t="str">
        <f t="shared" si="9"/>
        <v/>
      </c>
      <c r="B5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1" s="1" t="s">
        <v>112</v>
      </c>
    </row>
    <row r="592" spans="1:10" x14ac:dyDescent="0.25">
      <c r="A592" s="1" t="str">
        <f t="shared" si="9"/>
        <v/>
      </c>
      <c r="B5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2" s="1" t="s">
        <v>112</v>
      </c>
    </row>
    <row r="593" spans="1:7" x14ac:dyDescent="0.25">
      <c r="A593" s="1" t="str">
        <f t="shared" si="9"/>
        <v/>
      </c>
      <c r="B5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3" s="1" t="s">
        <v>112</v>
      </c>
    </row>
    <row r="594" spans="1:7" x14ac:dyDescent="0.25">
      <c r="A594" s="1" t="str">
        <f t="shared" si="9"/>
        <v/>
      </c>
      <c r="B5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4" s="1" t="s">
        <v>112</v>
      </c>
    </row>
    <row r="595" spans="1:7" x14ac:dyDescent="0.25">
      <c r="A595" s="1" t="str">
        <f t="shared" si="9"/>
        <v/>
      </c>
      <c r="B5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5" s="1" t="s">
        <v>249</v>
      </c>
      <c r="D595" s="1" t="s">
        <v>110</v>
      </c>
      <c r="E595" s="1" t="s">
        <v>111</v>
      </c>
      <c r="F595" s="1" t="s">
        <v>112</v>
      </c>
      <c r="G595" s="1" t="s">
        <v>113</v>
      </c>
    </row>
    <row r="596" spans="1:7" x14ac:dyDescent="0.25">
      <c r="A596" s="1" t="str">
        <f t="shared" si="9"/>
        <v>21</v>
      </c>
      <c r="B59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96" s="1" t="s">
        <v>4259</v>
      </c>
      <c r="D596" s="1" t="s">
        <v>4260</v>
      </c>
      <c r="E596" s="1" t="s">
        <v>4261</v>
      </c>
      <c r="F596" s="1" t="s">
        <v>112</v>
      </c>
      <c r="G596" s="1">
        <v>3555349</v>
      </c>
    </row>
    <row r="597" spans="1:7" x14ac:dyDescent="0.25">
      <c r="A597" s="1" t="str">
        <f t="shared" si="9"/>
        <v>21</v>
      </c>
      <c r="B59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97" s="1" t="s">
        <v>4262</v>
      </c>
      <c r="D597" s="1" t="s">
        <v>4263</v>
      </c>
      <c r="E597" s="1" t="s">
        <v>4264</v>
      </c>
      <c r="F597" s="1" t="s">
        <v>112</v>
      </c>
      <c r="G597" s="1">
        <v>3468808</v>
      </c>
    </row>
    <row r="598" spans="1:7" x14ac:dyDescent="0.25">
      <c r="A598" s="1" t="str">
        <f t="shared" si="9"/>
        <v>21</v>
      </c>
      <c r="B59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98" s="1" t="s">
        <v>4265</v>
      </c>
      <c r="D598" s="1" t="s">
        <v>4266</v>
      </c>
      <c r="E598" s="1" t="s">
        <v>4267</v>
      </c>
      <c r="F598" s="1" t="s">
        <v>112</v>
      </c>
      <c r="G598" s="1">
        <v>3474994</v>
      </c>
    </row>
    <row r="599" spans="1:7" x14ac:dyDescent="0.25">
      <c r="A599" s="1" t="str">
        <f t="shared" si="9"/>
        <v>21</v>
      </c>
      <c r="B5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99" s="1" t="s">
        <v>4268</v>
      </c>
      <c r="D599" s="1" t="s">
        <v>1364</v>
      </c>
      <c r="E599" s="1" t="s">
        <v>4269</v>
      </c>
      <c r="F599" s="1" t="s">
        <v>112</v>
      </c>
      <c r="G599" s="1">
        <v>2282927</v>
      </c>
    </row>
    <row r="600" spans="1:7" x14ac:dyDescent="0.25">
      <c r="A600" s="1" t="str">
        <f t="shared" si="9"/>
        <v>21</v>
      </c>
      <c r="B6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00" s="1" t="s">
        <v>4270</v>
      </c>
      <c r="D600" s="1" t="s">
        <v>1519</v>
      </c>
      <c r="E600" s="1" t="s">
        <v>4271</v>
      </c>
      <c r="F600" s="1" t="s">
        <v>112</v>
      </c>
      <c r="G600" s="1">
        <v>2822853</v>
      </c>
    </row>
    <row r="601" spans="1:7" x14ac:dyDescent="0.25">
      <c r="A601" s="1" t="str">
        <f t="shared" si="9"/>
        <v>21</v>
      </c>
      <c r="B6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01" s="1" t="s">
        <v>4272</v>
      </c>
      <c r="D601" s="1" t="s">
        <v>4273</v>
      </c>
      <c r="E601" s="1" t="s">
        <v>4274</v>
      </c>
      <c r="F601" s="1" t="s">
        <v>112</v>
      </c>
      <c r="G601" s="1">
        <v>2399037</v>
      </c>
    </row>
    <row r="602" spans="1:7" x14ac:dyDescent="0.25">
      <c r="A602" s="1" t="str">
        <f t="shared" si="9"/>
        <v>21</v>
      </c>
      <c r="B6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02" s="1" t="s">
        <v>4275</v>
      </c>
      <c r="D602" s="1" t="s">
        <v>4276</v>
      </c>
      <c r="E602" s="1" t="s">
        <v>4277</v>
      </c>
      <c r="F602" s="1" t="s">
        <v>112</v>
      </c>
      <c r="G602" s="1">
        <v>3420876</v>
      </c>
    </row>
    <row r="603" spans="1:7" x14ac:dyDescent="0.25">
      <c r="A603" s="1" t="str">
        <f t="shared" si="9"/>
        <v>21</v>
      </c>
      <c r="B6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03" s="1" t="s">
        <v>4278</v>
      </c>
      <c r="D603" s="1" t="s">
        <v>981</v>
      </c>
      <c r="E603" s="1" t="s">
        <v>4279</v>
      </c>
      <c r="F603" s="1" t="s">
        <v>112</v>
      </c>
      <c r="G603" s="1">
        <v>3764662</v>
      </c>
    </row>
    <row r="604" spans="1:7" x14ac:dyDescent="0.25">
      <c r="A604" s="1" t="str">
        <f t="shared" si="9"/>
        <v>21</v>
      </c>
      <c r="B6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04" s="1" t="s">
        <v>4280</v>
      </c>
      <c r="D604" s="1" t="s">
        <v>4281</v>
      </c>
      <c r="E604" s="1" t="s">
        <v>4282</v>
      </c>
      <c r="F604" s="1" t="s">
        <v>112</v>
      </c>
      <c r="G604" s="1">
        <v>3391827</v>
      </c>
    </row>
    <row r="605" spans="1:7" x14ac:dyDescent="0.25">
      <c r="A605" s="1" t="str">
        <f t="shared" si="9"/>
        <v>21</v>
      </c>
      <c r="B6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05" s="1" t="s">
        <v>4283</v>
      </c>
      <c r="D605" s="1" t="s">
        <v>4284</v>
      </c>
      <c r="E605" s="1" t="s">
        <v>4285</v>
      </c>
      <c r="F605" s="1" t="s">
        <v>112</v>
      </c>
      <c r="G605" s="1">
        <v>4325114</v>
      </c>
    </row>
    <row r="606" spans="1:7" x14ac:dyDescent="0.25">
      <c r="A606" s="1" t="str">
        <f t="shared" si="9"/>
        <v>21</v>
      </c>
      <c r="B6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06" s="1" t="s">
        <v>4286</v>
      </c>
      <c r="D606" s="1" t="s">
        <v>4287</v>
      </c>
      <c r="E606" s="1" t="s">
        <v>4288</v>
      </c>
      <c r="F606" s="1" t="s">
        <v>112</v>
      </c>
      <c r="G606" s="1">
        <v>4388424</v>
      </c>
    </row>
    <row r="607" spans="1:7" x14ac:dyDescent="0.25">
      <c r="A607" s="1" t="str">
        <f t="shared" si="9"/>
        <v>21</v>
      </c>
      <c r="B6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07" s="1" t="s">
        <v>4289</v>
      </c>
      <c r="D607" s="1" t="s">
        <v>4290</v>
      </c>
      <c r="E607" s="1" t="s">
        <v>4291</v>
      </c>
      <c r="F607" s="1" t="s">
        <v>112</v>
      </c>
      <c r="G607" s="1">
        <v>4977753</v>
      </c>
    </row>
    <row r="608" spans="1:7" x14ac:dyDescent="0.25">
      <c r="A608" s="1" t="str">
        <f t="shared" si="9"/>
        <v>21</v>
      </c>
      <c r="B6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08" s="1" t="s">
        <v>4292</v>
      </c>
      <c r="D608" s="1" t="s">
        <v>4293</v>
      </c>
      <c r="E608" s="1" t="s">
        <v>4294</v>
      </c>
      <c r="F608" s="1" t="s">
        <v>112</v>
      </c>
      <c r="G608" s="1">
        <v>3405454</v>
      </c>
    </row>
    <row r="609" spans="1:10" x14ac:dyDescent="0.25">
      <c r="A609" s="1" t="str">
        <f t="shared" si="9"/>
        <v>21</v>
      </c>
      <c r="B6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09" s="1" t="s">
        <v>4295</v>
      </c>
      <c r="D609" s="1" t="s">
        <v>4296</v>
      </c>
      <c r="E609" s="1" t="s">
        <v>4297</v>
      </c>
      <c r="F609" s="1" t="s">
        <v>112</v>
      </c>
      <c r="G609" s="1">
        <v>3667305</v>
      </c>
    </row>
    <row r="610" spans="1:10" x14ac:dyDescent="0.25">
      <c r="A610" s="1" t="str">
        <f t="shared" si="9"/>
        <v>21</v>
      </c>
      <c r="B6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10" s="1" t="s">
        <v>4298</v>
      </c>
      <c r="D610" s="1" t="s">
        <v>2786</v>
      </c>
      <c r="E610" s="1" t="s">
        <v>4299</v>
      </c>
      <c r="F610" s="1" t="s">
        <v>112</v>
      </c>
      <c r="G610" s="1">
        <v>3794900</v>
      </c>
    </row>
    <row r="611" spans="1:10" x14ac:dyDescent="0.25">
      <c r="A611" s="1" t="str">
        <f t="shared" si="9"/>
        <v>21</v>
      </c>
      <c r="B6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11" s="1" t="s">
        <v>4300</v>
      </c>
      <c r="D611" s="1" t="s">
        <v>4301</v>
      </c>
      <c r="E611" s="1" t="s">
        <v>4302</v>
      </c>
      <c r="F611" s="1" t="s">
        <v>112</v>
      </c>
      <c r="G611" s="1">
        <v>2889040</v>
      </c>
    </row>
    <row r="612" spans="1:10" x14ac:dyDescent="0.25">
      <c r="A612" s="1" t="str">
        <f t="shared" si="9"/>
        <v>21</v>
      </c>
      <c r="B6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12" s="1" t="s">
        <v>4303</v>
      </c>
      <c r="D612" s="1" t="s">
        <v>4304</v>
      </c>
      <c r="E612" s="1" t="s">
        <v>4305</v>
      </c>
      <c r="F612" s="1" t="s">
        <v>112</v>
      </c>
      <c r="G612" s="1">
        <v>3543128</v>
      </c>
    </row>
    <row r="613" spans="1:10" x14ac:dyDescent="0.25">
      <c r="A613" s="1" t="str">
        <f t="shared" si="9"/>
        <v>21</v>
      </c>
      <c r="B6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13" s="1" t="s">
        <v>4306</v>
      </c>
      <c r="D613" s="1" t="s">
        <v>1847</v>
      </c>
      <c r="E613" s="1" t="s">
        <v>4307</v>
      </c>
      <c r="F613" s="1" t="s">
        <v>112</v>
      </c>
      <c r="G613" s="1">
        <v>3942913</v>
      </c>
    </row>
    <row r="614" spans="1:10" x14ac:dyDescent="0.25">
      <c r="A614" s="1" t="str">
        <f t="shared" si="9"/>
        <v>21</v>
      </c>
      <c r="B6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14" s="1" t="s">
        <v>4308</v>
      </c>
      <c r="D614" s="1" t="s">
        <v>4309</v>
      </c>
      <c r="E614" s="1" t="s">
        <v>4310</v>
      </c>
      <c r="F614" s="1" t="s">
        <v>112</v>
      </c>
      <c r="G614" s="1">
        <v>2793652</v>
      </c>
    </row>
    <row r="615" spans="1:10" x14ac:dyDescent="0.25">
      <c r="A615" s="1" t="str">
        <f t="shared" si="9"/>
        <v>21</v>
      </c>
      <c r="B6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15" s="1" t="s">
        <v>4311</v>
      </c>
      <c r="D615" s="1" t="s">
        <v>1165</v>
      </c>
      <c r="E615" s="1" t="s">
        <v>4312</v>
      </c>
      <c r="F615" s="1" t="s">
        <v>112</v>
      </c>
      <c r="G615" s="1">
        <v>2604001</v>
      </c>
    </row>
    <row r="616" spans="1:10" x14ac:dyDescent="0.25">
      <c r="A616" s="1" t="str">
        <f t="shared" si="9"/>
        <v>21</v>
      </c>
      <c r="B6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16" s="1" t="s">
        <v>4313</v>
      </c>
      <c r="D616" s="1" t="s">
        <v>4314</v>
      </c>
      <c r="E616" s="1" t="s">
        <v>4315</v>
      </c>
      <c r="F616" s="1" t="s">
        <v>112</v>
      </c>
      <c r="G616" s="1">
        <v>2894102</v>
      </c>
    </row>
    <row r="617" spans="1:10" x14ac:dyDescent="0.25">
      <c r="A617" s="1" t="str">
        <f t="shared" si="9"/>
        <v>21</v>
      </c>
      <c r="B6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17" s="1" t="s">
        <v>4316</v>
      </c>
      <c r="D617" s="1" t="s">
        <v>4317</v>
      </c>
      <c r="E617" s="1" t="s">
        <v>4318</v>
      </c>
      <c r="F617" s="1" t="s">
        <v>112</v>
      </c>
      <c r="G617" s="1">
        <v>4311595</v>
      </c>
    </row>
    <row r="618" spans="1:10" x14ac:dyDescent="0.25">
      <c r="A618" s="1" t="str">
        <f t="shared" si="9"/>
        <v>21</v>
      </c>
      <c r="B6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18" s="1" t="s">
        <v>4319</v>
      </c>
    </row>
    <row r="619" spans="1:10" x14ac:dyDescent="0.25">
      <c r="A619" s="1" t="str">
        <f t="shared" si="9"/>
        <v>21</v>
      </c>
      <c r="B6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19" s="1" t="s">
        <v>4320</v>
      </c>
      <c r="D619" s="1" t="s">
        <v>4321</v>
      </c>
      <c r="E619" s="1" t="s">
        <v>4322</v>
      </c>
      <c r="F619" s="1" t="s">
        <v>112</v>
      </c>
      <c r="G619" s="1">
        <v>4716918</v>
      </c>
    </row>
    <row r="620" spans="1:10" x14ac:dyDescent="0.25">
      <c r="A620" s="1" t="str">
        <f t="shared" si="9"/>
        <v/>
      </c>
      <c r="B6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0" s="1" t="s">
        <v>112</v>
      </c>
    </row>
    <row r="621" spans="1:10" x14ac:dyDescent="0.25">
      <c r="A621" s="1" t="str">
        <f t="shared" si="9"/>
        <v/>
      </c>
      <c r="B6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1" s="1" t="s">
        <v>237</v>
      </c>
      <c r="D621" s="1" t="s">
        <v>112</v>
      </c>
      <c r="E621" s="1" t="s">
        <v>238</v>
      </c>
      <c r="F621" s="1" t="s">
        <v>239</v>
      </c>
      <c r="G621" s="1" t="s">
        <v>240</v>
      </c>
      <c r="H621" s="1" t="s">
        <v>241</v>
      </c>
      <c r="I621" s="1" t="s">
        <v>242</v>
      </c>
      <c r="J621" s="1" t="s">
        <v>243</v>
      </c>
    </row>
    <row r="622" spans="1:10" x14ac:dyDescent="0.25">
      <c r="A622" s="1" t="str">
        <f t="shared" si="9"/>
        <v>21</v>
      </c>
      <c r="B6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22" s="1" t="s">
        <v>4323</v>
      </c>
      <c r="D622" s="1" t="s">
        <v>112</v>
      </c>
      <c r="E622" s="1" t="s">
        <v>4324</v>
      </c>
      <c r="F622" s="1" t="s">
        <v>4325</v>
      </c>
      <c r="G622" s="1" t="s">
        <v>4326</v>
      </c>
      <c r="H622" s="1" t="s">
        <v>4327</v>
      </c>
      <c r="I622" s="1">
        <v>24</v>
      </c>
      <c r="J622" s="1">
        <v>24</v>
      </c>
    </row>
    <row r="623" spans="1:10" x14ac:dyDescent="0.25">
      <c r="A623" s="1" t="str">
        <f t="shared" si="9"/>
        <v/>
      </c>
      <c r="B6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3" s="1" t="s">
        <v>112</v>
      </c>
    </row>
    <row r="624" spans="1:10" x14ac:dyDescent="0.25">
      <c r="A624" s="1" t="str">
        <f t="shared" si="9"/>
        <v/>
      </c>
      <c r="B6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4" s="1" t="s">
        <v>112</v>
      </c>
    </row>
    <row r="625" spans="1:7" x14ac:dyDescent="0.25">
      <c r="A625" s="1" t="str">
        <f t="shared" si="9"/>
        <v/>
      </c>
      <c r="B6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5" s="1" t="s">
        <v>112</v>
      </c>
    </row>
    <row r="626" spans="1:7" x14ac:dyDescent="0.25">
      <c r="A626" s="1" t="str">
        <f t="shared" si="9"/>
        <v/>
      </c>
      <c r="B6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6" s="1" t="s">
        <v>112</v>
      </c>
    </row>
    <row r="627" spans="1:7" x14ac:dyDescent="0.25">
      <c r="A627" s="1" t="str">
        <f t="shared" si="9"/>
        <v/>
      </c>
      <c r="B6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7" s="1" t="s">
        <v>112</v>
      </c>
    </row>
    <row r="628" spans="1:7" x14ac:dyDescent="0.25">
      <c r="A628" s="1" t="str">
        <f t="shared" si="9"/>
        <v/>
      </c>
      <c r="B6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8" s="1" t="s">
        <v>249</v>
      </c>
      <c r="D628" s="1" t="s">
        <v>110</v>
      </c>
      <c r="E628" s="1" t="s">
        <v>111</v>
      </c>
      <c r="F628" s="1" t="s">
        <v>112</v>
      </c>
      <c r="G628" s="1" t="s">
        <v>113</v>
      </c>
    </row>
    <row r="629" spans="1:7" x14ac:dyDescent="0.25">
      <c r="A629" s="1" t="str">
        <f t="shared" si="9"/>
        <v>8</v>
      </c>
      <c r="B62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29" s="1" t="s">
        <v>4328</v>
      </c>
      <c r="D629" s="1" t="s">
        <v>375</v>
      </c>
      <c r="E629" s="1" t="s">
        <v>4329</v>
      </c>
      <c r="F629" s="1" t="s">
        <v>112</v>
      </c>
      <c r="G629" s="1">
        <v>162808</v>
      </c>
    </row>
    <row r="630" spans="1:7" x14ac:dyDescent="0.25">
      <c r="A630" s="1" t="str">
        <f t="shared" si="9"/>
        <v>8</v>
      </c>
      <c r="B63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30" s="1" t="s">
        <v>4330</v>
      </c>
      <c r="D630" s="1" t="s">
        <v>1735</v>
      </c>
      <c r="E630" s="1" t="s">
        <v>4331</v>
      </c>
      <c r="F630" s="1" t="s">
        <v>112</v>
      </c>
      <c r="G630" s="1">
        <v>144834</v>
      </c>
    </row>
    <row r="631" spans="1:7" x14ac:dyDescent="0.25">
      <c r="A631" s="1" t="str">
        <f t="shared" si="9"/>
        <v>8</v>
      </c>
      <c r="B63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31" s="1" t="s">
        <v>4332</v>
      </c>
      <c r="D631" s="1" t="s">
        <v>4333</v>
      </c>
      <c r="E631" s="1" t="s">
        <v>4334</v>
      </c>
      <c r="F631" s="1" t="s">
        <v>112</v>
      </c>
      <c r="G631" s="1">
        <v>281427</v>
      </c>
    </row>
    <row r="632" spans="1:7" x14ac:dyDescent="0.25">
      <c r="A632" s="1" t="str">
        <f t="shared" si="9"/>
        <v>8</v>
      </c>
      <c r="B6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32" s="1" t="s">
        <v>4335</v>
      </c>
      <c r="D632" s="1" t="s">
        <v>2113</v>
      </c>
      <c r="E632" s="1" t="s">
        <v>4336</v>
      </c>
      <c r="F632" s="1" t="s">
        <v>112</v>
      </c>
      <c r="G632" s="1">
        <v>211735</v>
      </c>
    </row>
    <row r="633" spans="1:7" x14ac:dyDescent="0.25">
      <c r="A633" s="1" t="str">
        <f t="shared" si="9"/>
        <v>8</v>
      </c>
      <c r="B6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33" s="1" t="s">
        <v>4337</v>
      </c>
      <c r="D633" s="1" t="s">
        <v>4338</v>
      </c>
      <c r="E633" s="1" t="s">
        <v>4339</v>
      </c>
      <c r="F633" s="1" t="s">
        <v>112</v>
      </c>
      <c r="G633" s="1">
        <v>282941</v>
      </c>
    </row>
    <row r="634" spans="1:7" x14ac:dyDescent="0.25">
      <c r="A634" s="1" t="str">
        <f t="shared" si="9"/>
        <v>8</v>
      </c>
      <c r="B6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34" s="1" t="s">
        <v>4340</v>
      </c>
      <c r="D634" s="1" t="s">
        <v>4341</v>
      </c>
      <c r="E634" s="1" t="s">
        <v>4342</v>
      </c>
      <c r="F634" s="1" t="s">
        <v>112</v>
      </c>
      <c r="G634" s="1">
        <v>316099</v>
      </c>
    </row>
    <row r="635" spans="1:7" x14ac:dyDescent="0.25">
      <c r="A635" s="1" t="str">
        <f t="shared" si="9"/>
        <v>8</v>
      </c>
      <c r="B6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35" s="1" t="s">
        <v>4343</v>
      </c>
      <c r="D635" s="1" t="s">
        <v>4344</v>
      </c>
      <c r="E635" s="1" t="s">
        <v>4345</v>
      </c>
      <c r="F635" s="1" t="s">
        <v>112</v>
      </c>
      <c r="G635" s="1">
        <v>178101</v>
      </c>
    </row>
    <row r="636" spans="1:7" x14ac:dyDescent="0.25">
      <c r="A636" s="1" t="str">
        <f t="shared" si="9"/>
        <v>8</v>
      </c>
      <c r="B6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36" s="1" t="s">
        <v>4346</v>
      </c>
      <c r="D636" s="1" t="s">
        <v>1755</v>
      </c>
      <c r="E636" s="1" t="s">
        <v>4347</v>
      </c>
      <c r="F636" s="1" t="s">
        <v>112</v>
      </c>
      <c r="G636" s="1">
        <v>224994</v>
      </c>
    </row>
    <row r="637" spans="1:7" x14ac:dyDescent="0.25">
      <c r="A637" s="1" t="str">
        <f t="shared" si="9"/>
        <v>8</v>
      </c>
      <c r="B6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37" s="1" t="s">
        <v>4348</v>
      </c>
      <c r="D637" s="1" t="s">
        <v>1664</v>
      </c>
      <c r="E637" s="1" t="s">
        <v>4349</v>
      </c>
      <c r="F637" s="1" t="s">
        <v>112</v>
      </c>
      <c r="G637" s="1">
        <v>229082</v>
      </c>
    </row>
    <row r="638" spans="1:7" x14ac:dyDescent="0.25">
      <c r="A638" s="1" t="str">
        <f t="shared" si="9"/>
        <v>8</v>
      </c>
      <c r="B6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38" s="1" t="s">
        <v>4350</v>
      </c>
      <c r="D638" s="1" t="s">
        <v>1714</v>
      </c>
      <c r="E638" s="1" t="s">
        <v>4351</v>
      </c>
      <c r="F638" s="1" t="s">
        <v>112</v>
      </c>
      <c r="G638" s="1">
        <v>43519</v>
      </c>
    </row>
    <row r="639" spans="1:7" x14ac:dyDescent="0.25">
      <c r="A639" s="1" t="str">
        <f t="shared" si="9"/>
        <v>8</v>
      </c>
      <c r="B6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39" s="1" t="s">
        <v>4352</v>
      </c>
      <c r="D639" s="1" t="s">
        <v>4353</v>
      </c>
      <c r="E639" s="1" t="s">
        <v>4354</v>
      </c>
      <c r="F639" s="1" t="s">
        <v>112</v>
      </c>
      <c r="G639" s="1">
        <v>88380</v>
      </c>
    </row>
    <row r="640" spans="1:7" x14ac:dyDescent="0.25">
      <c r="A640" s="1" t="str">
        <f t="shared" si="9"/>
        <v>8</v>
      </c>
      <c r="B6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40" s="1" t="s">
        <v>4355</v>
      </c>
      <c r="D640" s="1" t="s">
        <v>549</v>
      </c>
      <c r="E640" s="1">
        <v>30</v>
      </c>
      <c r="F640" s="1" t="s">
        <v>112</v>
      </c>
      <c r="G640" s="1">
        <v>649</v>
      </c>
    </row>
    <row r="641" spans="1:10" x14ac:dyDescent="0.25">
      <c r="A641" s="1" t="str">
        <f t="shared" si="9"/>
        <v>8</v>
      </c>
      <c r="B6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41" s="1" t="s">
        <v>4356</v>
      </c>
      <c r="D641" s="1" t="s">
        <v>4357</v>
      </c>
      <c r="E641" s="1" t="s">
        <v>4358</v>
      </c>
      <c r="F641" s="1" t="s">
        <v>112</v>
      </c>
      <c r="G641" s="1">
        <v>447782</v>
      </c>
    </row>
    <row r="642" spans="1:10" x14ac:dyDescent="0.25">
      <c r="A642" s="1" t="str">
        <f t="shared" ref="A642:A705" si="10">IFERROR(LEFT(RIGHT(C642,LEN(C642)-SEARCH("@",C642)),SEARCH("/",RIGHT(C642,LEN(C642)-SEARCH("@",C642)-1))),"")</f>
        <v>8</v>
      </c>
      <c r="B6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42" s="1" t="s">
        <v>4359</v>
      </c>
      <c r="D642" s="1" t="s">
        <v>4360</v>
      </c>
      <c r="E642" s="1" t="s">
        <v>4361</v>
      </c>
      <c r="F642" s="1" t="s">
        <v>112</v>
      </c>
      <c r="G642" s="1">
        <v>517019</v>
      </c>
    </row>
    <row r="643" spans="1:10" x14ac:dyDescent="0.25">
      <c r="A643" s="1" t="str">
        <f t="shared" si="10"/>
        <v>8</v>
      </c>
      <c r="B6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43" s="1" t="s">
        <v>4362</v>
      </c>
      <c r="D643" s="1" t="s">
        <v>4363</v>
      </c>
      <c r="E643" s="1" t="s">
        <v>4364</v>
      </c>
      <c r="F643" s="1" t="s">
        <v>112</v>
      </c>
      <c r="G643" s="1">
        <v>432576</v>
      </c>
    </row>
    <row r="644" spans="1:10" x14ac:dyDescent="0.25">
      <c r="A644" s="1" t="str">
        <f t="shared" si="10"/>
        <v>8</v>
      </c>
      <c r="B6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44" s="1" t="s">
        <v>4365</v>
      </c>
      <c r="D644" s="1" t="s">
        <v>3036</v>
      </c>
      <c r="E644" s="1" t="s">
        <v>1107</v>
      </c>
      <c r="F644" s="1" t="s">
        <v>112</v>
      </c>
      <c r="G644" s="1">
        <v>317700</v>
      </c>
    </row>
    <row r="645" spans="1:10" x14ac:dyDescent="0.25">
      <c r="A645" s="1" t="str">
        <f t="shared" si="10"/>
        <v>8</v>
      </c>
      <c r="B6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45" s="1" t="s">
        <v>4366</v>
      </c>
      <c r="D645" s="1" t="s">
        <v>2034</v>
      </c>
      <c r="E645" s="1" t="s">
        <v>4367</v>
      </c>
      <c r="F645" s="1" t="s">
        <v>112</v>
      </c>
      <c r="G645" s="1">
        <v>232067</v>
      </c>
    </row>
    <row r="646" spans="1:10" x14ac:dyDescent="0.25">
      <c r="A646" s="1" t="str">
        <f t="shared" si="10"/>
        <v>8</v>
      </c>
      <c r="B6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46" s="1" t="s">
        <v>4368</v>
      </c>
      <c r="D646" s="1" t="s">
        <v>4369</v>
      </c>
      <c r="E646" s="1" t="s">
        <v>4370</v>
      </c>
      <c r="F646" s="1" t="s">
        <v>112</v>
      </c>
      <c r="G646" s="1">
        <v>150241</v>
      </c>
    </row>
    <row r="647" spans="1:10" x14ac:dyDescent="0.25">
      <c r="A647" s="1" t="str">
        <f t="shared" si="10"/>
        <v>8</v>
      </c>
      <c r="B6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47" s="1" t="s">
        <v>4371</v>
      </c>
    </row>
    <row r="648" spans="1:10" x14ac:dyDescent="0.25">
      <c r="A648" s="1" t="str">
        <f t="shared" si="10"/>
        <v>8</v>
      </c>
      <c r="B6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48" s="1" t="s">
        <v>4372</v>
      </c>
    </row>
    <row r="649" spans="1:10" x14ac:dyDescent="0.25">
      <c r="A649" s="1" t="str">
        <f t="shared" si="10"/>
        <v>8</v>
      </c>
      <c r="B6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49" s="1" t="s">
        <v>4373</v>
      </c>
    </row>
    <row r="650" spans="1:10" x14ac:dyDescent="0.25">
      <c r="A650" s="1" t="str">
        <f t="shared" si="10"/>
        <v>8</v>
      </c>
      <c r="B6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50" s="1" t="s">
        <v>4374</v>
      </c>
      <c r="D650" s="1" t="s">
        <v>4375</v>
      </c>
      <c r="E650" s="1" t="s">
        <v>4376</v>
      </c>
      <c r="F650" s="1" t="s">
        <v>112</v>
      </c>
      <c r="G650" s="1">
        <v>190062</v>
      </c>
    </row>
    <row r="651" spans="1:10" x14ac:dyDescent="0.25">
      <c r="A651" s="1" t="str">
        <f t="shared" si="10"/>
        <v>8</v>
      </c>
      <c r="B6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51" s="1" t="s">
        <v>4377</v>
      </c>
      <c r="D651" s="1">
        <v>0</v>
      </c>
      <c r="E651" s="1">
        <v>0</v>
      </c>
      <c r="F651" s="1" t="s">
        <v>112</v>
      </c>
      <c r="G651" s="1">
        <v>0</v>
      </c>
    </row>
    <row r="652" spans="1:10" x14ac:dyDescent="0.25">
      <c r="A652" s="1" t="str">
        <f t="shared" si="10"/>
        <v>8</v>
      </c>
      <c r="B6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52" s="1" t="s">
        <v>4378</v>
      </c>
      <c r="D652" s="1" t="s">
        <v>2246</v>
      </c>
      <c r="E652" s="1" t="s">
        <v>4379</v>
      </c>
      <c r="F652" s="1" t="s">
        <v>112</v>
      </c>
      <c r="G652" s="1">
        <v>228239</v>
      </c>
    </row>
    <row r="653" spans="1:10" x14ac:dyDescent="0.25">
      <c r="A653" s="1" t="str">
        <f t="shared" si="10"/>
        <v/>
      </c>
      <c r="B6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3" s="1" t="s">
        <v>112</v>
      </c>
    </row>
    <row r="654" spans="1:10" x14ac:dyDescent="0.25">
      <c r="A654" s="1" t="str">
        <f t="shared" si="10"/>
        <v/>
      </c>
      <c r="B6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4" s="1" t="s">
        <v>237</v>
      </c>
      <c r="D654" s="1" t="s">
        <v>112</v>
      </c>
      <c r="E654" s="1" t="s">
        <v>238</v>
      </c>
      <c r="F654" s="1" t="s">
        <v>239</v>
      </c>
      <c r="G654" s="1" t="s">
        <v>240</v>
      </c>
      <c r="H654" s="1" t="s">
        <v>241</v>
      </c>
      <c r="I654" s="1" t="s">
        <v>242</v>
      </c>
      <c r="J654" s="1" t="s">
        <v>243</v>
      </c>
    </row>
    <row r="655" spans="1:10" x14ac:dyDescent="0.25">
      <c r="A655" s="1" t="str">
        <f t="shared" si="10"/>
        <v>8</v>
      </c>
      <c r="B6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55" s="1" t="s">
        <v>4380</v>
      </c>
      <c r="D655" s="1" t="s">
        <v>112</v>
      </c>
      <c r="E655" s="1" t="s">
        <v>4381</v>
      </c>
      <c r="F655" s="1" t="s">
        <v>4382</v>
      </c>
      <c r="G655" s="1" t="s">
        <v>4383</v>
      </c>
      <c r="H655" s="1" t="s">
        <v>4384</v>
      </c>
      <c r="I655" s="1">
        <v>23</v>
      </c>
      <c r="J655" s="1">
        <v>24</v>
      </c>
    </row>
    <row r="656" spans="1:10" x14ac:dyDescent="0.25">
      <c r="A656" s="1" t="str">
        <f t="shared" si="10"/>
        <v/>
      </c>
      <c r="B6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6" s="1" t="s">
        <v>112</v>
      </c>
    </row>
    <row r="657" spans="1:7" x14ac:dyDescent="0.25">
      <c r="A657" s="1" t="str">
        <f t="shared" si="10"/>
        <v/>
      </c>
      <c r="B6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7" s="1" t="s">
        <v>112</v>
      </c>
    </row>
    <row r="658" spans="1:7" x14ac:dyDescent="0.25">
      <c r="A658" s="1" t="str">
        <f t="shared" si="10"/>
        <v/>
      </c>
      <c r="B6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8" s="1" t="s">
        <v>112</v>
      </c>
    </row>
    <row r="659" spans="1:7" x14ac:dyDescent="0.25">
      <c r="A659" s="1" t="str">
        <f t="shared" si="10"/>
        <v/>
      </c>
      <c r="B6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9" s="1" t="s">
        <v>112</v>
      </c>
    </row>
    <row r="660" spans="1:7" x14ac:dyDescent="0.25">
      <c r="A660" s="1" t="str">
        <f t="shared" si="10"/>
        <v/>
      </c>
      <c r="B6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60" s="1" t="s">
        <v>112</v>
      </c>
    </row>
    <row r="661" spans="1:7" x14ac:dyDescent="0.25">
      <c r="A661" s="1" t="str">
        <f t="shared" si="10"/>
        <v/>
      </c>
      <c r="B6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61" s="1" t="s">
        <v>249</v>
      </c>
      <c r="D661" s="1" t="s">
        <v>110</v>
      </c>
      <c r="E661" s="1" t="s">
        <v>111</v>
      </c>
      <c r="F661" s="1" t="s">
        <v>112</v>
      </c>
      <c r="G661" s="1" t="s">
        <v>113</v>
      </c>
    </row>
    <row r="662" spans="1:7" x14ac:dyDescent="0.25">
      <c r="A662" s="1" t="str">
        <f t="shared" si="10"/>
        <v>9</v>
      </c>
      <c r="B66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62" s="1" t="s">
        <v>4385</v>
      </c>
      <c r="D662" s="1" t="s">
        <v>2253</v>
      </c>
      <c r="E662" s="1" t="s">
        <v>4386</v>
      </c>
      <c r="F662" s="1" t="s">
        <v>112</v>
      </c>
      <c r="G662" s="1">
        <v>92252</v>
      </c>
    </row>
    <row r="663" spans="1:7" x14ac:dyDescent="0.25">
      <c r="A663" s="1" t="str">
        <f t="shared" si="10"/>
        <v>9</v>
      </c>
      <c r="B66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63" s="1" t="s">
        <v>4387</v>
      </c>
      <c r="D663" s="1" t="s">
        <v>2151</v>
      </c>
      <c r="E663" s="1" t="s">
        <v>4388</v>
      </c>
      <c r="F663" s="1" t="s">
        <v>112</v>
      </c>
      <c r="G663" s="1">
        <v>3482</v>
      </c>
    </row>
    <row r="664" spans="1:7" x14ac:dyDescent="0.25">
      <c r="A664" s="1" t="str">
        <f t="shared" si="10"/>
        <v>9</v>
      </c>
      <c r="B66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64" s="1" t="s">
        <v>4389</v>
      </c>
      <c r="D664" s="1" t="s">
        <v>4390</v>
      </c>
      <c r="E664" s="1" t="s">
        <v>4391</v>
      </c>
      <c r="F664" s="1" t="s">
        <v>112</v>
      </c>
      <c r="G664" s="1">
        <v>81761</v>
      </c>
    </row>
    <row r="665" spans="1:7" x14ac:dyDescent="0.25">
      <c r="A665" s="1" t="str">
        <f t="shared" si="10"/>
        <v>9</v>
      </c>
      <c r="B6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65" s="1" t="s">
        <v>4392</v>
      </c>
      <c r="D665" s="1" t="s">
        <v>1548</v>
      </c>
      <c r="E665" s="1" t="s">
        <v>4393</v>
      </c>
      <c r="F665" s="1" t="s">
        <v>112</v>
      </c>
      <c r="G665" s="1">
        <v>160451</v>
      </c>
    </row>
    <row r="666" spans="1:7" x14ac:dyDescent="0.25">
      <c r="A666" s="1" t="str">
        <f t="shared" si="10"/>
        <v>9</v>
      </c>
      <c r="B6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66" s="1" t="s">
        <v>4394</v>
      </c>
      <c r="D666" s="1" t="s">
        <v>589</v>
      </c>
      <c r="E666" s="1" t="s">
        <v>4395</v>
      </c>
      <c r="F666" s="1" t="s">
        <v>112</v>
      </c>
      <c r="G666" s="1">
        <v>167588</v>
      </c>
    </row>
    <row r="667" spans="1:7" x14ac:dyDescent="0.25">
      <c r="A667" s="1" t="str">
        <f t="shared" si="10"/>
        <v>9</v>
      </c>
      <c r="B6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67" s="1" t="s">
        <v>4396</v>
      </c>
    </row>
    <row r="668" spans="1:7" x14ac:dyDescent="0.25">
      <c r="A668" s="1" t="str">
        <f t="shared" si="10"/>
        <v>9</v>
      </c>
      <c r="B6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68" s="1" t="s">
        <v>4397</v>
      </c>
      <c r="D668" s="1" t="s">
        <v>2406</v>
      </c>
      <c r="E668" s="1" t="s">
        <v>4398</v>
      </c>
      <c r="F668" s="1" t="s">
        <v>112</v>
      </c>
      <c r="G668" s="1">
        <v>356136</v>
      </c>
    </row>
    <row r="669" spans="1:7" x14ac:dyDescent="0.25">
      <c r="A669" s="1" t="str">
        <f t="shared" si="10"/>
        <v>9</v>
      </c>
      <c r="B6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69" s="1" t="s">
        <v>4399</v>
      </c>
      <c r="D669" s="1" t="s">
        <v>4400</v>
      </c>
      <c r="E669" s="1" t="s">
        <v>4401</v>
      </c>
      <c r="F669" s="1" t="s">
        <v>112</v>
      </c>
      <c r="G669" s="1">
        <v>274894</v>
      </c>
    </row>
    <row r="670" spans="1:7" x14ac:dyDescent="0.25">
      <c r="A670" s="1" t="str">
        <f t="shared" si="10"/>
        <v>9</v>
      </c>
      <c r="B6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70" s="1" t="s">
        <v>4402</v>
      </c>
    </row>
    <row r="671" spans="1:7" x14ac:dyDescent="0.25">
      <c r="A671" s="1" t="str">
        <f t="shared" si="10"/>
        <v>9</v>
      </c>
      <c r="B6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71" s="1" t="s">
        <v>4403</v>
      </c>
      <c r="D671" s="1" t="s">
        <v>2185</v>
      </c>
      <c r="E671" s="1" t="s">
        <v>4404</v>
      </c>
      <c r="F671" s="1" t="s">
        <v>112</v>
      </c>
      <c r="G671" s="1">
        <v>148122</v>
      </c>
    </row>
    <row r="672" spans="1:7" x14ac:dyDescent="0.25">
      <c r="A672" s="1" t="str">
        <f t="shared" si="10"/>
        <v>9</v>
      </c>
      <c r="B6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72" s="1" t="s">
        <v>4405</v>
      </c>
      <c r="D672" s="1" t="s">
        <v>592</v>
      </c>
      <c r="E672" s="1" t="s">
        <v>4406</v>
      </c>
      <c r="F672" s="1" t="s">
        <v>112</v>
      </c>
      <c r="G672" s="1">
        <v>104256</v>
      </c>
    </row>
    <row r="673" spans="1:10" x14ac:dyDescent="0.25">
      <c r="A673" s="1" t="str">
        <f t="shared" si="10"/>
        <v>9</v>
      </c>
      <c r="B6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73" s="1" t="s">
        <v>4407</v>
      </c>
      <c r="D673" s="1" t="s">
        <v>4408</v>
      </c>
      <c r="E673" s="1" t="s">
        <v>4409</v>
      </c>
      <c r="F673" s="1" t="s">
        <v>112</v>
      </c>
      <c r="G673" s="1">
        <v>277706</v>
      </c>
    </row>
    <row r="674" spans="1:10" x14ac:dyDescent="0.25">
      <c r="A674" s="1" t="str">
        <f t="shared" si="10"/>
        <v>9</v>
      </c>
      <c r="B6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74" s="1" t="s">
        <v>4410</v>
      </c>
      <c r="D674" s="1">
        <v>0</v>
      </c>
      <c r="E674" s="1">
        <v>0</v>
      </c>
      <c r="F674" s="1" t="s">
        <v>112</v>
      </c>
      <c r="G674" s="1">
        <v>0</v>
      </c>
    </row>
    <row r="675" spans="1:10" x14ac:dyDescent="0.25">
      <c r="A675" s="1" t="str">
        <f t="shared" si="10"/>
        <v>9</v>
      </c>
      <c r="B6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75" s="1" t="s">
        <v>4411</v>
      </c>
      <c r="D675" s="1" t="s">
        <v>4412</v>
      </c>
      <c r="E675" s="1" t="s">
        <v>4413</v>
      </c>
      <c r="F675" s="1" t="s">
        <v>112</v>
      </c>
      <c r="G675" s="1">
        <v>334052</v>
      </c>
    </row>
    <row r="676" spans="1:10" x14ac:dyDescent="0.25">
      <c r="A676" s="1" t="str">
        <f t="shared" si="10"/>
        <v>9</v>
      </c>
      <c r="B6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76" s="1" t="s">
        <v>4414</v>
      </c>
      <c r="D676" s="1" t="s">
        <v>3505</v>
      </c>
      <c r="E676" s="1" t="s">
        <v>4415</v>
      </c>
      <c r="F676" s="1" t="s">
        <v>112</v>
      </c>
      <c r="G676" s="1">
        <v>503263</v>
      </c>
    </row>
    <row r="677" spans="1:10" x14ac:dyDescent="0.25">
      <c r="A677" s="1" t="str">
        <f t="shared" si="10"/>
        <v>9</v>
      </c>
      <c r="B6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77" s="1" t="s">
        <v>4416</v>
      </c>
      <c r="D677" s="1" t="s">
        <v>4417</v>
      </c>
      <c r="E677" s="1" t="s">
        <v>4418</v>
      </c>
      <c r="F677" s="1" t="s">
        <v>112</v>
      </c>
      <c r="G677" s="1">
        <v>165707</v>
      </c>
    </row>
    <row r="678" spans="1:10" x14ac:dyDescent="0.25">
      <c r="A678" s="1" t="str">
        <f t="shared" si="10"/>
        <v>9</v>
      </c>
      <c r="B6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78" s="1" t="s">
        <v>4419</v>
      </c>
      <c r="D678" s="1" t="s">
        <v>4420</v>
      </c>
      <c r="E678" s="1" t="s">
        <v>4421</v>
      </c>
      <c r="F678" s="1" t="s">
        <v>112</v>
      </c>
      <c r="G678" s="1">
        <v>273553</v>
      </c>
    </row>
    <row r="679" spans="1:10" x14ac:dyDescent="0.25">
      <c r="A679" s="1" t="str">
        <f t="shared" si="10"/>
        <v>9</v>
      </c>
      <c r="B6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79" s="1" t="s">
        <v>4422</v>
      </c>
      <c r="D679" s="1" t="s">
        <v>4423</v>
      </c>
      <c r="E679" s="1" t="s">
        <v>4424</v>
      </c>
      <c r="F679" s="1" t="s">
        <v>112</v>
      </c>
      <c r="G679" s="1">
        <v>206003</v>
      </c>
    </row>
    <row r="680" spans="1:10" x14ac:dyDescent="0.25">
      <c r="A680" s="1" t="str">
        <f t="shared" si="10"/>
        <v>9</v>
      </c>
      <c r="B6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80" s="1" t="s">
        <v>4425</v>
      </c>
      <c r="D680" s="1" t="s">
        <v>4426</v>
      </c>
      <c r="E680" s="1" t="s">
        <v>4427</v>
      </c>
      <c r="F680" s="1" t="s">
        <v>112</v>
      </c>
      <c r="G680" s="1">
        <v>423881</v>
      </c>
    </row>
    <row r="681" spans="1:10" x14ac:dyDescent="0.25">
      <c r="A681" s="1" t="str">
        <f t="shared" si="10"/>
        <v>9</v>
      </c>
      <c r="B6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81" s="1" t="s">
        <v>4428</v>
      </c>
      <c r="D681" s="1" t="s">
        <v>2168</v>
      </c>
      <c r="E681" s="1">
        <v>33</v>
      </c>
      <c r="F681" s="1" t="s">
        <v>112</v>
      </c>
      <c r="G681" s="1">
        <v>5710</v>
      </c>
    </row>
    <row r="682" spans="1:10" x14ac:dyDescent="0.25">
      <c r="A682" s="1" t="str">
        <f t="shared" si="10"/>
        <v>9</v>
      </c>
      <c r="B6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82" s="1" t="s">
        <v>4429</v>
      </c>
      <c r="D682" s="1" t="s">
        <v>2057</v>
      </c>
      <c r="E682" s="1" t="s">
        <v>4430</v>
      </c>
      <c r="F682" s="1" t="s">
        <v>112</v>
      </c>
      <c r="G682" s="1">
        <v>351161</v>
      </c>
    </row>
    <row r="683" spans="1:10" x14ac:dyDescent="0.25">
      <c r="A683" s="1" t="str">
        <f t="shared" si="10"/>
        <v>9</v>
      </c>
      <c r="B6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83" s="1" t="s">
        <v>4431</v>
      </c>
      <c r="D683" s="1" t="s">
        <v>3003</v>
      </c>
      <c r="E683" s="1" t="s">
        <v>4432</v>
      </c>
      <c r="F683" s="1" t="s">
        <v>112</v>
      </c>
      <c r="G683" s="1">
        <v>208491</v>
      </c>
    </row>
    <row r="684" spans="1:10" x14ac:dyDescent="0.25">
      <c r="A684" s="1" t="str">
        <f t="shared" si="10"/>
        <v>9</v>
      </c>
      <c r="B6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84" s="1" t="s">
        <v>4433</v>
      </c>
      <c r="D684" s="1" t="s">
        <v>4434</v>
      </c>
      <c r="E684" s="1" t="s">
        <v>4435</v>
      </c>
      <c r="F684" s="1" t="s">
        <v>112</v>
      </c>
      <c r="G684" s="1">
        <v>293929</v>
      </c>
    </row>
    <row r="685" spans="1:10" x14ac:dyDescent="0.25">
      <c r="A685" s="1" t="str">
        <f t="shared" si="10"/>
        <v>9</v>
      </c>
      <c r="B6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85" s="1" t="s">
        <v>4436</v>
      </c>
      <c r="D685" s="1" t="s">
        <v>4437</v>
      </c>
      <c r="E685" s="1" t="s">
        <v>4438</v>
      </c>
      <c r="F685" s="1" t="s">
        <v>112</v>
      </c>
      <c r="G685" s="1">
        <v>64976</v>
      </c>
    </row>
    <row r="686" spans="1:10" x14ac:dyDescent="0.25">
      <c r="A686" s="1" t="str">
        <f t="shared" si="10"/>
        <v/>
      </c>
      <c r="B6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86" s="1" t="s">
        <v>112</v>
      </c>
    </row>
    <row r="687" spans="1:10" x14ac:dyDescent="0.25">
      <c r="A687" s="1" t="str">
        <f t="shared" si="10"/>
        <v/>
      </c>
      <c r="B6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87" s="1" t="s">
        <v>237</v>
      </c>
      <c r="D687" s="1" t="s">
        <v>112</v>
      </c>
      <c r="E687" s="1" t="s">
        <v>238</v>
      </c>
      <c r="F687" s="1" t="s">
        <v>239</v>
      </c>
      <c r="G687" s="1" t="s">
        <v>240</v>
      </c>
      <c r="H687" s="1" t="s">
        <v>241</v>
      </c>
      <c r="I687" s="1" t="s">
        <v>242</v>
      </c>
      <c r="J687" s="1" t="s">
        <v>243</v>
      </c>
    </row>
    <row r="688" spans="1:10" x14ac:dyDescent="0.25">
      <c r="A688" s="1" t="str">
        <f t="shared" si="10"/>
        <v>9</v>
      </c>
      <c r="B6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88" s="1" t="s">
        <v>4439</v>
      </c>
      <c r="D688" s="1" t="s">
        <v>112</v>
      </c>
      <c r="E688" s="1" t="s">
        <v>4440</v>
      </c>
      <c r="F688" s="1" t="s">
        <v>4441</v>
      </c>
      <c r="G688" s="1" t="s">
        <v>4442</v>
      </c>
      <c r="H688" s="1" t="s">
        <v>4443</v>
      </c>
      <c r="I688" s="1">
        <v>22</v>
      </c>
      <c r="J688" s="1">
        <v>24</v>
      </c>
    </row>
    <row r="689" spans="1:3" x14ac:dyDescent="0.25">
      <c r="A689" s="1" t="str">
        <f t="shared" si="10"/>
        <v/>
      </c>
      <c r="B6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89" s="1" t="s">
        <v>112</v>
      </c>
    </row>
    <row r="690" spans="1:3" x14ac:dyDescent="0.25">
      <c r="A690" s="1" t="str">
        <f t="shared" si="10"/>
        <v/>
      </c>
      <c r="B6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1" spans="1:3" x14ac:dyDescent="0.25">
      <c r="A691" s="1" t="str">
        <f t="shared" si="10"/>
        <v/>
      </c>
      <c r="B6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2" spans="1:3" x14ac:dyDescent="0.25">
      <c r="A692" s="1" t="str">
        <f t="shared" si="10"/>
        <v/>
      </c>
      <c r="B6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3" spans="1:3" x14ac:dyDescent="0.25">
      <c r="A693" s="1" t="str">
        <f t="shared" si="10"/>
        <v/>
      </c>
      <c r="B6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4" spans="1:3" x14ac:dyDescent="0.25">
      <c r="A694" s="1" t="str">
        <f t="shared" si="10"/>
        <v/>
      </c>
      <c r="B6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5" spans="1:3" x14ac:dyDescent="0.25">
      <c r="A695" s="1" t="str">
        <f t="shared" si="10"/>
        <v/>
      </c>
      <c r="B6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6" spans="1:3" x14ac:dyDescent="0.25">
      <c r="A696" s="1" t="str">
        <f t="shared" si="10"/>
        <v/>
      </c>
      <c r="B6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7" spans="1:3" x14ac:dyDescent="0.25">
      <c r="A697" s="1" t="str">
        <f t="shared" si="10"/>
        <v/>
      </c>
      <c r="B6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8" spans="1:3" x14ac:dyDescent="0.25">
      <c r="A698" s="1" t="str">
        <f t="shared" si="10"/>
        <v/>
      </c>
      <c r="B6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9" spans="1:3" x14ac:dyDescent="0.25">
      <c r="A699" s="1" t="str">
        <f t="shared" si="10"/>
        <v/>
      </c>
      <c r="B6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0" spans="1:3" x14ac:dyDescent="0.25">
      <c r="A700" s="1" t="str">
        <f t="shared" si="10"/>
        <v/>
      </c>
      <c r="B7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1" spans="1:3" x14ac:dyDescent="0.25">
      <c r="A701" s="1" t="str">
        <f t="shared" si="10"/>
        <v/>
      </c>
      <c r="B7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2" spans="1:3" x14ac:dyDescent="0.25">
      <c r="A702" s="1" t="str">
        <f t="shared" si="10"/>
        <v/>
      </c>
      <c r="B7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3" spans="1:3" x14ac:dyDescent="0.25">
      <c r="A703" s="1" t="str">
        <f t="shared" si="10"/>
        <v/>
      </c>
      <c r="B7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4" spans="1:3" x14ac:dyDescent="0.25">
      <c r="A704" s="1" t="str">
        <f t="shared" si="10"/>
        <v/>
      </c>
      <c r="B7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5" spans="1:2" x14ac:dyDescent="0.25">
      <c r="A705" s="1" t="str">
        <f t="shared" si="10"/>
        <v/>
      </c>
      <c r="B7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6" spans="1:2" x14ac:dyDescent="0.25">
      <c r="A706" s="1" t="str">
        <f t="shared" ref="A706:A769" si="11">IFERROR(LEFT(RIGHT(C706,LEN(C706)-SEARCH("@",C706)),SEARCH("/",RIGHT(C706,LEN(C706)-SEARCH("@",C706)-1))),"")</f>
        <v/>
      </c>
      <c r="B7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7" spans="1:2" x14ac:dyDescent="0.25">
      <c r="A707" s="1" t="str">
        <f t="shared" si="11"/>
        <v/>
      </c>
      <c r="B7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8" spans="1:2" x14ac:dyDescent="0.25">
      <c r="A708" s="1" t="str">
        <f t="shared" si="11"/>
        <v/>
      </c>
      <c r="B7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9" spans="1:2" x14ac:dyDescent="0.25">
      <c r="A709" s="1" t="str">
        <f t="shared" si="11"/>
        <v/>
      </c>
      <c r="B7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0" spans="1:2" x14ac:dyDescent="0.25">
      <c r="A710" s="1" t="str">
        <f t="shared" si="11"/>
        <v/>
      </c>
      <c r="B7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1" spans="1:2" x14ac:dyDescent="0.25">
      <c r="A711" s="1" t="str">
        <f t="shared" si="11"/>
        <v/>
      </c>
      <c r="B7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2" spans="1:2" x14ac:dyDescent="0.25">
      <c r="A712" s="1" t="str">
        <f t="shared" si="11"/>
        <v/>
      </c>
      <c r="B7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3" spans="1:2" x14ac:dyDescent="0.25">
      <c r="A713" s="1" t="str">
        <f t="shared" si="11"/>
        <v/>
      </c>
      <c r="B7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4" spans="1:2" x14ac:dyDescent="0.25">
      <c r="A714" s="1" t="str">
        <f t="shared" si="11"/>
        <v/>
      </c>
      <c r="B7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5" spans="1:2" x14ac:dyDescent="0.25">
      <c r="A715" s="1" t="str">
        <f t="shared" si="11"/>
        <v/>
      </c>
      <c r="B7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6" spans="1:2" x14ac:dyDescent="0.25">
      <c r="A716" s="1" t="str">
        <f t="shared" si="11"/>
        <v/>
      </c>
      <c r="B7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7" spans="1:2" x14ac:dyDescent="0.25">
      <c r="A717" s="1" t="str">
        <f t="shared" si="11"/>
        <v/>
      </c>
      <c r="B7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8" spans="1:2" x14ac:dyDescent="0.25">
      <c r="A718" s="1" t="str">
        <f t="shared" si="11"/>
        <v/>
      </c>
      <c r="B7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9" spans="1:2" x14ac:dyDescent="0.25">
      <c r="A719" s="1" t="str">
        <f t="shared" si="11"/>
        <v/>
      </c>
      <c r="B7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0" spans="1:2" x14ac:dyDescent="0.25">
      <c r="A720" s="1" t="str">
        <f t="shared" si="11"/>
        <v/>
      </c>
      <c r="B7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1" spans="1:2" x14ac:dyDescent="0.25">
      <c r="A721" s="1" t="str">
        <f t="shared" si="11"/>
        <v/>
      </c>
      <c r="B7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2" spans="1:2" x14ac:dyDescent="0.25">
      <c r="A722" s="1" t="str">
        <f t="shared" si="11"/>
        <v/>
      </c>
      <c r="B7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3" spans="1:2" x14ac:dyDescent="0.25">
      <c r="A723" s="1" t="str">
        <f t="shared" si="11"/>
        <v/>
      </c>
      <c r="B7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4" spans="1:2" x14ac:dyDescent="0.25">
      <c r="A724" s="1" t="str">
        <f t="shared" si="11"/>
        <v/>
      </c>
      <c r="B7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5" spans="1:2" x14ac:dyDescent="0.25">
      <c r="A725" s="1" t="str">
        <f t="shared" si="11"/>
        <v/>
      </c>
      <c r="B7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6" spans="1:2" x14ac:dyDescent="0.25">
      <c r="A726" s="1" t="str">
        <f t="shared" si="11"/>
        <v/>
      </c>
      <c r="B7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7" spans="1:2" x14ac:dyDescent="0.25">
      <c r="A727" s="1" t="str">
        <f t="shared" si="11"/>
        <v/>
      </c>
      <c r="B7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8" spans="1:2" x14ac:dyDescent="0.25">
      <c r="A728" s="1" t="str">
        <f t="shared" si="11"/>
        <v/>
      </c>
      <c r="B7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9" spans="1:2" x14ac:dyDescent="0.25">
      <c r="A729" s="1" t="str">
        <f t="shared" si="11"/>
        <v/>
      </c>
      <c r="B7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0" spans="1:2" x14ac:dyDescent="0.25">
      <c r="A730" s="1" t="str">
        <f t="shared" si="11"/>
        <v/>
      </c>
      <c r="B7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1" spans="1:2" x14ac:dyDescent="0.25">
      <c r="A731" s="1" t="str">
        <f t="shared" si="11"/>
        <v/>
      </c>
      <c r="B7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2" spans="1:2" x14ac:dyDescent="0.25">
      <c r="A732" s="1" t="str">
        <f t="shared" si="11"/>
        <v/>
      </c>
      <c r="B7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3" spans="1:2" x14ac:dyDescent="0.25">
      <c r="A733" s="1" t="str">
        <f t="shared" si="11"/>
        <v/>
      </c>
      <c r="B7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4" spans="1:2" x14ac:dyDescent="0.25">
      <c r="A734" s="1" t="str">
        <f t="shared" si="11"/>
        <v/>
      </c>
      <c r="B7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5" spans="1:2" x14ac:dyDescent="0.25">
      <c r="A735" s="1" t="str">
        <f t="shared" si="11"/>
        <v/>
      </c>
      <c r="B7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6" spans="1:2" x14ac:dyDescent="0.25">
      <c r="A736" s="1" t="str">
        <f t="shared" si="11"/>
        <v/>
      </c>
      <c r="B7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7" spans="1:2" x14ac:dyDescent="0.25">
      <c r="A737" s="1" t="str">
        <f t="shared" si="11"/>
        <v/>
      </c>
      <c r="B7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8" spans="1:2" x14ac:dyDescent="0.25">
      <c r="A738" s="1" t="str">
        <f t="shared" si="11"/>
        <v/>
      </c>
      <c r="B7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9" spans="1:2" x14ac:dyDescent="0.25">
      <c r="A739" s="1" t="str">
        <f t="shared" si="11"/>
        <v/>
      </c>
      <c r="B7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0" spans="1:2" x14ac:dyDescent="0.25">
      <c r="A740" s="1" t="str">
        <f t="shared" si="11"/>
        <v/>
      </c>
      <c r="B7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1" spans="1:2" x14ac:dyDescent="0.25">
      <c r="A741" s="1" t="str">
        <f t="shared" si="11"/>
        <v/>
      </c>
      <c r="B7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2" spans="1:2" x14ac:dyDescent="0.25">
      <c r="A742" s="1" t="str">
        <f t="shared" si="11"/>
        <v/>
      </c>
      <c r="B7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3" spans="1:2" x14ac:dyDescent="0.25">
      <c r="A743" s="1" t="str">
        <f t="shared" si="11"/>
        <v/>
      </c>
      <c r="B7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4" spans="1:2" x14ac:dyDescent="0.25">
      <c r="A744" s="1" t="str">
        <f t="shared" si="11"/>
        <v/>
      </c>
      <c r="B7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5" spans="1:2" x14ac:dyDescent="0.25">
      <c r="A745" s="1" t="str">
        <f t="shared" si="11"/>
        <v/>
      </c>
      <c r="B7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6" spans="1:2" x14ac:dyDescent="0.25">
      <c r="A746" s="1" t="str">
        <f t="shared" si="11"/>
        <v/>
      </c>
      <c r="B7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7" spans="1:2" x14ac:dyDescent="0.25">
      <c r="A747" s="1" t="str">
        <f t="shared" si="11"/>
        <v/>
      </c>
      <c r="B7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8" spans="1:2" x14ac:dyDescent="0.25">
      <c r="A748" s="1" t="str">
        <f t="shared" si="11"/>
        <v/>
      </c>
      <c r="B7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9" spans="1:2" x14ac:dyDescent="0.25">
      <c r="A749" s="1" t="str">
        <f t="shared" si="11"/>
        <v/>
      </c>
      <c r="B7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0" spans="1:2" x14ac:dyDescent="0.25">
      <c r="A750" s="1" t="str">
        <f t="shared" si="11"/>
        <v/>
      </c>
      <c r="B7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1" spans="1:2" x14ac:dyDescent="0.25">
      <c r="A751" s="1" t="str">
        <f t="shared" si="11"/>
        <v/>
      </c>
      <c r="B7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2" spans="1:2" x14ac:dyDescent="0.25">
      <c r="A752" s="1" t="str">
        <f t="shared" si="11"/>
        <v/>
      </c>
      <c r="B7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3" spans="1:2" x14ac:dyDescent="0.25">
      <c r="A753" s="1" t="str">
        <f t="shared" si="11"/>
        <v/>
      </c>
      <c r="B7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4" spans="1:2" x14ac:dyDescent="0.25">
      <c r="A754" s="1" t="str">
        <f t="shared" si="11"/>
        <v/>
      </c>
      <c r="B7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5" spans="1:2" x14ac:dyDescent="0.25">
      <c r="A755" s="1" t="str">
        <f t="shared" si="11"/>
        <v/>
      </c>
      <c r="B7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6" spans="1:2" x14ac:dyDescent="0.25">
      <c r="A756" s="1" t="str">
        <f t="shared" si="11"/>
        <v/>
      </c>
      <c r="B7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7" spans="1:2" x14ac:dyDescent="0.25">
      <c r="A757" s="1" t="str">
        <f t="shared" si="11"/>
        <v/>
      </c>
      <c r="B7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8" spans="1:2" x14ac:dyDescent="0.25">
      <c r="A758" s="1" t="str">
        <f t="shared" si="11"/>
        <v/>
      </c>
      <c r="B7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9" spans="1:2" x14ac:dyDescent="0.25">
      <c r="A759" s="1" t="str">
        <f t="shared" si="11"/>
        <v/>
      </c>
      <c r="B7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0" spans="1:2" x14ac:dyDescent="0.25">
      <c r="A760" s="1" t="str">
        <f t="shared" si="11"/>
        <v/>
      </c>
      <c r="B7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1" spans="1:2" x14ac:dyDescent="0.25">
      <c r="A761" s="1" t="str">
        <f t="shared" si="11"/>
        <v/>
      </c>
      <c r="B7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2" spans="1:2" x14ac:dyDescent="0.25">
      <c r="A762" s="1" t="str">
        <f t="shared" si="11"/>
        <v/>
      </c>
      <c r="B7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3" spans="1:2" x14ac:dyDescent="0.25">
      <c r="A763" s="1" t="str">
        <f t="shared" si="11"/>
        <v/>
      </c>
      <c r="B7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4" spans="1:2" x14ac:dyDescent="0.25">
      <c r="A764" s="1" t="str">
        <f t="shared" si="11"/>
        <v/>
      </c>
      <c r="B7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5" spans="1:2" x14ac:dyDescent="0.25">
      <c r="A765" s="1" t="str">
        <f t="shared" si="11"/>
        <v/>
      </c>
      <c r="B7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6" spans="1:2" x14ac:dyDescent="0.25">
      <c r="A766" s="1" t="str">
        <f t="shared" si="11"/>
        <v/>
      </c>
      <c r="B7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7" spans="1:2" x14ac:dyDescent="0.25">
      <c r="A767" s="1" t="str">
        <f t="shared" si="11"/>
        <v/>
      </c>
      <c r="B7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8" spans="1:2" x14ac:dyDescent="0.25">
      <c r="A768" s="1" t="str">
        <f t="shared" si="11"/>
        <v/>
      </c>
      <c r="B7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9" spans="1:2" x14ac:dyDescent="0.25">
      <c r="A769" s="1" t="str">
        <f t="shared" si="11"/>
        <v/>
      </c>
      <c r="B7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0" spans="1:2" x14ac:dyDescent="0.25">
      <c r="A770" s="1" t="str">
        <f t="shared" ref="A770:A833" si="12">IFERROR(LEFT(RIGHT(C770,LEN(C770)-SEARCH("@",C770)),SEARCH("/",RIGHT(C770,LEN(C770)-SEARCH("@",C770)-1))),"")</f>
        <v/>
      </c>
      <c r="B7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1" spans="1:2" x14ac:dyDescent="0.25">
      <c r="A771" s="1" t="str">
        <f t="shared" si="12"/>
        <v/>
      </c>
      <c r="B7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2" spans="1:2" x14ac:dyDescent="0.25">
      <c r="A772" s="1" t="str">
        <f t="shared" si="12"/>
        <v/>
      </c>
      <c r="B7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3" spans="1:2" x14ac:dyDescent="0.25">
      <c r="A773" s="1" t="str">
        <f t="shared" si="12"/>
        <v/>
      </c>
      <c r="B7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4" spans="1:2" x14ac:dyDescent="0.25">
      <c r="A774" s="1" t="str">
        <f t="shared" si="12"/>
        <v/>
      </c>
      <c r="B7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5" spans="1:2" x14ac:dyDescent="0.25">
      <c r="A775" s="1" t="str">
        <f t="shared" si="12"/>
        <v/>
      </c>
      <c r="B7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6" spans="1:2" x14ac:dyDescent="0.25">
      <c r="A776" s="1" t="str">
        <f t="shared" si="12"/>
        <v/>
      </c>
      <c r="B7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7" spans="1:2" x14ac:dyDescent="0.25">
      <c r="A777" s="1" t="str">
        <f t="shared" si="12"/>
        <v/>
      </c>
      <c r="B7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8" spans="1:2" x14ac:dyDescent="0.25">
      <c r="A778" s="1" t="str">
        <f t="shared" si="12"/>
        <v/>
      </c>
      <c r="B7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9" spans="1:2" x14ac:dyDescent="0.25">
      <c r="A779" s="1" t="str">
        <f t="shared" si="12"/>
        <v/>
      </c>
      <c r="B7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0" spans="1:2" x14ac:dyDescent="0.25">
      <c r="A780" s="1" t="str">
        <f t="shared" si="12"/>
        <v/>
      </c>
      <c r="B7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1" spans="1:2" x14ac:dyDescent="0.25">
      <c r="A781" s="1" t="str">
        <f t="shared" si="12"/>
        <v/>
      </c>
      <c r="B7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2" spans="1:2" x14ac:dyDescent="0.25">
      <c r="A782" s="1" t="str">
        <f t="shared" si="12"/>
        <v/>
      </c>
      <c r="B7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3" spans="1:2" x14ac:dyDescent="0.25">
      <c r="A783" s="1" t="str">
        <f t="shared" si="12"/>
        <v/>
      </c>
      <c r="B7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4" spans="1:2" x14ac:dyDescent="0.25">
      <c r="A784" s="1" t="str">
        <f t="shared" si="12"/>
        <v/>
      </c>
      <c r="B7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5" spans="1:2" x14ac:dyDescent="0.25">
      <c r="A785" s="1" t="str">
        <f t="shared" si="12"/>
        <v/>
      </c>
      <c r="B7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6" spans="1:2" x14ac:dyDescent="0.25">
      <c r="A786" s="1" t="str">
        <f t="shared" si="12"/>
        <v/>
      </c>
      <c r="B7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7" spans="1:2" x14ac:dyDescent="0.25">
      <c r="A787" s="1" t="str">
        <f t="shared" si="12"/>
        <v/>
      </c>
      <c r="B7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8" spans="1:2" x14ac:dyDescent="0.25">
      <c r="A788" s="1" t="str">
        <f t="shared" si="12"/>
        <v/>
      </c>
      <c r="B7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9" spans="1:2" x14ac:dyDescent="0.25">
      <c r="A789" s="1" t="str">
        <f t="shared" si="12"/>
        <v/>
      </c>
      <c r="B7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0" spans="1:2" x14ac:dyDescent="0.25">
      <c r="A790" s="1" t="str">
        <f t="shared" si="12"/>
        <v/>
      </c>
      <c r="B7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1" spans="1:2" x14ac:dyDescent="0.25">
      <c r="A791" s="1" t="str">
        <f t="shared" si="12"/>
        <v/>
      </c>
      <c r="B7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2" spans="1:2" x14ac:dyDescent="0.25">
      <c r="A792" s="1" t="str">
        <f t="shared" si="12"/>
        <v/>
      </c>
      <c r="B7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3" spans="1:2" x14ac:dyDescent="0.25">
      <c r="A793" s="1" t="str">
        <f t="shared" si="12"/>
        <v/>
      </c>
      <c r="B7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4" spans="1:2" x14ac:dyDescent="0.25">
      <c r="A794" s="1" t="str">
        <f t="shared" si="12"/>
        <v/>
      </c>
      <c r="B7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5" spans="1:2" x14ac:dyDescent="0.25">
      <c r="A795" s="1" t="str">
        <f t="shared" si="12"/>
        <v/>
      </c>
      <c r="B7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6" spans="1:2" x14ac:dyDescent="0.25">
      <c r="A796" s="1" t="str">
        <f t="shared" si="12"/>
        <v/>
      </c>
      <c r="B7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7" spans="1:2" x14ac:dyDescent="0.25">
      <c r="A797" s="1" t="str">
        <f t="shared" si="12"/>
        <v/>
      </c>
      <c r="B7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8" spans="1:2" x14ac:dyDescent="0.25">
      <c r="A798" s="1" t="str">
        <f t="shared" si="12"/>
        <v/>
      </c>
      <c r="B7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9" spans="1:2" x14ac:dyDescent="0.25">
      <c r="A799" s="1" t="str">
        <f t="shared" si="12"/>
        <v/>
      </c>
      <c r="B7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0" spans="1:2" x14ac:dyDescent="0.25">
      <c r="A800" s="1" t="str">
        <f t="shared" si="12"/>
        <v/>
      </c>
      <c r="B8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1" spans="1:2" x14ac:dyDescent="0.25">
      <c r="A801" s="1" t="str">
        <f t="shared" si="12"/>
        <v/>
      </c>
      <c r="B8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2" spans="1:2" x14ac:dyDescent="0.25">
      <c r="A802" s="1" t="str">
        <f t="shared" si="12"/>
        <v/>
      </c>
      <c r="B8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3" spans="1:2" x14ac:dyDescent="0.25">
      <c r="A803" s="1" t="str">
        <f t="shared" si="12"/>
        <v/>
      </c>
      <c r="B8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4" spans="1:2" x14ac:dyDescent="0.25">
      <c r="A804" s="1" t="str">
        <f t="shared" si="12"/>
        <v/>
      </c>
      <c r="B8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5" spans="1:2" x14ac:dyDescent="0.25">
      <c r="A805" s="1" t="str">
        <f t="shared" si="12"/>
        <v/>
      </c>
      <c r="B8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6" spans="1:2" x14ac:dyDescent="0.25">
      <c r="A806" s="1" t="str">
        <f t="shared" si="12"/>
        <v/>
      </c>
      <c r="B8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7" spans="1:2" x14ac:dyDescent="0.25">
      <c r="A807" s="1" t="str">
        <f t="shared" si="12"/>
        <v/>
      </c>
      <c r="B8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8" spans="1:2" x14ac:dyDescent="0.25">
      <c r="A808" s="1" t="str">
        <f t="shared" si="12"/>
        <v/>
      </c>
      <c r="B8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9" spans="1:2" x14ac:dyDescent="0.25">
      <c r="A809" s="1" t="str">
        <f t="shared" si="12"/>
        <v/>
      </c>
      <c r="B8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0" spans="1:2" x14ac:dyDescent="0.25">
      <c r="A810" s="1" t="str">
        <f t="shared" si="12"/>
        <v/>
      </c>
      <c r="B8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1" spans="1:2" x14ac:dyDescent="0.25">
      <c r="A811" s="1" t="str">
        <f t="shared" si="12"/>
        <v/>
      </c>
      <c r="B8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2" spans="1:2" x14ac:dyDescent="0.25">
      <c r="A812" s="1" t="str">
        <f t="shared" si="12"/>
        <v/>
      </c>
      <c r="B8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3" spans="1:2" x14ac:dyDescent="0.25">
      <c r="A813" s="1" t="str">
        <f t="shared" si="12"/>
        <v/>
      </c>
      <c r="B8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4" spans="1:2" x14ac:dyDescent="0.25">
      <c r="A814" s="1" t="str">
        <f t="shared" si="12"/>
        <v/>
      </c>
      <c r="B8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5" spans="1:2" x14ac:dyDescent="0.25">
      <c r="A815" s="1" t="str">
        <f t="shared" si="12"/>
        <v/>
      </c>
      <c r="B8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6" spans="1:2" x14ac:dyDescent="0.25">
      <c r="A816" s="1" t="str">
        <f t="shared" si="12"/>
        <v/>
      </c>
      <c r="B8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7" spans="1:2" x14ac:dyDescent="0.25">
      <c r="A817" s="1" t="str">
        <f t="shared" si="12"/>
        <v/>
      </c>
      <c r="B8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8" spans="1:2" x14ac:dyDescent="0.25">
      <c r="A818" s="1" t="str">
        <f t="shared" si="12"/>
        <v/>
      </c>
      <c r="B8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9" spans="1:2" x14ac:dyDescent="0.25">
      <c r="A819" s="1" t="str">
        <f t="shared" si="12"/>
        <v/>
      </c>
      <c r="B8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0" spans="1:2" x14ac:dyDescent="0.25">
      <c r="A820" s="1" t="str">
        <f t="shared" si="12"/>
        <v/>
      </c>
      <c r="B8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1" spans="1:2" x14ac:dyDescent="0.25">
      <c r="A821" s="1" t="str">
        <f t="shared" si="12"/>
        <v/>
      </c>
      <c r="B8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2" spans="1:2" x14ac:dyDescent="0.25">
      <c r="A822" s="1" t="str">
        <f t="shared" si="12"/>
        <v/>
      </c>
      <c r="B8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3" spans="1:2" x14ac:dyDescent="0.25">
      <c r="A823" s="1" t="str">
        <f t="shared" si="12"/>
        <v/>
      </c>
      <c r="B8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4" spans="1:2" x14ac:dyDescent="0.25">
      <c r="A824" s="1" t="str">
        <f t="shared" si="12"/>
        <v/>
      </c>
      <c r="B8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5" spans="1:2" x14ac:dyDescent="0.25">
      <c r="A825" s="1" t="str">
        <f t="shared" si="12"/>
        <v/>
      </c>
      <c r="B8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6" spans="1:2" x14ac:dyDescent="0.25">
      <c r="A826" s="1" t="str">
        <f t="shared" si="12"/>
        <v/>
      </c>
      <c r="B8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7" spans="1:2" x14ac:dyDescent="0.25">
      <c r="A827" s="1" t="str">
        <f t="shared" si="12"/>
        <v/>
      </c>
      <c r="B8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8" spans="1:2" x14ac:dyDescent="0.25">
      <c r="A828" s="1" t="str">
        <f t="shared" si="12"/>
        <v/>
      </c>
      <c r="B8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9" spans="1:2" x14ac:dyDescent="0.25">
      <c r="A829" s="1" t="str">
        <f t="shared" si="12"/>
        <v/>
      </c>
      <c r="B8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0" spans="1:2" x14ac:dyDescent="0.25">
      <c r="A830" s="1" t="str">
        <f t="shared" si="12"/>
        <v/>
      </c>
      <c r="B8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1" spans="1:2" x14ac:dyDescent="0.25">
      <c r="A831" s="1" t="str">
        <f t="shared" si="12"/>
        <v/>
      </c>
      <c r="B8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2" spans="1:2" x14ac:dyDescent="0.25">
      <c r="A832" s="1" t="str">
        <f t="shared" si="12"/>
        <v/>
      </c>
      <c r="B8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3" spans="1:2" x14ac:dyDescent="0.25">
      <c r="A833" s="1" t="str">
        <f t="shared" si="12"/>
        <v/>
      </c>
      <c r="B8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4" spans="1:2" x14ac:dyDescent="0.25">
      <c r="A834" s="1" t="str">
        <f t="shared" ref="A834:A897" si="13">IFERROR(LEFT(RIGHT(C834,LEN(C834)-SEARCH("@",C834)),SEARCH("/",RIGHT(C834,LEN(C834)-SEARCH("@",C834)-1))),"")</f>
        <v/>
      </c>
      <c r="B8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5" spans="1:2" x14ac:dyDescent="0.25">
      <c r="A835" s="1" t="str">
        <f t="shared" si="13"/>
        <v/>
      </c>
      <c r="B8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6" spans="1:2" x14ac:dyDescent="0.25">
      <c r="A836" s="1" t="str">
        <f t="shared" si="13"/>
        <v/>
      </c>
      <c r="B8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7" spans="1:2" x14ac:dyDescent="0.25">
      <c r="A837" s="1" t="str">
        <f t="shared" si="13"/>
        <v/>
      </c>
      <c r="B8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8" spans="1:2" x14ac:dyDescent="0.25">
      <c r="A838" s="1" t="str">
        <f t="shared" si="13"/>
        <v/>
      </c>
      <c r="B8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9" spans="1:2" x14ac:dyDescent="0.25">
      <c r="A839" s="1" t="str">
        <f t="shared" si="13"/>
        <v/>
      </c>
      <c r="B8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0" spans="1:2" x14ac:dyDescent="0.25">
      <c r="A840" s="1" t="str">
        <f t="shared" si="13"/>
        <v/>
      </c>
      <c r="B8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1" spans="1:2" x14ac:dyDescent="0.25">
      <c r="A841" s="1" t="str">
        <f t="shared" si="13"/>
        <v/>
      </c>
      <c r="B8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2" spans="1:2" x14ac:dyDescent="0.25">
      <c r="A842" s="1" t="str">
        <f t="shared" si="13"/>
        <v/>
      </c>
      <c r="B8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3" spans="1:2" x14ac:dyDescent="0.25">
      <c r="A843" s="1" t="str">
        <f t="shared" si="13"/>
        <v/>
      </c>
      <c r="B8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4" spans="1:2" x14ac:dyDescent="0.25">
      <c r="A844" s="1" t="str">
        <f t="shared" si="13"/>
        <v/>
      </c>
      <c r="B8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5" spans="1:2" x14ac:dyDescent="0.25">
      <c r="A845" s="1" t="str">
        <f t="shared" si="13"/>
        <v/>
      </c>
      <c r="B8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6" spans="1:2" x14ac:dyDescent="0.25">
      <c r="A846" s="1" t="str">
        <f t="shared" si="13"/>
        <v/>
      </c>
      <c r="B8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7" spans="1:2" x14ac:dyDescent="0.25">
      <c r="A847" s="1" t="str">
        <f t="shared" si="13"/>
        <v/>
      </c>
      <c r="B8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8" spans="1:2" x14ac:dyDescent="0.25">
      <c r="A848" s="1" t="str">
        <f t="shared" si="13"/>
        <v/>
      </c>
      <c r="B8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9" spans="1:2" x14ac:dyDescent="0.25">
      <c r="A849" s="1" t="str">
        <f t="shared" si="13"/>
        <v/>
      </c>
      <c r="B8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0" spans="1:2" x14ac:dyDescent="0.25">
      <c r="A850" s="1" t="str">
        <f t="shared" si="13"/>
        <v/>
      </c>
      <c r="B8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1" spans="1:2" x14ac:dyDescent="0.25">
      <c r="A851" s="1" t="str">
        <f t="shared" si="13"/>
        <v/>
      </c>
      <c r="B8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2" spans="1:2" x14ac:dyDescent="0.25">
      <c r="A852" s="1" t="str">
        <f t="shared" si="13"/>
        <v/>
      </c>
      <c r="B8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3" spans="1:2" x14ac:dyDescent="0.25">
      <c r="A853" s="1" t="str">
        <f t="shared" si="13"/>
        <v/>
      </c>
      <c r="B8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4" spans="1:2" x14ac:dyDescent="0.25">
      <c r="A854" s="1" t="str">
        <f t="shared" si="13"/>
        <v/>
      </c>
      <c r="B8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5" spans="1:2" x14ac:dyDescent="0.25">
      <c r="A855" s="1" t="str">
        <f t="shared" si="13"/>
        <v/>
      </c>
      <c r="B8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6" spans="1:2" x14ac:dyDescent="0.25">
      <c r="A856" s="1" t="str">
        <f t="shared" si="13"/>
        <v/>
      </c>
      <c r="B8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7" spans="1:2" x14ac:dyDescent="0.25">
      <c r="A857" s="1" t="str">
        <f t="shared" si="13"/>
        <v/>
      </c>
      <c r="B8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8" spans="1:2" x14ac:dyDescent="0.25">
      <c r="A858" s="1" t="str">
        <f t="shared" si="13"/>
        <v/>
      </c>
      <c r="B8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9" spans="1:2" x14ac:dyDescent="0.25">
      <c r="A859" s="1" t="str">
        <f t="shared" si="13"/>
        <v/>
      </c>
      <c r="B8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0" spans="1:2" x14ac:dyDescent="0.25">
      <c r="A860" s="1" t="str">
        <f t="shared" si="13"/>
        <v/>
      </c>
      <c r="B8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1" spans="1:2" x14ac:dyDescent="0.25">
      <c r="A861" s="1" t="str">
        <f t="shared" si="13"/>
        <v/>
      </c>
      <c r="B8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2" spans="1:2" x14ac:dyDescent="0.25">
      <c r="A862" s="1" t="str">
        <f t="shared" si="13"/>
        <v/>
      </c>
      <c r="B8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3" spans="1:2" x14ac:dyDescent="0.25">
      <c r="A863" s="1" t="str">
        <f t="shared" si="13"/>
        <v/>
      </c>
      <c r="B8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4" spans="1:2" x14ac:dyDescent="0.25">
      <c r="A864" s="1" t="str">
        <f t="shared" si="13"/>
        <v/>
      </c>
      <c r="B8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5" spans="1:2" x14ac:dyDescent="0.25">
      <c r="A865" s="1" t="str">
        <f t="shared" si="13"/>
        <v/>
      </c>
      <c r="B8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6" spans="1:2" x14ac:dyDescent="0.25">
      <c r="A866" s="1" t="str">
        <f t="shared" si="13"/>
        <v/>
      </c>
      <c r="B8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7" spans="1:2" x14ac:dyDescent="0.25">
      <c r="A867" s="1" t="str">
        <f t="shared" si="13"/>
        <v/>
      </c>
      <c r="B8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8" spans="1:2" x14ac:dyDescent="0.25">
      <c r="A868" s="1" t="str">
        <f t="shared" si="13"/>
        <v/>
      </c>
      <c r="B8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9" spans="1:2" x14ac:dyDescent="0.25">
      <c r="A869" s="1" t="str">
        <f t="shared" si="13"/>
        <v/>
      </c>
      <c r="B8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0" spans="1:2" x14ac:dyDescent="0.25">
      <c r="A870" s="1" t="str">
        <f t="shared" si="13"/>
        <v/>
      </c>
      <c r="B8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1" spans="1:2" x14ac:dyDescent="0.25">
      <c r="A871" s="1" t="str">
        <f t="shared" si="13"/>
        <v/>
      </c>
      <c r="B8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2" spans="1:2" x14ac:dyDescent="0.25">
      <c r="A872" s="1" t="str">
        <f t="shared" si="13"/>
        <v/>
      </c>
      <c r="B8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3" spans="1:2" x14ac:dyDescent="0.25">
      <c r="A873" s="1" t="str">
        <f t="shared" si="13"/>
        <v/>
      </c>
      <c r="B8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4" spans="1:2" x14ac:dyDescent="0.25">
      <c r="A874" s="1" t="str">
        <f t="shared" si="13"/>
        <v/>
      </c>
      <c r="B8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5" spans="1:2" x14ac:dyDescent="0.25">
      <c r="A875" s="1" t="str">
        <f t="shared" si="13"/>
        <v/>
      </c>
      <c r="B8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6" spans="1:2" x14ac:dyDescent="0.25">
      <c r="A876" s="1" t="str">
        <f t="shared" si="13"/>
        <v/>
      </c>
      <c r="B8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7" spans="1:2" x14ac:dyDescent="0.25">
      <c r="A877" s="1" t="str">
        <f t="shared" si="13"/>
        <v/>
      </c>
      <c r="B8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8" spans="1:2" x14ac:dyDescent="0.25">
      <c r="A878" s="1" t="str">
        <f t="shared" si="13"/>
        <v/>
      </c>
      <c r="B8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9" spans="1:2" x14ac:dyDescent="0.25">
      <c r="A879" s="1" t="str">
        <f t="shared" si="13"/>
        <v/>
      </c>
      <c r="B8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0" spans="1:2" x14ac:dyDescent="0.25">
      <c r="A880" s="1" t="str">
        <f t="shared" si="13"/>
        <v/>
      </c>
      <c r="B8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1" spans="1:2" x14ac:dyDescent="0.25">
      <c r="A881" s="1" t="str">
        <f t="shared" si="13"/>
        <v/>
      </c>
      <c r="B8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2" spans="1:2" x14ac:dyDescent="0.25">
      <c r="A882" s="1" t="str">
        <f t="shared" si="13"/>
        <v/>
      </c>
      <c r="B8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3" spans="1:2" x14ac:dyDescent="0.25">
      <c r="A883" s="1" t="str">
        <f t="shared" si="13"/>
        <v/>
      </c>
      <c r="B8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4" spans="1:2" x14ac:dyDescent="0.25">
      <c r="A884" s="1" t="str">
        <f t="shared" si="13"/>
        <v/>
      </c>
      <c r="B8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5" spans="1:2" x14ac:dyDescent="0.25">
      <c r="A885" s="1" t="str">
        <f t="shared" si="13"/>
        <v/>
      </c>
      <c r="B8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6" spans="1:2" x14ac:dyDescent="0.25">
      <c r="A886" s="1" t="str">
        <f t="shared" si="13"/>
        <v/>
      </c>
      <c r="B8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7" spans="1:2" x14ac:dyDescent="0.25">
      <c r="A887" s="1" t="str">
        <f t="shared" si="13"/>
        <v/>
      </c>
      <c r="B8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8" spans="1:2" x14ac:dyDescent="0.25">
      <c r="A888" s="1" t="str">
        <f t="shared" si="13"/>
        <v/>
      </c>
      <c r="B8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9" spans="1:2" x14ac:dyDescent="0.25">
      <c r="A889" s="1" t="str">
        <f t="shared" si="13"/>
        <v/>
      </c>
      <c r="B8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0" spans="1:2" x14ac:dyDescent="0.25">
      <c r="A890" s="1" t="str">
        <f t="shared" si="13"/>
        <v/>
      </c>
      <c r="B8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1" spans="1:2" x14ac:dyDescent="0.25">
      <c r="A891" s="1" t="str">
        <f t="shared" si="13"/>
        <v/>
      </c>
      <c r="B8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2" spans="1:2" x14ac:dyDescent="0.25">
      <c r="A892" s="1" t="str">
        <f t="shared" si="13"/>
        <v/>
      </c>
      <c r="B8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3" spans="1:2" x14ac:dyDescent="0.25">
      <c r="A893" s="1" t="str">
        <f t="shared" si="13"/>
        <v/>
      </c>
      <c r="B8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4" spans="1:2" x14ac:dyDescent="0.25">
      <c r="A894" s="1" t="str">
        <f t="shared" si="13"/>
        <v/>
      </c>
      <c r="B8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5" spans="1:2" x14ac:dyDescent="0.25">
      <c r="A895" s="1" t="str">
        <f t="shared" si="13"/>
        <v/>
      </c>
      <c r="B8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6" spans="1:2" x14ac:dyDescent="0.25">
      <c r="A896" s="1" t="str">
        <f t="shared" si="13"/>
        <v/>
      </c>
      <c r="B8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7" spans="1:2" x14ac:dyDescent="0.25">
      <c r="A897" s="1" t="str">
        <f t="shared" si="13"/>
        <v/>
      </c>
      <c r="B8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8" spans="1:2" x14ac:dyDescent="0.25">
      <c r="A898" s="1" t="str">
        <f t="shared" ref="A898:A961" si="14">IFERROR(LEFT(RIGHT(C898,LEN(C898)-SEARCH("@",C898)),SEARCH("/",RIGHT(C898,LEN(C898)-SEARCH("@",C898)-1))),"")</f>
        <v/>
      </c>
      <c r="B8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9" spans="1:2" x14ac:dyDescent="0.25">
      <c r="A899" s="1" t="str">
        <f t="shared" si="14"/>
        <v/>
      </c>
      <c r="B8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0" spans="1:2" x14ac:dyDescent="0.25">
      <c r="A900" s="1" t="str">
        <f t="shared" si="14"/>
        <v/>
      </c>
      <c r="B9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1" spans="1:2" x14ac:dyDescent="0.25">
      <c r="A901" s="1" t="str">
        <f t="shared" si="14"/>
        <v/>
      </c>
      <c r="B9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2" spans="1:2" x14ac:dyDescent="0.25">
      <c r="A902" s="1" t="str">
        <f t="shared" si="14"/>
        <v/>
      </c>
      <c r="B9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3" spans="1:2" x14ac:dyDescent="0.25">
      <c r="A903" s="1" t="str">
        <f t="shared" si="14"/>
        <v/>
      </c>
      <c r="B9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4" spans="1:2" x14ac:dyDescent="0.25">
      <c r="A904" s="1" t="str">
        <f t="shared" si="14"/>
        <v/>
      </c>
      <c r="B9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5" spans="1:2" x14ac:dyDescent="0.25">
      <c r="A905" s="1" t="str">
        <f t="shared" si="14"/>
        <v/>
      </c>
      <c r="B9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6" spans="1:2" x14ac:dyDescent="0.25">
      <c r="A906" s="1" t="str">
        <f t="shared" si="14"/>
        <v/>
      </c>
      <c r="B9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7" spans="1:2" x14ac:dyDescent="0.25">
      <c r="A907" s="1" t="str">
        <f t="shared" si="14"/>
        <v/>
      </c>
      <c r="B9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8" spans="1:2" x14ac:dyDescent="0.25">
      <c r="A908" s="1" t="str">
        <f t="shared" si="14"/>
        <v/>
      </c>
      <c r="B9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9" spans="1:2" x14ac:dyDescent="0.25">
      <c r="A909" s="1" t="str">
        <f t="shared" si="14"/>
        <v/>
      </c>
      <c r="B9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0" spans="1:2" x14ac:dyDescent="0.25">
      <c r="A910" s="1" t="str">
        <f t="shared" si="14"/>
        <v/>
      </c>
      <c r="B9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1" spans="1:2" x14ac:dyDescent="0.25">
      <c r="A911" s="1" t="str">
        <f t="shared" si="14"/>
        <v/>
      </c>
      <c r="B9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2" spans="1:2" x14ac:dyDescent="0.25">
      <c r="A912" s="1" t="str">
        <f t="shared" si="14"/>
        <v/>
      </c>
      <c r="B9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3" spans="1:2" x14ac:dyDescent="0.25">
      <c r="A913" s="1" t="str">
        <f t="shared" si="14"/>
        <v/>
      </c>
      <c r="B9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4" spans="1:2" x14ac:dyDescent="0.25">
      <c r="A914" s="1" t="str">
        <f t="shared" si="14"/>
        <v/>
      </c>
      <c r="B9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5" spans="1:2" x14ac:dyDescent="0.25">
      <c r="A915" s="1" t="str">
        <f t="shared" si="14"/>
        <v/>
      </c>
      <c r="B9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6" spans="1:2" x14ac:dyDescent="0.25">
      <c r="A916" s="1" t="str">
        <f t="shared" si="14"/>
        <v/>
      </c>
      <c r="B9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7" spans="1:2" x14ac:dyDescent="0.25">
      <c r="A917" s="1" t="str">
        <f t="shared" si="14"/>
        <v/>
      </c>
      <c r="B9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8" spans="1:2" x14ac:dyDescent="0.25">
      <c r="A918" s="1" t="str">
        <f t="shared" si="14"/>
        <v/>
      </c>
      <c r="B9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9" spans="1:2" x14ac:dyDescent="0.25">
      <c r="A919" s="1" t="str">
        <f t="shared" si="14"/>
        <v/>
      </c>
      <c r="B9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0" spans="1:2" x14ac:dyDescent="0.25">
      <c r="A920" s="1" t="str">
        <f t="shared" si="14"/>
        <v/>
      </c>
      <c r="B9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1" spans="1:2" x14ac:dyDescent="0.25">
      <c r="A921" s="1" t="str">
        <f t="shared" si="14"/>
        <v/>
      </c>
      <c r="B9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2" spans="1:2" x14ac:dyDescent="0.25">
      <c r="A922" s="1" t="str">
        <f t="shared" si="14"/>
        <v/>
      </c>
      <c r="B9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3" spans="1:2" x14ac:dyDescent="0.25">
      <c r="A923" s="1" t="str">
        <f t="shared" si="14"/>
        <v/>
      </c>
      <c r="B9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4" spans="1:2" x14ac:dyDescent="0.25">
      <c r="A924" s="1" t="str">
        <f t="shared" si="14"/>
        <v/>
      </c>
      <c r="B9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5" spans="1:2" x14ac:dyDescent="0.25">
      <c r="A925" s="1" t="str">
        <f t="shared" si="14"/>
        <v/>
      </c>
      <c r="B9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6" spans="1:2" x14ac:dyDescent="0.25">
      <c r="A926" s="1" t="str">
        <f t="shared" si="14"/>
        <v/>
      </c>
      <c r="B9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7" spans="1:2" x14ac:dyDescent="0.25">
      <c r="A927" s="1" t="str">
        <f t="shared" si="14"/>
        <v/>
      </c>
      <c r="B9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8" spans="1:2" x14ac:dyDescent="0.25">
      <c r="A928" s="1" t="str">
        <f t="shared" si="14"/>
        <v/>
      </c>
      <c r="B9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9" spans="1:2" x14ac:dyDescent="0.25">
      <c r="A929" s="1" t="str">
        <f t="shared" si="14"/>
        <v/>
      </c>
      <c r="B9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0" spans="1:2" x14ac:dyDescent="0.25">
      <c r="A930" s="1" t="str">
        <f t="shared" si="14"/>
        <v/>
      </c>
      <c r="B9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1" spans="1:2" x14ac:dyDescent="0.25">
      <c r="A931" s="1" t="str">
        <f t="shared" si="14"/>
        <v/>
      </c>
      <c r="B9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2" spans="1:2" x14ac:dyDescent="0.25">
      <c r="A932" s="1" t="str">
        <f t="shared" si="14"/>
        <v/>
      </c>
      <c r="B9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3" spans="1:2" x14ac:dyDescent="0.25">
      <c r="A933" s="1" t="str">
        <f t="shared" si="14"/>
        <v/>
      </c>
      <c r="B9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4" spans="1:2" x14ac:dyDescent="0.25">
      <c r="A934" s="1" t="str">
        <f t="shared" si="14"/>
        <v/>
      </c>
      <c r="B9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5" spans="1:2" x14ac:dyDescent="0.25">
      <c r="A935" s="1" t="str">
        <f t="shared" si="14"/>
        <v/>
      </c>
      <c r="B9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6" spans="1:2" x14ac:dyDescent="0.25">
      <c r="A936" s="1" t="str">
        <f t="shared" si="14"/>
        <v/>
      </c>
      <c r="B9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7" spans="1:2" x14ac:dyDescent="0.25">
      <c r="A937" s="1" t="str">
        <f t="shared" si="14"/>
        <v/>
      </c>
      <c r="B9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8" spans="1:2" x14ac:dyDescent="0.25">
      <c r="A938" s="1" t="str">
        <f t="shared" si="14"/>
        <v/>
      </c>
      <c r="B9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9" spans="1:2" x14ac:dyDescent="0.25">
      <c r="A939" s="1" t="str">
        <f t="shared" si="14"/>
        <v/>
      </c>
      <c r="B9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0" spans="1:2" x14ac:dyDescent="0.25">
      <c r="A940" s="1" t="str">
        <f t="shared" si="14"/>
        <v/>
      </c>
      <c r="B9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1" spans="1:2" x14ac:dyDescent="0.25">
      <c r="A941" s="1" t="str">
        <f t="shared" si="14"/>
        <v/>
      </c>
      <c r="B9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2" spans="1:2" x14ac:dyDescent="0.25">
      <c r="A942" s="1" t="str">
        <f t="shared" si="14"/>
        <v/>
      </c>
      <c r="B9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3" spans="1:2" x14ac:dyDescent="0.25">
      <c r="A943" s="1" t="str">
        <f t="shared" si="14"/>
        <v/>
      </c>
      <c r="B9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4" spans="1:2" x14ac:dyDescent="0.25">
      <c r="A944" s="1" t="str">
        <f t="shared" si="14"/>
        <v/>
      </c>
      <c r="B9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5" spans="1:2" x14ac:dyDescent="0.25">
      <c r="A945" s="1" t="str">
        <f t="shared" si="14"/>
        <v/>
      </c>
      <c r="B9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6" spans="1:2" x14ac:dyDescent="0.25">
      <c r="A946" s="1" t="str">
        <f t="shared" si="14"/>
        <v/>
      </c>
      <c r="B9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7" spans="1:2" x14ac:dyDescent="0.25">
      <c r="A947" s="1" t="str">
        <f t="shared" si="14"/>
        <v/>
      </c>
      <c r="B9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8" spans="1:2" x14ac:dyDescent="0.25">
      <c r="A948" s="1" t="str">
        <f t="shared" si="14"/>
        <v/>
      </c>
      <c r="B9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9" spans="1:2" x14ac:dyDescent="0.25">
      <c r="A949" s="1" t="str">
        <f t="shared" si="14"/>
        <v/>
      </c>
      <c r="B9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0" spans="1:2" x14ac:dyDescent="0.25">
      <c r="A950" s="1" t="str">
        <f t="shared" si="14"/>
        <v/>
      </c>
      <c r="B9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1" spans="1:2" x14ac:dyDescent="0.25">
      <c r="A951" s="1" t="str">
        <f t="shared" si="14"/>
        <v/>
      </c>
      <c r="B9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2" spans="1:2" x14ac:dyDescent="0.25">
      <c r="A952" s="1" t="str">
        <f t="shared" si="14"/>
        <v/>
      </c>
      <c r="B9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3" spans="1:2" x14ac:dyDescent="0.25">
      <c r="A953" s="1" t="str">
        <f t="shared" si="14"/>
        <v/>
      </c>
      <c r="B9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4" spans="1:2" x14ac:dyDescent="0.25">
      <c r="A954" s="1" t="str">
        <f t="shared" si="14"/>
        <v/>
      </c>
      <c r="B9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5" spans="1:2" x14ac:dyDescent="0.25">
      <c r="A955" s="1" t="str">
        <f t="shared" si="14"/>
        <v/>
      </c>
      <c r="B9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6" spans="1:2" x14ac:dyDescent="0.25">
      <c r="A956" s="1" t="str">
        <f t="shared" si="14"/>
        <v/>
      </c>
      <c r="B9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7" spans="1:2" x14ac:dyDescent="0.25">
      <c r="A957" s="1" t="str">
        <f t="shared" si="14"/>
        <v/>
      </c>
      <c r="B9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8" spans="1:2" x14ac:dyDescent="0.25">
      <c r="A958" s="1" t="str">
        <f t="shared" si="14"/>
        <v/>
      </c>
      <c r="B9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9" spans="1:2" x14ac:dyDescent="0.25">
      <c r="A959" s="1" t="str">
        <f t="shared" si="14"/>
        <v/>
      </c>
      <c r="B9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0" spans="1:2" x14ac:dyDescent="0.25">
      <c r="A960" s="1" t="str">
        <f t="shared" si="14"/>
        <v/>
      </c>
      <c r="B9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1" spans="1:2" x14ac:dyDescent="0.25">
      <c r="A961" s="1" t="str">
        <f t="shared" si="14"/>
        <v/>
      </c>
      <c r="B9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2" spans="1:2" x14ac:dyDescent="0.25">
      <c r="A962" s="1" t="str">
        <f t="shared" ref="A962:A1010" si="15">IFERROR(LEFT(RIGHT(C962,LEN(C962)-SEARCH("@",C962)),SEARCH("/",RIGHT(C962,LEN(C962)-SEARCH("@",C962)-1))),"")</f>
        <v/>
      </c>
      <c r="B9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3" spans="1:2" x14ac:dyDescent="0.25">
      <c r="A963" s="1" t="str">
        <f t="shared" si="15"/>
        <v/>
      </c>
      <c r="B9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4" spans="1:2" x14ac:dyDescent="0.25">
      <c r="A964" s="1" t="str">
        <f t="shared" si="15"/>
        <v/>
      </c>
      <c r="B9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5" spans="1:2" x14ac:dyDescent="0.25">
      <c r="A965" s="1" t="str">
        <f t="shared" si="15"/>
        <v/>
      </c>
      <c r="B9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6" spans="1:2" x14ac:dyDescent="0.25">
      <c r="A966" s="1" t="str">
        <f t="shared" si="15"/>
        <v/>
      </c>
      <c r="B9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7" spans="1:2" x14ac:dyDescent="0.25">
      <c r="A967" s="1" t="str">
        <f t="shared" si="15"/>
        <v/>
      </c>
      <c r="B9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8" spans="1:2" x14ac:dyDescent="0.25">
      <c r="A968" s="1" t="str">
        <f t="shared" si="15"/>
        <v/>
      </c>
      <c r="B9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9" spans="1:2" x14ac:dyDescent="0.25">
      <c r="A969" s="1" t="str">
        <f t="shared" si="15"/>
        <v/>
      </c>
      <c r="B9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0" spans="1:2" x14ac:dyDescent="0.25">
      <c r="A970" s="1" t="str">
        <f t="shared" si="15"/>
        <v/>
      </c>
      <c r="B9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1" spans="1:2" x14ac:dyDescent="0.25">
      <c r="A971" s="1" t="str">
        <f t="shared" si="15"/>
        <v/>
      </c>
      <c r="B9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2" spans="1:2" x14ac:dyDescent="0.25">
      <c r="A972" s="1" t="str">
        <f t="shared" si="15"/>
        <v/>
      </c>
      <c r="B9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3" spans="1:2" x14ac:dyDescent="0.25">
      <c r="A973" s="1" t="str">
        <f t="shared" si="15"/>
        <v/>
      </c>
      <c r="B9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4" spans="1:2" x14ac:dyDescent="0.25">
      <c r="A974" s="1" t="str">
        <f t="shared" si="15"/>
        <v/>
      </c>
      <c r="B9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5" spans="1:2" x14ac:dyDescent="0.25">
      <c r="A975" s="1" t="str">
        <f t="shared" si="15"/>
        <v/>
      </c>
      <c r="B9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6" spans="1:2" x14ac:dyDescent="0.25">
      <c r="A976" s="1" t="str">
        <f t="shared" si="15"/>
        <v/>
      </c>
      <c r="B9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7" spans="1:2" x14ac:dyDescent="0.25">
      <c r="A977" s="1" t="str">
        <f t="shared" si="15"/>
        <v/>
      </c>
      <c r="B9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8" spans="1:2" x14ac:dyDescent="0.25">
      <c r="A978" s="1" t="str">
        <f t="shared" si="15"/>
        <v/>
      </c>
      <c r="B9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9" spans="1:2" x14ac:dyDescent="0.25">
      <c r="A979" s="1" t="str">
        <f t="shared" si="15"/>
        <v/>
      </c>
      <c r="B9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0" spans="1:2" x14ac:dyDescent="0.25">
      <c r="A980" s="1" t="str">
        <f t="shared" si="15"/>
        <v/>
      </c>
      <c r="B9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1" spans="1:2" x14ac:dyDescent="0.25">
      <c r="A981" s="1" t="str">
        <f t="shared" si="15"/>
        <v/>
      </c>
      <c r="B9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2" spans="1:2" x14ac:dyDescent="0.25">
      <c r="A982" s="1" t="str">
        <f t="shared" si="15"/>
        <v/>
      </c>
      <c r="B9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3" spans="1:2" x14ac:dyDescent="0.25">
      <c r="A983" s="1" t="str">
        <f t="shared" si="15"/>
        <v/>
      </c>
      <c r="B9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4" spans="1:2" x14ac:dyDescent="0.25">
      <c r="A984" s="1" t="str">
        <f t="shared" si="15"/>
        <v/>
      </c>
      <c r="B9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5" spans="1:2" x14ac:dyDescent="0.25">
      <c r="A985" s="1" t="str">
        <f t="shared" si="15"/>
        <v/>
      </c>
      <c r="B9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6" spans="1:2" x14ac:dyDescent="0.25">
      <c r="A986" s="1" t="str">
        <f t="shared" si="15"/>
        <v/>
      </c>
      <c r="B9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7" spans="1:2" x14ac:dyDescent="0.25">
      <c r="A987" s="1" t="str">
        <f t="shared" si="15"/>
        <v/>
      </c>
      <c r="B9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8" spans="1:2" x14ac:dyDescent="0.25">
      <c r="A988" s="1" t="str">
        <f t="shared" si="15"/>
        <v/>
      </c>
      <c r="B9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9" spans="1:2" x14ac:dyDescent="0.25">
      <c r="A989" s="1" t="str">
        <f t="shared" si="15"/>
        <v/>
      </c>
      <c r="B9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0" spans="1:2" x14ac:dyDescent="0.25">
      <c r="A990" s="1" t="str">
        <f t="shared" si="15"/>
        <v/>
      </c>
      <c r="B9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1" spans="1:2" x14ac:dyDescent="0.25">
      <c r="A991" s="1" t="str">
        <f t="shared" si="15"/>
        <v/>
      </c>
      <c r="B9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2" spans="1:2" x14ac:dyDescent="0.25">
      <c r="A992" s="1" t="str">
        <f t="shared" si="15"/>
        <v/>
      </c>
      <c r="B9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3" spans="1:2" x14ac:dyDescent="0.25">
      <c r="A993" s="1" t="str">
        <f t="shared" si="15"/>
        <v/>
      </c>
      <c r="B9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4" spans="1:2" x14ac:dyDescent="0.25">
      <c r="A994" s="1" t="str">
        <f t="shared" si="15"/>
        <v/>
      </c>
      <c r="B9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5" spans="1:2" x14ac:dyDescent="0.25">
      <c r="A995" s="1" t="str">
        <f t="shared" si="15"/>
        <v/>
      </c>
      <c r="B9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6" spans="1:2" x14ac:dyDescent="0.25">
      <c r="A996" s="1" t="str">
        <f t="shared" si="15"/>
        <v/>
      </c>
      <c r="B9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7" spans="1:2" x14ac:dyDescent="0.25">
      <c r="A997" s="1" t="str">
        <f t="shared" si="15"/>
        <v/>
      </c>
      <c r="B9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8" spans="1:2" x14ac:dyDescent="0.25">
      <c r="A998" s="1" t="str">
        <f t="shared" si="15"/>
        <v/>
      </c>
      <c r="B9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9" spans="1:2" x14ac:dyDescent="0.25">
      <c r="A999" s="1" t="str">
        <f t="shared" si="15"/>
        <v/>
      </c>
      <c r="B9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0" spans="1:2" x14ac:dyDescent="0.25">
      <c r="A1000" s="1" t="str">
        <f t="shared" si="15"/>
        <v/>
      </c>
      <c r="B10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1" spans="1:2" x14ac:dyDescent="0.25">
      <c r="A1001" s="1" t="str">
        <f t="shared" si="15"/>
        <v/>
      </c>
      <c r="B10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2" spans="1:2" x14ac:dyDescent="0.25">
      <c r="A1002" s="1" t="str">
        <f t="shared" si="15"/>
        <v/>
      </c>
      <c r="B10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3" spans="1:2" x14ac:dyDescent="0.25">
      <c r="A1003" s="1" t="str">
        <f t="shared" si="15"/>
        <v/>
      </c>
      <c r="B10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4" spans="1:2" x14ac:dyDescent="0.25">
      <c r="A1004" s="1" t="str">
        <f t="shared" si="15"/>
        <v/>
      </c>
      <c r="B10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5" spans="1:2" x14ac:dyDescent="0.25">
      <c r="A1005" s="1" t="str">
        <f t="shared" si="15"/>
        <v/>
      </c>
      <c r="B10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6" spans="1:2" x14ac:dyDescent="0.25">
      <c r="A1006" s="1" t="str">
        <f t="shared" si="15"/>
        <v/>
      </c>
      <c r="B10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7" spans="1:2" x14ac:dyDescent="0.25">
      <c r="A1007" s="1" t="str">
        <f t="shared" si="15"/>
        <v/>
      </c>
      <c r="B10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8" spans="1:2" x14ac:dyDescent="0.25">
      <c r="A1008" s="1" t="str">
        <f t="shared" si="15"/>
        <v/>
      </c>
      <c r="B10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9" spans="1:2" x14ac:dyDescent="0.25">
      <c r="A1009" s="1" t="str">
        <f t="shared" si="15"/>
        <v/>
      </c>
      <c r="B10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0" spans="1:2" x14ac:dyDescent="0.25">
      <c r="A1010" s="1" t="str">
        <f t="shared" si="15"/>
        <v/>
      </c>
      <c r="B10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1" spans="1:2" x14ac:dyDescent="0.25">
      <c r="A1011" s="1" t="str">
        <f t="shared" ref="A1011:A1074" si="16">IFERROR(LEFT(RIGHT(C1011,LEN(C1011)-SEARCH("@",C1011)),SEARCH("/",RIGHT(C1011,LEN(C1011)-SEARCH("@",C1011)-1))),"")</f>
        <v/>
      </c>
      <c r="B10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2" spans="1:2" x14ac:dyDescent="0.25">
      <c r="A1012" s="1" t="str">
        <f t="shared" si="16"/>
        <v/>
      </c>
      <c r="B10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3" spans="1:2" x14ac:dyDescent="0.25">
      <c r="A1013" s="1" t="str">
        <f t="shared" si="16"/>
        <v/>
      </c>
      <c r="B10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4" spans="1:2" x14ac:dyDescent="0.25">
      <c r="A1014" s="1" t="str">
        <f t="shared" si="16"/>
        <v/>
      </c>
      <c r="B10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5" spans="1:2" x14ac:dyDescent="0.25">
      <c r="A1015" s="1" t="str">
        <f t="shared" si="16"/>
        <v/>
      </c>
      <c r="B10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6" spans="1:2" x14ac:dyDescent="0.25">
      <c r="A1016" s="1" t="str">
        <f t="shared" si="16"/>
        <v/>
      </c>
      <c r="B10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7" spans="1:2" x14ac:dyDescent="0.25">
      <c r="A1017" s="1" t="str">
        <f t="shared" si="16"/>
        <v/>
      </c>
      <c r="B10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8" spans="1:2" x14ac:dyDescent="0.25">
      <c r="A1018" s="1" t="str">
        <f t="shared" si="16"/>
        <v/>
      </c>
      <c r="B10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9" spans="1:2" x14ac:dyDescent="0.25">
      <c r="A1019" s="1" t="str">
        <f t="shared" si="16"/>
        <v/>
      </c>
      <c r="B10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0" spans="1:2" x14ac:dyDescent="0.25">
      <c r="A1020" s="1" t="str">
        <f t="shared" si="16"/>
        <v/>
      </c>
      <c r="B10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1" spans="1:2" x14ac:dyDescent="0.25">
      <c r="A1021" s="1" t="str">
        <f t="shared" si="16"/>
        <v/>
      </c>
      <c r="B10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2" spans="1:2" x14ac:dyDescent="0.25">
      <c r="A1022" s="1" t="str">
        <f t="shared" si="16"/>
        <v/>
      </c>
      <c r="B10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3" spans="1:2" x14ac:dyDescent="0.25">
      <c r="A1023" s="1" t="str">
        <f t="shared" si="16"/>
        <v/>
      </c>
      <c r="B10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4" spans="1:2" x14ac:dyDescent="0.25">
      <c r="A1024" s="1" t="str">
        <f t="shared" si="16"/>
        <v/>
      </c>
      <c r="B10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5" spans="1:2" x14ac:dyDescent="0.25">
      <c r="A1025" s="1" t="str">
        <f t="shared" si="16"/>
        <v/>
      </c>
      <c r="B10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6" spans="1:2" x14ac:dyDescent="0.25">
      <c r="A1026" s="1" t="str">
        <f t="shared" si="16"/>
        <v/>
      </c>
      <c r="B10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7" spans="1:2" x14ac:dyDescent="0.25">
      <c r="A1027" s="1" t="str">
        <f t="shared" si="16"/>
        <v/>
      </c>
      <c r="B10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8" spans="1:2" x14ac:dyDescent="0.25">
      <c r="A1028" s="1" t="str">
        <f t="shared" si="16"/>
        <v/>
      </c>
      <c r="B10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9" spans="1:2" x14ac:dyDescent="0.25">
      <c r="A1029" s="1" t="str">
        <f t="shared" si="16"/>
        <v/>
      </c>
      <c r="B10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0" spans="1:2" x14ac:dyDescent="0.25">
      <c r="A1030" s="1" t="str">
        <f t="shared" si="16"/>
        <v/>
      </c>
      <c r="B10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1" spans="1:2" x14ac:dyDescent="0.25">
      <c r="A1031" s="1" t="str">
        <f t="shared" si="16"/>
        <v/>
      </c>
      <c r="B10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2" spans="1:2" x14ac:dyDescent="0.25">
      <c r="A1032" s="1" t="str">
        <f t="shared" si="16"/>
        <v/>
      </c>
      <c r="B10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3" spans="1:2" x14ac:dyDescent="0.25">
      <c r="A1033" s="1" t="str">
        <f t="shared" si="16"/>
        <v/>
      </c>
      <c r="B10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4" spans="1:2" x14ac:dyDescent="0.25">
      <c r="A1034" s="1" t="str">
        <f t="shared" si="16"/>
        <v/>
      </c>
      <c r="B10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5" spans="1:2" x14ac:dyDescent="0.25">
      <c r="A1035" s="1" t="str">
        <f t="shared" si="16"/>
        <v/>
      </c>
      <c r="B10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6" spans="1:2" x14ac:dyDescent="0.25">
      <c r="A1036" s="1" t="str">
        <f t="shared" si="16"/>
        <v/>
      </c>
      <c r="B10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7" spans="1:2" x14ac:dyDescent="0.25">
      <c r="A1037" s="1" t="str">
        <f t="shared" si="16"/>
        <v/>
      </c>
      <c r="B10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8" spans="1:2" x14ac:dyDescent="0.25">
      <c r="A1038" s="1" t="str">
        <f t="shared" si="16"/>
        <v/>
      </c>
      <c r="B10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9" spans="1:2" x14ac:dyDescent="0.25">
      <c r="A1039" s="1" t="str">
        <f t="shared" si="16"/>
        <v/>
      </c>
      <c r="B10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0" spans="1:2" x14ac:dyDescent="0.25">
      <c r="A1040" s="1" t="str">
        <f t="shared" si="16"/>
        <v/>
      </c>
      <c r="B10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1" spans="1:2" x14ac:dyDescent="0.25">
      <c r="A1041" s="1" t="str">
        <f t="shared" si="16"/>
        <v/>
      </c>
      <c r="B10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2" spans="1:2" x14ac:dyDescent="0.25">
      <c r="A1042" s="1" t="str">
        <f t="shared" si="16"/>
        <v/>
      </c>
      <c r="B10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3" spans="1:2" x14ac:dyDescent="0.25">
      <c r="A1043" s="1" t="str">
        <f t="shared" si="16"/>
        <v/>
      </c>
      <c r="B10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4" spans="1:2" x14ac:dyDescent="0.25">
      <c r="A1044" s="1" t="str">
        <f t="shared" si="16"/>
        <v/>
      </c>
      <c r="B10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5" spans="1:2" x14ac:dyDescent="0.25">
      <c r="A1045" s="1" t="str">
        <f t="shared" si="16"/>
        <v/>
      </c>
      <c r="B10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6" spans="1:2" x14ac:dyDescent="0.25">
      <c r="A1046" s="1" t="str">
        <f t="shared" si="16"/>
        <v/>
      </c>
      <c r="B10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7" spans="1:2" x14ac:dyDescent="0.25">
      <c r="A1047" s="1" t="str">
        <f t="shared" si="16"/>
        <v/>
      </c>
      <c r="B10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8" spans="1:2" x14ac:dyDescent="0.25">
      <c r="A1048" s="1" t="str">
        <f t="shared" si="16"/>
        <v/>
      </c>
      <c r="B10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9" spans="1:2" x14ac:dyDescent="0.25">
      <c r="A1049" s="1" t="str">
        <f t="shared" si="16"/>
        <v/>
      </c>
      <c r="B10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0" spans="1:2" x14ac:dyDescent="0.25">
      <c r="A1050" s="1" t="str">
        <f t="shared" si="16"/>
        <v/>
      </c>
      <c r="B10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1" spans="1:2" x14ac:dyDescent="0.25">
      <c r="A1051" s="1" t="str">
        <f t="shared" si="16"/>
        <v/>
      </c>
      <c r="B10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2" spans="1:2" x14ac:dyDescent="0.25">
      <c r="A1052" s="1" t="str">
        <f t="shared" si="16"/>
        <v/>
      </c>
      <c r="B10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3" spans="1:2" x14ac:dyDescent="0.25">
      <c r="A1053" s="1" t="str">
        <f t="shared" si="16"/>
        <v/>
      </c>
      <c r="B10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4" spans="1:2" x14ac:dyDescent="0.25">
      <c r="A1054" s="1" t="str">
        <f t="shared" si="16"/>
        <v/>
      </c>
      <c r="B10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5" spans="1:2" x14ac:dyDescent="0.25">
      <c r="A1055" s="1" t="str">
        <f t="shared" si="16"/>
        <v/>
      </c>
      <c r="B10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6" spans="1:2" x14ac:dyDescent="0.25">
      <c r="A1056" s="1" t="str">
        <f t="shared" si="16"/>
        <v/>
      </c>
      <c r="B10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7" spans="1:2" x14ac:dyDescent="0.25">
      <c r="A1057" s="1" t="str">
        <f t="shared" si="16"/>
        <v/>
      </c>
      <c r="B10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8" spans="1:2" x14ac:dyDescent="0.25">
      <c r="A1058" s="1" t="str">
        <f t="shared" si="16"/>
        <v/>
      </c>
      <c r="B10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9" spans="1:2" x14ac:dyDescent="0.25">
      <c r="A1059" s="1" t="str">
        <f t="shared" si="16"/>
        <v/>
      </c>
      <c r="B10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0" spans="1:2" x14ac:dyDescent="0.25">
      <c r="A1060" s="1" t="str">
        <f t="shared" si="16"/>
        <v/>
      </c>
      <c r="B10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1" spans="1:2" x14ac:dyDescent="0.25">
      <c r="A1061" s="1" t="str">
        <f t="shared" si="16"/>
        <v/>
      </c>
      <c r="B10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2" spans="1:2" x14ac:dyDescent="0.25">
      <c r="A1062" s="1" t="str">
        <f t="shared" si="16"/>
        <v/>
      </c>
      <c r="B10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3" spans="1:2" x14ac:dyDescent="0.25">
      <c r="A1063" s="1" t="str">
        <f t="shared" si="16"/>
        <v/>
      </c>
      <c r="B10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4" spans="1:2" x14ac:dyDescent="0.25">
      <c r="A1064" s="1" t="str">
        <f t="shared" si="16"/>
        <v/>
      </c>
      <c r="B10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5" spans="1:2" x14ac:dyDescent="0.25">
      <c r="A1065" s="1" t="str">
        <f t="shared" si="16"/>
        <v/>
      </c>
      <c r="B10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6" spans="1:2" x14ac:dyDescent="0.25">
      <c r="A1066" s="1" t="str">
        <f t="shared" si="16"/>
        <v/>
      </c>
      <c r="B10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7" spans="1:2" x14ac:dyDescent="0.25">
      <c r="A1067" s="1" t="str">
        <f t="shared" si="16"/>
        <v/>
      </c>
      <c r="B10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8" spans="1:2" x14ac:dyDescent="0.25">
      <c r="A1068" s="1" t="str">
        <f t="shared" si="16"/>
        <v/>
      </c>
      <c r="B10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9" spans="1:2" x14ac:dyDescent="0.25">
      <c r="A1069" s="1" t="str">
        <f t="shared" si="16"/>
        <v/>
      </c>
      <c r="B10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0" spans="1:2" x14ac:dyDescent="0.25">
      <c r="A1070" s="1" t="str">
        <f t="shared" si="16"/>
        <v/>
      </c>
      <c r="B10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1" spans="1:2" x14ac:dyDescent="0.25">
      <c r="A1071" s="1" t="str">
        <f t="shared" si="16"/>
        <v/>
      </c>
      <c r="B10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2" spans="1:2" x14ac:dyDescent="0.25">
      <c r="A1072" s="1" t="str">
        <f t="shared" si="16"/>
        <v/>
      </c>
      <c r="B10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3" spans="1:2" x14ac:dyDescent="0.25">
      <c r="A1073" s="1" t="str">
        <f t="shared" si="16"/>
        <v/>
      </c>
      <c r="B10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4" spans="1:2" x14ac:dyDescent="0.25">
      <c r="A1074" s="1" t="str">
        <f t="shared" si="16"/>
        <v/>
      </c>
      <c r="B10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5" spans="1:2" x14ac:dyDescent="0.25">
      <c r="A1075" s="1" t="str">
        <f t="shared" ref="A1075:A1138" si="17">IFERROR(LEFT(RIGHT(C1075,LEN(C1075)-SEARCH("@",C1075)),SEARCH("/",RIGHT(C1075,LEN(C1075)-SEARCH("@",C1075)-1))),"")</f>
        <v/>
      </c>
      <c r="B10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6" spans="1:2" x14ac:dyDescent="0.25">
      <c r="A1076" s="1" t="str">
        <f t="shared" si="17"/>
        <v/>
      </c>
      <c r="B10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7" spans="1:2" x14ac:dyDescent="0.25">
      <c r="A1077" s="1" t="str">
        <f t="shared" si="17"/>
        <v/>
      </c>
      <c r="B10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8" spans="1:2" x14ac:dyDescent="0.25">
      <c r="A1078" s="1" t="str">
        <f t="shared" si="17"/>
        <v/>
      </c>
      <c r="B10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9" spans="1:2" x14ac:dyDescent="0.25">
      <c r="A1079" s="1" t="str">
        <f t="shared" si="17"/>
        <v/>
      </c>
      <c r="B10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0" spans="1:2" x14ac:dyDescent="0.25">
      <c r="A1080" s="1" t="str">
        <f t="shared" si="17"/>
        <v/>
      </c>
      <c r="B10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1" spans="1:2" x14ac:dyDescent="0.25">
      <c r="A1081" s="1" t="str">
        <f t="shared" si="17"/>
        <v/>
      </c>
      <c r="B10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2" spans="1:2" x14ac:dyDescent="0.25">
      <c r="A1082" s="1" t="str">
        <f t="shared" si="17"/>
        <v/>
      </c>
      <c r="B10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3" spans="1:2" x14ac:dyDescent="0.25">
      <c r="A1083" s="1" t="str">
        <f t="shared" si="17"/>
        <v/>
      </c>
      <c r="B10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4" spans="1:2" x14ac:dyDescent="0.25">
      <c r="A1084" s="1" t="str">
        <f t="shared" si="17"/>
        <v/>
      </c>
      <c r="B10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5" spans="1:2" x14ac:dyDescent="0.25">
      <c r="A1085" s="1" t="str">
        <f t="shared" si="17"/>
        <v/>
      </c>
      <c r="B10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6" spans="1:2" x14ac:dyDescent="0.25">
      <c r="A1086" s="1" t="str">
        <f t="shared" si="17"/>
        <v/>
      </c>
      <c r="B10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7" spans="1:2" x14ac:dyDescent="0.25">
      <c r="A1087" s="1" t="str">
        <f t="shared" si="17"/>
        <v/>
      </c>
      <c r="B10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8" spans="1:2" x14ac:dyDescent="0.25">
      <c r="A1088" s="1" t="str">
        <f t="shared" si="17"/>
        <v/>
      </c>
      <c r="B10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9" spans="1:2" x14ac:dyDescent="0.25">
      <c r="A1089" s="1" t="str">
        <f t="shared" si="17"/>
        <v/>
      </c>
      <c r="B10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0" spans="1:2" x14ac:dyDescent="0.25">
      <c r="A1090" s="1" t="str">
        <f t="shared" si="17"/>
        <v/>
      </c>
      <c r="B10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1" spans="1:2" x14ac:dyDescent="0.25">
      <c r="A1091" s="1" t="str">
        <f t="shared" si="17"/>
        <v/>
      </c>
      <c r="B10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2" spans="1:2" x14ac:dyDescent="0.25">
      <c r="A1092" s="1" t="str">
        <f t="shared" si="17"/>
        <v/>
      </c>
      <c r="B10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3" spans="1:2" x14ac:dyDescent="0.25">
      <c r="A1093" s="1" t="str">
        <f t="shared" si="17"/>
        <v/>
      </c>
      <c r="B10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4" spans="1:2" x14ac:dyDescent="0.25">
      <c r="A1094" s="1" t="str">
        <f t="shared" si="17"/>
        <v/>
      </c>
      <c r="B10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5" spans="1:2" x14ac:dyDescent="0.25">
      <c r="A1095" s="1" t="str">
        <f t="shared" si="17"/>
        <v/>
      </c>
      <c r="B10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6" spans="1:2" x14ac:dyDescent="0.25">
      <c r="A1096" s="1" t="str">
        <f t="shared" si="17"/>
        <v/>
      </c>
      <c r="B10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7" spans="1:2" x14ac:dyDescent="0.25">
      <c r="A1097" s="1" t="str">
        <f t="shared" si="17"/>
        <v/>
      </c>
      <c r="B10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8" spans="1:2" x14ac:dyDescent="0.25">
      <c r="A1098" s="1" t="str">
        <f t="shared" si="17"/>
        <v/>
      </c>
      <c r="B10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9" spans="1:2" x14ac:dyDescent="0.25">
      <c r="A1099" s="1" t="str">
        <f t="shared" si="17"/>
        <v/>
      </c>
      <c r="B10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0" spans="1:2" x14ac:dyDescent="0.25">
      <c r="A1100" s="1" t="str">
        <f t="shared" si="17"/>
        <v/>
      </c>
      <c r="B11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1" spans="1:2" x14ac:dyDescent="0.25">
      <c r="A1101" s="1" t="str">
        <f t="shared" si="17"/>
        <v/>
      </c>
      <c r="B11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2" spans="1:2" x14ac:dyDescent="0.25">
      <c r="A1102" s="1" t="str">
        <f t="shared" si="17"/>
        <v/>
      </c>
      <c r="B11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3" spans="1:2" x14ac:dyDescent="0.25">
      <c r="A1103" s="1" t="str">
        <f t="shared" si="17"/>
        <v/>
      </c>
      <c r="B11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4" spans="1:2" x14ac:dyDescent="0.25">
      <c r="A1104" s="1" t="str">
        <f t="shared" si="17"/>
        <v/>
      </c>
      <c r="B11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5" spans="1:2" x14ac:dyDescent="0.25">
      <c r="A1105" s="1" t="str">
        <f t="shared" si="17"/>
        <v/>
      </c>
      <c r="B11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6" spans="1:2" x14ac:dyDescent="0.25">
      <c r="A1106" s="1" t="str">
        <f t="shared" si="17"/>
        <v/>
      </c>
      <c r="B11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7" spans="1:2" x14ac:dyDescent="0.25">
      <c r="A1107" s="1" t="str">
        <f t="shared" si="17"/>
        <v/>
      </c>
      <c r="B11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8" spans="1:2" x14ac:dyDescent="0.25">
      <c r="A1108" s="1" t="str">
        <f t="shared" si="17"/>
        <v/>
      </c>
      <c r="B11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9" spans="1:2" x14ac:dyDescent="0.25">
      <c r="A1109" s="1" t="str">
        <f t="shared" si="17"/>
        <v/>
      </c>
      <c r="B11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0" spans="1:2" x14ac:dyDescent="0.25">
      <c r="A1110" s="1" t="str">
        <f t="shared" si="17"/>
        <v/>
      </c>
      <c r="B11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1" spans="1:2" x14ac:dyDescent="0.25">
      <c r="A1111" s="1" t="str">
        <f t="shared" si="17"/>
        <v/>
      </c>
      <c r="B11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2" spans="1:2" x14ac:dyDescent="0.25">
      <c r="A1112" s="1" t="str">
        <f t="shared" si="17"/>
        <v/>
      </c>
      <c r="B11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3" spans="1:2" x14ac:dyDescent="0.25">
      <c r="A1113" s="1" t="str">
        <f t="shared" si="17"/>
        <v/>
      </c>
      <c r="B11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4" spans="1:2" x14ac:dyDescent="0.25">
      <c r="A1114" s="1" t="str">
        <f t="shared" si="17"/>
        <v/>
      </c>
      <c r="B11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5" spans="1:2" x14ac:dyDescent="0.25">
      <c r="A1115" s="1" t="str">
        <f t="shared" si="17"/>
        <v/>
      </c>
      <c r="B11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6" spans="1:2" x14ac:dyDescent="0.25">
      <c r="A1116" s="1" t="str">
        <f t="shared" si="17"/>
        <v/>
      </c>
      <c r="B11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7" spans="1:2" x14ac:dyDescent="0.25">
      <c r="A1117" s="1" t="str">
        <f t="shared" si="17"/>
        <v/>
      </c>
      <c r="B11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8" spans="1:2" x14ac:dyDescent="0.25">
      <c r="A1118" s="1" t="str">
        <f t="shared" si="17"/>
        <v/>
      </c>
      <c r="B11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9" spans="1:2" x14ac:dyDescent="0.25">
      <c r="A1119" s="1" t="str">
        <f t="shared" si="17"/>
        <v/>
      </c>
      <c r="B11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0" spans="1:2" x14ac:dyDescent="0.25">
      <c r="A1120" s="1" t="str">
        <f t="shared" si="17"/>
        <v/>
      </c>
      <c r="B11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1" spans="1:2" x14ac:dyDescent="0.25">
      <c r="A1121" s="1" t="str">
        <f t="shared" si="17"/>
        <v/>
      </c>
      <c r="B11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2" spans="1:2" x14ac:dyDescent="0.25">
      <c r="A1122" s="1" t="str">
        <f t="shared" si="17"/>
        <v/>
      </c>
      <c r="B11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3" spans="1:2" x14ac:dyDescent="0.25">
      <c r="A1123" s="1" t="str">
        <f t="shared" si="17"/>
        <v/>
      </c>
      <c r="B11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4" spans="1:2" x14ac:dyDescent="0.25">
      <c r="A1124" s="1" t="str">
        <f t="shared" si="17"/>
        <v/>
      </c>
      <c r="B11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5" spans="1:2" x14ac:dyDescent="0.25">
      <c r="A1125" s="1" t="str">
        <f t="shared" si="17"/>
        <v/>
      </c>
      <c r="B11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6" spans="1:2" x14ac:dyDescent="0.25">
      <c r="A1126" s="1" t="str">
        <f t="shared" si="17"/>
        <v/>
      </c>
      <c r="B11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7" spans="1:2" x14ac:dyDescent="0.25">
      <c r="A1127" s="1" t="str">
        <f t="shared" si="17"/>
        <v/>
      </c>
      <c r="B11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8" spans="1:2" x14ac:dyDescent="0.25">
      <c r="A1128" s="1" t="str">
        <f t="shared" si="17"/>
        <v/>
      </c>
      <c r="B11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9" spans="1:2" x14ac:dyDescent="0.25">
      <c r="A1129" s="1" t="str">
        <f t="shared" si="17"/>
        <v/>
      </c>
      <c r="B11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0" spans="1:2" x14ac:dyDescent="0.25">
      <c r="A1130" s="1" t="str">
        <f t="shared" si="17"/>
        <v/>
      </c>
      <c r="B11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1" spans="1:2" x14ac:dyDescent="0.25">
      <c r="A1131" s="1" t="str">
        <f t="shared" si="17"/>
        <v/>
      </c>
      <c r="B11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2" spans="1:2" x14ac:dyDescent="0.25">
      <c r="A1132" s="1" t="str">
        <f t="shared" si="17"/>
        <v/>
      </c>
      <c r="B11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3" spans="1:2" x14ac:dyDescent="0.25">
      <c r="A1133" s="1" t="str">
        <f t="shared" si="17"/>
        <v/>
      </c>
      <c r="B11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4" spans="1:2" x14ac:dyDescent="0.25">
      <c r="A1134" s="1" t="str">
        <f t="shared" si="17"/>
        <v/>
      </c>
      <c r="B11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5" spans="1:2" x14ac:dyDescent="0.25">
      <c r="A1135" s="1" t="str">
        <f t="shared" si="17"/>
        <v/>
      </c>
      <c r="B11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6" spans="1:2" x14ac:dyDescent="0.25">
      <c r="A1136" s="1" t="str">
        <f t="shared" si="17"/>
        <v/>
      </c>
      <c r="B11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7" spans="1:2" x14ac:dyDescent="0.25">
      <c r="A1137" s="1" t="str">
        <f t="shared" si="17"/>
        <v/>
      </c>
      <c r="B11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8" spans="1:2" x14ac:dyDescent="0.25">
      <c r="A1138" s="1" t="str">
        <f t="shared" si="17"/>
        <v/>
      </c>
      <c r="B11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9" spans="1:2" x14ac:dyDescent="0.25">
      <c r="A1139" s="1" t="str">
        <f t="shared" ref="A1139:A1202" si="18">IFERROR(LEFT(RIGHT(C1139,LEN(C1139)-SEARCH("@",C1139)),SEARCH("/",RIGHT(C1139,LEN(C1139)-SEARCH("@",C1139)-1))),"")</f>
        <v/>
      </c>
      <c r="B11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0" spans="1:2" x14ac:dyDescent="0.25">
      <c r="A1140" s="1" t="str">
        <f t="shared" si="18"/>
        <v/>
      </c>
      <c r="B11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1" spans="1:2" x14ac:dyDescent="0.25">
      <c r="A1141" s="1" t="str">
        <f t="shared" si="18"/>
        <v/>
      </c>
      <c r="B11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2" spans="1:2" x14ac:dyDescent="0.25">
      <c r="A1142" s="1" t="str">
        <f t="shared" si="18"/>
        <v/>
      </c>
      <c r="B11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3" spans="1:2" x14ac:dyDescent="0.25">
      <c r="A1143" s="1" t="str">
        <f t="shared" si="18"/>
        <v/>
      </c>
      <c r="B11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4" spans="1:2" x14ac:dyDescent="0.25">
      <c r="A1144" s="1" t="str">
        <f t="shared" si="18"/>
        <v/>
      </c>
      <c r="B11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5" spans="1:2" x14ac:dyDescent="0.25">
      <c r="A1145" s="1" t="str">
        <f t="shared" si="18"/>
        <v/>
      </c>
      <c r="B11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6" spans="1:2" x14ac:dyDescent="0.25">
      <c r="A1146" s="1" t="str">
        <f t="shared" si="18"/>
        <v/>
      </c>
      <c r="B11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7" spans="1:2" x14ac:dyDescent="0.25">
      <c r="A1147" s="1" t="str">
        <f t="shared" si="18"/>
        <v/>
      </c>
      <c r="B11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8" spans="1:2" x14ac:dyDescent="0.25">
      <c r="A1148" s="1" t="str">
        <f t="shared" si="18"/>
        <v/>
      </c>
      <c r="B11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9" spans="1:2" x14ac:dyDescent="0.25">
      <c r="A1149" s="1" t="str">
        <f t="shared" si="18"/>
        <v/>
      </c>
      <c r="B11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0" spans="1:2" x14ac:dyDescent="0.25">
      <c r="A1150" s="1" t="str">
        <f t="shared" si="18"/>
        <v/>
      </c>
      <c r="B11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1" spans="1:2" x14ac:dyDescent="0.25">
      <c r="A1151" s="1" t="str">
        <f t="shared" si="18"/>
        <v/>
      </c>
      <c r="B11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2" spans="1:2" x14ac:dyDescent="0.25">
      <c r="A1152" s="1" t="str">
        <f t="shared" si="18"/>
        <v/>
      </c>
      <c r="B11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3" spans="1:2" x14ac:dyDescent="0.25">
      <c r="A1153" s="1" t="str">
        <f t="shared" si="18"/>
        <v/>
      </c>
      <c r="B11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4" spans="1:2" x14ac:dyDescent="0.25">
      <c r="A1154" s="1" t="str">
        <f t="shared" si="18"/>
        <v/>
      </c>
      <c r="B11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5" spans="1:2" x14ac:dyDescent="0.25">
      <c r="A1155" s="1" t="str">
        <f t="shared" si="18"/>
        <v/>
      </c>
      <c r="B11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6" spans="1:2" x14ac:dyDescent="0.25">
      <c r="A1156" s="1" t="str">
        <f t="shared" si="18"/>
        <v/>
      </c>
      <c r="B11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7" spans="1:2" x14ac:dyDescent="0.25">
      <c r="A1157" s="1" t="str">
        <f t="shared" si="18"/>
        <v/>
      </c>
      <c r="B11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8" spans="1:2" x14ac:dyDescent="0.25">
      <c r="A1158" s="1" t="str">
        <f t="shared" si="18"/>
        <v/>
      </c>
      <c r="B11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9" spans="1:2" x14ac:dyDescent="0.25">
      <c r="A1159" s="1" t="str">
        <f t="shared" si="18"/>
        <v/>
      </c>
      <c r="B11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0" spans="1:2" x14ac:dyDescent="0.25">
      <c r="A1160" s="1" t="str">
        <f t="shared" si="18"/>
        <v/>
      </c>
      <c r="B11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1" spans="1:2" x14ac:dyDescent="0.25">
      <c r="A1161" s="1" t="str">
        <f t="shared" si="18"/>
        <v/>
      </c>
      <c r="B11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2" spans="1:2" x14ac:dyDescent="0.25">
      <c r="A1162" s="1" t="str">
        <f t="shared" si="18"/>
        <v/>
      </c>
      <c r="B11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3" spans="1:2" x14ac:dyDescent="0.25">
      <c r="A1163" s="1" t="str">
        <f t="shared" si="18"/>
        <v/>
      </c>
      <c r="B11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4" spans="1:2" x14ac:dyDescent="0.25">
      <c r="A1164" s="1" t="str">
        <f t="shared" si="18"/>
        <v/>
      </c>
      <c r="B11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5" spans="1:2" x14ac:dyDescent="0.25">
      <c r="A1165" s="1" t="str">
        <f t="shared" si="18"/>
        <v/>
      </c>
      <c r="B11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6" spans="1:2" x14ac:dyDescent="0.25">
      <c r="A1166" s="1" t="str">
        <f t="shared" si="18"/>
        <v/>
      </c>
      <c r="B11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7" spans="1:2" x14ac:dyDescent="0.25">
      <c r="A1167" s="1" t="str">
        <f t="shared" si="18"/>
        <v/>
      </c>
      <c r="B11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8" spans="1:2" x14ac:dyDescent="0.25">
      <c r="A1168" s="1" t="str">
        <f t="shared" si="18"/>
        <v/>
      </c>
      <c r="B11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9" spans="1:2" x14ac:dyDescent="0.25">
      <c r="A1169" s="1" t="str">
        <f t="shared" si="18"/>
        <v/>
      </c>
      <c r="B11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0" spans="1:2" x14ac:dyDescent="0.25">
      <c r="A1170" s="1" t="str">
        <f t="shared" si="18"/>
        <v/>
      </c>
      <c r="B11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1" spans="1:2" x14ac:dyDescent="0.25">
      <c r="A1171" s="1" t="str">
        <f t="shared" si="18"/>
        <v/>
      </c>
      <c r="B11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2" spans="1:2" x14ac:dyDescent="0.25">
      <c r="A1172" s="1" t="str">
        <f t="shared" si="18"/>
        <v/>
      </c>
      <c r="B11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3" spans="1:2" x14ac:dyDescent="0.25">
      <c r="A1173" s="1" t="str">
        <f t="shared" si="18"/>
        <v/>
      </c>
      <c r="B11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4" spans="1:2" x14ac:dyDescent="0.25">
      <c r="A1174" s="1" t="str">
        <f t="shared" si="18"/>
        <v/>
      </c>
      <c r="B11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5" spans="1:2" x14ac:dyDescent="0.25">
      <c r="A1175" s="1" t="str">
        <f t="shared" si="18"/>
        <v/>
      </c>
      <c r="B11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6" spans="1:2" x14ac:dyDescent="0.25">
      <c r="A1176" s="1" t="str">
        <f t="shared" si="18"/>
        <v/>
      </c>
      <c r="B11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7" spans="1:2" x14ac:dyDescent="0.25">
      <c r="A1177" s="1" t="str">
        <f t="shared" si="18"/>
        <v/>
      </c>
      <c r="B11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8" spans="1:2" x14ac:dyDescent="0.25">
      <c r="A1178" s="1" t="str">
        <f t="shared" si="18"/>
        <v/>
      </c>
      <c r="B11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9" spans="1:2" x14ac:dyDescent="0.25">
      <c r="A1179" s="1" t="str">
        <f t="shared" si="18"/>
        <v/>
      </c>
      <c r="B11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0" spans="1:2" x14ac:dyDescent="0.25">
      <c r="A1180" s="1" t="str">
        <f t="shared" si="18"/>
        <v/>
      </c>
      <c r="B11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1" spans="1:2" x14ac:dyDescent="0.25">
      <c r="A1181" s="1" t="str">
        <f t="shared" si="18"/>
        <v/>
      </c>
      <c r="B11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2" spans="1:2" x14ac:dyDescent="0.25">
      <c r="A1182" s="1" t="str">
        <f t="shared" si="18"/>
        <v/>
      </c>
      <c r="B11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3" spans="1:2" x14ac:dyDescent="0.25">
      <c r="A1183" s="1" t="str">
        <f t="shared" si="18"/>
        <v/>
      </c>
      <c r="B11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4" spans="1:2" x14ac:dyDescent="0.25">
      <c r="A1184" s="1" t="str">
        <f t="shared" si="18"/>
        <v/>
      </c>
      <c r="B11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5" spans="1:2" x14ac:dyDescent="0.25">
      <c r="A1185" s="1" t="str">
        <f t="shared" si="18"/>
        <v/>
      </c>
      <c r="B11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6" spans="1:2" x14ac:dyDescent="0.25">
      <c r="A1186" s="1" t="str">
        <f t="shared" si="18"/>
        <v/>
      </c>
      <c r="B11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7" spans="1:2" x14ac:dyDescent="0.25">
      <c r="A1187" s="1" t="str">
        <f t="shared" si="18"/>
        <v/>
      </c>
      <c r="B11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8" spans="1:2" x14ac:dyDescent="0.25">
      <c r="A1188" s="1" t="str">
        <f t="shared" si="18"/>
        <v/>
      </c>
      <c r="B11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9" spans="1:2" x14ac:dyDescent="0.25">
      <c r="A1189" s="1" t="str">
        <f t="shared" si="18"/>
        <v/>
      </c>
      <c r="B11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0" spans="1:2" x14ac:dyDescent="0.25">
      <c r="A1190" s="1" t="str">
        <f t="shared" si="18"/>
        <v/>
      </c>
      <c r="B11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1" spans="1:2" x14ac:dyDescent="0.25">
      <c r="A1191" s="1" t="str">
        <f t="shared" si="18"/>
        <v/>
      </c>
      <c r="B11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2" spans="1:2" x14ac:dyDescent="0.25">
      <c r="A1192" s="1" t="str">
        <f t="shared" si="18"/>
        <v/>
      </c>
      <c r="B11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3" spans="1:2" x14ac:dyDescent="0.25">
      <c r="A1193" s="1" t="str">
        <f t="shared" si="18"/>
        <v/>
      </c>
      <c r="B11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4" spans="1:2" x14ac:dyDescent="0.25">
      <c r="A1194" s="1" t="str">
        <f t="shared" si="18"/>
        <v/>
      </c>
      <c r="B11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5" spans="1:2" x14ac:dyDescent="0.25">
      <c r="A1195" s="1" t="str">
        <f t="shared" si="18"/>
        <v/>
      </c>
      <c r="B11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6" spans="1:2" x14ac:dyDescent="0.25">
      <c r="A1196" s="1" t="str">
        <f t="shared" si="18"/>
        <v/>
      </c>
      <c r="B11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7" spans="1:2" x14ac:dyDescent="0.25">
      <c r="A1197" s="1" t="str">
        <f t="shared" si="18"/>
        <v/>
      </c>
      <c r="B11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8" spans="1:2" x14ac:dyDescent="0.25">
      <c r="A1198" s="1" t="str">
        <f t="shared" si="18"/>
        <v/>
      </c>
      <c r="B11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9" spans="1:2" x14ac:dyDescent="0.25">
      <c r="A1199" s="1" t="str">
        <f t="shared" si="18"/>
        <v/>
      </c>
      <c r="B11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0" spans="1:2" x14ac:dyDescent="0.25">
      <c r="A1200" s="1" t="str">
        <f t="shared" si="18"/>
        <v/>
      </c>
      <c r="B12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1" spans="1:2" x14ac:dyDescent="0.25">
      <c r="A1201" s="1" t="str">
        <f t="shared" si="18"/>
        <v/>
      </c>
      <c r="B12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2" spans="1:2" x14ac:dyDescent="0.25">
      <c r="A1202" s="1" t="str">
        <f t="shared" si="18"/>
        <v/>
      </c>
      <c r="B12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3" spans="1:2" x14ac:dyDescent="0.25">
      <c r="A1203" s="1" t="str">
        <f t="shared" ref="A1203:A1266" si="19">IFERROR(LEFT(RIGHT(C1203,LEN(C1203)-SEARCH("@",C1203)),SEARCH("/",RIGHT(C1203,LEN(C1203)-SEARCH("@",C1203)-1))),"")</f>
        <v/>
      </c>
      <c r="B12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4" spans="1:2" x14ac:dyDescent="0.25">
      <c r="A1204" s="1" t="str">
        <f t="shared" si="19"/>
        <v/>
      </c>
      <c r="B12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5" spans="1:2" x14ac:dyDescent="0.25">
      <c r="A1205" s="1" t="str">
        <f t="shared" si="19"/>
        <v/>
      </c>
      <c r="B12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6" spans="1:2" x14ac:dyDescent="0.25">
      <c r="A1206" s="1" t="str">
        <f t="shared" si="19"/>
        <v/>
      </c>
      <c r="B12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7" spans="1:2" x14ac:dyDescent="0.25">
      <c r="A1207" s="1" t="str">
        <f t="shared" si="19"/>
        <v/>
      </c>
      <c r="B12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8" spans="1:2" x14ac:dyDescent="0.25">
      <c r="A1208" s="1" t="str">
        <f t="shared" si="19"/>
        <v/>
      </c>
      <c r="B12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9" spans="1:2" x14ac:dyDescent="0.25">
      <c r="A1209" s="1" t="str">
        <f t="shared" si="19"/>
        <v/>
      </c>
      <c r="B12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0" spans="1:2" x14ac:dyDescent="0.25">
      <c r="A1210" s="1" t="str">
        <f t="shared" si="19"/>
        <v/>
      </c>
      <c r="B12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1" spans="1:2" x14ac:dyDescent="0.25">
      <c r="A1211" s="1" t="str">
        <f t="shared" si="19"/>
        <v/>
      </c>
      <c r="B12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2" spans="1:2" x14ac:dyDescent="0.25">
      <c r="A1212" s="1" t="str">
        <f t="shared" si="19"/>
        <v/>
      </c>
      <c r="B12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3" spans="1:2" x14ac:dyDescent="0.25">
      <c r="A1213" s="1" t="str">
        <f t="shared" si="19"/>
        <v/>
      </c>
      <c r="B12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4" spans="1:2" x14ac:dyDescent="0.25">
      <c r="A1214" s="1" t="str">
        <f t="shared" si="19"/>
        <v/>
      </c>
      <c r="B12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5" spans="1:2" x14ac:dyDescent="0.25">
      <c r="A1215" s="1" t="str">
        <f t="shared" si="19"/>
        <v/>
      </c>
      <c r="B12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6" spans="1:2" x14ac:dyDescent="0.25">
      <c r="A1216" s="1" t="str">
        <f t="shared" si="19"/>
        <v/>
      </c>
      <c r="B12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7" spans="1:2" x14ac:dyDescent="0.25">
      <c r="A1217" s="1" t="str">
        <f t="shared" si="19"/>
        <v/>
      </c>
      <c r="B12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8" spans="1:2" x14ac:dyDescent="0.25">
      <c r="A1218" s="1" t="str">
        <f t="shared" si="19"/>
        <v/>
      </c>
      <c r="B12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9" spans="1:2" x14ac:dyDescent="0.25">
      <c r="A1219" s="1" t="str">
        <f t="shared" si="19"/>
        <v/>
      </c>
      <c r="B12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0" spans="1:2" x14ac:dyDescent="0.25">
      <c r="A1220" s="1" t="str">
        <f t="shared" si="19"/>
        <v/>
      </c>
      <c r="B12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1" spans="1:2" x14ac:dyDescent="0.25">
      <c r="A1221" s="1" t="str">
        <f t="shared" si="19"/>
        <v/>
      </c>
      <c r="B12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2" spans="1:2" x14ac:dyDescent="0.25">
      <c r="A1222" s="1" t="str">
        <f t="shared" si="19"/>
        <v/>
      </c>
      <c r="B12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3" spans="1:2" x14ac:dyDescent="0.25">
      <c r="A1223" s="1" t="str">
        <f t="shared" si="19"/>
        <v/>
      </c>
      <c r="B12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4" spans="1:2" x14ac:dyDescent="0.25">
      <c r="A1224" s="1" t="str">
        <f t="shared" si="19"/>
        <v/>
      </c>
      <c r="B12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5" spans="1:2" x14ac:dyDescent="0.25">
      <c r="A1225" s="1" t="str">
        <f t="shared" si="19"/>
        <v/>
      </c>
      <c r="B12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6" spans="1:2" x14ac:dyDescent="0.25">
      <c r="A1226" s="1" t="str">
        <f t="shared" si="19"/>
        <v/>
      </c>
      <c r="B12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7" spans="1:2" x14ac:dyDescent="0.25">
      <c r="A1227" s="1" t="str">
        <f t="shared" si="19"/>
        <v/>
      </c>
      <c r="B12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8" spans="1:2" x14ac:dyDescent="0.25">
      <c r="A1228" s="1" t="str">
        <f t="shared" si="19"/>
        <v/>
      </c>
      <c r="B12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9" spans="1:2" x14ac:dyDescent="0.25">
      <c r="A1229" s="1" t="str">
        <f t="shared" si="19"/>
        <v/>
      </c>
      <c r="B12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0" spans="1:2" x14ac:dyDescent="0.25">
      <c r="A1230" s="1" t="str">
        <f t="shared" si="19"/>
        <v/>
      </c>
      <c r="B12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1" spans="1:2" x14ac:dyDescent="0.25">
      <c r="A1231" s="1" t="str">
        <f t="shared" si="19"/>
        <v/>
      </c>
      <c r="B12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2" spans="1:2" x14ac:dyDescent="0.25">
      <c r="A1232" s="1" t="str">
        <f t="shared" si="19"/>
        <v/>
      </c>
      <c r="B12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3" spans="1:2" x14ac:dyDescent="0.25">
      <c r="A1233" s="1" t="str">
        <f t="shared" si="19"/>
        <v/>
      </c>
      <c r="B12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4" spans="1:2" x14ac:dyDescent="0.25">
      <c r="A1234" s="1" t="str">
        <f t="shared" si="19"/>
        <v/>
      </c>
      <c r="B12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5" spans="1:2" x14ac:dyDescent="0.25">
      <c r="A1235" s="1" t="str">
        <f t="shared" si="19"/>
        <v/>
      </c>
      <c r="B12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6" spans="1:2" x14ac:dyDescent="0.25">
      <c r="A1236" s="1" t="str">
        <f t="shared" si="19"/>
        <v/>
      </c>
      <c r="B12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7" spans="1:2" x14ac:dyDescent="0.25">
      <c r="A1237" s="1" t="str">
        <f t="shared" si="19"/>
        <v/>
      </c>
      <c r="B12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8" spans="1:2" x14ac:dyDescent="0.25">
      <c r="A1238" s="1" t="str">
        <f t="shared" si="19"/>
        <v/>
      </c>
      <c r="B12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9" spans="1:2" x14ac:dyDescent="0.25">
      <c r="A1239" s="1" t="str">
        <f t="shared" si="19"/>
        <v/>
      </c>
      <c r="B12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0" spans="1:2" x14ac:dyDescent="0.25">
      <c r="A1240" s="1" t="str">
        <f t="shared" si="19"/>
        <v/>
      </c>
      <c r="B12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1" spans="1:2" x14ac:dyDescent="0.25">
      <c r="A1241" s="1" t="str">
        <f t="shared" si="19"/>
        <v/>
      </c>
      <c r="B12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2" spans="1:2" x14ac:dyDescent="0.25">
      <c r="A1242" s="1" t="str">
        <f t="shared" si="19"/>
        <v/>
      </c>
      <c r="B12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3" spans="1:2" x14ac:dyDescent="0.25">
      <c r="A1243" s="1" t="str">
        <f t="shared" si="19"/>
        <v/>
      </c>
      <c r="B12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4" spans="1:2" x14ac:dyDescent="0.25">
      <c r="A1244" s="1" t="str">
        <f t="shared" si="19"/>
        <v/>
      </c>
      <c r="B12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5" spans="1:2" x14ac:dyDescent="0.25">
      <c r="A1245" s="1" t="str">
        <f t="shared" si="19"/>
        <v/>
      </c>
      <c r="B12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6" spans="1:2" x14ac:dyDescent="0.25">
      <c r="A1246" s="1" t="str">
        <f t="shared" si="19"/>
        <v/>
      </c>
      <c r="B12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7" spans="1:2" x14ac:dyDescent="0.25">
      <c r="A1247" s="1" t="str">
        <f t="shared" si="19"/>
        <v/>
      </c>
      <c r="B12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8" spans="1:2" x14ac:dyDescent="0.25">
      <c r="A1248" s="1" t="str">
        <f t="shared" si="19"/>
        <v/>
      </c>
      <c r="B12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9" spans="1:2" x14ac:dyDescent="0.25">
      <c r="A1249" s="1" t="str">
        <f t="shared" si="19"/>
        <v/>
      </c>
      <c r="B12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0" spans="1:2" x14ac:dyDescent="0.25">
      <c r="A1250" s="1" t="str">
        <f t="shared" si="19"/>
        <v/>
      </c>
      <c r="B12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1" spans="1:2" x14ac:dyDescent="0.25">
      <c r="A1251" s="1" t="str">
        <f t="shared" si="19"/>
        <v/>
      </c>
      <c r="B12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2" spans="1:2" x14ac:dyDescent="0.25">
      <c r="A1252" s="1" t="str">
        <f t="shared" si="19"/>
        <v/>
      </c>
      <c r="B12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3" spans="1:2" x14ac:dyDescent="0.25">
      <c r="A1253" s="1" t="str">
        <f t="shared" si="19"/>
        <v/>
      </c>
      <c r="B12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4" spans="1:2" x14ac:dyDescent="0.25">
      <c r="A1254" s="1" t="str">
        <f t="shared" si="19"/>
        <v/>
      </c>
      <c r="B12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5" spans="1:2" x14ac:dyDescent="0.25">
      <c r="A1255" s="1" t="str">
        <f t="shared" si="19"/>
        <v/>
      </c>
      <c r="B12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6" spans="1:2" x14ac:dyDescent="0.25">
      <c r="A1256" s="1" t="str">
        <f t="shared" si="19"/>
        <v/>
      </c>
      <c r="B12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7" spans="1:2" x14ac:dyDescent="0.25">
      <c r="A1257" s="1" t="str">
        <f t="shared" si="19"/>
        <v/>
      </c>
      <c r="B12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8" spans="1:2" x14ac:dyDescent="0.25">
      <c r="A1258" s="1" t="str">
        <f t="shared" si="19"/>
        <v/>
      </c>
      <c r="B12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9" spans="1:2" x14ac:dyDescent="0.25">
      <c r="A1259" s="1" t="str">
        <f t="shared" si="19"/>
        <v/>
      </c>
      <c r="B12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0" spans="1:2" x14ac:dyDescent="0.25">
      <c r="A1260" s="1" t="str">
        <f t="shared" si="19"/>
        <v/>
      </c>
      <c r="B12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1" spans="1:2" x14ac:dyDescent="0.25">
      <c r="A1261" s="1" t="str">
        <f t="shared" si="19"/>
        <v/>
      </c>
      <c r="B12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2" spans="1:2" x14ac:dyDescent="0.25">
      <c r="A1262" s="1" t="str">
        <f t="shared" si="19"/>
        <v/>
      </c>
      <c r="B12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3" spans="1:2" x14ac:dyDescent="0.25">
      <c r="A1263" s="1" t="str">
        <f t="shared" si="19"/>
        <v/>
      </c>
      <c r="B12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4" spans="1:2" x14ac:dyDescent="0.25">
      <c r="A1264" s="1" t="str">
        <f t="shared" si="19"/>
        <v/>
      </c>
      <c r="B12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5" spans="1:2" x14ac:dyDescent="0.25">
      <c r="A1265" s="1" t="str">
        <f t="shared" si="19"/>
        <v/>
      </c>
      <c r="B12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6" spans="1:2" x14ac:dyDescent="0.25">
      <c r="A1266" s="1" t="str">
        <f t="shared" si="19"/>
        <v/>
      </c>
      <c r="B12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7" spans="1:2" x14ac:dyDescent="0.25">
      <c r="A1267" s="1" t="str">
        <f t="shared" ref="A1267:A1330" si="20">IFERROR(LEFT(RIGHT(C1267,LEN(C1267)-SEARCH("@",C1267)),SEARCH("/",RIGHT(C1267,LEN(C1267)-SEARCH("@",C1267)-1))),"")</f>
        <v/>
      </c>
      <c r="B12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8" spans="1:2" x14ac:dyDescent="0.25">
      <c r="A1268" s="1" t="str">
        <f t="shared" si="20"/>
        <v/>
      </c>
      <c r="B12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9" spans="1:2" x14ac:dyDescent="0.25">
      <c r="A1269" s="1" t="str">
        <f t="shared" si="20"/>
        <v/>
      </c>
      <c r="B12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0" spans="1:2" x14ac:dyDescent="0.25">
      <c r="A1270" s="1" t="str">
        <f t="shared" si="20"/>
        <v/>
      </c>
      <c r="B12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1" spans="1:2" x14ac:dyDescent="0.25">
      <c r="A1271" s="1" t="str">
        <f t="shared" si="20"/>
        <v/>
      </c>
      <c r="B12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2" spans="1:2" x14ac:dyDescent="0.25">
      <c r="A1272" s="1" t="str">
        <f t="shared" si="20"/>
        <v/>
      </c>
      <c r="B12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3" spans="1:2" x14ac:dyDescent="0.25">
      <c r="A1273" s="1" t="str">
        <f t="shared" si="20"/>
        <v/>
      </c>
      <c r="B12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4" spans="1:2" x14ac:dyDescent="0.25">
      <c r="A1274" s="1" t="str">
        <f t="shared" si="20"/>
        <v/>
      </c>
      <c r="B12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5" spans="1:2" x14ac:dyDescent="0.25">
      <c r="A1275" s="1" t="str">
        <f t="shared" si="20"/>
        <v/>
      </c>
      <c r="B12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6" spans="1:2" x14ac:dyDescent="0.25">
      <c r="A1276" s="1" t="str">
        <f t="shared" si="20"/>
        <v/>
      </c>
      <c r="B12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7" spans="1:2" x14ac:dyDescent="0.25">
      <c r="A1277" s="1" t="str">
        <f t="shared" si="20"/>
        <v/>
      </c>
      <c r="B12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8" spans="1:2" x14ac:dyDescent="0.25">
      <c r="A1278" s="1" t="str">
        <f t="shared" si="20"/>
        <v/>
      </c>
      <c r="B12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9" spans="1:2" x14ac:dyDescent="0.25">
      <c r="A1279" s="1" t="str">
        <f t="shared" si="20"/>
        <v/>
      </c>
      <c r="B12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0" spans="1:2" x14ac:dyDescent="0.25">
      <c r="A1280" s="1" t="str">
        <f t="shared" si="20"/>
        <v/>
      </c>
      <c r="B12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1" spans="1:2" x14ac:dyDescent="0.25">
      <c r="A1281" s="1" t="str">
        <f t="shared" si="20"/>
        <v/>
      </c>
      <c r="B12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2" spans="1:2" x14ac:dyDescent="0.25">
      <c r="A1282" s="1" t="str">
        <f t="shared" si="20"/>
        <v/>
      </c>
      <c r="B12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3" spans="1:2" x14ac:dyDescent="0.25">
      <c r="A1283" s="1" t="str">
        <f t="shared" si="20"/>
        <v/>
      </c>
      <c r="B12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4" spans="1:2" x14ac:dyDescent="0.25">
      <c r="A1284" s="1" t="str">
        <f t="shared" si="20"/>
        <v/>
      </c>
      <c r="B12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5" spans="1:2" x14ac:dyDescent="0.25">
      <c r="A1285" s="1" t="str">
        <f t="shared" si="20"/>
        <v/>
      </c>
      <c r="B12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6" spans="1:2" x14ac:dyDescent="0.25">
      <c r="A1286" s="1" t="str">
        <f t="shared" si="20"/>
        <v/>
      </c>
      <c r="B12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7" spans="1:2" x14ac:dyDescent="0.25">
      <c r="A1287" s="1" t="str">
        <f t="shared" si="20"/>
        <v/>
      </c>
      <c r="B12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8" spans="1:2" x14ac:dyDescent="0.25">
      <c r="A1288" s="1" t="str">
        <f t="shared" si="20"/>
        <v/>
      </c>
      <c r="B12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9" spans="1:2" x14ac:dyDescent="0.25">
      <c r="A1289" s="1" t="str">
        <f t="shared" si="20"/>
        <v/>
      </c>
      <c r="B12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0" spans="1:2" x14ac:dyDescent="0.25">
      <c r="A1290" s="1" t="str">
        <f t="shared" si="20"/>
        <v/>
      </c>
      <c r="B12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1" spans="1:2" x14ac:dyDescent="0.25">
      <c r="A1291" s="1" t="str">
        <f t="shared" si="20"/>
        <v/>
      </c>
      <c r="B12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2" spans="1:2" x14ac:dyDescent="0.25">
      <c r="A1292" s="1" t="str">
        <f t="shared" si="20"/>
        <v/>
      </c>
      <c r="B12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3" spans="1:2" x14ac:dyDescent="0.25">
      <c r="A1293" s="1" t="str">
        <f t="shared" si="20"/>
        <v/>
      </c>
      <c r="B12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4" spans="1:2" x14ac:dyDescent="0.25">
      <c r="A1294" s="1" t="str">
        <f t="shared" si="20"/>
        <v/>
      </c>
      <c r="B12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5" spans="1:2" x14ac:dyDescent="0.25">
      <c r="A1295" s="1" t="str">
        <f t="shared" si="20"/>
        <v/>
      </c>
      <c r="B12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6" spans="1:2" x14ac:dyDescent="0.25">
      <c r="A1296" s="1" t="str">
        <f t="shared" si="20"/>
        <v/>
      </c>
      <c r="B12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7" spans="1:2" x14ac:dyDescent="0.25">
      <c r="A1297" s="1" t="str">
        <f t="shared" si="20"/>
        <v/>
      </c>
      <c r="B12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8" spans="1:2" x14ac:dyDescent="0.25">
      <c r="A1298" s="1" t="str">
        <f t="shared" si="20"/>
        <v/>
      </c>
      <c r="B12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9" spans="1:2" x14ac:dyDescent="0.25">
      <c r="A1299" s="1" t="str">
        <f t="shared" si="20"/>
        <v/>
      </c>
      <c r="B12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0" spans="1:2" x14ac:dyDescent="0.25">
      <c r="A1300" s="1" t="str">
        <f t="shared" si="20"/>
        <v/>
      </c>
      <c r="B13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1" spans="1:2" x14ac:dyDescent="0.25">
      <c r="A1301" s="1" t="str">
        <f t="shared" si="20"/>
        <v/>
      </c>
      <c r="B13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2" spans="1:2" x14ac:dyDescent="0.25">
      <c r="A1302" s="1" t="str">
        <f t="shared" si="20"/>
        <v/>
      </c>
      <c r="B13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3" spans="1:2" x14ac:dyDescent="0.25">
      <c r="A1303" s="1" t="str">
        <f t="shared" si="20"/>
        <v/>
      </c>
      <c r="B13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4" spans="1:2" x14ac:dyDescent="0.25">
      <c r="A1304" s="1" t="str">
        <f t="shared" si="20"/>
        <v/>
      </c>
      <c r="B13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5" spans="1:2" x14ac:dyDescent="0.25">
      <c r="A1305" s="1" t="str">
        <f t="shared" si="20"/>
        <v/>
      </c>
      <c r="B13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6" spans="1:2" x14ac:dyDescent="0.25">
      <c r="A1306" s="1" t="str">
        <f t="shared" si="20"/>
        <v/>
      </c>
      <c r="B13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7" spans="1:2" x14ac:dyDescent="0.25">
      <c r="A1307" s="1" t="str">
        <f t="shared" si="20"/>
        <v/>
      </c>
      <c r="B13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8" spans="1:2" x14ac:dyDescent="0.25">
      <c r="A1308" s="1" t="str">
        <f t="shared" si="20"/>
        <v/>
      </c>
      <c r="B13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9" spans="1:2" x14ac:dyDescent="0.25">
      <c r="A1309" s="1" t="str">
        <f t="shared" si="20"/>
        <v/>
      </c>
      <c r="B13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0" spans="1:2" x14ac:dyDescent="0.25">
      <c r="A1310" s="1" t="str">
        <f t="shared" si="20"/>
        <v/>
      </c>
      <c r="B13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1" spans="1:2" x14ac:dyDescent="0.25">
      <c r="A1311" s="1" t="str">
        <f t="shared" si="20"/>
        <v/>
      </c>
      <c r="B13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2" spans="1:2" x14ac:dyDescent="0.25">
      <c r="A1312" s="1" t="str">
        <f t="shared" si="20"/>
        <v/>
      </c>
      <c r="B13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3" spans="1:2" x14ac:dyDescent="0.25">
      <c r="A1313" s="1" t="str">
        <f t="shared" si="20"/>
        <v/>
      </c>
      <c r="B13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4" spans="1:2" x14ac:dyDescent="0.25">
      <c r="A1314" s="1" t="str">
        <f t="shared" si="20"/>
        <v/>
      </c>
      <c r="B13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5" spans="1:2" x14ac:dyDescent="0.25">
      <c r="A1315" s="1" t="str">
        <f t="shared" si="20"/>
        <v/>
      </c>
      <c r="B13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6" spans="1:2" x14ac:dyDescent="0.25">
      <c r="A1316" s="1" t="str">
        <f t="shared" si="20"/>
        <v/>
      </c>
      <c r="B13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7" spans="1:2" x14ac:dyDescent="0.25">
      <c r="A1317" s="1" t="str">
        <f t="shared" si="20"/>
        <v/>
      </c>
      <c r="B13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8" spans="1:2" x14ac:dyDescent="0.25">
      <c r="A1318" s="1" t="str">
        <f t="shared" si="20"/>
        <v/>
      </c>
      <c r="B13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9" spans="1:2" x14ac:dyDescent="0.25">
      <c r="A1319" s="1" t="str">
        <f t="shared" si="20"/>
        <v/>
      </c>
      <c r="B13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0" spans="1:2" x14ac:dyDescent="0.25">
      <c r="A1320" s="1" t="str">
        <f t="shared" si="20"/>
        <v/>
      </c>
      <c r="B13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1" spans="1:2" x14ac:dyDescent="0.25">
      <c r="A1321" s="1" t="str">
        <f t="shared" si="20"/>
        <v/>
      </c>
      <c r="B13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2" spans="1:2" x14ac:dyDescent="0.25">
      <c r="A1322" s="1" t="str">
        <f t="shared" si="20"/>
        <v/>
      </c>
      <c r="B13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3" spans="1:2" x14ac:dyDescent="0.25">
      <c r="A1323" s="1" t="str">
        <f t="shared" si="20"/>
        <v/>
      </c>
      <c r="B13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4" spans="1:2" x14ac:dyDescent="0.25">
      <c r="A1324" s="1" t="str">
        <f t="shared" si="20"/>
        <v/>
      </c>
      <c r="B13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5" spans="1:2" x14ac:dyDescent="0.25">
      <c r="A1325" s="1" t="str">
        <f t="shared" si="20"/>
        <v/>
      </c>
      <c r="B13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6" spans="1:2" x14ac:dyDescent="0.25">
      <c r="A1326" s="1" t="str">
        <f t="shared" si="20"/>
        <v/>
      </c>
      <c r="B13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7" spans="1:2" x14ac:dyDescent="0.25">
      <c r="A1327" s="1" t="str">
        <f t="shared" si="20"/>
        <v/>
      </c>
      <c r="B13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8" spans="1:2" x14ac:dyDescent="0.25">
      <c r="A1328" s="1" t="str">
        <f t="shared" si="20"/>
        <v/>
      </c>
      <c r="B13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9" spans="1:2" x14ac:dyDescent="0.25">
      <c r="A1329" s="1" t="str">
        <f t="shared" si="20"/>
        <v/>
      </c>
      <c r="B13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0" spans="1:2" x14ac:dyDescent="0.25">
      <c r="A1330" s="1" t="str">
        <f t="shared" si="20"/>
        <v/>
      </c>
      <c r="B13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1" spans="1:2" x14ac:dyDescent="0.25">
      <c r="A1331" s="1" t="str">
        <f t="shared" ref="A1331:A1394" si="21">IFERROR(LEFT(RIGHT(C1331,LEN(C1331)-SEARCH("@",C1331)),SEARCH("/",RIGHT(C1331,LEN(C1331)-SEARCH("@",C1331)-1))),"")</f>
        <v/>
      </c>
      <c r="B13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2" spans="1:2" x14ac:dyDescent="0.25">
      <c r="A1332" s="1" t="str">
        <f t="shared" si="21"/>
        <v/>
      </c>
      <c r="B13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3" spans="1:2" x14ac:dyDescent="0.25">
      <c r="A1333" s="1" t="str">
        <f t="shared" si="21"/>
        <v/>
      </c>
      <c r="B13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4" spans="1:2" x14ac:dyDescent="0.25">
      <c r="A1334" s="1" t="str">
        <f t="shared" si="21"/>
        <v/>
      </c>
      <c r="B13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5" spans="1:2" x14ac:dyDescent="0.25">
      <c r="A1335" s="1" t="str">
        <f t="shared" si="21"/>
        <v/>
      </c>
      <c r="B13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6" spans="1:2" x14ac:dyDescent="0.25">
      <c r="A1336" s="1" t="str">
        <f t="shared" si="21"/>
        <v/>
      </c>
      <c r="B13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7" spans="1:2" x14ac:dyDescent="0.25">
      <c r="A1337" s="1" t="str">
        <f t="shared" si="21"/>
        <v/>
      </c>
      <c r="B13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8" spans="1:2" x14ac:dyDescent="0.25">
      <c r="A1338" s="1" t="str">
        <f t="shared" si="21"/>
        <v/>
      </c>
      <c r="B13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9" spans="1:2" x14ac:dyDescent="0.25">
      <c r="A1339" s="1" t="str">
        <f t="shared" si="21"/>
        <v/>
      </c>
      <c r="B13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0" spans="1:2" x14ac:dyDescent="0.25">
      <c r="A1340" s="1" t="str">
        <f t="shared" si="21"/>
        <v/>
      </c>
      <c r="B13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1" spans="1:2" x14ac:dyDescent="0.25">
      <c r="A1341" s="1" t="str">
        <f t="shared" si="21"/>
        <v/>
      </c>
      <c r="B13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2" spans="1:2" x14ac:dyDescent="0.25">
      <c r="A1342" s="1" t="str">
        <f t="shared" si="21"/>
        <v/>
      </c>
      <c r="B13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3" spans="1:2" x14ac:dyDescent="0.25">
      <c r="A1343" s="1" t="str">
        <f t="shared" si="21"/>
        <v/>
      </c>
      <c r="B13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4" spans="1:2" x14ac:dyDescent="0.25">
      <c r="A1344" s="1" t="str">
        <f t="shared" si="21"/>
        <v/>
      </c>
      <c r="B13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5" spans="1:2" x14ac:dyDescent="0.25">
      <c r="A1345" s="1" t="str">
        <f t="shared" si="21"/>
        <v/>
      </c>
      <c r="B13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6" spans="1:2" x14ac:dyDescent="0.25">
      <c r="A1346" s="1" t="str">
        <f t="shared" si="21"/>
        <v/>
      </c>
      <c r="B13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7" spans="1:2" x14ac:dyDescent="0.25">
      <c r="A1347" s="1" t="str">
        <f t="shared" si="21"/>
        <v/>
      </c>
      <c r="B13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8" spans="1:2" x14ac:dyDescent="0.25">
      <c r="A1348" s="1" t="str">
        <f t="shared" si="21"/>
        <v/>
      </c>
      <c r="B13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9" spans="1:2" x14ac:dyDescent="0.25">
      <c r="A1349" s="1" t="str">
        <f t="shared" si="21"/>
        <v/>
      </c>
      <c r="B13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0" spans="1:2" x14ac:dyDescent="0.25">
      <c r="A1350" s="1" t="str">
        <f t="shared" si="21"/>
        <v/>
      </c>
      <c r="B13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1" spans="1:2" x14ac:dyDescent="0.25">
      <c r="A1351" s="1" t="str">
        <f t="shared" si="21"/>
        <v/>
      </c>
      <c r="B13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2" spans="1:2" x14ac:dyDescent="0.25">
      <c r="A1352" s="1" t="str">
        <f t="shared" si="21"/>
        <v/>
      </c>
      <c r="B13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3" spans="1:2" x14ac:dyDescent="0.25">
      <c r="A1353" s="1" t="str">
        <f t="shared" si="21"/>
        <v/>
      </c>
      <c r="B13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4" spans="1:2" x14ac:dyDescent="0.25">
      <c r="A1354" s="1" t="str">
        <f t="shared" si="21"/>
        <v/>
      </c>
      <c r="B13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5" spans="1:2" x14ac:dyDescent="0.25">
      <c r="A1355" s="1" t="str">
        <f t="shared" si="21"/>
        <v/>
      </c>
      <c r="B13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6" spans="1:2" x14ac:dyDescent="0.25">
      <c r="A1356" s="1" t="str">
        <f t="shared" si="21"/>
        <v/>
      </c>
      <c r="B13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7" spans="1:2" x14ac:dyDescent="0.25">
      <c r="A1357" s="1" t="str">
        <f t="shared" si="21"/>
        <v/>
      </c>
      <c r="B13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8" spans="1:2" x14ac:dyDescent="0.25">
      <c r="A1358" s="1" t="str">
        <f t="shared" si="21"/>
        <v/>
      </c>
      <c r="B13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9" spans="1:2" x14ac:dyDescent="0.25">
      <c r="A1359" s="1" t="str">
        <f t="shared" si="21"/>
        <v/>
      </c>
      <c r="B13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0" spans="1:2" x14ac:dyDescent="0.25">
      <c r="A1360" s="1" t="str">
        <f t="shared" si="21"/>
        <v/>
      </c>
      <c r="B13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1" spans="1:2" x14ac:dyDescent="0.25">
      <c r="A1361" s="1" t="str">
        <f t="shared" si="21"/>
        <v/>
      </c>
      <c r="B13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2" spans="1:2" x14ac:dyDescent="0.25">
      <c r="A1362" s="1" t="str">
        <f t="shared" si="21"/>
        <v/>
      </c>
      <c r="B13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3" spans="1:2" x14ac:dyDescent="0.25">
      <c r="A1363" s="1" t="str">
        <f t="shared" si="21"/>
        <v/>
      </c>
      <c r="B13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4" spans="1:2" x14ac:dyDescent="0.25">
      <c r="A1364" s="1" t="str">
        <f t="shared" si="21"/>
        <v/>
      </c>
      <c r="B13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5" spans="1:2" x14ac:dyDescent="0.25">
      <c r="A1365" s="1" t="str">
        <f t="shared" si="21"/>
        <v/>
      </c>
      <c r="B13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6" spans="1:2" x14ac:dyDescent="0.25">
      <c r="A1366" s="1" t="str">
        <f t="shared" si="21"/>
        <v/>
      </c>
      <c r="B13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7" spans="1:2" x14ac:dyDescent="0.25">
      <c r="A1367" s="1" t="str">
        <f t="shared" si="21"/>
        <v/>
      </c>
      <c r="B13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8" spans="1:2" x14ac:dyDescent="0.25">
      <c r="A1368" s="1" t="str">
        <f t="shared" si="21"/>
        <v/>
      </c>
      <c r="B13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9" spans="1:2" x14ac:dyDescent="0.25">
      <c r="A1369" s="1" t="str">
        <f t="shared" si="21"/>
        <v/>
      </c>
      <c r="B13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0" spans="1:2" x14ac:dyDescent="0.25">
      <c r="A1370" s="1" t="str">
        <f t="shared" si="21"/>
        <v/>
      </c>
      <c r="B13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1" spans="1:2" x14ac:dyDescent="0.25">
      <c r="A1371" s="1" t="str">
        <f t="shared" si="21"/>
        <v/>
      </c>
      <c r="B13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2" spans="1:2" x14ac:dyDescent="0.25">
      <c r="A1372" s="1" t="str">
        <f t="shared" si="21"/>
        <v/>
      </c>
      <c r="B13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3" spans="1:2" x14ac:dyDescent="0.25">
      <c r="A1373" s="1" t="str">
        <f t="shared" si="21"/>
        <v/>
      </c>
      <c r="B13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4" spans="1:2" x14ac:dyDescent="0.25">
      <c r="A1374" s="1" t="str">
        <f t="shared" si="21"/>
        <v/>
      </c>
      <c r="B13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5" spans="1:2" x14ac:dyDescent="0.25">
      <c r="A1375" s="1" t="str">
        <f t="shared" si="21"/>
        <v/>
      </c>
      <c r="B13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6" spans="1:2" x14ac:dyDescent="0.25">
      <c r="A1376" s="1" t="str">
        <f t="shared" si="21"/>
        <v/>
      </c>
      <c r="B13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7" spans="1:2" x14ac:dyDescent="0.25">
      <c r="A1377" s="1" t="str">
        <f t="shared" si="21"/>
        <v/>
      </c>
      <c r="B13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8" spans="1:2" x14ac:dyDescent="0.25">
      <c r="A1378" s="1" t="str">
        <f t="shared" si="21"/>
        <v/>
      </c>
      <c r="B13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9" spans="1:2" x14ac:dyDescent="0.25">
      <c r="A1379" s="1" t="str">
        <f t="shared" si="21"/>
        <v/>
      </c>
      <c r="B13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0" spans="1:2" x14ac:dyDescent="0.25">
      <c r="A1380" s="1" t="str">
        <f t="shared" si="21"/>
        <v/>
      </c>
      <c r="B13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1" spans="1:2" x14ac:dyDescent="0.25">
      <c r="A1381" s="1" t="str">
        <f t="shared" si="21"/>
        <v/>
      </c>
      <c r="B13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2" spans="1:2" x14ac:dyDescent="0.25">
      <c r="A1382" s="1" t="str">
        <f t="shared" si="21"/>
        <v/>
      </c>
      <c r="B13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3" spans="1:2" x14ac:dyDescent="0.25">
      <c r="A1383" s="1" t="str">
        <f t="shared" si="21"/>
        <v/>
      </c>
      <c r="B13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4" spans="1:2" x14ac:dyDescent="0.25">
      <c r="A1384" s="1" t="str">
        <f t="shared" si="21"/>
        <v/>
      </c>
      <c r="B13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5" spans="1:2" x14ac:dyDescent="0.25">
      <c r="A1385" s="1" t="str">
        <f t="shared" si="21"/>
        <v/>
      </c>
      <c r="B13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6" spans="1:2" x14ac:dyDescent="0.25">
      <c r="A1386" s="1" t="str">
        <f t="shared" si="21"/>
        <v/>
      </c>
      <c r="B13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7" spans="1:2" x14ac:dyDescent="0.25">
      <c r="A1387" s="1" t="str">
        <f t="shared" si="21"/>
        <v/>
      </c>
      <c r="B13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8" spans="1:2" x14ac:dyDescent="0.25">
      <c r="A1388" s="1" t="str">
        <f t="shared" si="21"/>
        <v/>
      </c>
      <c r="B13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9" spans="1:2" x14ac:dyDescent="0.25">
      <c r="A1389" s="1" t="str">
        <f t="shared" si="21"/>
        <v/>
      </c>
      <c r="B13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0" spans="1:2" x14ac:dyDescent="0.25">
      <c r="A1390" s="1" t="str">
        <f t="shared" si="21"/>
        <v/>
      </c>
      <c r="B13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1" spans="1:2" x14ac:dyDescent="0.25">
      <c r="A1391" s="1" t="str">
        <f t="shared" si="21"/>
        <v/>
      </c>
      <c r="B13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2" spans="1:2" x14ac:dyDescent="0.25">
      <c r="A1392" s="1" t="str">
        <f t="shared" si="21"/>
        <v/>
      </c>
      <c r="B13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3" spans="1:2" x14ac:dyDescent="0.25">
      <c r="A1393" s="1" t="str">
        <f t="shared" si="21"/>
        <v/>
      </c>
      <c r="B13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4" spans="1:2" x14ac:dyDescent="0.25">
      <c r="A1394" s="1" t="str">
        <f t="shared" si="21"/>
        <v/>
      </c>
      <c r="B13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5" spans="1:2" x14ac:dyDescent="0.25">
      <c r="A1395" s="1" t="str">
        <f t="shared" ref="A1395:A1458" si="22">IFERROR(LEFT(RIGHT(C1395,LEN(C1395)-SEARCH("@",C1395)),SEARCH("/",RIGHT(C1395,LEN(C1395)-SEARCH("@",C1395)-1))),"")</f>
        <v/>
      </c>
      <c r="B13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6" spans="1:2" x14ac:dyDescent="0.25">
      <c r="A1396" s="1" t="str">
        <f t="shared" si="22"/>
        <v/>
      </c>
      <c r="B13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7" spans="1:2" x14ac:dyDescent="0.25">
      <c r="A1397" s="1" t="str">
        <f t="shared" si="22"/>
        <v/>
      </c>
      <c r="B13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8" spans="1:2" x14ac:dyDescent="0.25">
      <c r="A1398" s="1" t="str">
        <f t="shared" si="22"/>
        <v/>
      </c>
      <c r="B13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9" spans="1:2" x14ac:dyDescent="0.25">
      <c r="A1399" s="1" t="str">
        <f t="shared" si="22"/>
        <v/>
      </c>
      <c r="B13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0" spans="1:2" x14ac:dyDescent="0.25">
      <c r="A1400" s="1" t="str">
        <f t="shared" si="22"/>
        <v/>
      </c>
      <c r="B14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1" spans="1:2" x14ac:dyDescent="0.25">
      <c r="A1401" s="1" t="str">
        <f t="shared" si="22"/>
        <v/>
      </c>
      <c r="B14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2" spans="1:2" x14ac:dyDescent="0.25">
      <c r="A1402" s="1" t="str">
        <f t="shared" si="22"/>
        <v/>
      </c>
      <c r="B14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3" spans="1:2" x14ac:dyDescent="0.25">
      <c r="A1403" s="1" t="str">
        <f t="shared" si="22"/>
        <v/>
      </c>
      <c r="B14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4" spans="1:2" x14ac:dyDescent="0.25">
      <c r="A1404" s="1" t="str">
        <f t="shared" si="22"/>
        <v/>
      </c>
      <c r="B14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5" spans="1:2" x14ac:dyDescent="0.25">
      <c r="A1405" s="1" t="str">
        <f t="shared" si="22"/>
        <v/>
      </c>
      <c r="B14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6" spans="1:2" x14ac:dyDescent="0.25">
      <c r="A1406" s="1" t="str">
        <f t="shared" si="22"/>
        <v/>
      </c>
      <c r="B14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7" spans="1:2" x14ac:dyDescent="0.25">
      <c r="A1407" s="1" t="str">
        <f t="shared" si="22"/>
        <v/>
      </c>
      <c r="B14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8" spans="1:2" x14ac:dyDescent="0.25">
      <c r="A1408" s="1" t="str">
        <f t="shared" si="22"/>
        <v/>
      </c>
      <c r="B14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9" spans="1:2" x14ac:dyDescent="0.25">
      <c r="A1409" s="1" t="str">
        <f t="shared" si="22"/>
        <v/>
      </c>
      <c r="B14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0" spans="1:2" x14ac:dyDescent="0.25">
      <c r="A1410" s="1" t="str">
        <f t="shared" si="22"/>
        <v/>
      </c>
      <c r="B14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1" spans="1:2" x14ac:dyDescent="0.25">
      <c r="A1411" s="1" t="str">
        <f t="shared" si="22"/>
        <v/>
      </c>
      <c r="B14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2" spans="1:2" x14ac:dyDescent="0.25">
      <c r="A1412" s="1" t="str">
        <f t="shared" si="22"/>
        <v/>
      </c>
      <c r="B14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3" spans="1:2" x14ac:dyDescent="0.25">
      <c r="A1413" s="1" t="str">
        <f t="shared" si="22"/>
        <v/>
      </c>
      <c r="B14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4" spans="1:2" x14ac:dyDescent="0.25">
      <c r="A1414" s="1" t="str">
        <f t="shared" si="22"/>
        <v/>
      </c>
      <c r="B14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5" spans="1:2" x14ac:dyDescent="0.25">
      <c r="A1415" s="1" t="str">
        <f t="shared" si="22"/>
        <v/>
      </c>
      <c r="B14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6" spans="1:2" x14ac:dyDescent="0.25">
      <c r="A1416" s="1" t="str">
        <f t="shared" si="22"/>
        <v/>
      </c>
      <c r="B14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7" spans="1:2" x14ac:dyDescent="0.25">
      <c r="A1417" s="1" t="str">
        <f t="shared" si="22"/>
        <v/>
      </c>
      <c r="B14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8" spans="1:2" x14ac:dyDescent="0.25">
      <c r="A1418" s="1" t="str">
        <f t="shared" si="22"/>
        <v/>
      </c>
      <c r="B14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9" spans="1:2" x14ac:dyDescent="0.25">
      <c r="A1419" s="1" t="str">
        <f t="shared" si="22"/>
        <v/>
      </c>
      <c r="B14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0" spans="1:2" x14ac:dyDescent="0.25">
      <c r="A1420" s="1" t="str">
        <f t="shared" si="22"/>
        <v/>
      </c>
      <c r="B14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1" spans="1:2" x14ac:dyDescent="0.25">
      <c r="A1421" s="1" t="str">
        <f t="shared" si="22"/>
        <v/>
      </c>
      <c r="B14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2" spans="1:2" x14ac:dyDescent="0.25">
      <c r="A1422" s="1" t="str">
        <f t="shared" si="22"/>
        <v/>
      </c>
      <c r="B14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3" spans="1:2" x14ac:dyDescent="0.25">
      <c r="A1423" s="1" t="str">
        <f t="shared" si="22"/>
        <v/>
      </c>
      <c r="B14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4" spans="1:2" x14ac:dyDescent="0.25">
      <c r="A1424" s="1" t="str">
        <f t="shared" si="22"/>
        <v/>
      </c>
      <c r="B14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5" spans="1:2" x14ac:dyDescent="0.25">
      <c r="A1425" s="1" t="str">
        <f t="shared" si="22"/>
        <v/>
      </c>
      <c r="B14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6" spans="1:2" x14ac:dyDescent="0.25">
      <c r="A1426" s="1" t="str">
        <f t="shared" si="22"/>
        <v/>
      </c>
      <c r="B14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7" spans="1:2" x14ac:dyDescent="0.25">
      <c r="A1427" s="1" t="str">
        <f t="shared" si="22"/>
        <v/>
      </c>
      <c r="B14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8" spans="1:2" x14ac:dyDescent="0.25">
      <c r="A1428" s="1" t="str">
        <f t="shared" si="22"/>
        <v/>
      </c>
      <c r="B14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9" spans="1:2" x14ac:dyDescent="0.25">
      <c r="A1429" s="1" t="str">
        <f t="shared" si="22"/>
        <v/>
      </c>
      <c r="B14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0" spans="1:2" x14ac:dyDescent="0.25">
      <c r="A1430" s="1" t="str">
        <f t="shared" si="22"/>
        <v/>
      </c>
      <c r="B14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1" spans="1:2" x14ac:dyDescent="0.25">
      <c r="A1431" s="1" t="str">
        <f t="shared" si="22"/>
        <v/>
      </c>
      <c r="B14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2" spans="1:2" x14ac:dyDescent="0.25">
      <c r="A1432" s="1" t="str">
        <f t="shared" si="22"/>
        <v/>
      </c>
      <c r="B14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3" spans="1:2" x14ac:dyDescent="0.25">
      <c r="A1433" s="1" t="str">
        <f t="shared" si="22"/>
        <v/>
      </c>
      <c r="B14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4" spans="1:2" x14ac:dyDescent="0.25">
      <c r="A1434" s="1" t="str">
        <f t="shared" si="22"/>
        <v/>
      </c>
      <c r="B14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5" spans="1:2" x14ac:dyDescent="0.25">
      <c r="A1435" s="1" t="str">
        <f t="shared" si="22"/>
        <v/>
      </c>
      <c r="B14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6" spans="1:2" x14ac:dyDescent="0.25">
      <c r="A1436" s="1" t="str">
        <f t="shared" si="22"/>
        <v/>
      </c>
      <c r="B14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7" spans="1:2" x14ac:dyDescent="0.25">
      <c r="A1437" s="1" t="str">
        <f t="shared" si="22"/>
        <v/>
      </c>
      <c r="B14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8" spans="1:2" x14ac:dyDescent="0.25">
      <c r="A1438" s="1" t="str">
        <f t="shared" si="22"/>
        <v/>
      </c>
      <c r="B14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9" spans="1:2" x14ac:dyDescent="0.25">
      <c r="A1439" s="1" t="str">
        <f t="shared" si="22"/>
        <v/>
      </c>
      <c r="B14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0" spans="1:2" x14ac:dyDescent="0.25">
      <c r="A1440" s="1" t="str">
        <f t="shared" si="22"/>
        <v/>
      </c>
      <c r="B14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1" spans="1:2" x14ac:dyDescent="0.25">
      <c r="A1441" s="1" t="str">
        <f t="shared" si="22"/>
        <v/>
      </c>
      <c r="B14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2" spans="1:2" x14ac:dyDescent="0.25">
      <c r="A1442" s="1" t="str">
        <f t="shared" si="22"/>
        <v/>
      </c>
      <c r="B14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3" spans="1:2" x14ac:dyDescent="0.25">
      <c r="A1443" s="1" t="str">
        <f t="shared" si="22"/>
        <v/>
      </c>
      <c r="B14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4" spans="1:2" x14ac:dyDescent="0.25">
      <c r="A1444" s="1" t="str">
        <f t="shared" si="22"/>
        <v/>
      </c>
      <c r="B14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5" spans="1:2" x14ac:dyDescent="0.25">
      <c r="A1445" s="1" t="str">
        <f t="shared" si="22"/>
        <v/>
      </c>
      <c r="B14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6" spans="1:2" x14ac:dyDescent="0.25">
      <c r="A1446" s="1" t="str">
        <f t="shared" si="22"/>
        <v/>
      </c>
      <c r="B14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7" spans="1:2" x14ac:dyDescent="0.25">
      <c r="A1447" s="1" t="str">
        <f t="shared" si="22"/>
        <v/>
      </c>
      <c r="B14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8" spans="1:2" x14ac:dyDescent="0.25">
      <c r="A1448" s="1" t="str">
        <f t="shared" si="22"/>
        <v/>
      </c>
      <c r="B14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9" spans="1:2" x14ac:dyDescent="0.25">
      <c r="A1449" s="1" t="str">
        <f t="shared" si="22"/>
        <v/>
      </c>
      <c r="B14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0" spans="1:2" x14ac:dyDescent="0.25">
      <c r="A1450" s="1" t="str">
        <f t="shared" si="22"/>
        <v/>
      </c>
      <c r="B14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1" spans="1:2" x14ac:dyDescent="0.25">
      <c r="A1451" s="1" t="str">
        <f t="shared" si="22"/>
        <v/>
      </c>
      <c r="B14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2" spans="1:2" x14ac:dyDescent="0.25">
      <c r="A1452" s="1" t="str">
        <f t="shared" si="22"/>
        <v/>
      </c>
      <c r="B14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3" spans="1:2" x14ac:dyDescent="0.25">
      <c r="A1453" s="1" t="str">
        <f t="shared" si="22"/>
        <v/>
      </c>
      <c r="B14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4" spans="1:2" x14ac:dyDescent="0.25">
      <c r="A1454" s="1" t="str">
        <f t="shared" si="22"/>
        <v/>
      </c>
      <c r="B14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5" spans="1:2" x14ac:dyDescent="0.25">
      <c r="A1455" s="1" t="str">
        <f t="shared" si="22"/>
        <v/>
      </c>
      <c r="B14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6" spans="1:2" x14ac:dyDescent="0.25">
      <c r="A1456" s="1" t="str">
        <f t="shared" si="22"/>
        <v/>
      </c>
      <c r="B14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7" spans="1:2" x14ac:dyDescent="0.25">
      <c r="A1457" s="1" t="str">
        <f t="shared" si="22"/>
        <v/>
      </c>
      <c r="B14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8" spans="1:2" x14ac:dyDescent="0.25">
      <c r="A1458" s="1" t="str">
        <f t="shared" si="22"/>
        <v/>
      </c>
      <c r="B14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9" spans="1:2" x14ac:dyDescent="0.25">
      <c r="A1459" s="1" t="str">
        <f t="shared" ref="A1459:A1522" si="23">IFERROR(LEFT(RIGHT(C1459,LEN(C1459)-SEARCH("@",C1459)),SEARCH("/",RIGHT(C1459,LEN(C1459)-SEARCH("@",C1459)-1))),"")</f>
        <v/>
      </c>
      <c r="B14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0" spans="1:2" x14ac:dyDescent="0.25">
      <c r="A1460" s="1" t="str">
        <f t="shared" si="23"/>
        <v/>
      </c>
      <c r="B14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1" spans="1:2" x14ac:dyDescent="0.25">
      <c r="A1461" s="1" t="str">
        <f t="shared" si="23"/>
        <v/>
      </c>
      <c r="B14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2" spans="1:2" x14ac:dyDescent="0.25">
      <c r="A1462" s="1" t="str">
        <f t="shared" si="23"/>
        <v/>
      </c>
      <c r="B14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3" spans="1:2" x14ac:dyDescent="0.25">
      <c r="A1463" s="1" t="str">
        <f t="shared" si="23"/>
        <v/>
      </c>
      <c r="B14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4" spans="1:2" x14ac:dyDescent="0.25">
      <c r="A1464" s="1" t="str">
        <f t="shared" si="23"/>
        <v/>
      </c>
      <c r="B14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5" spans="1:2" x14ac:dyDescent="0.25">
      <c r="A1465" s="1" t="str">
        <f t="shared" si="23"/>
        <v/>
      </c>
      <c r="B14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6" spans="1:2" x14ac:dyDescent="0.25">
      <c r="A1466" s="1" t="str">
        <f t="shared" si="23"/>
        <v/>
      </c>
      <c r="B14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7" spans="1:2" x14ac:dyDescent="0.25">
      <c r="A1467" s="1" t="str">
        <f t="shared" si="23"/>
        <v/>
      </c>
      <c r="B14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8" spans="1:2" x14ac:dyDescent="0.25">
      <c r="A1468" s="1" t="str">
        <f t="shared" si="23"/>
        <v/>
      </c>
      <c r="B14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9" spans="1:2" x14ac:dyDescent="0.25">
      <c r="A1469" s="1" t="str">
        <f t="shared" si="23"/>
        <v/>
      </c>
      <c r="B14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0" spans="1:2" x14ac:dyDescent="0.25">
      <c r="A1470" s="1" t="str">
        <f t="shared" si="23"/>
        <v/>
      </c>
      <c r="B14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1" spans="1:2" x14ac:dyDescent="0.25">
      <c r="A1471" s="1" t="str">
        <f t="shared" si="23"/>
        <v/>
      </c>
      <c r="B14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2" spans="1:2" x14ac:dyDescent="0.25">
      <c r="A1472" s="1" t="str">
        <f t="shared" si="23"/>
        <v/>
      </c>
      <c r="B14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3" spans="1:2" x14ac:dyDescent="0.25">
      <c r="A1473" s="1" t="str">
        <f t="shared" si="23"/>
        <v/>
      </c>
      <c r="B14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4" spans="1:2" x14ac:dyDescent="0.25">
      <c r="A1474" s="1" t="str">
        <f t="shared" si="23"/>
        <v/>
      </c>
      <c r="B14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5" spans="1:2" x14ac:dyDescent="0.25">
      <c r="A1475" s="1" t="str">
        <f t="shared" si="23"/>
        <v/>
      </c>
      <c r="B14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6" spans="1:2" x14ac:dyDescent="0.25">
      <c r="A1476" s="1" t="str">
        <f t="shared" si="23"/>
        <v/>
      </c>
      <c r="B14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7" spans="1:2" x14ac:dyDescent="0.25">
      <c r="A1477" s="1" t="str">
        <f t="shared" si="23"/>
        <v/>
      </c>
      <c r="B14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8" spans="1:2" x14ac:dyDescent="0.25">
      <c r="A1478" s="1" t="str">
        <f t="shared" si="23"/>
        <v/>
      </c>
      <c r="B14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9" spans="1:2" x14ac:dyDescent="0.25">
      <c r="A1479" s="1" t="str">
        <f t="shared" si="23"/>
        <v/>
      </c>
      <c r="B14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0" spans="1:2" x14ac:dyDescent="0.25">
      <c r="A1480" s="1" t="str">
        <f t="shared" si="23"/>
        <v/>
      </c>
      <c r="B14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1" spans="1:2" x14ac:dyDescent="0.25">
      <c r="A1481" s="1" t="str">
        <f t="shared" si="23"/>
        <v/>
      </c>
      <c r="B14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2" spans="1:2" x14ac:dyDescent="0.25">
      <c r="A1482" s="1" t="str">
        <f t="shared" si="23"/>
        <v/>
      </c>
      <c r="B14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3" spans="1:2" x14ac:dyDescent="0.25">
      <c r="A1483" s="1" t="str">
        <f t="shared" si="23"/>
        <v/>
      </c>
      <c r="B14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4" spans="1:2" x14ac:dyDescent="0.25">
      <c r="A1484" s="1" t="str">
        <f t="shared" si="23"/>
        <v/>
      </c>
      <c r="B14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5" spans="1:2" x14ac:dyDescent="0.25">
      <c r="A1485" s="1" t="str">
        <f t="shared" si="23"/>
        <v/>
      </c>
      <c r="B14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6" spans="1:2" x14ac:dyDescent="0.25">
      <c r="A1486" s="1" t="str">
        <f t="shared" si="23"/>
        <v/>
      </c>
      <c r="B14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7" spans="1:2" x14ac:dyDescent="0.25">
      <c r="A1487" s="1" t="str">
        <f t="shared" si="23"/>
        <v/>
      </c>
      <c r="B14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8" spans="1:2" x14ac:dyDescent="0.25">
      <c r="A1488" s="1" t="str">
        <f t="shared" si="23"/>
        <v/>
      </c>
      <c r="B14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9" spans="1:2" x14ac:dyDescent="0.25">
      <c r="A1489" s="1" t="str">
        <f t="shared" si="23"/>
        <v/>
      </c>
      <c r="B14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0" spans="1:2" x14ac:dyDescent="0.25">
      <c r="A1490" s="1" t="str">
        <f t="shared" si="23"/>
        <v/>
      </c>
      <c r="B14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1" spans="1:2" x14ac:dyDescent="0.25">
      <c r="A1491" s="1" t="str">
        <f t="shared" si="23"/>
        <v/>
      </c>
      <c r="B14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2" spans="1:2" x14ac:dyDescent="0.25">
      <c r="A1492" s="1" t="str">
        <f t="shared" si="23"/>
        <v/>
      </c>
      <c r="B14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3" spans="1:2" x14ac:dyDescent="0.25">
      <c r="A1493" s="1" t="str">
        <f t="shared" si="23"/>
        <v/>
      </c>
      <c r="B14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4" spans="1:2" x14ac:dyDescent="0.25">
      <c r="A1494" s="1" t="str">
        <f t="shared" si="23"/>
        <v/>
      </c>
      <c r="B14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5" spans="1:2" x14ac:dyDescent="0.25">
      <c r="A1495" s="1" t="str">
        <f t="shared" si="23"/>
        <v/>
      </c>
      <c r="B14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6" spans="1:2" x14ac:dyDescent="0.25">
      <c r="A1496" s="1" t="str">
        <f t="shared" si="23"/>
        <v/>
      </c>
      <c r="B14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7" spans="1:2" x14ac:dyDescent="0.25">
      <c r="A1497" s="1" t="str">
        <f t="shared" si="23"/>
        <v/>
      </c>
      <c r="B14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8" spans="1:2" x14ac:dyDescent="0.25">
      <c r="A1498" s="1" t="str">
        <f t="shared" si="23"/>
        <v/>
      </c>
      <c r="B14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9" spans="1:2" x14ac:dyDescent="0.25">
      <c r="A1499" s="1" t="str">
        <f t="shared" si="23"/>
        <v/>
      </c>
      <c r="B14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0" spans="1:2" x14ac:dyDescent="0.25">
      <c r="A1500" s="1" t="str">
        <f t="shared" si="23"/>
        <v/>
      </c>
      <c r="B15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1" spans="1:2" x14ac:dyDescent="0.25">
      <c r="A1501" s="1" t="str">
        <f t="shared" si="23"/>
        <v/>
      </c>
      <c r="B15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2" spans="1:2" x14ac:dyDescent="0.25">
      <c r="A1502" s="1" t="str">
        <f t="shared" si="23"/>
        <v/>
      </c>
      <c r="B15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3" spans="1:2" x14ac:dyDescent="0.25">
      <c r="A1503" s="1" t="str">
        <f t="shared" si="23"/>
        <v/>
      </c>
      <c r="B15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4" spans="1:2" x14ac:dyDescent="0.25">
      <c r="A1504" s="1" t="str">
        <f t="shared" si="23"/>
        <v/>
      </c>
      <c r="B15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5" spans="1:2" x14ac:dyDescent="0.25">
      <c r="A1505" s="1" t="str">
        <f t="shared" si="23"/>
        <v/>
      </c>
      <c r="B15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6" spans="1:2" x14ac:dyDescent="0.25">
      <c r="A1506" s="1" t="str">
        <f t="shared" si="23"/>
        <v/>
      </c>
      <c r="B15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7" spans="1:2" x14ac:dyDescent="0.25">
      <c r="A1507" s="1" t="str">
        <f t="shared" si="23"/>
        <v/>
      </c>
      <c r="B15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8" spans="1:2" x14ac:dyDescent="0.25">
      <c r="A1508" s="1" t="str">
        <f t="shared" si="23"/>
        <v/>
      </c>
      <c r="B15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9" spans="1:2" x14ac:dyDescent="0.25">
      <c r="A1509" s="1" t="str">
        <f t="shared" si="23"/>
        <v/>
      </c>
      <c r="B15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0" spans="1:2" x14ac:dyDescent="0.25">
      <c r="A1510" s="1" t="str">
        <f t="shared" si="23"/>
        <v/>
      </c>
      <c r="B15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1" spans="1:2" x14ac:dyDescent="0.25">
      <c r="A1511" s="1" t="str">
        <f t="shared" si="23"/>
        <v/>
      </c>
      <c r="B15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2" spans="1:2" x14ac:dyDescent="0.25">
      <c r="A1512" s="1" t="str">
        <f t="shared" si="23"/>
        <v/>
      </c>
      <c r="B15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3" spans="1:2" x14ac:dyDescent="0.25">
      <c r="A1513" s="1" t="str">
        <f t="shared" si="23"/>
        <v/>
      </c>
      <c r="B15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4" spans="1:2" x14ac:dyDescent="0.25">
      <c r="A1514" s="1" t="str">
        <f t="shared" si="23"/>
        <v/>
      </c>
      <c r="B15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5" spans="1:2" x14ac:dyDescent="0.25">
      <c r="A1515" s="1" t="str">
        <f t="shared" si="23"/>
        <v/>
      </c>
      <c r="B15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6" spans="1:2" x14ac:dyDescent="0.25">
      <c r="A1516" s="1" t="str">
        <f t="shared" si="23"/>
        <v/>
      </c>
      <c r="B15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7" spans="1:2" x14ac:dyDescent="0.25">
      <c r="A1517" s="1" t="str">
        <f t="shared" si="23"/>
        <v/>
      </c>
      <c r="B15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8" spans="1:2" x14ac:dyDescent="0.25">
      <c r="A1518" s="1" t="str">
        <f t="shared" si="23"/>
        <v/>
      </c>
      <c r="B15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9" spans="1:2" x14ac:dyDescent="0.25">
      <c r="A1519" s="1" t="str">
        <f t="shared" si="23"/>
        <v/>
      </c>
      <c r="B15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0" spans="1:2" x14ac:dyDescent="0.25">
      <c r="A1520" s="1" t="str">
        <f t="shared" si="23"/>
        <v/>
      </c>
      <c r="B15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1" spans="1:2" x14ac:dyDescent="0.25">
      <c r="A1521" s="1" t="str">
        <f t="shared" si="23"/>
        <v/>
      </c>
      <c r="B15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2" spans="1:2" x14ac:dyDescent="0.25">
      <c r="A1522" s="1" t="str">
        <f t="shared" si="23"/>
        <v/>
      </c>
      <c r="B15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3" spans="1:2" x14ac:dyDescent="0.25">
      <c r="A1523" s="1" t="str">
        <f t="shared" ref="A1523:A1586" si="24">IFERROR(LEFT(RIGHT(C1523,LEN(C1523)-SEARCH("@",C1523)),SEARCH("/",RIGHT(C1523,LEN(C1523)-SEARCH("@",C1523)-1))),"")</f>
        <v/>
      </c>
      <c r="B15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4" spans="1:2" x14ac:dyDescent="0.25">
      <c r="A1524" s="1" t="str">
        <f t="shared" si="24"/>
        <v/>
      </c>
      <c r="B15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5" spans="1:2" x14ac:dyDescent="0.25">
      <c r="A1525" s="1" t="str">
        <f t="shared" si="24"/>
        <v/>
      </c>
      <c r="B15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6" spans="1:2" x14ac:dyDescent="0.25">
      <c r="A1526" s="1" t="str">
        <f t="shared" si="24"/>
        <v/>
      </c>
      <c r="B15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7" spans="1:2" x14ac:dyDescent="0.25">
      <c r="A1527" s="1" t="str">
        <f t="shared" si="24"/>
        <v/>
      </c>
      <c r="B15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8" spans="1:2" x14ac:dyDescent="0.25">
      <c r="A1528" s="1" t="str">
        <f t="shared" si="24"/>
        <v/>
      </c>
      <c r="B15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9" spans="1:2" x14ac:dyDescent="0.25">
      <c r="A1529" s="1" t="str">
        <f t="shared" si="24"/>
        <v/>
      </c>
      <c r="B15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0" spans="1:2" x14ac:dyDescent="0.25">
      <c r="A1530" s="1" t="str">
        <f t="shared" si="24"/>
        <v/>
      </c>
      <c r="B15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1" spans="1:2" x14ac:dyDescent="0.25">
      <c r="A1531" s="1" t="str">
        <f t="shared" si="24"/>
        <v/>
      </c>
      <c r="B15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2" spans="1:2" x14ac:dyDescent="0.25">
      <c r="A1532" s="1" t="str">
        <f t="shared" si="24"/>
        <v/>
      </c>
      <c r="B15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3" spans="1:2" x14ac:dyDescent="0.25">
      <c r="A1533" s="1" t="str">
        <f t="shared" si="24"/>
        <v/>
      </c>
      <c r="B15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4" spans="1:2" x14ac:dyDescent="0.25">
      <c r="A1534" s="1" t="str">
        <f t="shared" si="24"/>
        <v/>
      </c>
      <c r="B15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5" spans="1:2" x14ac:dyDescent="0.25">
      <c r="A1535" s="1" t="str">
        <f t="shared" si="24"/>
        <v/>
      </c>
      <c r="B15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6" spans="1:2" x14ac:dyDescent="0.25">
      <c r="A1536" s="1" t="str">
        <f t="shared" si="24"/>
        <v/>
      </c>
      <c r="B15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7" spans="1:2" x14ac:dyDescent="0.25">
      <c r="A1537" s="1" t="str">
        <f t="shared" si="24"/>
        <v/>
      </c>
      <c r="B15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8" spans="1:2" x14ac:dyDescent="0.25">
      <c r="A1538" s="1" t="str">
        <f t="shared" si="24"/>
        <v/>
      </c>
      <c r="B15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9" spans="1:2" x14ac:dyDescent="0.25">
      <c r="A1539" s="1" t="str">
        <f t="shared" si="24"/>
        <v/>
      </c>
      <c r="B15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0" spans="1:2" x14ac:dyDescent="0.25">
      <c r="A1540" s="1" t="str">
        <f t="shared" si="24"/>
        <v/>
      </c>
      <c r="B15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1" spans="1:2" x14ac:dyDescent="0.25">
      <c r="A1541" s="1" t="str">
        <f t="shared" si="24"/>
        <v/>
      </c>
      <c r="B15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2" spans="1:2" x14ac:dyDescent="0.25">
      <c r="A1542" s="1" t="str">
        <f t="shared" si="24"/>
        <v/>
      </c>
      <c r="B15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3" spans="1:2" x14ac:dyDescent="0.25">
      <c r="A1543" s="1" t="str">
        <f t="shared" si="24"/>
        <v/>
      </c>
      <c r="B15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4" spans="1:2" x14ac:dyDescent="0.25">
      <c r="A1544" s="1" t="str">
        <f t="shared" si="24"/>
        <v/>
      </c>
      <c r="B15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5" spans="1:2" x14ac:dyDescent="0.25">
      <c r="A1545" s="1" t="str">
        <f t="shared" si="24"/>
        <v/>
      </c>
      <c r="B15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6" spans="1:2" x14ac:dyDescent="0.25">
      <c r="A1546" s="1" t="str">
        <f t="shared" si="24"/>
        <v/>
      </c>
      <c r="B15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7" spans="1:2" x14ac:dyDescent="0.25">
      <c r="A1547" s="1" t="str">
        <f t="shared" si="24"/>
        <v/>
      </c>
      <c r="B15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8" spans="1:2" x14ac:dyDescent="0.25">
      <c r="A1548" s="1" t="str">
        <f t="shared" si="24"/>
        <v/>
      </c>
      <c r="B15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9" spans="1:2" x14ac:dyDescent="0.25">
      <c r="A1549" s="1" t="str">
        <f t="shared" si="24"/>
        <v/>
      </c>
      <c r="B15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0" spans="1:2" x14ac:dyDescent="0.25">
      <c r="A1550" s="1" t="str">
        <f t="shared" si="24"/>
        <v/>
      </c>
      <c r="B15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1" spans="1:2" x14ac:dyDescent="0.25">
      <c r="A1551" s="1" t="str">
        <f t="shared" si="24"/>
        <v/>
      </c>
      <c r="B15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2" spans="1:2" x14ac:dyDescent="0.25">
      <c r="A1552" s="1" t="str">
        <f t="shared" si="24"/>
        <v/>
      </c>
      <c r="B15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3" spans="1:2" x14ac:dyDescent="0.25">
      <c r="A1553" s="1" t="str">
        <f t="shared" si="24"/>
        <v/>
      </c>
      <c r="B15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4" spans="1:2" x14ac:dyDescent="0.25">
      <c r="A1554" s="1" t="str">
        <f t="shared" si="24"/>
        <v/>
      </c>
      <c r="B15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5" spans="1:2" x14ac:dyDescent="0.25">
      <c r="A1555" s="1" t="str">
        <f t="shared" si="24"/>
        <v/>
      </c>
      <c r="B15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6" spans="1:2" x14ac:dyDescent="0.25">
      <c r="A1556" s="1" t="str">
        <f t="shared" si="24"/>
        <v/>
      </c>
      <c r="B15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7" spans="1:2" x14ac:dyDescent="0.25">
      <c r="A1557" s="1" t="str">
        <f t="shared" si="24"/>
        <v/>
      </c>
      <c r="B15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8" spans="1:2" x14ac:dyDescent="0.25">
      <c r="A1558" s="1" t="str">
        <f t="shared" si="24"/>
        <v/>
      </c>
      <c r="B15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9" spans="1:2" x14ac:dyDescent="0.25">
      <c r="A1559" s="1" t="str">
        <f t="shared" si="24"/>
        <v/>
      </c>
      <c r="B15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0" spans="1:2" x14ac:dyDescent="0.25">
      <c r="A1560" s="1" t="str">
        <f t="shared" si="24"/>
        <v/>
      </c>
      <c r="B15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1" spans="1:2" x14ac:dyDescent="0.25">
      <c r="A1561" s="1" t="str">
        <f t="shared" si="24"/>
        <v/>
      </c>
      <c r="B15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2" spans="1:2" x14ac:dyDescent="0.25">
      <c r="A1562" s="1" t="str">
        <f t="shared" si="24"/>
        <v/>
      </c>
      <c r="B15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3" spans="1:2" x14ac:dyDescent="0.25">
      <c r="A1563" s="1" t="str">
        <f t="shared" si="24"/>
        <v/>
      </c>
      <c r="B15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4" spans="1:2" x14ac:dyDescent="0.25">
      <c r="A1564" s="1" t="str">
        <f t="shared" si="24"/>
        <v/>
      </c>
      <c r="B15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5" spans="1:2" x14ac:dyDescent="0.25">
      <c r="A1565" s="1" t="str">
        <f t="shared" si="24"/>
        <v/>
      </c>
      <c r="B15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6" spans="1:2" x14ac:dyDescent="0.25">
      <c r="A1566" s="1" t="str">
        <f t="shared" si="24"/>
        <v/>
      </c>
      <c r="B15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7" spans="1:2" x14ac:dyDescent="0.25">
      <c r="A1567" s="1" t="str">
        <f t="shared" si="24"/>
        <v/>
      </c>
      <c r="B15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8" spans="1:2" x14ac:dyDescent="0.25">
      <c r="A1568" s="1" t="str">
        <f t="shared" si="24"/>
        <v/>
      </c>
      <c r="B15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9" spans="1:2" x14ac:dyDescent="0.25">
      <c r="A1569" s="1" t="str">
        <f t="shared" si="24"/>
        <v/>
      </c>
      <c r="B15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0" spans="1:2" x14ac:dyDescent="0.25">
      <c r="A1570" s="1" t="str">
        <f t="shared" si="24"/>
        <v/>
      </c>
      <c r="B15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1" spans="1:2" x14ac:dyDescent="0.25">
      <c r="A1571" s="1" t="str">
        <f t="shared" si="24"/>
        <v/>
      </c>
      <c r="B15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2" spans="1:2" x14ac:dyDescent="0.25">
      <c r="A1572" s="1" t="str">
        <f t="shared" si="24"/>
        <v/>
      </c>
      <c r="B15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3" spans="1:2" x14ac:dyDescent="0.25">
      <c r="A1573" s="1" t="str">
        <f t="shared" si="24"/>
        <v/>
      </c>
      <c r="B15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4" spans="1:2" x14ac:dyDescent="0.25">
      <c r="A1574" s="1" t="str">
        <f t="shared" si="24"/>
        <v/>
      </c>
      <c r="B15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5" spans="1:2" x14ac:dyDescent="0.25">
      <c r="A1575" s="1" t="str">
        <f t="shared" si="24"/>
        <v/>
      </c>
      <c r="B15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6" spans="1:2" x14ac:dyDescent="0.25">
      <c r="A1576" s="1" t="str">
        <f t="shared" si="24"/>
        <v/>
      </c>
      <c r="B15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7" spans="1:2" x14ac:dyDescent="0.25">
      <c r="A1577" s="1" t="str">
        <f t="shared" si="24"/>
        <v/>
      </c>
      <c r="B15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8" spans="1:2" x14ac:dyDescent="0.25">
      <c r="A1578" s="1" t="str">
        <f t="shared" si="24"/>
        <v/>
      </c>
      <c r="B15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9" spans="1:2" x14ac:dyDescent="0.25">
      <c r="A1579" s="1" t="str">
        <f t="shared" si="24"/>
        <v/>
      </c>
      <c r="B15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0" spans="1:2" x14ac:dyDescent="0.25">
      <c r="A1580" s="1" t="str">
        <f t="shared" si="24"/>
        <v/>
      </c>
      <c r="B15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1" spans="1:2" x14ac:dyDescent="0.25">
      <c r="A1581" s="1" t="str">
        <f t="shared" si="24"/>
        <v/>
      </c>
      <c r="B15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2" spans="1:2" x14ac:dyDescent="0.25">
      <c r="A1582" s="1" t="str">
        <f t="shared" si="24"/>
        <v/>
      </c>
      <c r="B15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3" spans="1:2" x14ac:dyDescent="0.25">
      <c r="A1583" s="1" t="str">
        <f t="shared" si="24"/>
        <v/>
      </c>
      <c r="B15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4" spans="1:2" x14ac:dyDescent="0.25">
      <c r="A1584" s="1" t="str">
        <f t="shared" si="24"/>
        <v/>
      </c>
      <c r="B15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5" spans="1:2" x14ac:dyDescent="0.25">
      <c r="A1585" s="1" t="str">
        <f t="shared" si="24"/>
        <v/>
      </c>
      <c r="B15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6" spans="1:2" x14ac:dyDescent="0.25">
      <c r="A1586" s="1" t="str">
        <f t="shared" si="24"/>
        <v/>
      </c>
      <c r="B15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7" spans="1:2" x14ac:dyDescent="0.25">
      <c r="A1587" s="1" t="str">
        <f t="shared" ref="A1587:A1650" si="25">IFERROR(LEFT(RIGHT(C1587,LEN(C1587)-SEARCH("@",C1587)),SEARCH("/",RIGHT(C1587,LEN(C1587)-SEARCH("@",C1587)-1))),"")</f>
        <v/>
      </c>
      <c r="B15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8" spans="1:2" x14ac:dyDescent="0.25">
      <c r="A1588" s="1" t="str">
        <f t="shared" si="25"/>
        <v/>
      </c>
      <c r="B15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9" spans="1:2" x14ac:dyDescent="0.25">
      <c r="A1589" s="1" t="str">
        <f t="shared" si="25"/>
        <v/>
      </c>
      <c r="B15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0" spans="1:2" x14ac:dyDescent="0.25">
      <c r="A1590" s="1" t="str">
        <f t="shared" si="25"/>
        <v/>
      </c>
      <c r="B15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1" spans="1:2" x14ac:dyDescent="0.25">
      <c r="A1591" s="1" t="str">
        <f t="shared" si="25"/>
        <v/>
      </c>
      <c r="B15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2" spans="1:2" x14ac:dyDescent="0.25">
      <c r="A1592" s="1" t="str">
        <f t="shared" si="25"/>
        <v/>
      </c>
      <c r="B15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3" spans="1:2" x14ac:dyDescent="0.25">
      <c r="A1593" s="1" t="str">
        <f t="shared" si="25"/>
        <v/>
      </c>
      <c r="B15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4" spans="1:2" x14ac:dyDescent="0.25">
      <c r="A1594" s="1" t="str">
        <f t="shared" si="25"/>
        <v/>
      </c>
      <c r="B15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5" spans="1:2" x14ac:dyDescent="0.25">
      <c r="A1595" s="1" t="str">
        <f t="shared" si="25"/>
        <v/>
      </c>
      <c r="B15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6" spans="1:2" x14ac:dyDescent="0.25">
      <c r="A1596" s="1" t="str">
        <f t="shared" si="25"/>
        <v/>
      </c>
      <c r="B15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7" spans="1:2" x14ac:dyDescent="0.25">
      <c r="A1597" s="1" t="str">
        <f t="shared" si="25"/>
        <v/>
      </c>
      <c r="B15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8" spans="1:2" x14ac:dyDescent="0.25">
      <c r="A1598" s="1" t="str">
        <f t="shared" si="25"/>
        <v/>
      </c>
      <c r="B15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9" spans="1:2" x14ac:dyDescent="0.25">
      <c r="A1599" s="1" t="str">
        <f t="shared" si="25"/>
        <v/>
      </c>
      <c r="B15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0" spans="1:2" x14ac:dyDescent="0.25">
      <c r="A1600" s="1" t="str">
        <f t="shared" si="25"/>
        <v/>
      </c>
      <c r="B16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1" spans="1:2" x14ac:dyDescent="0.25">
      <c r="A1601" s="1" t="str">
        <f t="shared" si="25"/>
        <v/>
      </c>
      <c r="B16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2" spans="1:2" x14ac:dyDescent="0.25">
      <c r="A1602" s="1" t="str">
        <f t="shared" si="25"/>
        <v/>
      </c>
      <c r="B16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3" spans="1:2" x14ac:dyDescent="0.25">
      <c r="A1603" s="1" t="str">
        <f t="shared" si="25"/>
        <v/>
      </c>
      <c r="B16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4" spans="1:2" x14ac:dyDescent="0.25">
      <c r="A1604" s="1" t="str">
        <f t="shared" si="25"/>
        <v/>
      </c>
      <c r="B16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5" spans="1:2" x14ac:dyDescent="0.25">
      <c r="A1605" s="1" t="str">
        <f t="shared" si="25"/>
        <v/>
      </c>
      <c r="B16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6" spans="1:2" x14ac:dyDescent="0.25">
      <c r="A1606" s="1" t="str">
        <f t="shared" si="25"/>
        <v/>
      </c>
      <c r="B16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7" spans="1:2" x14ac:dyDescent="0.25">
      <c r="A1607" s="1" t="str">
        <f t="shared" si="25"/>
        <v/>
      </c>
      <c r="B16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8" spans="1:2" x14ac:dyDescent="0.25">
      <c r="A1608" s="1" t="str">
        <f t="shared" si="25"/>
        <v/>
      </c>
      <c r="B16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9" spans="1:2" x14ac:dyDescent="0.25">
      <c r="A1609" s="1" t="str">
        <f t="shared" si="25"/>
        <v/>
      </c>
      <c r="B16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0" spans="1:2" x14ac:dyDescent="0.25">
      <c r="A1610" s="1" t="str">
        <f t="shared" si="25"/>
        <v/>
      </c>
      <c r="B16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1" spans="1:2" x14ac:dyDescent="0.25">
      <c r="A1611" s="1" t="str">
        <f t="shared" si="25"/>
        <v/>
      </c>
      <c r="B16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2" spans="1:2" x14ac:dyDescent="0.25">
      <c r="A1612" s="1" t="str">
        <f t="shared" si="25"/>
        <v/>
      </c>
      <c r="B16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3" spans="1:2" x14ac:dyDescent="0.25">
      <c r="A1613" s="1" t="str">
        <f t="shared" si="25"/>
        <v/>
      </c>
      <c r="B16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4" spans="1:2" x14ac:dyDescent="0.25">
      <c r="A1614" s="1" t="str">
        <f t="shared" si="25"/>
        <v/>
      </c>
      <c r="B16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5" spans="1:2" x14ac:dyDescent="0.25">
      <c r="A1615" s="1" t="str">
        <f t="shared" si="25"/>
        <v/>
      </c>
      <c r="B16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6" spans="1:2" x14ac:dyDescent="0.25">
      <c r="A1616" s="1" t="str">
        <f t="shared" si="25"/>
        <v/>
      </c>
      <c r="B16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7" spans="1:2" x14ac:dyDescent="0.25">
      <c r="A1617" s="1" t="str">
        <f t="shared" si="25"/>
        <v/>
      </c>
      <c r="B16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8" spans="1:2" x14ac:dyDescent="0.25">
      <c r="A1618" s="1" t="str">
        <f t="shared" si="25"/>
        <v/>
      </c>
      <c r="B16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9" spans="1:2" x14ac:dyDescent="0.25">
      <c r="A1619" s="1" t="str">
        <f t="shared" si="25"/>
        <v/>
      </c>
      <c r="B16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0" spans="1:2" x14ac:dyDescent="0.25">
      <c r="A1620" s="1" t="str">
        <f t="shared" si="25"/>
        <v/>
      </c>
      <c r="B16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1" spans="1:2" x14ac:dyDescent="0.25">
      <c r="A1621" s="1" t="str">
        <f t="shared" si="25"/>
        <v/>
      </c>
      <c r="B16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2" spans="1:2" x14ac:dyDescent="0.25">
      <c r="A1622" s="1" t="str">
        <f t="shared" si="25"/>
        <v/>
      </c>
      <c r="B16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3" spans="1:2" x14ac:dyDescent="0.25">
      <c r="A1623" s="1" t="str">
        <f t="shared" si="25"/>
        <v/>
      </c>
      <c r="B16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4" spans="1:2" x14ac:dyDescent="0.25">
      <c r="A1624" s="1" t="str">
        <f t="shared" si="25"/>
        <v/>
      </c>
      <c r="B16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5" spans="1:2" x14ac:dyDescent="0.25">
      <c r="A1625" s="1" t="str">
        <f t="shared" si="25"/>
        <v/>
      </c>
      <c r="B16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6" spans="1:2" x14ac:dyDescent="0.25">
      <c r="A1626" s="1" t="str">
        <f t="shared" si="25"/>
        <v/>
      </c>
      <c r="B16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7" spans="1:2" x14ac:dyDescent="0.25">
      <c r="A1627" s="1" t="str">
        <f t="shared" si="25"/>
        <v/>
      </c>
      <c r="B16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8" spans="1:2" x14ac:dyDescent="0.25">
      <c r="A1628" s="1" t="str">
        <f t="shared" si="25"/>
        <v/>
      </c>
      <c r="B16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9" spans="1:2" x14ac:dyDescent="0.25">
      <c r="A1629" s="1" t="str">
        <f t="shared" si="25"/>
        <v/>
      </c>
      <c r="B16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0" spans="1:2" x14ac:dyDescent="0.25">
      <c r="A1630" s="1" t="str">
        <f t="shared" si="25"/>
        <v/>
      </c>
      <c r="B16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1" spans="1:2" x14ac:dyDescent="0.25">
      <c r="A1631" s="1" t="str">
        <f t="shared" si="25"/>
        <v/>
      </c>
      <c r="B16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2" spans="1:2" x14ac:dyDescent="0.25">
      <c r="A1632" s="1" t="str">
        <f t="shared" si="25"/>
        <v/>
      </c>
      <c r="B16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3" spans="1:2" x14ac:dyDescent="0.25">
      <c r="A1633" s="1" t="str">
        <f t="shared" si="25"/>
        <v/>
      </c>
      <c r="B16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4" spans="1:2" x14ac:dyDescent="0.25">
      <c r="A1634" s="1" t="str">
        <f t="shared" si="25"/>
        <v/>
      </c>
      <c r="B16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5" spans="1:2" x14ac:dyDescent="0.25">
      <c r="A1635" s="1" t="str">
        <f t="shared" si="25"/>
        <v/>
      </c>
      <c r="B16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6" spans="1:2" x14ac:dyDescent="0.25">
      <c r="A1636" s="1" t="str">
        <f t="shared" si="25"/>
        <v/>
      </c>
      <c r="B16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7" spans="1:2" x14ac:dyDescent="0.25">
      <c r="A1637" s="1" t="str">
        <f t="shared" si="25"/>
        <v/>
      </c>
      <c r="B16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8" spans="1:2" x14ac:dyDescent="0.25">
      <c r="A1638" s="1" t="str">
        <f t="shared" si="25"/>
        <v/>
      </c>
      <c r="B16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9" spans="1:2" x14ac:dyDescent="0.25">
      <c r="A1639" s="1" t="str">
        <f t="shared" si="25"/>
        <v/>
      </c>
      <c r="B16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0" spans="1:2" x14ac:dyDescent="0.25">
      <c r="A1640" s="1" t="str">
        <f t="shared" si="25"/>
        <v/>
      </c>
      <c r="B16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1" spans="1:2" x14ac:dyDescent="0.25">
      <c r="A1641" s="1" t="str">
        <f t="shared" si="25"/>
        <v/>
      </c>
      <c r="B16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2" spans="1:2" x14ac:dyDescent="0.25">
      <c r="A1642" s="1" t="str">
        <f t="shared" si="25"/>
        <v/>
      </c>
      <c r="B16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3" spans="1:2" x14ac:dyDescent="0.25">
      <c r="A1643" s="1" t="str">
        <f t="shared" si="25"/>
        <v/>
      </c>
      <c r="B16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4" spans="1:2" x14ac:dyDescent="0.25">
      <c r="A1644" s="1" t="str">
        <f t="shared" si="25"/>
        <v/>
      </c>
      <c r="B16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5" spans="1:2" x14ac:dyDescent="0.25">
      <c r="A1645" s="1" t="str">
        <f t="shared" si="25"/>
        <v/>
      </c>
      <c r="B16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6" spans="1:2" x14ac:dyDescent="0.25">
      <c r="A1646" s="1" t="str">
        <f t="shared" si="25"/>
        <v/>
      </c>
      <c r="B16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7" spans="1:2" x14ac:dyDescent="0.25">
      <c r="A1647" s="1" t="str">
        <f t="shared" si="25"/>
        <v/>
      </c>
      <c r="B16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8" spans="1:2" x14ac:dyDescent="0.25">
      <c r="A1648" s="1" t="str">
        <f t="shared" si="25"/>
        <v/>
      </c>
      <c r="B16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9" spans="1:2" x14ac:dyDescent="0.25">
      <c r="A1649" s="1" t="str">
        <f t="shared" si="25"/>
        <v/>
      </c>
      <c r="B16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0" spans="1:2" x14ac:dyDescent="0.25">
      <c r="A1650" s="1" t="str">
        <f t="shared" si="25"/>
        <v/>
      </c>
      <c r="B16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1" spans="1:2" x14ac:dyDescent="0.25">
      <c r="A1651" s="1" t="str">
        <f t="shared" ref="A1651:A1711" si="26">IFERROR(LEFT(RIGHT(C1651,LEN(C1651)-SEARCH("@",C1651)),SEARCH("/",RIGHT(C1651,LEN(C1651)-SEARCH("@",C1651)-1))),"")</f>
        <v/>
      </c>
      <c r="B16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2" spans="1:2" x14ac:dyDescent="0.25">
      <c r="A1652" s="1" t="str">
        <f t="shared" si="26"/>
        <v/>
      </c>
      <c r="B16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3" spans="1:2" x14ac:dyDescent="0.25">
      <c r="A1653" s="1" t="str">
        <f t="shared" si="26"/>
        <v/>
      </c>
      <c r="B16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4" spans="1:2" x14ac:dyDescent="0.25">
      <c r="A1654" s="1" t="str">
        <f t="shared" si="26"/>
        <v/>
      </c>
      <c r="B16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5" spans="1:2" x14ac:dyDescent="0.25">
      <c r="A1655" s="1" t="str">
        <f t="shared" si="26"/>
        <v/>
      </c>
      <c r="B16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6" spans="1:2" x14ac:dyDescent="0.25">
      <c r="A1656" s="1" t="str">
        <f t="shared" si="26"/>
        <v/>
      </c>
      <c r="B16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7" spans="1:2" x14ac:dyDescent="0.25">
      <c r="A1657" s="1" t="str">
        <f t="shared" si="26"/>
        <v/>
      </c>
      <c r="B16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8" spans="1:2" x14ac:dyDescent="0.25">
      <c r="A1658" s="1" t="str">
        <f t="shared" si="26"/>
        <v/>
      </c>
      <c r="B16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9" spans="1:2" x14ac:dyDescent="0.25">
      <c r="A1659" s="1" t="str">
        <f t="shared" si="26"/>
        <v/>
      </c>
      <c r="B16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0" spans="1:2" x14ac:dyDescent="0.25">
      <c r="A1660" s="1" t="str">
        <f t="shared" si="26"/>
        <v/>
      </c>
      <c r="B16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1" spans="1:2" x14ac:dyDescent="0.25">
      <c r="A1661" s="1" t="str">
        <f t="shared" si="26"/>
        <v/>
      </c>
      <c r="B16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2" spans="1:2" x14ac:dyDescent="0.25">
      <c r="A1662" s="1" t="str">
        <f t="shared" si="26"/>
        <v/>
      </c>
      <c r="B16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3" spans="1:2" x14ac:dyDescent="0.25">
      <c r="A1663" s="1" t="str">
        <f t="shared" si="26"/>
        <v/>
      </c>
      <c r="B16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4" spans="1:2" x14ac:dyDescent="0.25">
      <c r="A1664" s="1" t="str">
        <f t="shared" si="26"/>
        <v/>
      </c>
      <c r="B16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5" spans="1:2" x14ac:dyDescent="0.25">
      <c r="A1665" s="1" t="str">
        <f t="shared" si="26"/>
        <v/>
      </c>
      <c r="B16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6" spans="1:2" x14ac:dyDescent="0.25">
      <c r="A1666" s="1" t="str">
        <f t="shared" si="26"/>
        <v/>
      </c>
      <c r="B16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7" spans="1:2" x14ac:dyDescent="0.25">
      <c r="A1667" s="1" t="str">
        <f t="shared" si="26"/>
        <v/>
      </c>
      <c r="B16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8" spans="1:2" x14ac:dyDescent="0.25">
      <c r="A1668" s="1" t="str">
        <f t="shared" si="26"/>
        <v/>
      </c>
      <c r="B16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9" spans="1:2" x14ac:dyDescent="0.25">
      <c r="A1669" s="1" t="str">
        <f t="shared" si="26"/>
        <v/>
      </c>
      <c r="B16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0" spans="1:2" x14ac:dyDescent="0.25">
      <c r="A1670" s="1" t="str">
        <f t="shared" si="26"/>
        <v/>
      </c>
      <c r="B16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1" spans="1:2" x14ac:dyDescent="0.25">
      <c r="A1671" s="1" t="str">
        <f t="shared" si="26"/>
        <v/>
      </c>
      <c r="B16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2" spans="1:2" x14ac:dyDescent="0.25">
      <c r="A1672" s="1" t="str">
        <f t="shared" si="26"/>
        <v/>
      </c>
      <c r="B16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3" spans="1:2" x14ac:dyDescent="0.25">
      <c r="A1673" s="1" t="str">
        <f t="shared" si="26"/>
        <v/>
      </c>
      <c r="B16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4" spans="1:2" x14ac:dyDescent="0.25">
      <c r="A1674" s="1" t="str">
        <f t="shared" si="26"/>
        <v/>
      </c>
      <c r="B16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5" spans="1:2" x14ac:dyDescent="0.25">
      <c r="A1675" s="1" t="str">
        <f t="shared" si="26"/>
        <v/>
      </c>
      <c r="B16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6" spans="1:2" x14ac:dyDescent="0.25">
      <c r="A1676" s="1" t="str">
        <f t="shared" si="26"/>
        <v/>
      </c>
      <c r="B16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7" spans="1:2" x14ac:dyDescent="0.25">
      <c r="A1677" s="1" t="str">
        <f t="shared" si="26"/>
        <v/>
      </c>
      <c r="B16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8" spans="1:2" x14ac:dyDescent="0.25">
      <c r="A1678" s="1" t="str">
        <f t="shared" si="26"/>
        <v/>
      </c>
      <c r="B16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9" spans="1:2" x14ac:dyDescent="0.25">
      <c r="A1679" s="1" t="str">
        <f t="shared" si="26"/>
        <v/>
      </c>
      <c r="B16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0" spans="1:2" x14ac:dyDescent="0.25">
      <c r="A1680" s="1" t="str">
        <f t="shared" si="26"/>
        <v/>
      </c>
      <c r="B16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1" spans="1:2" x14ac:dyDescent="0.25">
      <c r="A1681" s="1" t="str">
        <f t="shared" si="26"/>
        <v/>
      </c>
      <c r="B16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2" spans="1:2" x14ac:dyDescent="0.25">
      <c r="A1682" s="1" t="str">
        <f t="shared" si="26"/>
        <v/>
      </c>
      <c r="B16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3" spans="1:2" x14ac:dyDescent="0.25">
      <c r="A1683" s="1" t="str">
        <f t="shared" si="26"/>
        <v/>
      </c>
      <c r="B16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4" spans="1:2" x14ac:dyDescent="0.25">
      <c r="A1684" s="1" t="str">
        <f t="shared" si="26"/>
        <v/>
      </c>
      <c r="B16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5" spans="1:2" x14ac:dyDescent="0.25">
      <c r="A1685" s="1" t="str">
        <f t="shared" si="26"/>
        <v/>
      </c>
      <c r="B16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6" spans="1:2" x14ac:dyDescent="0.25">
      <c r="A1686" s="1" t="str">
        <f t="shared" si="26"/>
        <v/>
      </c>
      <c r="B16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7" spans="1:2" x14ac:dyDescent="0.25">
      <c r="A1687" s="1" t="str">
        <f t="shared" si="26"/>
        <v/>
      </c>
      <c r="B16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8" spans="1:2" x14ac:dyDescent="0.25">
      <c r="A1688" s="1" t="str">
        <f t="shared" si="26"/>
        <v/>
      </c>
      <c r="B16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9" spans="1:2" x14ac:dyDescent="0.25">
      <c r="A1689" s="1" t="str">
        <f t="shared" si="26"/>
        <v/>
      </c>
      <c r="B16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0" spans="1:2" x14ac:dyDescent="0.25">
      <c r="A1690" s="1" t="str">
        <f t="shared" si="26"/>
        <v/>
      </c>
      <c r="B16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1" spans="1:2" x14ac:dyDescent="0.25">
      <c r="A1691" s="1" t="str">
        <f t="shared" si="26"/>
        <v/>
      </c>
      <c r="B16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2" spans="1:2" x14ac:dyDescent="0.25">
      <c r="A1692" s="1" t="str">
        <f t="shared" si="26"/>
        <v/>
      </c>
      <c r="B16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3" spans="1:2" x14ac:dyDescent="0.25">
      <c r="A1693" s="1" t="str">
        <f t="shared" si="26"/>
        <v/>
      </c>
      <c r="B16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4" spans="1:2" x14ac:dyDescent="0.25">
      <c r="A1694" s="1" t="str">
        <f t="shared" si="26"/>
        <v/>
      </c>
      <c r="B16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5" spans="1:2" x14ac:dyDescent="0.25">
      <c r="A1695" s="1" t="str">
        <f t="shared" si="26"/>
        <v/>
      </c>
      <c r="B16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6" spans="1:2" x14ac:dyDescent="0.25">
      <c r="A1696" s="1" t="str">
        <f t="shared" si="26"/>
        <v/>
      </c>
      <c r="B16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7" spans="1:2" x14ac:dyDescent="0.25">
      <c r="A1697" s="1" t="str">
        <f t="shared" si="26"/>
        <v/>
      </c>
      <c r="B16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8" spans="1:2" x14ac:dyDescent="0.25">
      <c r="A1698" s="1" t="str">
        <f t="shared" si="26"/>
        <v/>
      </c>
      <c r="B16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9" spans="1:2" x14ac:dyDescent="0.25">
      <c r="A1699" s="1" t="str">
        <f t="shared" si="26"/>
        <v/>
      </c>
      <c r="B16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0" spans="1:2" x14ac:dyDescent="0.25">
      <c r="A1700" s="1" t="str">
        <f t="shared" si="26"/>
        <v/>
      </c>
      <c r="B17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1" spans="1:2" x14ac:dyDescent="0.25">
      <c r="A1701" s="1" t="str">
        <f t="shared" si="26"/>
        <v/>
      </c>
      <c r="B17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2" spans="1:2" x14ac:dyDescent="0.25">
      <c r="A1702" s="1" t="str">
        <f t="shared" si="26"/>
        <v/>
      </c>
      <c r="B17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3" spans="1:2" x14ac:dyDescent="0.25">
      <c r="A1703" s="1" t="str">
        <f t="shared" si="26"/>
        <v/>
      </c>
      <c r="B17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4" spans="1:2" x14ac:dyDescent="0.25">
      <c r="A1704" s="1" t="str">
        <f t="shared" si="26"/>
        <v/>
      </c>
      <c r="B17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5" spans="1:2" x14ac:dyDescent="0.25">
      <c r="A1705" s="1" t="str">
        <f t="shared" si="26"/>
        <v/>
      </c>
      <c r="B17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6" spans="1:2" x14ac:dyDescent="0.25">
      <c r="A1706" s="1" t="str">
        <f t="shared" si="26"/>
        <v/>
      </c>
      <c r="B17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7" spans="1:2" x14ac:dyDescent="0.25">
      <c r="A1707" s="1" t="str">
        <f t="shared" si="26"/>
        <v/>
      </c>
      <c r="B17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8" spans="1:2" x14ac:dyDescent="0.25">
      <c r="A1708" s="1" t="str">
        <f t="shared" si="26"/>
        <v/>
      </c>
      <c r="B17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9" spans="1:2" x14ac:dyDescent="0.25">
      <c r="A1709" s="1" t="str">
        <f t="shared" si="26"/>
        <v/>
      </c>
      <c r="B17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10" spans="1:2" x14ac:dyDescent="0.25">
      <c r="A1710" s="1" t="str">
        <f t="shared" si="26"/>
        <v/>
      </c>
      <c r="B17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11" spans="1:2" x14ac:dyDescent="0.25">
      <c r="A1711" s="1" t="str">
        <f t="shared" si="26"/>
        <v/>
      </c>
      <c r="B17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sheetData>
  <conditionalFormatting sqref="A1:J10 EO1:XFD10 A11:K13 M15:XFD18 K1:L4 A14:J18 K5 A19:XFD1048576 AH11:XFD14">
    <cfRule type="containsText" dxfId="1" priority="1" operator="containsText" text="ERREUR">
      <formula>NOT(ISERROR(SEARCH("ERREUR",A1)))</formula>
    </cfRule>
    <cfRule type="containsText" dxfId="0" priority="2" operator="containsText" text="OK">
      <formula>NOT(ISERROR(SEARCH("OK",A1)))</formula>
    </cfRule>
  </conditionalFormatting>
  <pageMargins left="0.7" right="0.7" top="0.75" bottom="0.75" header="0.3" footer="0.3"/>
  <pageSetup paperSize="9" orientation="portrait" horizontalDpi="300" verticalDpi="300" r:id="rId2"/>
  <headerFooter>
    <oddFooter>&amp;C&amp;1#&amp;"Arial"&amp;10&amp;K000000Internal</oddFooter>
  </headerFooter>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K74"/>
  <sheetViews>
    <sheetView showGridLines="0" tabSelected="1" topLeftCell="L1" zoomScale="70" zoomScaleNormal="70" zoomScaleSheetLayoutView="40" zoomScalePageLayoutView="30" workbookViewId="0">
      <selection activeCell="N2" sqref="N1:AC1048576"/>
    </sheetView>
  </sheetViews>
  <sheetFormatPr defaultColWidth="9.140625" defaultRowHeight="15" x14ac:dyDescent="0.25"/>
  <cols>
    <col min="1" max="1" width="33.5703125" style="1" customWidth="1"/>
    <col min="2" max="2" width="14.85546875" style="1" customWidth="1"/>
    <col min="3" max="5" width="25.85546875" style="1" bestFit="1" customWidth="1"/>
    <col min="6" max="8" width="26.42578125" style="1" bestFit="1" customWidth="1"/>
    <col min="9" max="9" width="26.42578125" style="1" customWidth="1"/>
    <col min="10" max="10" width="25.85546875" style="1" bestFit="1" customWidth="1"/>
    <col min="11" max="11" width="26.42578125" style="1" bestFit="1" customWidth="1"/>
    <col min="12" max="13" width="26.42578125" style="1" customWidth="1"/>
    <col min="14" max="14" width="11.7109375" style="1" customWidth="1"/>
    <col min="15" max="15" width="14.85546875" style="1" customWidth="1"/>
    <col min="16" max="16" width="17.7109375" style="1" customWidth="1"/>
    <col min="17" max="18" width="25.85546875" style="1" bestFit="1" customWidth="1"/>
    <col min="19" max="36" width="25.85546875" style="1" customWidth="1"/>
    <col min="37" max="37" width="25.85546875" style="1" bestFit="1" customWidth="1"/>
    <col min="38" max="16384" width="9.140625" style="1"/>
  </cols>
  <sheetData>
    <row r="1" spans="1:37" ht="27" thickBot="1" x14ac:dyDescent="0.45">
      <c r="A1" s="221" t="s">
        <v>43</v>
      </c>
      <c r="B1" s="222"/>
      <c r="C1" s="222"/>
      <c r="D1" s="222"/>
      <c r="E1" s="222"/>
      <c r="F1" s="222"/>
      <c r="G1" s="222"/>
      <c r="H1" s="222"/>
      <c r="I1" s="222"/>
      <c r="J1" s="222"/>
      <c r="K1" s="222"/>
      <c r="L1" s="222"/>
      <c r="M1" s="222"/>
      <c r="N1" s="222"/>
      <c r="O1" s="222"/>
      <c r="P1" s="222"/>
      <c r="Q1" s="222"/>
      <c r="R1" s="222"/>
      <c r="S1" s="222"/>
      <c r="T1" s="222"/>
      <c r="U1" s="222"/>
      <c r="V1" s="222"/>
      <c r="W1" s="222"/>
      <c r="X1" s="222"/>
      <c r="Y1" s="222"/>
      <c r="Z1" s="222"/>
      <c r="AA1" s="222"/>
      <c r="AB1" s="222"/>
      <c r="AC1" s="222"/>
      <c r="AD1" s="222"/>
      <c r="AE1" s="222"/>
      <c r="AF1" s="222"/>
      <c r="AG1" s="222"/>
      <c r="AH1" s="222"/>
      <c r="AI1" s="222"/>
      <c r="AJ1" s="222"/>
      <c r="AK1" s="223"/>
    </row>
    <row r="2" spans="1:37" ht="15.75" thickBot="1" x14ac:dyDescent="0.3"/>
    <row r="3" spans="1:37" ht="15.75" thickBot="1" x14ac:dyDescent="0.3">
      <c r="A3" s="158" t="s">
        <v>22</v>
      </c>
      <c r="B3" s="231" t="s">
        <v>6</v>
      </c>
      <c r="C3" s="232"/>
      <c r="D3" s="232"/>
      <c r="E3" s="232"/>
      <c r="F3" s="232"/>
      <c r="G3" s="232"/>
      <c r="H3" s="232"/>
      <c r="I3" s="232"/>
      <c r="J3" s="232"/>
      <c r="K3" s="232"/>
      <c r="L3" s="232"/>
      <c r="M3" s="232"/>
      <c r="O3" s="231" t="s">
        <v>3</v>
      </c>
      <c r="P3" s="232"/>
      <c r="Q3" s="232"/>
      <c r="R3" s="232"/>
      <c r="S3" s="232"/>
      <c r="T3" s="232"/>
      <c r="U3" s="232"/>
      <c r="V3" s="232"/>
      <c r="W3" s="232"/>
      <c r="X3" s="232"/>
      <c r="Y3" s="232"/>
      <c r="Z3" s="232"/>
      <c r="AA3" s="232"/>
      <c r="AB3" s="232"/>
      <c r="AC3" s="232"/>
      <c r="AD3" s="232"/>
      <c r="AE3" s="232"/>
      <c r="AF3" s="232"/>
      <c r="AG3" s="232"/>
      <c r="AH3" s="232"/>
      <c r="AI3" s="232"/>
      <c r="AJ3" s="232"/>
      <c r="AK3" s="233"/>
    </row>
    <row r="4" spans="1:37" x14ac:dyDescent="0.25">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35" t="str">
        <f>'Page de garde'!A15</f>
        <v>estradiol 34ng/L</v>
      </c>
      <c r="J4" s="35" t="str">
        <f>'Page de garde'!A16</f>
        <v>estradiol 68ng/L</v>
      </c>
      <c r="K4" s="35" t="str">
        <f>'Page de garde'!A17</f>
        <v>estradiol 135ng/L</v>
      </c>
      <c r="L4" s="35" t="str">
        <f>'Page de garde'!A18</f>
        <v>estradiol 270ng/L</v>
      </c>
      <c r="M4" s="35" t="str">
        <f>'Page de garde'!A19</f>
        <v>estradiol 540ng/L</v>
      </c>
      <c r="N4" s="3"/>
      <c r="O4" s="36" t="str">
        <f>'Page de garde'!A36</f>
        <v>Testo -30µg/L</v>
      </c>
      <c r="P4" s="36" t="str">
        <f>'Page de garde'!A37</f>
        <v>Testo 30µg/L + EE2 -64ng/L</v>
      </c>
      <c r="Q4" s="36" t="str">
        <f>'Page de garde'!A38</f>
        <v>Testo 30µg/L + FAD-10mg/L</v>
      </c>
      <c r="R4" s="36" t="str">
        <f>'Page de garde'!A39</f>
        <v>estradiol-34ng/L + Testostérone</v>
      </c>
      <c r="S4" s="36" t="str">
        <f>'Page de garde'!A40</f>
        <v>estradiol-68ng/L + Testostérone</v>
      </c>
      <c r="T4" s="36" t="str">
        <f>'Page de garde'!A41</f>
        <v>estradiol-135ng/L + Testostérone</v>
      </c>
      <c r="U4" s="36" t="str">
        <f>'Page de garde'!A42</f>
        <v>estradiol-270ng/L + Testostérone</v>
      </c>
      <c r="V4" s="36" t="str">
        <f>'Page de garde'!A43</f>
        <v>estradiol-540ng/L + Testostérone</v>
      </c>
      <c r="W4" s="36" t="str">
        <f>'Page de garde'!A44</f>
        <v>0-00 + Testostérone</v>
      </c>
      <c r="X4" s="36" t="str">
        <f>'Page de garde'!A45</f>
        <v>0-00 + Testostérone</v>
      </c>
      <c r="Y4" s="36" t="str">
        <f>'Page de garde'!A46</f>
        <v>0-00 + Testostérone</v>
      </c>
      <c r="Z4" s="36" t="str">
        <f>'Page de garde'!A47</f>
        <v>0-00 + Testostérone</v>
      </c>
      <c r="AA4" s="36" t="str">
        <f>'Page de garde'!A48</f>
        <v>0-00 + Testostérone</v>
      </c>
      <c r="AB4" s="36" t="str">
        <f>'Page de garde'!A49</f>
        <v>0-00 + Testostérone</v>
      </c>
      <c r="AC4" s="36" t="str">
        <f>'Page de garde'!A50</f>
        <v>0-00 + Testostérone</v>
      </c>
      <c r="AD4" s="36" t="str">
        <f>'Page de garde'!A51</f>
        <v>0-00 + Testostérone</v>
      </c>
      <c r="AE4" s="36" t="str">
        <f>'Page de garde'!A52</f>
        <v>0-00 + Testostérone</v>
      </c>
      <c r="AF4" s="36" t="str">
        <f>'Page de garde'!A53</f>
        <v>0-00 + Testostérone</v>
      </c>
      <c r="AG4" s="36" t="str">
        <f>'Page de garde'!A54</f>
        <v>0-00 + Testostérone</v>
      </c>
      <c r="AH4" s="36" t="str">
        <f>'Page de garde'!A55</f>
        <v>0-00 + Testostérone</v>
      </c>
      <c r="AI4" s="36" t="str">
        <f>'Page de garde'!A56</f>
        <v>0-00 + Testostérone</v>
      </c>
      <c r="AJ4" s="36" t="str">
        <f>'Page de garde'!A57</f>
        <v>0-00 + Testostérone</v>
      </c>
      <c r="AK4" s="36" t="str">
        <f>'Page de garde'!A58</f>
        <v>0-00 + Testostérone</v>
      </c>
    </row>
    <row r="5" spans="1:37" x14ac:dyDescent="0.25">
      <c r="A5" s="234" t="s">
        <v>33</v>
      </c>
      <c r="B5" s="201">
        <v>186788.66666666666</v>
      </c>
      <c r="C5" s="201">
        <v>182318.33333333334</v>
      </c>
      <c r="D5" s="201">
        <v>30678.666666666668</v>
      </c>
      <c r="E5" s="201">
        <v>159239.33333333334</v>
      </c>
      <c r="F5" s="201">
        <v>571389.66666666663</v>
      </c>
      <c r="G5" s="201">
        <v>2933893.6666666665</v>
      </c>
      <c r="H5" s="201">
        <v>4452795</v>
      </c>
      <c r="I5" s="201">
        <v>196356.33333333334</v>
      </c>
      <c r="J5" s="201">
        <v>59165</v>
      </c>
      <c r="K5" s="201">
        <v>2185239.3333333335</v>
      </c>
      <c r="L5" s="201">
        <v>4594788</v>
      </c>
      <c r="M5" s="201">
        <v>4342720.333333333</v>
      </c>
      <c r="N5" s="3"/>
      <c r="O5" s="201">
        <v>422215.66666666669</v>
      </c>
      <c r="P5" s="201">
        <v>3171721.3333333335</v>
      </c>
      <c r="Q5" s="201">
        <v>272082</v>
      </c>
      <c r="R5" s="201">
        <v>1169795.3333333333</v>
      </c>
      <c r="S5" s="201">
        <v>3407335.6666666665</v>
      </c>
      <c r="T5" s="201">
        <v>4070205.3333333335</v>
      </c>
      <c r="U5" s="201">
        <v>3213207.3333333335</v>
      </c>
      <c r="V5" s="201">
        <v>3499717</v>
      </c>
      <c r="W5" s="32"/>
      <c r="X5" s="32"/>
      <c r="Y5" s="32"/>
      <c r="Z5" s="32"/>
      <c r="AA5" s="32"/>
      <c r="AB5" s="32"/>
      <c r="AC5" s="32"/>
      <c r="AD5" s="32"/>
      <c r="AE5" s="32"/>
      <c r="AF5" s="32"/>
      <c r="AG5" s="32"/>
      <c r="AH5" s="32"/>
      <c r="AI5" s="32"/>
      <c r="AJ5" s="32"/>
      <c r="AK5" s="32"/>
    </row>
    <row r="6" spans="1:37" x14ac:dyDescent="0.25">
      <c r="A6" s="234"/>
      <c r="B6" s="201">
        <v>285796</v>
      </c>
      <c r="C6" s="201">
        <v>33663.666666666664</v>
      </c>
      <c r="D6" s="201">
        <v>643489.33333333337</v>
      </c>
      <c r="E6" s="201">
        <v>929609.33333333337</v>
      </c>
      <c r="F6" s="201">
        <v>2308530</v>
      </c>
      <c r="G6" s="201">
        <v>3693218</v>
      </c>
      <c r="H6" s="201">
        <v>3993376</v>
      </c>
      <c r="I6" s="201">
        <v>270258.33333333331</v>
      </c>
      <c r="J6" s="201">
        <v>164019.5</v>
      </c>
      <c r="K6" s="201">
        <v>25011</v>
      </c>
      <c r="L6" s="201"/>
      <c r="M6" s="201">
        <v>3695856.6666666665</v>
      </c>
      <c r="N6" s="3"/>
      <c r="O6" s="201">
        <v>1704209</v>
      </c>
      <c r="P6" s="201">
        <v>4704920.333333333</v>
      </c>
      <c r="Q6" s="201">
        <v>202218</v>
      </c>
      <c r="R6" s="201">
        <v>1808980.3333333333</v>
      </c>
      <c r="S6" s="201">
        <v>3988019</v>
      </c>
      <c r="T6" s="201">
        <v>2931925</v>
      </c>
      <c r="U6" s="201">
        <v>3077263.3333333335</v>
      </c>
      <c r="V6" s="201">
        <v>2501605.6666666665</v>
      </c>
      <c r="W6" s="32"/>
      <c r="X6" s="32"/>
      <c r="Y6" s="32"/>
      <c r="Z6" s="32"/>
      <c r="AA6" s="32"/>
      <c r="AB6" s="32"/>
      <c r="AC6" s="32"/>
      <c r="AD6" s="32"/>
      <c r="AE6" s="32"/>
      <c r="AF6" s="32"/>
      <c r="AG6" s="32"/>
      <c r="AH6" s="32"/>
      <c r="AI6" s="32"/>
      <c r="AJ6" s="32"/>
      <c r="AK6" s="32"/>
    </row>
    <row r="7" spans="1:37" x14ac:dyDescent="0.25">
      <c r="A7" s="234"/>
      <c r="B7" s="201">
        <v>241616.5</v>
      </c>
      <c r="C7" s="201">
        <v>132259.33333333334</v>
      </c>
      <c r="D7" s="201">
        <v>149952.66666666666</v>
      </c>
      <c r="E7" s="201">
        <v>463802.66666666669</v>
      </c>
      <c r="F7" s="201">
        <v>2311652</v>
      </c>
      <c r="G7" s="201">
        <v>3003181</v>
      </c>
      <c r="H7" s="201">
        <v>2346483</v>
      </c>
      <c r="I7" s="201">
        <v>210725.66666666666</v>
      </c>
      <c r="J7" s="201">
        <v>315515</v>
      </c>
      <c r="K7" s="201">
        <v>128698</v>
      </c>
      <c r="L7" s="201">
        <v>4387631.333333333</v>
      </c>
      <c r="M7" s="201">
        <v>5394247</v>
      </c>
      <c r="N7" s="3"/>
      <c r="O7" s="201">
        <v>1350585</v>
      </c>
      <c r="P7" s="201">
        <v>4637096.333333333</v>
      </c>
      <c r="Q7" s="201">
        <v>154653.66666666666</v>
      </c>
      <c r="R7" s="201">
        <v>1191209</v>
      </c>
      <c r="S7" s="201">
        <v>2611507</v>
      </c>
      <c r="T7" s="201">
        <v>1343461.6666666667</v>
      </c>
      <c r="U7" s="201">
        <v>4346304</v>
      </c>
      <c r="V7" s="201">
        <v>3525788.3333333335</v>
      </c>
      <c r="W7" s="32"/>
      <c r="X7" s="32"/>
      <c r="Y7" s="32"/>
      <c r="Z7" s="32"/>
      <c r="AA7" s="32"/>
      <c r="AB7" s="32"/>
      <c r="AC7" s="32"/>
      <c r="AD7" s="32"/>
      <c r="AE7" s="32"/>
      <c r="AF7" s="32"/>
      <c r="AG7" s="32"/>
      <c r="AH7" s="32"/>
      <c r="AI7" s="32"/>
      <c r="AJ7" s="32"/>
      <c r="AK7" s="32"/>
    </row>
    <row r="8" spans="1:37" x14ac:dyDescent="0.25">
      <c r="A8" s="234"/>
      <c r="B8" s="201"/>
      <c r="C8" s="201">
        <v>219925.33333333334</v>
      </c>
      <c r="D8" s="201">
        <v>152794</v>
      </c>
      <c r="E8" s="201">
        <v>1012956.6666666666</v>
      </c>
      <c r="F8" s="201">
        <v>4124258.3333333335</v>
      </c>
      <c r="G8" s="201">
        <v>1289149</v>
      </c>
      <c r="H8" s="201">
        <v>4714783.333333333</v>
      </c>
      <c r="I8" s="201">
        <v>44182.666666666664</v>
      </c>
      <c r="J8" s="201">
        <v>176694.66666666666</v>
      </c>
      <c r="K8" s="201">
        <v>790010.5</v>
      </c>
      <c r="L8" s="201">
        <v>3132218</v>
      </c>
      <c r="M8" s="201"/>
      <c r="N8" s="3"/>
      <c r="O8" s="201">
        <v>3397948.3333333335</v>
      </c>
      <c r="P8" s="201">
        <v>3897281.6666666665</v>
      </c>
      <c r="Q8" s="201">
        <v>68083.666666666672</v>
      </c>
      <c r="R8" s="201">
        <v>2225298</v>
      </c>
      <c r="S8" s="201">
        <v>1419534</v>
      </c>
      <c r="T8" s="201">
        <v>3245847</v>
      </c>
      <c r="U8" s="201">
        <v>3034998.3333333335</v>
      </c>
      <c r="V8" s="201">
        <v>4563763.666666667</v>
      </c>
      <c r="W8" s="32"/>
      <c r="X8" s="32"/>
      <c r="Y8" s="32"/>
      <c r="Z8" s="32"/>
      <c r="AA8" s="32"/>
      <c r="AB8" s="32"/>
      <c r="AC8" s="32"/>
      <c r="AD8" s="32"/>
      <c r="AE8" s="32"/>
      <c r="AF8" s="32"/>
      <c r="AG8" s="32"/>
      <c r="AH8" s="32"/>
      <c r="AI8" s="32"/>
      <c r="AJ8" s="32"/>
      <c r="AK8" s="32"/>
    </row>
    <row r="9" spans="1:37" x14ac:dyDescent="0.25">
      <c r="A9" s="234"/>
      <c r="B9" s="201">
        <v>35285.666666666664</v>
      </c>
      <c r="C9" s="201">
        <v>710434</v>
      </c>
      <c r="D9" s="201">
        <v>402186.33333333331</v>
      </c>
      <c r="E9" s="201">
        <v>414998.66666666669</v>
      </c>
      <c r="F9" s="201">
        <v>2195729.6666666665</v>
      </c>
      <c r="G9" s="201">
        <v>5059001.333333333</v>
      </c>
      <c r="H9" s="201"/>
      <c r="I9" s="201">
        <v>465792.33333333331</v>
      </c>
      <c r="J9" s="201">
        <v>279105</v>
      </c>
      <c r="K9" s="201">
        <v>720174.66666666663</v>
      </c>
      <c r="L9" s="201">
        <v>3152283.3333333335</v>
      </c>
      <c r="M9" s="201">
        <v>4806054.333333333</v>
      </c>
      <c r="N9" s="3"/>
      <c r="O9" s="201">
        <v>836276.66666666663</v>
      </c>
      <c r="P9" s="201">
        <v>4072563</v>
      </c>
      <c r="Q9" s="201">
        <v>27870</v>
      </c>
      <c r="R9" s="201">
        <v>2346764.3333333335</v>
      </c>
      <c r="S9" s="201">
        <v>2504972.6666666665</v>
      </c>
      <c r="T9" s="201">
        <v>4147604.3333333335</v>
      </c>
      <c r="U9" s="201">
        <v>4180770</v>
      </c>
      <c r="V9" s="201">
        <v>3622553</v>
      </c>
      <c r="W9" s="32"/>
      <c r="X9" s="32"/>
      <c r="Y9" s="32"/>
      <c r="Z9" s="32"/>
      <c r="AA9" s="32"/>
      <c r="AB9" s="32"/>
      <c r="AC9" s="32"/>
      <c r="AD9" s="32"/>
      <c r="AE9" s="32"/>
      <c r="AF9" s="32"/>
      <c r="AG9" s="32"/>
      <c r="AH9" s="32"/>
      <c r="AI9" s="32"/>
      <c r="AJ9" s="32"/>
      <c r="AK9" s="32"/>
    </row>
    <row r="10" spans="1:37" x14ac:dyDescent="0.25">
      <c r="A10" s="234"/>
      <c r="B10" s="201">
        <v>13919</v>
      </c>
      <c r="C10" s="201">
        <v>582623</v>
      </c>
      <c r="D10" s="201">
        <v>152981.33333333334</v>
      </c>
      <c r="E10" s="201">
        <v>1028717.6666666666</v>
      </c>
      <c r="F10" s="201">
        <v>1511576.3333333333</v>
      </c>
      <c r="G10" s="201">
        <v>4806025.666666667</v>
      </c>
      <c r="H10" s="201">
        <v>3322460</v>
      </c>
      <c r="I10" s="201">
        <v>233336</v>
      </c>
      <c r="J10" s="201">
        <v>215087.66666666666</v>
      </c>
      <c r="K10" s="201">
        <v>1872413.6666666667</v>
      </c>
      <c r="L10" s="201">
        <v>2711047.6666666665</v>
      </c>
      <c r="M10" s="201">
        <v>4694235.333333333</v>
      </c>
      <c r="N10" s="3"/>
      <c r="O10" s="201">
        <v>1452368</v>
      </c>
      <c r="P10" s="201">
        <v>2518685.6666666665</v>
      </c>
      <c r="Q10" s="201">
        <v>122886.33333333333</v>
      </c>
      <c r="R10" s="201"/>
      <c r="S10" s="201">
        <v>2196897.6666666665</v>
      </c>
      <c r="T10" s="201">
        <v>4029325</v>
      </c>
      <c r="U10" s="201">
        <v>1343598.6666666667</v>
      </c>
      <c r="V10" s="201">
        <v>3458360.3333333335</v>
      </c>
      <c r="W10" s="32"/>
      <c r="X10" s="32"/>
      <c r="Y10" s="32"/>
      <c r="Z10" s="32"/>
      <c r="AA10" s="32"/>
      <c r="AB10" s="32"/>
      <c r="AC10" s="32"/>
      <c r="AD10" s="32"/>
      <c r="AE10" s="32"/>
      <c r="AF10" s="32"/>
      <c r="AG10" s="32"/>
      <c r="AH10" s="32"/>
      <c r="AI10" s="32"/>
      <c r="AJ10" s="32"/>
      <c r="AK10" s="32"/>
    </row>
    <row r="11" spans="1:37" x14ac:dyDescent="0.25">
      <c r="A11" s="234"/>
      <c r="B11" s="201">
        <v>40231.666666666664</v>
      </c>
      <c r="C11" s="201">
        <v>279746.66666666669</v>
      </c>
      <c r="D11" s="201">
        <v>369229.66666666669</v>
      </c>
      <c r="E11" s="201">
        <v>2110270.3333333335</v>
      </c>
      <c r="F11" s="201">
        <v>1713469.6666666667</v>
      </c>
      <c r="G11" s="201">
        <v>2120941</v>
      </c>
      <c r="H11" s="201">
        <v>4618415.333333333</v>
      </c>
      <c r="I11" s="201"/>
      <c r="J11" s="201">
        <v>260250.66666666666</v>
      </c>
      <c r="K11" s="201">
        <v>2985170.6666666665</v>
      </c>
      <c r="L11" s="201">
        <v>4070032.6666666665</v>
      </c>
      <c r="M11" s="201">
        <v>3579365.3333333335</v>
      </c>
      <c r="N11" s="3"/>
      <c r="O11" s="201">
        <v>1731192</v>
      </c>
      <c r="P11" s="201">
        <v>3911334</v>
      </c>
      <c r="Q11" s="201">
        <v>57247</v>
      </c>
      <c r="R11" s="201">
        <v>1658897.6666666667</v>
      </c>
      <c r="S11" s="201">
        <v>3964947.3333333335</v>
      </c>
      <c r="T11" s="201">
        <v>1202081.3333333333</v>
      </c>
      <c r="U11" s="201">
        <v>4511469.666666667</v>
      </c>
      <c r="V11" s="201">
        <v>2763918.3333333335</v>
      </c>
      <c r="W11" s="32"/>
      <c r="X11" s="32"/>
      <c r="Y11" s="32"/>
      <c r="Z11" s="32"/>
      <c r="AA11" s="32"/>
      <c r="AB11" s="32"/>
      <c r="AC11" s="32"/>
      <c r="AD11" s="32"/>
      <c r="AE11" s="32"/>
      <c r="AF11" s="32"/>
      <c r="AG11" s="32"/>
      <c r="AH11" s="32"/>
      <c r="AI11" s="32"/>
      <c r="AJ11" s="32"/>
      <c r="AK11" s="32"/>
    </row>
    <row r="12" spans="1:37" x14ac:dyDescent="0.25">
      <c r="A12" s="234"/>
      <c r="B12" s="201">
        <v>179347.66666666666</v>
      </c>
      <c r="C12" s="201">
        <v>411227.66666666669</v>
      </c>
      <c r="D12" s="201">
        <v>98207</v>
      </c>
      <c r="E12" s="201">
        <v>417795.66666666669</v>
      </c>
      <c r="F12" s="201">
        <v>3282920.6666666665</v>
      </c>
      <c r="G12" s="201">
        <v>3838052</v>
      </c>
      <c r="H12" s="201">
        <v>3175996.6666666665</v>
      </c>
      <c r="I12" s="201">
        <v>139433.66666666666</v>
      </c>
      <c r="J12" s="201">
        <v>189132</v>
      </c>
      <c r="K12" s="201">
        <v>1267677.6666666667</v>
      </c>
      <c r="L12" s="201">
        <v>2786644</v>
      </c>
      <c r="M12" s="201">
        <v>5703695.333333333</v>
      </c>
      <c r="N12" s="3"/>
      <c r="O12" s="201">
        <v>3280425.6666666665</v>
      </c>
      <c r="P12" s="201">
        <v>4231644</v>
      </c>
      <c r="Q12" s="201">
        <v>202109.5</v>
      </c>
      <c r="R12" s="201">
        <v>3020607.6666666665</v>
      </c>
      <c r="S12" s="201">
        <v>3153588</v>
      </c>
      <c r="T12" s="201">
        <v>3674169.3333333335</v>
      </c>
      <c r="U12" s="201">
        <v>4237173.666666667</v>
      </c>
      <c r="V12" s="201">
        <v>4514256.5</v>
      </c>
      <c r="W12" s="32"/>
      <c r="X12" s="32"/>
      <c r="Y12" s="32"/>
      <c r="Z12" s="32"/>
      <c r="AA12" s="32"/>
      <c r="AB12" s="32"/>
      <c r="AC12" s="32"/>
      <c r="AD12" s="32"/>
      <c r="AE12" s="32"/>
      <c r="AF12" s="32"/>
      <c r="AG12" s="32"/>
      <c r="AH12" s="32"/>
      <c r="AI12" s="32"/>
      <c r="AJ12" s="32"/>
      <c r="AK12" s="32"/>
    </row>
    <row r="13" spans="1:37" ht="16.5" x14ac:dyDescent="0.25">
      <c r="A13" s="234"/>
      <c r="B13" s="14"/>
      <c r="C13" s="13"/>
      <c r="D13" s="32"/>
      <c r="E13" s="32"/>
      <c r="F13" s="32"/>
      <c r="G13" s="32"/>
      <c r="H13" s="32"/>
      <c r="I13" s="32"/>
      <c r="J13" s="32"/>
      <c r="K13" s="13"/>
      <c r="L13" s="13"/>
      <c r="M13" s="13"/>
      <c r="N13" s="3"/>
      <c r="O13" s="201">
        <v>863645.66666666663</v>
      </c>
      <c r="P13" s="13"/>
      <c r="Q13" s="13"/>
      <c r="R13" s="32"/>
      <c r="S13" s="32"/>
      <c r="T13" s="32"/>
      <c r="U13" s="32"/>
      <c r="V13" s="32"/>
      <c r="W13" s="32"/>
      <c r="X13" s="32"/>
      <c r="Y13" s="32"/>
      <c r="Z13" s="32"/>
      <c r="AA13" s="32"/>
      <c r="AB13" s="32"/>
      <c r="AC13" s="32"/>
      <c r="AD13" s="32"/>
      <c r="AE13" s="32"/>
      <c r="AF13" s="32"/>
      <c r="AG13" s="32"/>
      <c r="AH13" s="32"/>
      <c r="AI13" s="32"/>
      <c r="AJ13" s="32"/>
      <c r="AK13" s="32"/>
    </row>
    <row r="14" spans="1:37" ht="16.5" x14ac:dyDescent="0.25">
      <c r="A14" s="234"/>
      <c r="B14" s="14"/>
      <c r="C14" s="32"/>
      <c r="D14" s="32"/>
      <c r="E14" s="32"/>
      <c r="F14" s="32"/>
      <c r="G14" s="32"/>
      <c r="H14" s="32"/>
      <c r="I14" s="32"/>
      <c r="J14" s="32"/>
      <c r="K14" s="13"/>
      <c r="L14" s="13"/>
      <c r="M14" s="13"/>
      <c r="N14" s="3"/>
      <c r="O14" s="201">
        <v>2295753.6666666665</v>
      </c>
      <c r="P14" s="13"/>
      <c r="Q14" s="13"/>
      <c r="R14" s="32"/>
      <c r="S14" s="32"/>
      <c r="T14" s="32"/>
      <c r="U14" s="32"/>
      <c r="V14" s="32"/>
      <c r="W14" s="32"/>
      <c r="X14" s="32"/>
      <c r="Y14" s="32"/>
      <c r="Z14" s="32"/>
      <c r="AA14" s="32"/>
      <c r="AB14" s="32"/>
      <c r="AC14" s="32"/>
      <c r="AD14" s="32"/>
      <c r="AE14" s="32"/>
      <c r="AF14" s="32"/>
      <c r="AG14" s="32"/>
      <c r="AH14" s="32"/>
      <c r="AI14" s="32"/>
      <c r="AJ14" s="32"/>
      <c r="AK14" s="32"/>
    </row>
    <row r="15" spans="1:37" ht="16.5" x14ac:dyDescent="0.25">
      <c r="A15" s="234"/>
      <c r="B15" s="14"/>
      <c r="C15" s="32"/>
      <c r="D15" s="32"/>
      <c r="E15" s="32"/>
      <c r="F15" s="32"/>
      <c r="G15" s="32"/>
      <c r="H15" s="32"/>
      <c r="I15" s="32"/>
      <c r="J15" s="32"/>
      <c r="K15" s="13"/>
      <c r="L15" s="13"/>
      <c r="M15" s="13"/>
      <c r="N15" s="3"/>
      <c r="O15" s="201">
        <v>2210741.3333333335</v>
      </c>
      <c r="P15" s="13"/>
      <c r="Q15" s="13"/>
      <c r="R15" s="32"/>
      <c r="S15" s="32"/>
      <c r="T15" s="32"/>
      <c r="U15" s="32"/>
      <c r="V15" s="32"/>
      <c r="W15" s="32"/>
      <c r="X15" s="32"/>
      <c r="Y15" s="32"/>
      <c r="Z15" s="32"/>
      <c r="AA15" s="32"/>
      <c r="AB15" s="32"/>
      <c r="AC15" s="32"/>
      <c r="AD15" s="32"/>
      <c r="AE15" s="32"/>
      <c r="AF15" s="32"/>
      <c r="AG15" s="32"/>
      <c r="AH15" s="32"/>
      <c r="AI15" s="32"/>
      <c r="AJ15" s="32"/>
      <c r="AK15" s="32"/>
    </row>
    <row r="16" spans="1:37" ht="16.5" x14ac:dyDescent="0.25">
      <c r="A16" s="234"/>
      <c r="B16" s="14"/>
      <c r="C16" s="32"/>
      <c r="D16" s="32"/>
      <c r="E16" s="32"/>
      <c r="F16" s="32"/>
      <c r="G16" s="32"/>
      <c r="H16" s="32"/>
      <c r="I16" s="32"/>
      <c r="J16" s="32"/>
      <c r="K16" s="13"/>
      <c r="L16" s="13"/>
      <c r="M16" s="13"/>
      <c r="N16" s="3"/>
      <c r="O16" s="201">
        <v>4224956.5</v>
      </c>
      <c r="P16" s="13"/>
      <c r="Q16" s="13"/>
      <c r="R16" s="32"/>
      <c r="S16" s="32"/>
      <c r="T16" s="32"/>
      <c r="U16" s="32"/>
      <c r="V16" s="32"/>
      <c r="W16" s="32"/>
      <c r="X16" s="32"/>
      <c r="Y16" s="32"/>
      <c r="Z16" s="32"/>
      <c r="AA16" s="32"/>
      <c r="AB16" s="32"/>
      <c r="AC16" s="32"/>
      <c r="AD16" s="32"/>
      <c r="AE16" s="32"/>
      <c r="AF16" s="32"/>
      <c r="AG16" s="32"/>
      <c r="AH16" s="32"/>
      <c r="AI16" s="32"/>
      <c r="AJ16" s="32"/>
      <c r="AK16" s="32"/>
    </row>
    <row r="17" spans="1:37" ht="16.5" x14ac:dyDescent="0.25">
      <c r="A17" s="234"/>
      <c r="B17" s="14"/>
      <c r="C17" s="32"/>
      <c r="D17" s="32"/>
      <c r="E17" s="32"/>
      <c r="F17" s="32"/>
      <c r="G17" s="32"/>
      <c r="H17" s="32"/>
      <c r="I17" s="32"/>
      <c r="J17" s="32"/>
      <c r="K17" s="13"/>
      <c r="L17" s="13"/>
      <c r="M17" s="13"/>
      <c r="N17" s="3"/>
      <c r="O17" s="201">
        <v>2149283.3333333335</v>
      </c>
      <c r="P17" s="13"/>
      <c r="Q17" s="13"/>
      <c r="R17" s="32"/>
      <c r="S17" s="32"/>
      <c r="T17" s="32"/>
      <c r="U17" s="32"/>
      <c r="V17" s="32"/>
      <c r="W17" s="32"/>
      <c r="X17" s="32"/>
      <c r="Y17" s="32"/>
      <c r="Z17" s="32"/>
      <c r="AA17" s="32"/>
      <c r="AB17" s="32"/>
      <c r="AC17" s="32"/>
      <c r="AD17" s="32"/>
      <c r="AE17" s="32"/>
      <c r="AF17" s="32"/>
      <c r="AG17" s="32"/>
      <c r="AH17" s="32"/>
      <c r="AI17" s="32"/>
      <c r="AJ17" s="32"/>
      <c r="AK17" s="32"/>
    </row>
    <row r="18" spans="1:37" ht="16.5" x14ac:dyDescent="0.25">
      <c r="A18" s="234"/>
      <c r="B18" s="14"/>
      <c r="C18" s="32"/>
      <c r="D18" s="32"/>
      <c r="E18" s="32"/>
      <c r="F18" s="32"/>
      <c r="G18" s="32"/>
      <c r="H18" s="32"/>
      <c r="I18" s="32"/>
      <c r="J18" s="32"/>
      <c r="K18" s="13"/>
      <c r="L18" s="13"/>
      <c r="M18" s="13"/>
      <c r="N18" s="3"/>
      <c r="O18" s="201">
        <v>1940619.6666666667</v>
      </c>
      <c r="P18" s="13"/>
      <c r="Q18" s="13"/>
      <c r="R18" s="32"/>
      <c r="S18" s="32"/>
      <c r="T18" s="32"/>
      <c r="U18" s="32"/>
      <c r="V18" s="32"/>
      <c r="W18" s="32"/>
      <c r="X18" s="32"/>
      <c r="Y18" s="32"/>
      <c r="Z18" s="32"/>
      <c r="AA18" s="32"/>
      <c r="AB18" s="32"/>
      <c r="AC18" s="32"/>
      <c r="AD18" s="32"/>
      <c r="AE18" s="32"/>
      <c r="AF18" s="32"/>
      <c r="AG18" s="32"/>
      <c r="AH18" s="32"/>
      <c r="AI18" s="32"/>
      <c r="AJ18" s="32"/>
      <c r="AK18" s="32"/>
    </row>
    <row r="19" spans="1:37" ht="16.5" x14ac:dyDescent="0.25">
      <c r="A19" s="234"/>
      <c r="B19" s="14"/>
      <c r="C19" s="32"/>
      <c r="D19" s="32"/>
      <c r="E19" s="32"/>
      <c r="F19" s="32"/>
      <c r="G19" s="32"/>
      <c r="H19" s="32"/>
      <c r="I19" s="32"/>
      <c r="J19" s="32"/>
      <c r="K19" s="13"/>
      <c r="L19" s="13"/>
      <c r="M19" s="13"/>
      <c r="N19" s="3"/>
      <c r="O19" s="201">
        <v>1695805.3333333333</v>
      </c>
      <c r="P19" s="13"/>
      <c r="Q19" s="13"/>
      <c r="R19" s="32"/>
      <c r="S19" s="32"/>
      <c r="T19" s="32"/>
      <c r="U19" s="32"/>
      <c r="V19" s="32"/>
      <c r="W19" s="32"/>
      <c r="X19" s="32"/>
      <c r="Y19" s="32"/>
      <c r="Z19" s="32"/>
      <c r="AA19" s="32"/>
      <c r="AB19" s="32"/>
      <c r="AC19" s="32"/>
      <c r="AD19" s="32"/>
      <c r="AE19" s="32"/>
      <c r="AF19" s="32"/>
      <c r="AG19" s="32"/>
      <c r="AH19" s="32"/>
      <c r="AI19" s="32"/>
      <c r="AJ19" s="32"/>
      <c r="AK19" s="32"/>
    </row>
    <row r="20" spans="1:37" ht="16.5" x14ac:dyDescent="0.25">
      <c r="A20" s="234"/>
      <c r="B20" s="14"/>
      <c r="C20" s="32"/>
      <c r="D20" s="32"/>
      <c r="E20" s="32"/>
      <c r="F20" s="32"/>
      <c r="G20" s="32"/>
      <c r="H20" s="32"/>
      <c r="I20" s="32"/>
      <c r="J20" s="32"/>
      <c r="K20" s="13"/>
      <c r="L20" s="13"/>
      <c r="M20" s="13"/>
      <c r="N20" s="3"/>
      <c r="O20" s="201">
        <v>390160</v>
      </c>
      <c r="P20" s="13"/>
      <c r="Q20" s="13"/>
      <c r="R20" s="32"/>
      <c r="S20" s="32"/>
      <c r="T20" s="32"/>
      <c r="U20" s="32"/>
      <c r="V20" s="32"/>
      <c r="W20" s="32"/>
      <c r="X20" s="32"/>
      <c r="Y20" s="32"/>
      <c r="Z20" s="32"/>
      <c r="AA20" s="32"/>
      <c r="AB20" s="32"/>
      <c r="AC20" s="32"/>
      <c r="AD20" s="32"/>
      <c r="AE20" s="32"/>
      <c r="AF20" s="32"/>
      <c r="AG20" s="32"/>
      <c r="AH20" s="32"/>
      <c r="AI20" s="32"/>
      <c r="AJ20" s="32"/>
      <c r="AK20" s="32"/>
    </row>
    <row r="21" spans="1:37" x14ac:dyDescent="0.25">
      <c r="A21" s="3"/>
      <c r="B21" s="7"/>
      <c r="C21" s="7"/>
      <c r="D21" s="7"/>
      <c r="E21" s="7"/>
      <c r="F21" s="7"/>
      <c r="G21" s="7"/>
      <c r="H21" s="7"/>
      <c r="I21" s="7"/>
      <c r="J21" s="7"/>
      <c r="N21" s="3"/>
      <c r="O21" s="7"/>
      <c r="R21" s="7"/>
      <c r="S21" s="7"/>
      <c r="T21" s="7"/>
      <c r="U21" s="7"/>
      <c r="V21" s="7"/>
      <c r="W21" s="7"/>
      <c r="X21" s="7"/>
      <c r="Y21" s="7"/>
      <c r="Z21" s="7"/>
      <c r="AA21" s="7"/>
      <c r="AB21" s="7"/>
      <c r="AC21" s="7"/>
      <c r="AD21" s="7"/>
      <c r="AE21" s="7"/>
      <c r="AF21" s="7"/>
      <c r="AG21" s="7"/>
      <c r="AH21" s="7"/>
      <c r="AI21" s="7"/>
      <c r="AJ21" s="7"/>
      <c r="AK21" s="7"/>
    </row>
    <row r="22" spans="1:37" x14ac:dyDescent="0.25">
      <c r="A22" s="3" t="str">
        <f>A4</f>
        <v>Noms des groupes</v>
      </c>
      <c r="B22" s="3" t="str">
        <f t="shared" ref="B22:AK22" si="0">B4</f>
        <v>Témoin solvant</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estradiol 34ng/L</v>
      </c>
      <c r="J22" s="3" t="str">
        <f t="shared" si="0"/>
        <v>estradiol 68ng/L</v>
      </c>
      <c r="K22" s="3" t="str">
        <f t="shared" si="0"/>
        <v>estradiol 135ng/L</v>
      </c>
      <c r="L22" s="3" t="str">
        <f t="shared" si="0"/>
        <v>estradiol 270ng/L</v>
      </c>
      <c r="M22" s="3" t="str">
        <f t="shared" si="0"/>
        <v>estradiol 540ng/L</v>
      </c>
      <c r="N22" s="3" t="s">
        <v>41</v>
      </c>
      <c r="O22" s="3" t="str">
        <f t="shared" si="0"/>
        <v>Testo -30µg/L</v>
      </c>
      <c r="P22" s="3" t="str">
        <f t="shared" si="0"/>
        <v>Testo 30µg/L + EE2 -64ng/L</v>
      </c>
      <c r="Q22" s="3" t="str">
        <f t="shared" si="0"/>
        <v>Testo 30µg/L + FAD-10mg/L</v>
      </c>
      <c r="R22" s="3" t="str">
        <f t="shared" si="0"/>
        <v>estradiol-34ng/L + Testostérone</v>
      </c>
      <c r="S22" s="3" t="str">
        <f t="shared" si="0"/>
        <v>estradiol-68ng/L + Testostérone</v>
      </c>
      <c r="T22" s="3" t="str">
        <f t="shared" si="0"/>
        <v>estradiol-135ng/L + Testostérone</v>
      </c>
      <c r="U22" s="3" t="str">
        <f t="shared" si="0"/>
        <v>estradiol-270ng/L + Testostérone</v>
      </c>
      <c r="V22" s="3" t="str">
        <f t="shared" si="0"/>
        <v>estradiol-540ng/L + Testostérone</v>
      </c>
      <c r="W22" s="3" t="str">
        <f t="shared" si="0"/>
        <v>0-00 + Testostérone</v>
      </c>
      <c r="X22" s="3" t="str">
        <f t="shared" si="0"/>
        <v>0-00 + Testostérone</v>
      </c>
      <c r="Y22" s="3" t="str">
        <f t="shared" si="0"/>
        <v>0-00 + Testostérone</v>
      </c>
      <c r="Z22" s="3" t="str">
        <f t="shared" si="0"/>
        <v>0-00 + Testostérone</v>
      </c>
      <c r="AA22" s="3" t="str">
        <f t="shared" si="0"/>
        <v>0-00 + Testostérone</v>
      </c>
      <c r="AB22" s="3" t="str">
        <f t="shared" si="0"/>
        <v>0-00 + Testostérone</v>
      </c>
      <c r="AC22" s="3" t="str">
        <f t="shared" si="0"/>
        <v>0-00 + Testostérone</v>
      </c>
      <c r="AD22" s="3" t="str">
        <f t="shared" si="0"/>
        <v>0-00 + Testostérone</v>
      </c>
      <c r="AE22" s="3" t="str">
        <f t="shared" si="0"/>
        <v>0-00 + Testostérone</v>
      </c>
      <c r="AF22" s="3" t="str">
        <f t="shared" si="0"/>
        <v>0-00 + Testostérone</v>
      </c>
      <c r="AG22" s="3" t="str">
        <f t="shared" si="0"/>
        <v>0-00 + Testostérone</v>
      </c>
      <c r="AH22" s="3" t="str">
        <f t="shared" si="0"/>
        <v>0-00 + Testostérone</v>
      </c>
      <c r="AI22" s="3" t="str">
        <f t="shared" si="0"/>
        <v>0-00 + Testostérone</v>
      </c>
      <c r="AJ22" s="3" t="str">
        <f t="shared" si="0"/>
        <v>0-00 + Testostérone</v>
      </c>
      <c r="AK22" s="3" t="str">
        <f t="shared" si="0"/>
        <v>0-00 + Testostérone</v>
      </c>
    </row>
    <row r="23" spans="1:37" x14ac:dyDescent="0.25">
      <c r="A23" s="5" t="s">
        <v>0</v>
      </c>
      <c r="B23" s="5">
        <f t="shared" ref="B23:J23" si="1">AVERAGE(B5:B20)</f>
        <v>140426.45238095237</v>
      </c>
      <c r="C23" s="5">
        <f t="shared" si="1"/>
        <v>319024.75</v>
      </c>
      <c r="D23" s="5">
        <f t="shared" si="1"/>
        <v>249939.875</v>
      </c>
      <c r="E23" s="5">
        <f t="shared" si="1"/>
        <v>817173.79166666663</v>
      </c>
      <c r="F23" s="5">
        <f t="shared" si="1"/>
        <v>2252440.7916666665</v>
      </c>
      <c r="G23" s="5">
        <f t="shared" si="1"/>
        <v>3342932.7083333335</v>
      </c>
      <c r="H23" s="5">
        <f t="shared" si="1"/>
        <v>3803472.7619047617</v>
      </c>
      <c r="I23" s="5">
        <f t="shared" si="1"/>
        <v>222869.28571428571</v>
      </c>
      <c r="J23" s="5">
        <f t="shared" si="1"/>
        <v>207371.1875</v>
      </c>
      <c r="K23" s="5"/>
      <c r="L23" s="5">
        <f>AVERAGE(L5:L20)</f>
        <v>3547806.4285714286</v>
      </c>
      <c r="M23" s="5"/>
      <c r="N23" s="5" t="s">
        <v>0</v>
      </c>
      <c r="O23" s="5">
        <f>AVERAGE(O5:O20)</f>
        <v>1871636.6145833333</v>
      </c>
      <c r="P23" s="5">
        <f>AVERAGE(P5:P20)</f>
        <v>3893155.7916666665</v>
      </c>
      <c r="Q23" s="5">
        <f>AVERAGE(Q5:Q20)</f>
        <v>138393.77083333331</v>
      </c>
      <c r="R23" s="5">
        <f>AVERAGE(R5:R20)</f>
        <v>1917364.6190476189</v>
      </c>
      <c r="S23" s="5">
        <f>AVERAGE(S5:S20)</f>
        <v>2905850.1666666665</v>
      </c>
      <c r="T23" s="5">
        <f t="shared" ref="T23:AK23" si="2">AVERAGE(T5:T20)</f>
        <v>3080577.375</v>
      </c>
      <c r="U23" s="5">
        <f t="shared" si="2"/>
        <v>3493098.1250000005</v>
      </c>
      <c r="V23" s="5">
        <f t="shared" si="2"/>
        <v>3556245.3541666665</v>
      </c>
      <c r="W23" s="5" t="e">
        <f t="shared" si="2"/>
        <v>#DIV/0!</v>
      </c>
      <c r="X23" s="5" t="e">
        <f t="shared" si="2"/>
        <v>#DIV/0!</v>
      </c>
      <c r="Y23" s="5" t="e">
        <f t="shared" si="2"/>
        <v>#DIV/0!</v>
      </c>
      <c r="Z23" s="5" t="e">
        <f t="shared" si="2"/>
        <v>#DIV/0!</v>
      </c>
      <c r="AA23" s="5" t="e">
        <f t="shared" si="2"/>
        <v>#DIV/0!</v>
      </c>
      <c r="AB23" s="5" t="e">
        <f t="shared" si="2"/>
        <v>#DIV/0!</v>
      </c>
      <c r="AC23" s="5" t="e">
        <f t="shared" si="2"/>
        <v>#DIV/0!</v>
      </c>
      <c r="AD23" s="5" t="e">
        <f t="shared" si="2"/>
        <v>#DIV/0!</v>
      </c>
      <c r="AE23" s="5" t="e">
        <f t="shared" si="2"/>
        <v>#DIV/0!</v>
      </c>
      <c r="AF23" s="5" t="e">
        <f t="shared" si="2"/>
        <v>#DIV/0!</v>
      </c>
      <c r="AG23" s="5" t="e">
        <f t="shared" si="2"/>
        <v>#DIV/0!</v>
      </c>
      <c r="AH23" s="5" t="e">
        <f t="shared" si="2"/>
        <v>#DIV/0!</v>
      </c>
      <c r="AI23" s="5" t="e">
        <f t="shared" si="2"/>
        <v>#DIV/0!</v>
      </c>
      <c r="AJ23" s="5" t="e">
        <f t="shared" si="2"/>
        <v>#DIV/0!</v>
      </c>
      <c r="AK23" s="5" t="e">
        <f t="shared" si="2"/>
        <v>#DIV/0!</v>
      </c>
    </row>
    <row r="24" spans="1:37" x14ac:dyDescent="0.25">
      <c r="A24" s="3" t="s">
        <v>1</v>
      </c>
      <c r="B24" s="3">
        <f t="shared" ref="B24:J24" si="3">STDEV(B5:B20)</f>
        <v>109646.22075865073</v>
      </c>
      <c r="C24" s="3">
        <f t="shared" si="3"/>
        <v>232240.94370968844</v>
      </c>
      <c r="D24" s="3">
        <f t="shared" si="3"/>
        <v>204319.17577403781</v>
      </c>
      <c r="E24" s="3">
        <f t="shared" si="3"/>
        <v>614912.16372013837</v>
      </c>
      <c r="F24" s="3">
        <f t="shared" si="3"/>
        <v>1085012.2253638215</v>
      </c>
      <c r="G24" s="3">
        <f t="shared" si="3"/>
        <v>1278805.8517754709</v>
      </c>
      <c r="H24" s="3">
        <f t="shared" si="3"/>
        <v>885081.88458789443</v>
      </c>
      <c r="I24" s="3">
        <f t="shared" si="3"/>
        <v>129812.49008137458</v>
      </c>
      <c r="J24" s="3">
        <f t="shared" si="3"/>
        <v>80013.183841315229</v>
      </c>
      <c r="K24" s="3"/>
      <c r="L24" s="3">
        <f>STDEV(L5:L20)</f>
        <v>783462.64050972543</v>
      </c>
      <c r="M24" s="3"/>
      <c r="N24" s="3" t="s">
        <v>1</v>
      </c>
      <c r="O24" s="3">
        <f>STDEV(O5:O20)</f>
        <v>1068915.5405816576</v>
      </c>
      <c r="P24" s="3">
        <f>STDEV(P5:P20)</f>
        <v>733791.8823789017</v>
      </c>
      <c r="Q24" s="3">
        <f>STDEV(Q5:Q20)</f>
        <v>84730.199460092932</v>
      </c>
      <c r="R24" s="3">
        <f>STDEV(R5:R20)</f>
        <v>665966.27075924829</v>
      </c>
      <c r="S24" s="3">
        <f>STDEV(S5:S20)</f>
        <v>891605.93452608283</v>
      </c>
      <c r="T24" s="3">
        <f t="shared" ref="T24:AK24" si="4">STDEV(T5:T20)</f>
        <v>1193201.7812174079</v>
      </c>
      <c r="U24" s="3">
        <f t="shared" si="4"/>
        <v>1060528.3488569127</v>
      </c>
      <c r="V24" s="3">
        <f t="shared" si="4"/>
        <v>726147.04828181979</v>
      </c>
      <c r="W24" s="3" t="e">
        <f t="shared" si="4"/>
        <v>#DIV/0!</v>
      </c>
      <c r="X24" s="3" t="e">
        <f t="shared" si="4"/>
        <v>#DIV/0!</v>
      </c>
      <c r="Y24" s="3" t="e">
        <f t="shared" si="4"/>
        <v>#DIV/0!</v>
      </c>
      <c r="Z24" s="3" t="e">
        <f t="shared" si="4"/>
        <v>#DIV/0!</v>
      </c>
      <c r="AA24" s="3" t="e">
        <f t="shared" si="4"/>
        <v>#DIV/0!</v>
      </c>
      <c r="AB24" s="3" t="e">
        <f t="shared" si="4"/>
        <v>#DIV/0!</v>
      </c>
      <c r="AC24" s="3" t="e">
        <f t="shared" si="4"/>
        <v>#DIV/0!</v>
      </c>
      <c r="AD24" s="3" t="e">
        <f t="shared" si="4"/>
        <v>#DIV/0!</v>
      </c>
      <c r="AE24" s="3" t="e">
        <f t="shared" si="4"/>
        <v>#DIV/0!</v>
      </c>
      <c r="AF24" s="3" t="e">
        <f t="shared" si="4"/>
        <v>#DIV/0!</v>
      </c>
      <c r="AG24" s="3" t="e">
        <f t="shared" si="4"/>
        <v>#DIV/0!</v>
      </c>
      <c r="AH24" s="3" t="e">
        <f t="shared" si="4"/>
        <v>#DIV/0!</v>
      </c>
      <c r="AI24" s="3" t="e">
        <f t="shared" si="4"/>
        <v>#DIV/0!</v>
      </c>
      <c r="AJ24" s="3" t="e">
        <f t="shared" si="4"/>
        <v>#DIV/0!</v>
      </c>
      <c r="AK24" s="3" t="e">
        <f t="shared" si="4"/>
        <v>#DIV/0!</v>
      </c>
    </row>
    <row r="25" spans="1:37" ht="15.75" thickBot="1" x14ac:dyDescent="0.3"/>
    <row r="26" spans="1:37" ht="15.75" thickBot="1" x14ac:dyDescent="0.3">
      <c r="B26" s="231" t="s">
        <v>6</v>
      </c>
      <c r="C26" s="232"/>
      <c r="D26" s="232"/>
      <c r="E26" s="232"/>
      <c r="F26" s="232"/>
      <c r="G26" s="232"/>
      <c r="H26" s="232"/>
      <c r="I26" s="232"/>
      <c r="J26" s="232"/>
      <c r="K26" s="232"/>
      <c r="L26" s="232"/>
      <c r="M26" s="232"/>
      <c r="O26" s="231" t="s">
        <v>3</v>
      </c>
      <c r="P26" s="232"/>
      <c r="Q26" s="232"/>
      <c r="R26" s="232"/>
      <c r="S26" s="232"/>
      <c r="T26" s="232"/>
      <c r="U26" s="232"/>
      <c r="V26" s="232"/>
      <c r="W26" s="232"/>
      <c r="X26" s="232"/>
      <c r="Y26" s="232"/>
      <c r="Z26" s="232"/>
      <c r="AA26" s="232"/>
      <c r="AB26" s="232"/>
      <c r="AC26" s="232"/>
      <c r="AD26" s="232"/>
      <c r="AE26" s="232"/>
      <c r="AF26" s="232"/>
      <c r="AG26" s="232"/>
      <c r="AH26" s="232"/>
      <c r="AI26" s="232"/>
      <c r="AJ26" s="232"/>
      <c r="AK26" s="233"/>
    </row>
    <row r="27" spans="1:37" x14ac:dyDescent="0.25">
      <c r="A27" s="34" t="s">
        <v>41</v>
      </c>
      <c r="B27" s="35" t="str">
        <f>B4</f>
        <v>Témoin solvant</v>
      </c>
      <c r="C27" s="35" t="str">
        <f t="shared" ref="C27:M27" si="5">C4</f>
        <v>EE2-33.8ng/L</v>
      </c>
      <c r="D27" s="35" t="str">
        <f t="shared" si="5"/>
        <v>EE2-50.6ng/L</v>
      </c>
      <c r="E27" s="35" t="str">
        <f t="shared" si="5"/>
        <v>EE2-76ng/L</v>
      </c>
      <c r="F27" s="35" t="str">
        <f t="shared" si="5"/>
        <v>EE2-114ng/L</v>
      </c>
      <c r="G27" s="35" t="str">
        <f t="shared" si="5"/>
        <v>EE2-170.9ng/L</v>
      </c>
      <c r="H27" s="35" t="str">
        <f t="shared" si="5"/>
        <v>EE2-488ng/L</v>
      </c>
      <c r="I27" s="35" t="str">
        <f t="shared" si="5"/>
        <v>estradiol 34ng/L</v>
      </c>
      <c r="J27" s="35" t="str">
        <f t="shared" si="5"/>
        <v>estradiol 68ng/L</v>
      </c>
      <c r="K27" s="35" t="str">
        <f t="shared" si="5"/>
        <v>estradiol 135ng/L</v>
      </c>
      <c r="L27" s="35" t="str">
        <f t="shared" si="5"/>
        <v>estradiol 270ng/L</v>
      </c>
      <c r="M27" s="35" t="str">
        <f t="shared" si="5"/>
        <v>estradiol 540ng/L</v>
      </c>
      <c r="N27" s="3"/>
      <c r="O27" s="36" t="str">
        <f>O4</f>
        <v>Testo -30µg/L</v>
      </c>
      <c r="P27" s="36" t="str">
        <f t="shared" ref="P27:AK27" si="6">P4</f>
        <v>Testo 30µg/L + EE2 -64ng/L</v>
      </c>
      <c r="Q27" s="36" t="str">
        <f t="shared" si="6"/>
        <v>Testo 30µg/L + FAD-10mg/L</v>
      </c>
      <c r="R27" s="36" t="str">
        <f t="shared" si="6"/>
        <v>estradiol-34ng/L + Testostérone</v>
      </c>
      <c r="S27" s="36" t="str">
        <f t="shared" si="6"/>
        <v>estradiol-68ng/L + Testostérone</v>
      </c>
      <c r="T27" s="36" t="str">
        <f t="shared" si="6"/>
        <v>estradiol-135ng/L + Testostérone</v>
      </c>
      <c r="U27" s="36" t="str">
        <f t="shared" si="6"/>
        <v>estradiol-270ng/L + Testostérone</v>
      </c>
      <c r="V27" s="36" t="str">
        <f t="shared" si="6"/>
        <v>estradiol-540ng/L + Testostérone</v>
      </c>
      <c r="W27" s="36" t="str">
        <f t="shared" si="6"/>
        <v>0-00 + Testostérone</v>
      </c>
      <c r="X27" s="36" t="str">
        <f t="shared" si="6"/>
        <v>0-00 + Testostérone</v>
      </c>
      <c r="Y27" s="36" t="str">
        <f t="shared" si="6"/>
        <v>0-00 + Testostérone</v>
      </c>
      <c r="Z27" s="36" t="str">
        <f t="shared" si="6"/>
        <v>0-00 + Testostérone</v>
      </c>
      <c r="AA27" s="36" t="str">
        <f t="shared" si="6"/>
        <v>0-00 + Testostérone</v>
      </c>
      <c r="AB27" s="36" t="str">
        <f t="shared" si="6"/>
        <v>0-00 + Testostérone</v>
      </c>
      <c r="AC27" s="36" t="str">
        <f t="shared" si="6"/>
        <v>0-00 + Testostérone</v>
      </c>
      <c r="AD27" s="36" t="str">
        <f t="shared" si="6"/>
        <v>0-00 + Testostérone</v>
      </c>
      <c r="AE27" s="36" t="str">
        <f t="shared" si="6"/>
        <v>0-00 + Testostérone</v>
      </c>
      <c r="AF27" s="36" t="str">
        <f t="shared" si="6"/>
        <v>0-00 + Testostérone</v>
      </c>
      <c r="AG27" s="36" t="str">
        <f t="shared" si="6"/>
        <v>0-00 + Testostérone</v>
      </c>
      <c r="AH27" s="36" t="str">
        <f t="shared" si="6"/>
        <v>0-00 + Testostérone</v>
      </c>
      <c r="AI27" s="36" t="str">
        <f t="shared" si="6"/>
        <v>0-00 + Testostérone</v>
      </c>
      <c r="AJ27" s="36" t="str">
        <f t="shared" si="6"/>
        <v>0-00 + Testostérone</v>
      </c>
      <c r="AK27" s="36" t="str">
        <f t="shared" si="6"/>
        <v>0-00 + Testostérone</v>
      </c>
    </row>
    <row r="28" spans="1:37" x14ac:dyDescent="0.25">
      <c r="A28" s="235" t="s">
        <v>34</v>
      </c>
      <c r="B28" s="11">
        <f>IF(B5="","",(B5/$O$23))</f>
        <v>9.9799643376954267E-2</v>
      </c>
      <c r="C28" s="11">
        <f>IF(C5="","",(C5/$O$23))</f>
        <v>9.741118116238677E-2</v>
      </c>
      <c r="D28" s="11">
        <f>IF(D5="","",(D5/$O$23))</f>
        <v>1.6391358465433954E-2</v>
      </c>
      <c r="E28" s="11">
        <f>IF(E5="","",(E5/$O$23))</f>
        <v>8.5080261890892461E-2</v>
      </c>
      <c r="F28" s="11">
        <f>IF(F5="","",(F5/$O$23))</f>
        <v>0.30528878427283296</v>
      </c>
      <c r="G28" s="11">
        <f>IF(G5="","",(G5/$O$23))</f>
        <v>1.5675551780759613</v>
      </c>
      <c r="H28" s="11">
        <f>IF(H5="","",(H5/$O$23))</f>
        <v>2.3790916277790859</v>
      </c>
      <c r="I28" s="11">
        <f>IF(I5="","",(I5/$O$23))</f>
        <v>0.1049115687326124</v>
      </c>
      <c r="J28" s="11">
        <f>IF(J5="","",(J5/$O$23))</f>
        <v>3.1611371320159502E-2</v>
      </c>
      <c r="K28" s="11">
        <f>IF(K5="","",(K5/$O$23))</f>
        <v>1.167555345042133</v>
      </c>
      <c r="L28" s="11">
        <f>IF(L5="","",(L5/$O$23))</f>
        <v>2.454957316072222</v>
      </c>
      <c r="M28" s="11">
        <f>IF(M5="","",(M5/$O$23))</f>
        <v>2.3202796416226965</v>
      </c>
      <c r="N28" s="6"/>
      <c r="O28" s="11">
        <f t="shared" ref="O28:AK39" si="7">IF(O5="","",(O5/$O$23))</f>
        <v>0.22558634693127172</v>
      </c>
      <c r="P28" s="11">
        <f t="shared" si="7"/>
        <v>1.694624538021996</v>
      </c>
      <c r="Q28" s="11">
        <f t="shared" si="7"/>
        <v>0.14537116760807298</v>
      </c>
      <c r="R28" s="11">
        <f t="shared" si="7"/>
        <v>0.62501199443234601</v>
      </c>
      <c r="S28" s="11">
        <f t="shared" si="7"/>
        <v>1.8205113322305959</v>
      </c>
      <c r="T28" s="11">
        <f t="shared" si="7"/>
        <v>2.1746771256873756</v>
      </c>
      <c r="U28" s="11">
        <f t="shared" si="7"/>
        <v>1.7167901655144009</v>
      </c>
      <c r="V28" s="11">
        <f t="shared" si="7"/>
        <v>1.8698699163774977</v>
      </c>
      <c r="W28" s="11" t="str">
        <f t="shared" si="7"/>
        <v/>
      </c>
      <c r="X28" s="11" t="str">
        <f t="shared" si="7"/>
        <v/>
      </c>
      <c r="Y28" s="11" t="str">
        <f t="shared" si="7"/>
        <v/>
      </c>
      <c r="Z28" s="11" t="str">
        <f t="shared" si="7"/>
        <v/>
      </c>
      <c r="AA28" s="11" t="str">
        <f t="shared" si="7"/>
        <v/>
      </c>
      <c r="AB28" s="11" t="str">
        <f t="shared" si="7"/>
        <v/>
      </c>
      <c r="AC28" s="11" t="str">
        <f t="shared" si="7"/>
        <v/>
      </c>
      <c r="AD28" s="11" t="str">
        <f t="shared" si="7"/>
        <v/>
      </c>
      <c r="AE28" s="11" t="str">
        <f t="shared" si="7"/>
        <v/>
      </c>
      <c r="AF28" s="11" t="str">
        <f t="shared" si="7"/>
        <v/>
      </c>
      <c r="AG28" s="11" t="str">
        <f t="shared" si="7"/>
        <v/>
      </c>
      <c r="AH28" s="11" t="str">
        <f t="shared" si="7"/>
        <v/>
      </c>
      <c r="AI28" s="11" t="str">
        <f t="shared" si="7"/>
        <v/>
      </c>
      <c r="AJ28" s="11" t="str">
        <f t="shared" si="7"/>
        <v/>
      </c>
      <c r="AK28" s="11" t="str">
        <f t="shared" si="7"/>
        <v/>
      </c>
    </row>
    <row r="29" spans="1:37" x14ac:dyDescent="0.25">
      <c r="A29" s="235"/>
      <c r="B29" s="11">
        <f>IF(B6="","",(B6/$O$23))</f>
        <v>0.1526984446516742</v>
      </c>
      <c r="C29" s="11">
        <f>IF(C6="","",(C6/$O$23))</f>
        <v>1.7986219335723416E-2</v>
      </c>
      <c r="D29" s="11">
        <f>IF(D6="","",(D6/$O$23))</f>
        <v>0.34381104126699724</v>
      </c>
      <c r="E29" s="11">
        <f>IF(E6="","",(E6/$O$23))</f>
        <v>0.49668259644529583</v>
      </c>
      <c r="F29" s="11">
        <f>IF(F6="","",(F6/$O$23))</f>
        <v>1.233428530951201</v>
      </c>
      <c r="G29" s="11">
        <f>IF(G6="","",(G6/$O$23))</f>
        <v>1.9732559040699202</v>
      </c>
      <c r="H29" s="11">
        <f>IF(H6="","",(H6/$O$23))</f>
        <v>2.1336278468184444</v>
      </c>
      <c r="I29" s="11">
        <f>IF(I6="","",(I6/$O$23))</f>
        <v>0.14439679755543713</v>
      </c>
      <c r="J29" s="11">
        <f>IF(J6="","",(J6/$O$23))</f>
        <v>8.7634265498975766E-2</v>
      </c>
      <c r="K29" s="11">
        <f>IF(K6="","",(K6/$O$23))</f>
        <v>1.336317093025453E-2</v>
      </c>
      <c r="L29" s="11" t="str">
        <f>IF(L6="","",(L6/$O$23))</f>
        <v/>
      </c>
      <c r="M29" s="11">
        <f>IF(M6="","",(M6/$O$23))</f>
        <v>1.9746657218978612</v>
      </c>
      <c r="N29" s="6"/>
      <c r="O29" s="11">
        <f t="shared" si="7"/>
        <v>0.9105448070000457</v>
      </c>
      <c r="P29" s="11">
        <f t="shared" si="7"/>
        <v>2.5138001130527945</v>
      </c>
      <c r="Q29" s="11">
        <f t="shared" si="7"/>
        <v>0.10804340886706691</v>
      </c>
      <c r="R29" s="11">
        <f t="shared" si="7"/>
        <v>0.96652326591508331</v>
      </c>
      <c r="S29" s="11">
        <f t="shared" si="7"/>
        <v>2.1307656459199049</v>
      </c>
      <c r="T29" s="11">
        <f t="shared" si="7"/>
        <v>1.5665033357197438</v>
      </c>
      <c r="U29" s="11">
        <f t="shared" si="7"/>
        <v>1.644156408010002</v>
      </c>
      <c r="V29" s="11">
        <f t="shared" si="7"/>
        <v>1.3365872665531167</v>
      </c>
      <c r="W29" s="11" t="str">
        <f t="shared" si="7"/>
        <v/>
      </c>
      <c r="X29" s="11" t="str">
        <f t="shared" si="7"/>
        <v/>
      </c>
      <c r="Y29" s="11" t="str">
        <f t="shared" si="7"/>
        <v/>
      </c>
      <c r="Z29" s="11" t="str">
        <f t="shared" si="7"/>
        <v/>
      </c>
      <c r="AA29" s="11" t="str">
        <f t="shared" si="7"/>
        <v/>
      </c>
      <c r="AB29" s="11" t="str">
        <f t="shared" si="7"/>
        <v/>
      </c>
      <c r="AC29" s="11" t="str">
        <f t="shared" si="7"/>
        <v/>
      </c>
      <c r="AD29" s="11" t="str">
        <f t="shared" si="7"/>
        <v/>
      </c>
      <c r="AE29" s="11" t="str">
        <f t="shared" si="7"/>
        <v/>
      </c>
      <c r="AF29" s="11" t="str">
        <f t="shared" si="7"/>
        <v/>
      </c>
      <c r="AG29" s="11" t="str">
        <f t="shared" si="7"/>
        <v/>
      </c>
      <c r="AH29" s="11" t="str">
        <f t="shared" si="7"/>
        <v/>
      </c>
      <c r="AI29" s="11" t="str">
        <f t="shared" si="7"/>
        <v/>
      </c>
      <c r="AJ29" s="11" t="str">
        <f t="shared" si="7"/>
        <v/>
      </c>
      <c r="AK29" s="11" t="str">
        <f t="shared" si="7"/>
        <v/>
      </c>
    </row>
    <row r="30" spans="1:37" x14ac:dyDescent="0.25">
      <c r="A30" s="235"/>
      <c r="B30" s="11">
        <f>IF(B7="","",(B7/$O$23))</f>
        <v>0.12909370233376688</v>
      </c>
      <c r="C30" s="11">
        <f>IF(C7="","",(C7/$O$23))</f>
        <v>7.0665070507170608E-2</v>
      </c>
      <c r="D30" s="11">
        <f>IF(D7="","",(D7/$O$23))</f>
        <v>8.0118472516658559E-2</v>
      </c>
      <c r="E30" s="11">
        <f>IF(E7="","",(E7/$O$23))</f>
        <v>0.24780593789030952</v>
      </c>
      <c r="F30" s="11">
        <f>IF(F7="","",(F7/$O$23))</f>
        <v>1.2350965897910817</v>
      </c>
      <c r="G30" s="11">
        <f>IF(G7="","",(G7/$O$23))</f>
        <v>1.604574828575136</v>
      </c>
      <c r="H30" s="11">
        <f>IF(H7="","",(H7/$O$23))</f>
        <v>1.2537065056949519</v>
      </c>
      <c r="I30" s="11">
        <f>IF(I7="","",(I7/$O$23))</f>
        <v>0.11258898496895389</v>
      </c>
      <c r="J30" s="11">
        <f>IF(J7="","",(J7/$O$23))</f>
        <v>0.16857706113547072</v>
      </c>
      <c r="K30" s="11">
        <f>IF(K7="","",(K7/$O$23))</f>
        <v>6.876227949229928E-2</v>
      </c>
      <c r="L30" s="11">
        <f>IF(L7="","",(L7/$O$23))</f>
        <v>2.3442752183548805</v>
      </c>
      <c r="M30" s="11">
        <f>IF(M7="","",(M7/$O$23))</f>
        <v>2.8821016633086525</v>
      </c>
      <c r="N30" s="6"/>
      <c r="O30" s="11">
        <f t="shared" si="7"/>
        <v>0.72160642160800503</v>
      </c>
      <c r="P30" s="11">
        <f t="shared" si="7"/>
        <v>2.4775623094794237</v>
      </c>
      <c r="Q30" s="11">
        <f t="shared" si="7"/>
        <v>8.2630178027958648E-2</v>
      </c>
      <c r="R30" s="11">
        <f t="shared" si="7"/>
        <v>0.63645313984477103</v>
      </c>
      <c r="S30" s="11">
        <f t="shared" si="7"/>
        <v>1.3953066421397071</v>
      </c>
      <c r="T30" s="11">
        <f t="shared" si="7"/>
        <v>0.71780048338376323</v>
      </c>
      <c r="U30" s="11">
        <f t="shared" si="7"/>
        <v>2.3221943651532917</v>
      </c>
      <c r="V30" s="11">
        <f t="shared" si="7"/>
        <v>1.883799614658773</v>
      </c>
      <c r="W30" s="11" t="str">
        <f t="shared" si="7"/>
        <v/>
      </c>
      <c r="X30" s="11" t="str">
        <f t="shared" si="7"/>
        <v/>
      </c>
      <c r="Y30" s="11" t="str">
        <f t="shared" si="7"/>
        <v/>
      </c>
      <c r="Z30" s="11" t="str">
        <f t="shared" si="7"/>
        <v/>
      </c>
      <c r="AA30" s="11" t="str">
        <f t="shared" si="7"/>
        <v/>
      </c>
      <c r="AB30" s="11" t="str">
        <f t="shared" si="7"/>
        <v/>
      </c>
      <c r="AC30" s="11" t="str">
        <f t="shared" si="7"/>
        <v/>
      </c>
      <c r="AD30" s="11" t="str">
        <f t="shared" si="7"/>
        <v/>
      </c>
      <c r="AE30" s="11" t="str">
        <f t="shared" si="7"/>
        <v/>
      </c>
      <c r="AF30" s="11" t="str">
        <f t="shared" si="7"/>
        <v/>
      </c>
      <c r="AG30" s="11" t="str">
        <f t="shared" si="7"/>
        <v/>
      </c>
      <c r="AH30" s="11" t="str">
        <f t="shared" si="7"/>
        <v/>
      </c>
      <c r="AI30" s="11" t="str">
        <f t="shared" si="7"/>
        <v/>
      </c>
      <c r="AJ30" s="11" t="str">
        <f t="shared" si="7"/>
        <v/>
      </c>
      <c r="AK30" s="11" t="str">
        <f t="shared" si="7"/>
        <v/>
      </c>
    </row>
    <row r="31" spans="1:37" x14ac:dyDescent="0.25">
      <c r="A31" s="235"/>
      <c r="B31" s="11" t="str">
        <f>IF(B8="","",(B8/$O$23))</f>
        <v/>
      </c>
      <c r="C31" s="11">
        <f>IF(C8="","",(C8/$O$23))</f>
        <v>0.11750429096103865</v>
      </c>
      <c r="D31" s="11">
        <f>IF(D8="","",(D8/$O$23))</f>
        <v>8.1636573472364582E-2</v>
      </c>
      <c r="E31" s="11">
        <f>IF(E8="","",(E8/$O$23))</f>
        <v>0.54121438893317053</v>
      </c>
      <c r="F31" s="11">
        <f>IF(F8="","",(F8/$O$23))</f>
        <v>2.2035571975874615</v>
      </c>
      <c r="G31" s="11">
        <f>IF(G8="","",(G8/$O$23))</f>
        <v>0.68878167372622834</v>
      </c>
      <c r="H31" s="11">
        <f>IF(H8="","",(H8/$O$23))</f>
        <v>2.5190698325716103</v>
      </c>
      <c r="I31" s="11">
        <f>IF(I8="","",(I8/$O$23))</f>
        <v>2.3606434241778648E-2</v>
      </c>
      <c r="J31" s="11">
        <f>IF(J8="","",(J8/$O$23))</f>
        <v>9.4406502464156328E-2</v>
      </c>
      <c r="K31" s="11">
        <f>IF(K8="","",(K8/$O$23))</f>
        <v>0.42209609164750894</v>
      </c>
      <c r="L31" s="11">
        <f>IF(L8="","",(L8/$O$23))</f>
        <v>1.6735182329702925</v>
      </c>
      <c r="M31" s="11" t="str">
        <f>IF(M8="","",(M8/$O$23))</f>
        <v/>
      </c>
      <c r="N31" s="6"/>
      <c r="O31" s="11">
        <f t="shared" si="7"/>
        <v>1.815495757486979</v>
      </c>
      <c r="P31" s="11">
        <f t="shared" si="7"/>
        <v>2.0822854374080975</v>
      </c>
      <c r="Q31" s="11">
        <f t="shared" si="7"/>
        <v>3.6376541330820016E-2</v>
      </c>
      <c r="R31" s="11">
        <f t="shared" si="7"/>
        <v>1.1889583601116926</v>
      </c>
      <c r="S31" s="11">
        <f t="shared" si="7"/>
        <v>0.75844530339882188</v>
      </c>
      <c r="T31" s="11">
        <f t="shared" si="7"/>
        <v>1.7342292700993114</v>
      </c>
      <c r="U31" s="11">
        <f t="shared" si="7"/>
        <v>1.62157456724525</v>
      </c>
      <c r="V31" s="11">
        <f t="shared" si="7"/>
        <v>2.438381270758939</v>
      </c>
      <c r="W31" s="11" t="str">
        <f t="shared" si="7"/>
        <v/>
      </c>
      <c r="X31" s="11" t="str">
        <f t="shared" si="7"/>
        <v/>
      </c>
      <c r="Y31" s="11" t="str">
        <f t="shared" si="7"/>
        <v/>
      </c>
      <c r="Z31" s="11" t="str">
        <f t="shared" si="7"/>
        <v/>
      </c>
      <c r="AA31" s="11" t="str">
        <f t="shared" si="7"/>
        <v/>
      </c>
      <c r="AB31" s="11" t="str">
        <f t="shared" si="7"/>
        <v/>
      </c>
      <c r="AC31" s="11" t="str">
        <f t="shared" si="7"/>
        <v/>
      </c>
      <c r="AD31" s="11" t="str">
        <f t="shared" si="7"/>
        <v/>
      </c>
      <c r="AE31" s="11" t="str">
        <f t="shared" si="7"/>
        <v/>
      </c>
      <c r="AF31" s="11" t="str">
        <f t="shared" si="7"/>
        <v/>
      </c>
      <c r="AG31" s="11" t="str">
        <f t="shared" si="7"/>
        <v/>
      </c>
      <c r="AH31" s="11" t="str">
        <f t="shared" si="7"/>
        <v/>
      </c>
      <c r="AI31" s="11" t="str">
        <f t="shared" si="7"/>
        <v/>
      </c>
      <c r="AJ31" s="11" t="str">
        <f t="shared" si="7"/>
        <v/>
      </c>
      <c r="AK31" s="11" t="str">
        <f t="shared" si="7"/>
        <v/>
      </c>
    </row>
    <row r="32" spans="1:37" x14ac:dyDescent="0.25">
      <c r="A32" s="235"/>
      <c r="B32" s="11">
        <f>IF(B9="","",(B9/$O$23))</f>
        <v>1.8852840552343018E-2</v>
      </c>
      <c r="C32" s="11">
        <f>IF(C9="","",(C9/$O$23))</f>
        <v>0.37957902429588769</v>
      </c>
      <c r="D32" s="11">
        <f>IF(D9="","",(D9/$O$23))</f>
        <v>0.21488483939649186</v>
      </c>
      <c r="E32" s="11">
        <f>IF(E9="","",(E9/$O$23))</f>
        <v>0.22173036337988844</v>
      </c>
      <c r="F32" s="11">
        <f>IF(F9="","",(F9/$O$23))</f>
        <v>1.1731602435847213</v>
      </c>
      <c r="G32" s="11">
        <f>IF(G9="","",(G9/$O$23))</f>
        <v>2.7029826697740553</v>
      </c>
      <c r="H32" s="11" t="str">
        <f>IF(H9="","",(H9/$O$23))</f>
        <v/>
      </c>
      <c r="I32" s="11">
        <f>IF(I9="","",(I9/$O$23))</f>
        <v>0.24886900037325288</v>
      </c>
      <c r="J32" s="11">
        <f>IF(J9="","",(J9/$O$23))</f>
        <v>0.14912349856018114</v>
      </c>
      <c r="K32" s="11">
        <f>IF(K9="","",(K9/$O$23))</f>
        <v>0.38478338212409519</v>
      </c>
      <c r="L32" s="11">
        <f>IF(L9="","",(L9/$O$23))</f>
        <v>1.6842389750080304</v>
      </c>
      <c r="M32" s="11">
        <f>IF(M9="","",(M9/$O$23))</f>
        <v>2.5678351747800492</v>
      </c>
      <c r="N32" s="6"/>
      <c r="O32" s="11">
        <f t="shared" si="7"/>
        <v>0.44681572274799713</v>
      </c>
      <c r="P32" s="11">
        <f t="shared" si="7"/>
        <v>2.1759368075338923</v>
      </c>
      <c r="Q32" s="11">
        <f t="shared" si="7"/>
        <v>1.4890711040190066E-2</v>
      </c>
      <c r="R32" s="11">
        <f t="shared" si="7"/>
        <v>1.2538568197736257</v>
      </c>
      <c r="S32" s="11">
        <f t="shared" si="7"/>
        <v>1.3383862268714632</v>
      </c>
      <c r="T32" s="11">
        <f t="shared" si="7"/>
        <v>2.2160307727558961</v>
      </c>
      <c r="U32" s="11">
        <f t="shared" si="7"/>
        <v>2.2337509148006971</v>
      </c>
      <c r="V32" s="11">
        <f t="shared" si="7"/>
        <v>1.9355001776380927</v>
      </c>
      <c r="W32" s="11" t="str">
        <f t="shared" si="7"/>
        <v/>
      </c>
      <c r="X32" s="11" t="str">
        <f t="shared" si="7"/>
        <v/>
      </c>
      <c r="Y32" s="11" t="str">
        <f t="shared" si="7"/>
        <v/>
      </c>
      <c r="Z32" s="11" t="str">
        <f t="shared" si="7"/>
        <v/>
      </c>
      <c r="AA32" s="11" t="str">
        <f t="shared" si="7"/>
        <v/>
      </c>
      <c r="AB32" s="11" t="str">
        <f t="shared" si="7"/>
        <v/>
      </c>
      <c r="AC32" s="11" t="str">
        <f t="shared" si="7"/>
        <v/>
      </c>
      <c r="AD32" s="11" t="str">
        <f t="shared" si="7"/>
        <v/>
      </c>
      <c r="AE32" s="11" t="str">
        <f t="shared" si="7"/>
        <v/>
      </c>
      <c r="AF32" s="11" t="str">
        <f t="shared" si="7"/>
        <v/>
      </c>
      <c r="AG32" s="11" t="str">
        <f t="shared" si="7"/>
        <v/>
      </c>
      <c r="AH32" s="11" t="str">
        <f t="shared" si="7"/>
        <v/>
      </c>
      <c r="AI32" s="11" t="str">
        <f t="shared" si="7"/>
        <v/>
      </c>
      <c r="AJ32" s="11" t="str">
        <f t="shared" si="7"/>
        <v/>
      </c>
      <c r="AK32" s="11" t="str">
        <f t="shared" si="7"/>
        <v/>
      </c>
    </row>
    <row r="33" spans="1:37" x14ac:dyDescent="0.25">
      <c r="A33" s="235"/>
      <c r="B33" s="11">
        <f>IF(B10="","",(B10/$O$23))</f>
        <v>7.4368068521135818E-3</v>
      </c>
      <c r="C33" s="11">
        <f>IF(C10="","",(C10/$O$23))</f>
        <v>0.31129066158481006</v>
      </c>
      <c r="D33" s="11">
        <f>IF(D10="","",(D10/$O$23))</f>
        <v>8.1736664126647415E-2</v>
      </c>
      <c r="E33" s="11">
        <f>IF(E10="","",(E10/$O$23))</f>
        <v>0.54963536118664857</v>
      </c>
      <c r="F33" s="11">
        <f>IF(F10="","",(F10/$O$23))</f>
        <v>0.80762276264286637</v>
      </c>
      <c r="G33" s="11">
        <f>IF(G10="","",(G10/$O$23))</f>
        <v>2.5678198584165828</v>
      </c>
      <c r="H33" s="11">
        <f>IF(H10="","",(H10/$O$23))</f>
        <v>1.7751629638532431</v>
      </c>
      <c r="I33" s="11">
        <f>IF(I10="","",(I10/$O$23))</f>
        <v>0.12466949950749154</v>
      </c>
      <c r="J33" s="11">
        <f>IF(J10="","",(J10/$O$23))</f>
        <v>0.11491956557739699</v>
      </c>
      <c r="K33" s="11">
        <f>IF(K10="","",(K10/$O$23))</f>
        <v>1.0004151725165447</v>
      </c>
      <c r="L33" s="11">
        <f>IF(L10="","",(L10/$O$23))</f>
        <v>1.4484903990138087</v>
      </c>
      <c r="M33" s="11">
        <f>IF(M10="","",(M10/$O$23))</f>
        <v>2.5080912057164317</v>
      </c>
      <c r="N33" s="6"/>
      <c r="O33" s="11">
        <f t="shared" si="7"/>
        <v>0.77598823868025713</v>
      </c>
      <c r="P33" s="11">
        <f t="shared" si="7"/>
        <v>1.3457129696233157</v>
      </c>
      <c r="Q33" s="11">
        <f t="shared" si="7"/>
        <v>6.5657153945286803E-2</v>
      </c>
      <c r="R33" s="11" t="str">
        <f t="shared" si="7"/>
        <v/>
      </c>
      <c r="S33" s="11">
        <f t="shared" si="7"/>
        <v>1.1737842963473673</v>
      </c>
      <c r="T33" s="11">
        <f t="shared" si="7"/>
        <v>2.1528351008975184</v>
      </c>
      <c r="U33" s="11">
        <f t="shared" si="7"/>
        <v>0.71787368135335439</v>
      </c>
      <c r="V33" s="11">
        <f t="shared" si="7"/>
        <v>1.8477733906179428</v>
      </c>
      <c r="W33" s="11" t="str">
        <f t="shared" si="7"/>
        <v/>
      </c>
      <c r="X33" s="11" t="str">
        <f t="shared" si="7"/>
        <v/>
      </c>
      <c r="Y33" s="11" t="str">
        <f t="shared" si="7"/>
        <v/>
      </c>
      <c r="Z33" s="11" t="str">
        <f t="shared" si="7"/>
        <v/>
      </c>
      <c r="AA33" s="11" t="str">
        <f t="shared" si="7"/>
        <v/>
      </c>
      <c r="AB33" s="11" t="str">
        <f t="shared" si="7"/>
        <v/>
      </c>
      <c r="AC33" s="11" t="str">
        <f t="shared" si="7"/>
        <v/>
      </c>
      <c r="AD33" s="11" t="str">
        <f t="shared" si="7"/>
        <v/>
      </c>
      <c r="AE33" s="11" t="str">
        <f t="shared" si="7"/>
        <v/>
      </c>
      <c r="AF33" s="11" t="str">
        <f t="shared" si="7"/>
        <v/>
      </c>
      <c r="AG33" s="11" t="str">
        <f t="shared" si="7"/>
        <v/>
      </c>
      <c r="AH33" s="11" t="str">
        <f t="shared" si="7"/>
        <v/>
      </c>
      <c r="AI33" s="11" t="str">
        <f t="shared" si="7"/>
        <v/>
      </c>
      <c r="AJ33" s="11" t="str">
        <f t="shared" si="7"/>
        <v/>
      </c>
      <c r="AK33" s="11" t="str">
        <f t="shared" si="7"/>
        <v/>
      </c>
    </row>
    <row r="34" spans="1:37" x14ac:dyDescent="0.25">
      <c r="A34" s="235"/>
      <c r="B34" s="11">
        <f>IF(B11="","",(B11/$O$23))</f>
        <v>2.1495447542109077E-2</v>
      </c>
      <c r="C34" s="11">
        <f>IF(C11="","",(C11/$O$23))</f>
        <v>0.14946633576568727</v>
      </c>
      <c r="D34" s="11">
        <f>IF(D11="","",(D11/$O$23))</f>
        <v>0.19727636432719883</v>
      </c>
      <c r="E34" s="11">
        <f>IF(E11="","",(E11/$O$23))</f>
        <v>1.1275000269232953</v>
      </c>
      <c r="F34" s="11">
        <f>IF(F11="","",(F11/$O$23))</f>
        <v>0.91549270478880973</v>
      </c>
      <c r="G34" s="11">
        <f>IF(G11="","",(G11/$O$23))</f>
        <v>1.1332012760779246</v>
      </c>
      <c r="H34" s="11">
        <f>IF(H11="","",(H11/$O$23))</f>
        <v>2.4675812053193305</v>
      </c>
      <c r="I34" s="11" t="str">
        <f>IF(I11="","",(I11/$O$23))</f>
        <v/>
      </c>
      <c r="J34" s="11">
        <f>IF(J11="","",(J11/$O$23))</f>
        <v>0.13904978383028913</v>
      </c>
      <c r="K34" s="11">
        <f>IF(K11="","",(K11/$O$23))</f>
        <v>1.5949520560812656</v>
      </c>
      <c r="L34" s="11">
        <f>IF(L11="","",(L11/$O$23))</f>
        <v>2.1745848713120757</v>
      </c>
      <c r="M34" s="11">
        <f>IF(M11="","",(M11/$O$23))</f>
        <v>1.9124253636864106</v>
      </c>
      <c r="N34" s="6"/>
      <c r="O34" s="11">
        <f t="shared" si="7"/>
        <v>0.92496160125901405</v>
      </c>
      <c r="P34" s="11">
        <f t="shared" si="7"/>
        <v>2.0897934831600562</v>
      </c>
      <c r="Q34" s="11">
        <f t="shared" si="7"/>
        <v>3.0586599745883052E-2</v>
      </c>
      <c r="R34" s="11">
        <f t="shared" si="7"/>
        <v>0.88633533547107546</v>
      </c>
      <c r="S34" s="11">
        <f t="shared" si="7"/>
        <v>2.118438644787902</v>
      </c>
      <c r="T34" s="11">
        <f t="shared" si="7"/>
        <v>0.64226213783541664</v>
      </c>
      <c r="U34" s="11">
        <f t="shared" si="7"/>
        <v>2.4104410180450642</v>
      </c>
      <c r="V34" s="11">
        <f t="shared" si="7"/>
        <v>1.4767387599695154</v>
      </c>
      <c r="W34" s="11" t="str">
        <f t="shared" si="7"/>
        <v/>
      </c>
      <c r="X34" s="11" t="str">
        <f t="shared" si="7"/>
        <v/>
      </c>
      <c r="Y34" s="11" t="str">
        <f t="shared" si="7"/>
        <v/>
      </c>
      <c r="Z34" s="11" t="str">
        <f t="shared" si="7"/>
        <v/>
      </c>
      <c r="AA34" s="11" t="str">
        <f t="shared" si="7"/>
        <v/>
      </c>
      <c r="AB34" s="11" t="str">
        <f t="shared" si="7"/>
        <v/>
      </c>
      <c r="AC34" s="11" t="str">
        <f t="shared" si="7"/>
        <v/>
      </c>
      <c r="AD34" s="11" t="str">
        <f t="shared" si="7"/>
        <v/>
      </c>
      <c r="AE34" s="11" t="str">
        <f t="shared" si="7"/>
        <v/>
      </c>
      <c r="AF34" s="11" t="str">
        <f t="shared" si="7"/>
        <v/>
      </c>
      <c r="AG34" s="11" t="str">
        <f t="shared" si="7"/>
        <v/>
      </c>
      <c r="AH34" s="11" t="str">
        <f t="shared" si="7"/>
        <v/>
      </c>
      <c r="AI34" s="11" t="str">
        <f t="shared" si="7"/>
        <v/>
      </c>
      <c r="AJ34" s="11" t="str">
        <f t="shared" si="7"/>
        <v/>
      </c>
      <c r="AK34" s="11" t="str">
        <f t="shared" si="7"/>
        <v/>
      </c>
    </row>
    <row r="35" spans="1:37" x14ac:dyDescent="0.25">
      <c r="A35" s="235"/>
      <c r="B35" s="11">
        <f>IF(B12="","",(B12/$O$23))</f>
        <v>9.5823978473830687E-2</v>
      </c>
      <c r="C35" s="11">
        <f>IF(C12="","",(C12/$O$23))</f>
        <v>0.21971554919501018</v>
      </c>
      <c r="D35" s="11">
        <f>IF(D12="","",(D12/$O$23))</f>
        <v>5.2471189778397771E-2</v>
      </c>
      <c r="E35" s="11">
        <f>IF(E12="","",(E12/$O$23))</f>
        <v>0.22322477740139585</v>
      </c>
      <c r="F35" s="11">
        <f>IF(F12="","",(F12/$O$23))</f>
        <v>1.7540374242985814</v>
      </c>
      <c r="G35" s="11">
        <f>IF(G12="","",(G12/$O$23))</f>
        <v>2.0506395152215129</v>
      </c>
      <c r="H35" s="11">
        <f>IF(H12="","",(H12/$O$23))</f>
        <v>1.6969088133455392</v>
      </c>
      <c r="I35" s="11">
        <f>IF(I12="","",(I12/$O$23))</f>
        <v>7.449825761060333E-2</v>
      </c>
      <c r="J35" s="11">
        <f>IF(J12="","",(J12/$O$23))</f>
        <v>0.10105166704173763</v>
      </c>
      <c r="K35" s="11">
        <f>IF(K12="","",(K12/$O$23))</f>
        <v>0.67730971748962032</v>
      </c>
      <c r="L35" s="11">
        <f>IF(L12="","",(L12/$O$23))</f>
        <v>1.4888808961564193</v>
      </c>
      <c r="M35" s="11">
        <f>IF(M12="","",(M12/$O$23))</f>
        <v>3.0474373545011559</v>
      </c>
      <c r="N35" s="6"/>
      <c r="O35" s="11">
        <f t="shared" si="7"/>
        <v>1.7527043663852238</v>
      </c>
      <c r="P35" s="11">
        <f t="shared" si="7"/>
        <v>2.2609324732312182</v>
      </c>
      <c r="Q35" s="11">
        <f t="shared" si="7"/>
        <v>0.10798543821231769</v>
      </c>
      <c r="R35" s="11">
        <f t="shared" si="7"/>
        <v>1.6138857527849331</v>
      </c>
      <c r="S35" s="11">
        <f t="shared" si="7"/>
        <v>1.684936047643018</v>
      </c>
      <c r="T35" s="11">
        <f t="shared" si="7"/>
        <v>1.9630783586435034</v>
      </c>
      <c r="U35" s="11">
        <f t="shared" si="7"/>
        <v>2.2638869285050576</v>
      </c>
      <c r="V35" s="11">
        <f t="shared" si="7"/>
        <v>2.4119300001004582</v>
      </c>
      <c r="W35" s="11" t="str">
        <f t="shared" si="7"/>
        <v/>
      </c>
      <c r="X35" s="11" t="str">
        <f t="shared" si="7"/>
        <v/>
      </c>
      <c r="Y35" s="11" t="str">
        <f t="shared" si="7"/>
        <v/>
      </c>
      <c r="Z35" s="11" t="str">
        <f t="shared" si="7"/>
        <v/>
      </c>
      <c r="AA35" s="11" t="str">
        <f t="shared" si="7"/>
        <v/>
      </c>
      <c r="AB35" s="11" t="str">
        <f t="shared" si="7"/>
        <v/>
      </c>
      <c r="AC35" s="11" t="str">
        <f t="shared" si="7"/>
        <v/>
      </c>
      <c r="AD35" s="11" t="str">
        <f t="shared" si="7"/>
        <v/>
      </c>
      <c r="AE35" s="11" t="str">
        <f t="shared" si="7"/>
        <v/>
      </c>
      <c r="AF35" s="11" t="str">
        <f t="shared" si="7"/>
        <v/>
      </c>
      <c r="AG35" s="11" t="str">
        <f t="shared" si="7"/>
        <v/>
      </c>
      <c r="AH35" s="11" t="str">
        <f t="shared" si="7"/>
        <v/>
      </c>
      <c r="AI35" s="11" t="str">
        <f t="shared" si="7"/>
        <v/>
      </c>
      <c r="AJ35" s="11" t="str">
        <f t="shared" si="7"/>
        <v/>
      </c>
      <c r="AK35" s="11" t="str">
        <f t="shared" si="7"/>
        <v/>
      </c>
    </row>
    <row r="36" spans="1:37" x14ac:dyDescent="0.25">
      <c r="A36" s="235"/>
      <c r="B36" s="11" t="str">
        <f>IF(B13="","",(B13/$O$23))</f>
        <v/>
      </c>
      <c r="C36" s="11" t="str">
        <f>IF(C13="","",(C13/$O$23))</f>
        <v/>
      </c>
      <c r="D36" s="11" t="str">
        <f>IF(D13="","",(D13/$O$23))</f>
        <v/>
      </c>
      <c r="E36" s="11" t="str">
        <f>IF(E13="","",(E13/$O$23))</f>
        <v/>
      </c>
      <c r="F36" s="11" t="str">
        <f>IF(F13="","",(F13/$O$23))</f>
        <v/>
      </c>
      <c r="G36" s="11" t="str">
        <f>IF(G13="","",(G13/$O$23))</f>
        <v/>
      </c>
      <c r="H36" s="11" t="str">
        <f>IF(H13="","",(H13/$O$23))</f>
        <v/>
      </c>
      <c r="I36" s="11" t="str">
        <f>IF(I13="","",(I13/$O$23))</f>
        <v/>
      </c>
      <c r="J36" s="11" t="str">
        <f>IF(J13="","",(J13/$O$23))</f>
        <v/>
      </c>
      <c r="K36" s="11" t="str">
        <f>IF(K13="","",(K13/$O$23))</f>
        <v/>
      </c>
      <c r="L36" s="11" t="str">
        <f>IF(L13="","",(L13/$O$23))</f>
        <v/>
      </c>
      <c r="M36" s="11" t="str">
        <f>IF(M13="","",(M13/$O$23))</f>
        <v/>
      </c>
      <c r="N36" s="6"/>
      <c r="O36" s="11">
        <f t="shared" si="7"/>
        <v>0.46143875362201803</v>
      </c>
      <c r="P36" s="11" t="str">
        <f t="shared" si="7"/>
        <v/>
      </c>
      <c r="Q36" s="11" t="str">
        <f t="shared" si="7"/>
        <v/>
      </c>
      <c r="R36" s="11" t="str">
        <f t="shared" si="7"/>
        <v/>
      </c>
      <c r="S36" s="11" t="str">
        <f t="shared" si="7"/>
        <v/>
      </c>
      <c r="T36" s="11" t="str">
        <f t="shared" si="7"/>
        <v/>
      </c>
      <c r="U36" s="11" t="str">
        <f t="shared" si="7"/>
        <v/>
      </c>
      <c r="V36" s="11" t="str">
        <f t="shared" si="7"/>
        <v/>
      </c>
      <c r="W36" s="11" t="str">
        <f t="shared" si="7"/>
        <v/>
      </c>
      <c r="X36" s="11" t="str">
        <f t="shared" si="7"/>
        <v/>
      </c>
      <c r="Y36" s="11" t="str">
        <f t="shared" si="7"/>
        <v/>
      </c>
      <c r="Z36" s="11" t="str">
        <f t="shared" si="7"/>
        <v/>
      </c>
      <c r="AA36" s="11" t="str">
        <f t="shared" si="7"/>
        <v/>
      </c>
      <c r="AB36" s="11" t="str">
        <f t="shared" si="7"/>
        <v/>
      </c>
      <c r="AC36" s="11" t="str">
        <f t="shared" si="7"/>
        <v/>
      </c>
      <c r="AD36" s="11" t="str">
        <f t="shared" si="7"/>
        <v/>
      </c>
      <c r="AE36" s="11" t="str">
        <f t="shared" si="7"/>
        <v/>
      </c>
      <c r="AF36" s="11" t="str">
        <f t="shared" si="7"/>
        <v/>
      </c>
      <c r="AG36" s="11" t="str">
        <f t="shared" si="7"/>
        <v/>
      </c>
      <c r="AH36" s="11" t="str">
        <f t="shared" si="7"/>
        <v/>
      </c>
      <c r="AI36" s="11" t="str">
        <f t="shared" si="7"/>
        <v/>
      </c>
      <c r="AJ36" s="11" t="str">
        <f t="shared" si="7"/>
        <v/>
      </c>
      <c r="AK36" s="11" t="str">
        <f t="shared" si="7"/>
        <v/>
      </c>
    </row>
    <row r="37" spans="1:37" x14ac:dyDescent="0.25">
      <c r="A37" s="235"/>
      <c r="B37" s="11" t="str">
        <f>IF(B14="","",(B14/$O$23))</f>
        <v/>
      </c>
      <c r="C37" s="11" t="str">
        <f>IF(C14="","",(C14/$O$23))</f>
        <v/>
      </c>
      <c r="D37" s="11" t="str">
        <f>IF(D14="","",(D14/$O$23))</f>
        <v/>
      </c>
      <c r="E37" s="11" t="str">
        <f>IF(E14="","",(E14/$O$23))</f>
        <v/>
      </c>
      <c r="F37" s="11" t="str">
        <f>IF(F14="","",(F14/$O$23))</f>
        <v/>
      </c>
      <c r="G37" s="11" t="str">
        <f>IF(G14="","",(G14/$O$23))</f>
        <v/>
      </c>
      <c r="H37" s="11" t="str">
        <f>IF(H14="","",(H14/$O$23))</f>
        <v/>
      </c>
      <c r="I37" s="11" t="str">
        <f>IF(I14="","",(I14/$O$23))</f>
        <v/>
      </c>
      <c r="J37" s="11" t="str">
        <f>IF(J14="","",(J14/$O$23))</f>
        <v/>
      </c>
      <c r="K37" s="11" t="str">
        <f>IF(K14="","",(K14/$O$23))</f>
        <v/>
      </c>
      <c r="L37" s="11" t="str">
        <f>IF(L14="","",(L14/$O$23))</f>
        <v/>
      </c>
      <c r="M37" s="11" t="str">
        <f>IF(M14="","",(M14/$O$23))</f>
        <v/>
      </c>
      <c r="N37" s="6"/>
      <c r="O37" s="11">
        <f t="shared" si="7"/>
        <v>1.2266022414707627</v>
      </c>
      <c r="P37" s="11" t="str">
        <f t="shared" si="7"/>
        <v/>
      </c>
      <c r="Q37" s="11" t="str">
        <f t="shared" si="7"/>
        <v/>
      </c>
      <c r="R37" s="11" t="str">
        <f t="shared" si="7"/>
        <v/>
      </c>
      <c r="S37" s="11" t="str">
        <f t="shared" si="7"/>
        <v/>
      </c>
      <c r="T37" s="11" t="str">
        <f t="shared" si="7"/>
        <v/>
      </c>
      <c r="U37" s="11" t="str">
        <f t="shared" si="7"/>
        <v/>
      </c>
      <c r="V37" s="11" t="str">
        <f t="shared" si="7"/>
        <v/>
      </c>
      <c r="W37" s="11" t="str">
        <f t="shared" si="7"/>
        <v/>
      </c>
      <c r="X37" s="11" t="str">
        <f t="shared" si="7"/>
        <v/>
      </c>
      <c r="Y37" s="11" t="str">
        <f t="shared" si="7"/>
        <v/>
      </c>
      <c r="Z37" s="11" t="str">
        <f t="shared" si="7"/>
        <v/>
      </c>
      <c r="AA37" s="11" t="str">
        <f t="shared" si="7"/>
        <v/>
      </c>
      <c r="AB37" s="11" t="str">
        <f t="shared" si="7"/>
        <v/>
      </c>
      <c r="AC37" s="11" t="str">
        <f t="shared" si="7"/>
        <v/>
      </c>
      <c r="AD37" s="11" t="str">
        <f t="shared" si="7"/>
        <v/>
      </c>
      <c r="AE37" s="11" t="str">
        <f t="shared" si="7"/>
        <v/>
      </c>
      <c r="AF37" s="11" t="str">
        <f t="shared" si="7"/>
        <v/>
      </c>
      <c r="AG37" s="11" t="str">
        <f t="shared" si="7"/>
        <v/>
      </c>
      <c r="AH37" s="11" t="str">
        <f t="shared" si="7"/>
        <v/>
      </c>
      <c r="AI37" s="11" t="str">
        <f t="shared" si="7"/>
        <v/>
      </c>
      <c r="AJ37" s="11" t="str">
        <f t="shared" si="7"/>
        <v/>
      </c>
      <c r="AK37" s="11" t="str">
        <f t="shared" si="7"/>
        <v/>
      </c>
    </row>
    <row r="38" spans="1:37" x14ac:dyDescent="0.25">
      <c r="A38" s="235"/>
      <c r="B38" s="11" t="str">
        <f>IF(B15="","",(B15/$O$23))</f>
        <v/>
      </c>
      <c r="C38" s="11" t="str">
        <f>IF(C15="","",(C15/$O$23))</f>
        <v/>
      </c>
      <c r="D38" s="11" t="str">
        <f>IF(D15="","",(D15/$O$23))</f>
        <v/>
      </c>
      <c r="E38" s="11" t="str">
        <f>IF(E15="","",(E15/$O$23))</f>
        <v/>
      </c>
      <c r="F38" s="11" t="str">
        <f>IF(F15="","",(F15/$O$23))</f>
        <v/>
      </c>
      <c r="G38" s="11" t="str">
        <f>IF(G15="","",(G15/$O$23))</f>
        <v/>
      </c>
      <c r="H38" s="11" t="str">
        <f>IF(H15="","",(H15/$O$23))</f>
        <v/>
      </c>
      <c r="I38" s="11" t="str">
        <f>IF(I15="","",(I15/$O$23))</f>
        <v/>
      </c>
      <c r="J38" s="11" t="str">
        <f>IF(J15="","",(J15/$O$23))</f>
        <v/>
      </c>
      <c r="K38" s="11" t="str">
        <f>IF(K15="","",(K15/$O$23))</f>
        <v/>
      </c>
      <c r="L38" s="11" t="str">
        <f>IF(L15="","",(L15/$O$23))</f>
        <v/>
      </c>
      <c r="M38" s="11" t="str">
        <f>IF(M15="","",(M15/$O$23))</f>
        <v/>
      </c>
      <c r="N38" s="6"/>
      <c r="O38" s="11">
        <f t="shared" si="7"/>
        <v>1.1811808532210684</v>
      </c>
      <c r="P38" s="11" t="str">
        <f t="shared" si="7"/>
        <v/>
      </c>
      <c r="Q38" s="11" t="str">
        <f t="shared" si="7"/>
        <v/>
      </c>
      <c r="R38" s="11" t="str">
        <f t="shared" si="7"/>
        <v/>
      </c>
      <c r="S38" s="11" t="str">
        <f t="shared" si="7"/>
        <v/>
      </c>
      <c r="T38" s="11" t="str">
        <f t="shared" si="7"/>
        <v/>
      </c>
      <c r="U38" s="11" t="str">
        <f t="shared" si="7"/>
        <v/>
      </c>
      <c r="V38" s="11" t="str">
        <f t="shared" si="7"/>
        <v/>
      </c>
      <c r="W38" s="11" t="str">
        <f t="shared" si="7"/>
        <v/>
      </c>
      <c r="X38" s="11" t="str">
        <f t="shared" si="7"/>
        <v/>
      </c>
      <c r="Y38" s="11" t="str">
        <f t="shared" si="7"/>
        <v/>
      </c>
      <c r="Z38" s="11" t="str">
        <f t="shared" si="7"/>
        <v/>
      </c>
      <c r="AA38" s="11" t="str">
        <f t="shared" si="7"/>
        <v/>
      </c>
      <c r="AB38" s="11" t="str">
        <f t="shared" si="7"/>
        <v/>
      </c>
      <c r="AC38" s="11" t="str">
        <f t="shared" si="7"/>
        <v/>
      </c>
      <c r="AD38" s="11" t="str">
        <f t="shared" si="7"/>
        <v/>
      </c>
      <c r="AE38" s="11" t="str">
        <f t="shared" si="7"/>
        <v/>
      </c>
      <c r="AF38" s="11" t="str">
        <f t="shared" si="7"/>
        <v/>
      </c>
      <c r="AG38" s="11" t="str">
        <f t="shared" si="7"/>
        <v/>
      </c>
      <c r="AH38" s="11" t="str">
        <f t="shared" si="7"/>
        <v/>
      </c>
      <c r="AI38" s="11" t="str">
        <f t="shared" si="7"/>
        <v/>
      </c>
      <c r="AJ38" s="11" t="str">
        <f t="shared" si="7"/>
        <v/>
      </c>
      <c r="AK38" s="11" t="str">
        <f t="shared" si="7"/>
        <v/>
      </c>
    </row>
    <row r="39" spans="1:37" x14ac:dyDescent="0.25">
      <c r="A39" s="235"/>
      <c r="B39" s="11" t="str">
        <f>IF(B16="","",(B16/$O$23))</f>
        <v/>
      </c>
      <c r="C39" s="11" t="str">
        <f>IF(C16="","",(C16/$O$23))</f>
        <v/>
      </c>
      <c r="D39" s="11" t="str">
        <f>IF(D16="","",(D16/$O$23))</f>
        <v/>
      </c>
      <c r="E39" s="11" t="str">
        <f>IF(E16="","",(E16/$O$23))</f>
        <v/>
      </c>
      <c r="F39" s="11" t="str">
        <f>IF(F16="","",(F16/$O$23))</f>
        <v/>
      </c>
      <c r="G39" s="11" t="str">
        <f>IF(G16="","",(G16/$O$23))</f>
        <v/>
      </c>
      <c r="H39" s="11" t="str">
        <f>IF(H16="","",(H16/$O$23))</f>
        <v/>
      </c>
      <c r="I39" s="11" t="str">
        <f>IF(I16="","",(I16/$O$23))</f>
        <v/>
      </c>
      <c r="J39" s="11" t="str">
        <f>IF(J16="","",(J16/$O$23))</f>
        <v/>
      </c>
      <c r="K39" s="11" t="str">
        <f>IF(K16="","",(K16/$O$23))</f>
        <v/>
      </c>
      <c r="L39" s="11" t="str">
        <f>IF(L16="","",(L16/$O$23))</f>
        <v/>
      </c>
      <c r="M39" s="11" t="str">
        <f>IF(M16="","",(M16/$O$23))</f>
        <v/>
      </c>
      <c r="N39" s="6"/>
      <c r="O39" s="11">
        <f t="shared" si="7"/>
        <v>2.2573593971608461</v>
      </c>
      <c r="P39" s="11" t="str">
        <f t="shared" si="7"/>
        <v/>
      </c>
      <c r="Q39" s="11" t="str">
        <f t="shared" ref="Q39:AK39" si="8">IF(Q16="","",(Q16/$O$23))</f>
        <v/>
      </c>
      <c r="R39" s="11" t="str">
        <f t="shared" si="8"/>
        <v/>
      </c>
      <c r="S39" s="11" t="str">
        <f t="shared" si="8"/>
        <v/>
      </c>
      <c r="T39" s="11" t="str">
        <f t="shared" si="8"/>
        <v/>
      </c>
      <c r="U39" s="11" t="str">
        <f t="shared" si="8"/>
        <v/>
      </c>
      <c r="V39" s="11" t="str">
        <f t="shared" si="8"/>
        <v/>
      </c>
      <c r="W39" s="11" t="str">
        <f t="shared" si="8"/>
        <v/>
      </c>
      <c r="X39" s="11" t="str">
        <f t="shared" si="8"/>
        <v/>
      </c>
      <c r="Y39" s="11" t="str">
        <f t="shared" si="8"/>
        <v/>
      </c>
      <c r="Z39" s="11" t="str">
        <f t="shared" si="8"/>
        <v/>
      </c>
      <c r="AA39" s="11" t="str">
        <f t="shared" si="8"/>
        <v/>
      </c>
      <c r="AB39" s="11" t="str">
        <f t="shared" si="8"/>
        <v/>
      </c>
      <c r="AC39" s="11" t="str">
        <f t="shared" si="8"/>
        <v/>
      </c>
      <c r="AD39" s="11" t="str">
        <f t="shared" si="8"/>
        <v/>
      </c>
      <c r="AE39" s="11" t="str">
        <f t="shared" si="8"/>
        <v/>
      </c>
      <c r="AF39" s="11" t="str">
        <f t="shared" si="8"/>
        <v/>
      </c>
      <c r="AG39" s="11" t="str">
        <f t="shared" si="8"/>
        <v/>
      </c>
      <c r="AH39" s="11" t="str">
        <f t="shared" si="8"/>
        <v/>
      </c>
      <c r="AI39" s="11" t="str">
        <f t="shared" si="8"/>
        <v/>
      </c>
      <c r="AJ39" s="11" t="str">
        <f t="shared" si="8"/>
        <v/>
      </c>
      <c r="AK39" s="11" t="str">
        <f t="shared" si="8"/>
        <v/>
      </c>
    </row>
    <row r="40" spans="1:37" x14ac:dyDescent="0.25">
      <c r="A40" s="235"/>
      <c r="B40" s="11" t="str">
        <f>IF(B17="","",(B17/$O$23))</f>
        <v/>
      </c>
      <c r="C40" s="11" t="str">
        <f>IF(C17="","",(C17/$O$23))</f>
        <v/>
      </c>
      <c r="D40" s="11" t="str">
        <f>IF(D17="","",(D17/$O$23))</f>
        <v/>
      </c>
      <c r="E40" s="11" t="str">
        <f>IF(E17="","",(E17/$O$23))</f>
        <v/>
      </c>
      <c r="F40" s="11" t="str">
        <f>IF(F17="","",(F17/$O$23))</f>
        <v/>
      </c>
      <c r="G40" s="11" t="str">
        <f>IF(G17="","",(G17/$O$23))</f>
        <v/>
      </c>
      <c r="H40" s="11" t="str">
        <f>IF(H17="","",(H17/$O$23))</f>
        <v/>
      </c>
      <c r="I40" s="11" t="str">
        <f>IF(I17="","",(I17/$O$23))</f>
        <v/>
      </c>
      <c r="J40" s="11" t="str">
        <f>IF(J17="","",(J17/$O$23))</f>
        <v/>
      </c>
      <c r="K40" s="11" t="str">
        <f>IF(K17="","",(K17/$O$23))</f>
        <v/>
      </c>
      <c r="L40" s="11" t="str">
        <f>IF(L17="","",(L17/$O$23))</f>
        <v/>
      </c>
      <c r="M40" s="11" t="str">
        <f>IF(M17="","",(M17/$O$23))</f>
        <v/>
      </c>
      <c r="N40" s="6"/>
      <c r="O40" s="11">
        <f t="shared" ref="O40:AK43" si="9">IF(O17="","",(O17/$O$23))</f>
        <v>1.1483443509208171</v>
      </c>
      <c r="P40" s="11" t="str">
        <f t="shared" si="9"/>
        <v/>
      </c>
      <c r="Q40" s="11" t="str">
        <f t="shared" si="9"/>
        <v/>
      </c>
      <c r="R40" s="11" t="str">
        <f t="shared" si="9"/>
        <v/>
      </c>
      <c r="S40" s="11" t="str">
        <f t="shared" si="9"/>
        <v/>
      </c>
      <c r="T40" s="11" t="str">
        <f t="shared" si="9"/>
        <v/>
      </c>
      <c r="U40" s="11" t="str">
        <f t="shared" si="9"/>
        <v/>
      </c>
      <c r="V40" s="11" t="str">
        <f t="shared" si="9"/>
        <v/>
      </c>
      <c r="W40" s="11" t="str">
        <f t="shared" si="9"/>
        <v/>
      </c>
      <c r="X40" s="11" t="str">
        <f t="shared" si="9"/>
        <v/>
      </c>
      <c r="Y40" s="11" t="str">
        <f t="shared" si="9"/>
        <v/>
      </c>
      <c r="Z40" s="11" t="str">
        <f t="shared" si="9"/>
        <v/>
      </c>
      <c r="AA40" s="11" t="str">
        <f t="shared" si="9"/>
        <v/>
      </c>
      <c r="AB40" s="11" t="str">
        <f t="shared" si="9"/>
        <v/>
      </c>
      <c r="AC40" s="11" t="str">
        <f t="shared" si="9"/>
        <v/>
      </c>
      <c r="AD40" s="11" t="str">
        <f t="shared" si="9"/>
        <v/>
      </c>
      <c r="AE40" s="11" t="str">
        <f t="shared" si="9"/>
        <v/>
      </c>
      <c r="AF40" s="11" t="str">
        <f t="shared" si="9"/>
        <v/>
      </c>
      <c r="AG40" s="11" t="str">
        <f t="shared" si="9"/>
        <v/>
      </c>
      <c r="AH40" s="11" t="str">
        <f t="shared" si="9"/>
        <v/>
      </c>
      <c r="AI40" s="11" t="str">
        <f t="shared" si="9"/>
        <v/>
      </c>
      <c r="AJ40" s="11" t="str">
        <f t="shared" si="9"/>
        <v/>
      </c>
      <c r="AK40" s="11" t="str">
        <f t="shared" si="9"/>
        <v/>
      </c>
    </row>
    <row r="41" spans="1:37" x14ac:dyDescent="0.25">
      <c r="A41" s="235"/>
      <c r="B41" s="11" t="str">
        <f>IF(B18="","",(B18/$O$23))</f>
        <v/>
      </c>
      <c r="C41" s="11" t="str">
        <f>IF(C18="","",(C18/$O$23))</f>
        <v/>
      </c>
      <c r="D41" s="11" t="str">
        <f>IF(D18="","",(D18/$O$23))</f>
        <v/>
      </c>
      <c r="E41" s="11" t="str">
        <f>IF(E18="","",(E18/$O$23))</f>
        <v/>
      </c>
      <c r="F41" s="11" t="str">
        <f>IF(F18="","",(F18/$O$23))</f>
        <v/>
      </c>
      <c r="G41" s="11" t="str">
        <f>IF(G18="","",(G18/$O$23))</f>
        <v/>
      </c>
      <c r="H41" s="11" t="str">
        <f>IF(H18="","",(H18/$O$23))</f>
        <v/>
      </c>
      <c r="I41" s="11" t="str">
        <f>IF(I18="","",(I18/$O$23))</f>
        <v/>
      </c>
      <c r="J41" s="11" t="str">
        <f>IF(J18="","",(J18/$O$23))</f>
        <v/>
      </c>
      <c r="K41" s="11" t="str">
        <f>IF(K18="","",(K18/$O$23))</f>
        <v/>
      </c>
      <c r="L41" s="11" t="str">
        <f>IF(L18="","",(L18/$O$23))</f>
        <v/>
      </c>
      <c r="M41" s="11" t="str">
        <f>IF(M18="","",(M18/$O$23))</f>
        <v/>
      </c>
      <c r="N41" s="6"/>
      <c r="O41" s="11">
        <f t="shared" si="9"/>
        <v>1.0368570755379727</v>
      </c>
      <c r="P41" s="11" t="str">
        <f t="shared" si="9"/>
        <v/>
      </c>
      <c r="Q41" s="11" t="str">
        <f t="shared" si="9"/>
        <v/>
      </c>
      <c r="R41" s="11" t="str">
        <f t="shared" si="9"/>
        <v/>
      </c>
      <c r="S41" s="11" t="str">
        <f t="shared" si="9"/>
        <v/>
      </c>
      <c r="T41" s="11" t="str">
        <f t="shared" si="9"/>
        <v/>
      </c>
      <c r="U41" s="11" t="str">
        <f t="shared" si="9"/>
        <v/>
      </c>
      <c r="V41" s="11" t="str">
        <f t="shared" si="9"/>
        <v/>
      </c>
      <c r="W41" s="11" t="str">
        <f t="shared" si="9"/>
        <v/>
      </c>
      <c r="X41" s="11" t="str">
        <f t="shared" si="9"/>
        <v/>
      </c>
      <c r="Y41" s="11" t="str">
        <f t="shared" si="9"/>
        <v/>
      </c>
      <c r="Z41" s="11" t="str">
        <f t="shared" si="9"/>
        <v/>
      </c>
      <c r="AA41" s="11" t="str">
        <f t="shared" si="9"/>
        <v/>
      </c>
      <c r="AB41" s="11" t="str">
        <f t="shared" si="9"/>
        <v/>
      </c>
      <c r="AC41" s="11" t="str">
        <f t="shared" si="9"/>
        <v/>
      </c>
      <c r="AD41" s="11" t="str">
        <f t="shared" si="9"/>
        <v/>
      </c>
      <c r="AE41" s="11" t="str">
        <f t="shared" si="9"/>
        <v/>
      </c>
      <c r="AF41" s="11" t="str">
        <f t="shared" si="9"/>
        <v/>
      </c>
      <c r="AG41" s="11" t="str">
        <f t="shared" si="9"/>
        <v/>
      </c>
      <c r="AH41" s="11" t="str">
        <f t="shared" si="9"/>
        <v/>
      </c>
      <c r="AI41" s="11" t="str">
        <f t="shared" si="9"/>
        <v/>
      </c>
      <c r="AJ41" s="11" t="str">
        <f t="shared" si="9"/>
        <v/>
      </c>
      <c r="AK41" s="11" t="str">
        <f t="shared" si="9"/>
        <v/>
      </c>
    </row>
    <row r="42" spans="1:37" x14ac:dyDescent="0.25">
      <c r="A42" s="235"/>
      <c r="B42" s="11" t="str">
        <f>IF(B19="","",(B19/$O$23))</f>
        <v/>
      </c>
      <c r="C42" s="11" t="str">
        <f>IF(C19="","",(C19/$O$23))</f>
        <v/>
      </c>
      <c r="D42" s="11" t="str">
        <f>IF(D19="","",(D19/$O$23))</f>
        <v/>
      </c>
      <c r="E42" s="11" t="str">
        <f>IF(E19="","",(E19/$O$23))</f>
        <v/>
      </c>
      <c r="F42" s="11" t="str">
        <f>IF(F19="","",(F19/$O$23))</f>
        <v/>
      </c>
      <c r="G42" s="11" t="str">
        <f>IF(G19="","",(G19/$O$23))</f>
        <v/>
      </c>
      <c r="H42" s="11" t="str">
        <f>IF(H19="","",(H19/$O$23))</f>
        <v/>
      </c>
      <c r="I42" s="11" t="str">
        <f>IF(I19="","",(I19/$O$23))</f>
        <v/>
      </c>
      <c r="J42" s="11" t="str">
        <f>IF(J19="","",(J19/$O$23))</f>
        <v/>
      </c>
      <c r="K42" s="11" t="str">
        <f>IF(K19="","",(K19/$O$23))</f>
        <v/>
      </c>
      <c r="L42" s="11" t="str">
        <f>IF(L19="","",(L19/$O$23))</f>
        <v/>
      </c>
      <c r="M42" s="11" t="str">
        <f>IF(M19="","",(M19/$O$23))</f>
        <v/>
      </c>
      <c r="N42" s="6"/>
      <c r="O42" s="11">
        <f t="shared" si="9"/>
        <v>0.90605479724003801</v>
      </c>
      <c r="P42" s="11" t="str">
        <f t="shared" si="9"/>
        <v/>
      </c>
      <c r="Q42" s="11" t="str">
        <f t="shared" si="9"/>
        <v/>
      </c>
      <c r="R42" s="11" t="str">
        <f t="shared" si="9"/>
        <v/>
      </c>
      <c r="S42" s="11" t="str">
        <f t="shared" si="9"/>
        <v/>
      </c>
      <c r="T42" s="11" t="str">
        <f t="shared" si="9"/>
        <v/>
      </c>
      <c r="U42" s="11" t="str">
        <f t="shared" si="9"/>
        <v/>
      </c>
      <c r="V42" s="11" t="str">
        <f t="shared" si="9"/>
        <v/>
      </c>
      <c r="W42" s="11" t="str">
        <f t="shared" si="9"/>
        <v/>
      </c>
      <c r="X42" s="11" t="str">
        <f t="shared" si="9"/>
        <v/>
      </c>
      <c r="Y42" s="11" t="str">
        <f t="shared" si="9"/>
        <v/>
      </c>
      <c r="Z42" s="11" t="str">
        <f t="shared" si="9"/>
        <v/>
      </c>
      <c r="AA42" s="11" t="str">
        <f t="shared" si="9"/>
        <v/>
      </c>
      <c r="AB42" s="11" t="str">
        <f t="shared" si="9"/>
        <v/>
      </c>
      <c r="AC42" s="11" t="str">
        <f t="shared" si="9"/>
        <v/>
      </c>
      <c r="AD42" s="11" t="str">
        <f t="shared" si="9"/>
        <v/>
      </c>
      <c r="AE42" s="11" t="str">
        <f t="shared" si="9"/>
        <v/>
      </c>
      <c r="AF42" s="11" t="str">
        <f t="shared" si="9"/>
        <v/>
      </c>
      <c r="AG42" s="11" t="str">
        <f t="shared" si="9"/>
        <v/>
      </c>
      <c r="AH42" s="11" t="str">
        <f t="shared" si="9"/>
        <v/>
      </c>
      <c r="AI42" s="11" t="str">
        <f t="shared" si="9"/>
        <v/>
      </c>
      <c r="AJ42" s="11" t="str">
        <f t="shared" si="9"/>
        <v/>
      </c>
      <c r="AK42" s="11" t="str">
        <f t="shared" si="9"/>
        <v/>
      </c>
    </row>
    <row r="43" spans="1:37" x14ac:dyDescent="0.25">
      <c r="A43" s="235"/>
      <c r="B43" s="11" t="str">
        <f>IF(B20="","",(B20/$O$23))</f>
        <v/>
      </c>
      <c r="C43" s="11" t="str">
        <f>IF(C20="","",(C20/$O$23))</f>
        <v/>
      </c>
      <c r="D43" s="11" t="str">
        <f>IF(D20="","",(D20/$O$23))</f>
        <v/>
      </c>
      <c r="E43" s="11" t="str">
        <f>IF(E20="","",(E20/$O$23))</f>
        <v/>
      </c>
      <c r="F43" s="11" t="str">
        <f>IF(F20="","",(F20/$O$23))</f>
        <v/>
      </c>
      <c r="G43" s="11" t="str">
        <f>IF(G20="","",(G20/$O$23))</f>
        <v/>
      </c>
      <c r="H43" s="11" t="str">
        <f>IF(H20="","",(H20/$O$23))</f>
        <v/>
      </c>
      <c r="I43" s="11" t="str">
        <f>IF(I20="","",(I20/$O$23))</f>
        <v/>
      </c>
      <c r="J43" s="11" t="str">
        <f>IF(J20="","",(J20/$O$23))</f>
        <v/>
      </c>
      <c r="K43" s="11" t="str">
        <f>IF(K20="","",(K20/$O$23))</f>
        <v/>
      </c>
      <c r="L43" s="11" t="str">
        <f>IF(L20="","",(L20/$O$23))</f>
        <v/>
      </c>
      <c r="M43" s="11" t="str">
        <f>IF(M20="","",(M20/$O$23))</f>
        <v/>
      </c>
      <c r="N43" s="6"/>
      <c r="O43" s="11">
        <f t="shared" si="9"/>
        <v>0.20845926872768411</v>
      </c>
      <c r="P43" s="11" t="str">
        <f t="shared" si="9"/>
        <v/>
      </c>
      <c r="Q43" s="11" t="str">
        <f t="shared" si="9"/>
        <v/>
      </c>
      <c r="R43" s="11" t="str">
        <f t="shared" si="9"/>
        <v/>
      </c>
      <c r="S43" s="11" t="str">
        <f t="shared" si="9"/>
        <v/>
      </c>
      <c r="T43" s="11" t="str">
        <f t="shared" si="9"/>
        <v/>
      </c>
      <c r="U43" s="11" t="str">
        <f t="shared" si="9"/>
        <v/>
      </c>
      <c r="V43" s="11" t="str">
        <f t="shared" si="9"/>
        <v/>
      </c>
      <c r="W43" s="11" t="str">
        <f t="shared" si="9"/>
        <v/>
      </c>
      <c r="X43" s="11" t="str">
        <f t="shared" si="9"/>
        <v/>
      </c>
      <c r="Y43" s="11" t="str">
        <f t="shared" si="9"/>
        <v/>
      </c>
      <c r="Z43" s="11" t="str">
        <f t="shared" si="9"/>
        <v/>
      </c>
      <c r="AA43" s="11" t="str">
        <f t="shared" si="9"/>
        <v/>
      </c>
      <c r="AB43" s="11" t="str">
        <f t="shared" si="9"/>
        <v/>
      </c>
      <c r="AC43" s="11" t="str">
        <f t="shared" si="9"/>
        <v/>
      </c>
      <c r="AD43" s="11" t="str">
        <f t="shared" si="9"/>
        <v/>
      </c>
      <c r="AE43" s="11" t="str">
        <f t="shared" si="9"/>
        <v/>
      </c>
      <c r="AF43" s="11" t="str">
        <f t="shared" si="9"/>
        <v/>
      </c>
      <c r="AG43" s="11" t="str">
        <f t="shared" si="9"/>
        <v/>
      </c>
      <c r="AH43" s="11" t="str">
        <f t="shared" si="9"/>
        <v/>
      </c>
      <c r="AI43" s="11" t="str">
        <f t="shared" si="9"/>
        <v/>
      </c>
      <c r="AJ43" s="11" t="str">
        <f t="shared" si="9"/>
        <v/>
      </c>
      <c r="AK43" s="11" t="str">
        <f t="shared" si="9"/>
        <v/>
      </c>
    </row>
    <row r="44" spans="1:37" x14ac:dyDescent="0.25">
      <c r="A44" s="7"/>
      <c r="B44" s="3"/>
      <c r="C44" s="3"/>
      <c r="D44" s="3"/>
      <c r="E44" s="3"/>
      <c r="F44" s="3"/>
      <c r="G44" s="3"/>
      <c r="H44" s="3"/>
      <c r="I44" s="3"/>
      <c r="J44" s="3"/>
      <c r="K44" s="3"/>
      <c r="L44" s="3"/>
      <c r="M44" s="3"/>
      <c r="N44" s="7"/>
      <c r="O44" s="3"/>
      <c r="P44" s="3"/>
      <c r="Q44" s="3"/>
      <c r="R44" s="3"/>
      <c r="S44" s="3"/>
      <c r="T44" s="3"/>
      <c r="U44" s="3"/>
      <c r="V44" s="3"/>
      <c r="W44" s="3"/>
      <c r="X44" s="3"/>
      <c r="Y44" s="3"/>
      <c r="Z44" s="3"/>
      <c r="AA44" s="3"/>
      <c r="AB44" s="3"/>
      <c r="AC44" s="3"/>
      <c r="AD44" s="3"/>
      <c r="AE44" s="3"/>
      <c r="AF44" s="3"/>
      <c r="AG44" s="3"/>
      <c r="AH44" s="3"/>
      <c r="AI44" s="3"/>
      <c r="AJ44" s="3"/>
      <c r="AK44" s="3"/>
    </row>
    <row r="45" spans="1:37" x14ac:dyDescent="0.25">
      <c r="A45" s="7" t="str">
        <f>A4</f>
        <v>Noms des groupes</v>
      </c>
      <c r="B45" s="7" t="str">
        <f t="shared" ref="B45:AK45" si="10">B4</f>
        <v>Témoin solvant</v>
      </c>
      <c r="C45" s="7" t="str">
        <f t="shared" si="10"/>
        <v>EE2-33.8ng/L</v>
      </c>
      <c r="D45" s="7" t="str">
        <f t="shared" si="10"/>
        <v>EE2-50.6ng/L</v>
      </c>
      <c r="E45" s="7" t="str">
        <f t="shared" si="10"/>
        <v>EE2-76ng/L</v>
      </c>
      <c r="F45" s="7" t="str">
        <f t="shared" si="10"/>
        <v>EE2-114ng/L</v>
      </c>
      <c r="G45" s="7" t="str">
        <f t="shared" si="10"/>
        <v>EE2-170.9ng/L</v>
      </c>
      <c r="H45" s="7" t="str">
        <f t="shared" si="10"/>
        <v>EE2-488ng/L</v>
      </c>
      <c r="I45" s="7" t="str">
        <f t="shared" si="10"/>
        <v>estradiol 34ng/L</v>
      </c>
      <c r="J45" s="7" t="str">
        <f t="shared" si="10"/>
        <v>estradiol 68ng/L</v>
      </c>
      <c r="K45" s="7" t="str">
        <f t="shared" si="10"/>
        <v>estradiol 135ng/L</v>
      </c>
      <c r="L45" s="7" t="str">
        <f t="shared" si="10"/>
        <v>estradiol 270ng/L</v>
      </c>
      <c r="M45" s="7" t="str">
        <f t="shared" si="10"/>
        <v>estradiol 540ng/L</v>
      </c>
      <c r="N45" s="7"/>
      <c r="O45" s="7" t="str">
        <f t="shared" si="10"/>
        <v>Testo -30µg/L</v>
      </c>
      <c r="P45" s="7" t="str">
        <f t="shared" si="10"/>
        <v>Testo 30µg/L + EE2 -64ng/L</v>
      </c>
      <c r="Q45" s="7" t="str">
        <f t="shared" si="10"/>
        <v>Testo 30µg/L + FAD-10mg/L</v>
      </c>
      <c r="R45" s="7" t="str">
        <f t="shared" si="10"/>
        <v>estradiol-34ng/L + Testostérone</v>
      </c>
      <c r="S45" s="7" t="str">
        <f t="shared" si="10"/>
        <v>estradiol-68ng/L + Testostérone</v>
      </c>
      <c r="T45" s="7" t="str">
        <f t="shared" si="10"/>
        <v>estradiol-135ng/L + Testostérone</v>
      </c>
      <c r="U45" s="7" t="str">
        <f t="shared" si="10"/>
        <v>estradiol-270ng/L + Testostérone</v>
      </c>
      <c r="V45" s="7" t="str">
        <f t="shared" si="10"/>
        <v>estradiol-540ng/L + Testostérone</v>
      </c>
      <c r="W45" s="7" t="str">
        <f t="shared" si="10"/>
        <v>0-00 + Testostérone</v>
      </c>
      <c r="X45" s="7" t="str">
        <f t="shared" si="10"/>
        <v>0-00 + Testostérone</v>
      </c>
      <c r="Y45" s="7" t="str">
        <f t="shared" si="10"/>
        <v>0-00 + Testostérone</v>
      </c>
      <c r="Z45" s="7" t="str">
        <f t="shared" si="10"/>
        <v>0-00 + Testostérone</v>
      </c>
      <c r="AA45" s="7" t="str">
        <f t="shared" si="10"/>
        <v>0-00 + Testostérone</v>
      </c>
      <c r="AB45" s="7" t="str">
        <f t="shared" si="10"/>
        <v>0-00 + Testostérone</v>
      </c>
      <c r="AC45" s="7" t="str">
        <f t="shared" si="10"/>
        <v>0-00 + Testostérone</v>
      </c>
      <c r="AD45" s="7" t="str">
        <f t="shared" si="10"/>
        <v>0-00 + Testostérone</v>
      </c>
      <c r="AE45" s="7" t="str">
        <f t="shared" si="10"/>
        <v>0-00 + Testostérone</v>
      </c>
      <c r="AF45" s="7" t="str">
        <f t="shared" si="10"/>
        <v>0-00 + Testostérone</v>
      </c>
      <c r="AG45" s="7" t="str">
        <f t="shared" si="10"/>
        <v>0-00 + Testostérone</v>
      </c>
      <c r="AH45" s="7" t="str">
        <f t="shared" si="10"/>
        <v>0-00 + Testostérone</v>
      </c>
      <c r="AI45" s="7" t="str">
        <f t="shared" si="10"/>
        <v>0-00 + Testostérone</v>
      </c>
      <c r="AJ45" s="7" t="str">
        <f t="shared" si="10"/>
        <v>0-00 + Testostérone</v>
      </c>
      <c r="AK45" s="7" t="str">
        <f t="shared" si="10"/>
        <v>0-00 + Testostérone</v>
      </c>
    </row>
    <row r="46" spans="1:37" x14ac:dyDescent="0.25">
      <c r="A46" s="8" t="s">
        <v>0</v>
      </c>
      <c r="B46" s="10">
        <f t="shared" ref="B46:H46" si="11">AVERAGE(B28:B43)</f>
        <v>7.5028694826113101E-2</v>
      </c>
      <c r="C46" s="10">
        <f t="shared" si="11"/>
        <v>0.17045229160096434</v>
      </c>
      <c r="D46" s="10">
        <f t="shared" si="11"/>
        <v>0.13354081291877376</v>
      </c>
      <c r="E46" s="10">
        <f t="shared" si="11"/>
        <v>0.43660921425636201</v>
      </c>
      <c r="F46" s="10">
        <f t="shared" si="11"/>
        <v>1.2034605297396945</v>
      </c>
      <c r="G46" s="10">
        <f t="shared" si="11"/>
        <v>1.7861013629921652</v>
      </c>
      <c r="H46" s="10">
        <f t="shared" si="11"/>
        <v>2.0321641136260289</v>
      </c>
      <c r="I46" s="10">
        <f>AVERAGE(I28:I43)</f>
        <v>0.1190772204271614</v>
      </c>
      <c r="J46" s="9">
        <f>AVERAGE(J28:J43)</f>
        <v>0.1107967144285459</v>
      </c>
      <c r="K46" s="9">
        <f t="shared" ref="K46:M46" si="12">AVERAGE(K28:K43)</f>
        <v>0.6661546519154653</v>
      </c>
      <c r="L46" s="9">
        <f t="shared" si="12"/>
        <v>1.8955637012696758</v>
      </c>
      <c r="M46" s="9">
        <f t="shared" si="12"/>
        <v>2.4589765893590365</v>
      </c>
      <c r="N46" s="8" t="s">
        <v>0</v>
      </c>
      <c r="O46" s="10">
        <f t="shared" ref="O46:AK46" si="13">AVERAGE(O28:O43)</f>
        <v>1</v>
      </c>
      <c r="P46" s="10">
        <f t="shared" si="13"/>
        <v>2.0800810164388492</v>
      </c>
      <c r="Q46" s="10">
        <f t="shared" si="13"/>
        <v>7.3942649847199518E-2</v>
      </c>
      <c r="R46" s="10">
        <f t="shared" si="13"/>
        <v>1.0244320954762183</v>
      </c>
      <c r="S46" s="10">
        <f t="shared" si="13"/>
        <v>1.5525717674173478</v>
      </c>
      <c r="T46" s="10">
        <f t="shared" si="13"/>
        <v>1.6459270731278162</v>
      </c>
      <c r="U46" s="10">
        <f t="shared" si="13"/>
        <v>1.8663335060783897</v>
      </c>
      <c r="V46" s="10">
        <f t="shared" si="13"/>
        <v>1.9000725495842918</v>
      </c>
      <c r="W46" s="10" t="e">
        <f t="shared" si="13"/>
        <v>#DIV/0!</v>
      </c>
      <c r="X46" s="10" t="e">
        <f t="shared" si="13"/>
        <v>#DIV/0!</v>
      </c>
      <c r="Y46" s="10" t="e">
        <f t="shared" si="13"/>
        <v>#DIV/0!</v>
      </c>
      <c r="Z46" s="10" t="e">
        <f t="shared" si="13"/>
        <v>#DIV/0!</v>
      </c>
      <c r="AA46" s="10" t="e">
        <f t="shared" si="13"/>
        <v>#DIV/0!</v>
      </c>
      <c r="AB46" s="10" t="e">
        <f t="shared" si="13"/>
        <v>#DIV/0!</v>
      </c>
      <c r="AC46" s="10" t="e">
        <f t="shared" si="13"/>
        <v>#DIV/0!</v>
      </c>
      <c r="AD46" s="10" t="e">
        <f t="shared" si="13"/>
        <v>#DIV/0!</v>
      </c>
      <c r="AE46" s="10" t="e">
        <f t="shared" si="13"/>
        <v>#DIV/0!</v>
      </c>
      <c r="AF46" s="10" t="e">
        <f t="shared" si="13"/>
        <v>#DIV/0!</v>
      </c>
      <c r="AG46" s="10" t="e">
        <f t="shared" si="13"/>
        <v>#DIV/0!</v>
      </c>
      <c r="AH46" s="10" t="e">
        <f t="shared" si="13"/>
        <v>#DIV/0!</v>
      </c>
      <c r="AI46" s="10" t="e">
        <f t="shared" si="13"/>
        <v>#DIV/0!</v>
      </c>
      <c r="AJ46" s="10" t="e">
        <f t="shared" si="13"/>
        <v>#DIV/0!</v>
      </c>
      <c r="AK46" s="10" t="e">
        <f t="shared" si="13"/>
        <v>#DIV/0!</v>
      </c>
    </row>
    <row r="47" spans="1:37" x14ac:dyDescent="0.25">
      <c r="A47" s="8" t="s">
        <v>1</v>
      </c>
      <c r="B47" s="8">
        <f t="shared" ref="B47:M47" si="14">STDEV(B28:B43)</f>
        <v>5.8583071042911994E-2</v>
      </c>
      <c r="C47" s="8">
        <f t="shared" si="14"/>
        <v>0.12408441996706195</v>
      </c>
      <c r="D47" s="8">
        <f t="shared" si="14"/>
        <v>0.10916604974599925</v>
      </c>
      <c r="E47" s="8">
        <f t="shared" si="14"/>
        <v>0.32854249533744628</v>
      </c>
      <c r="F47" s="8">
        <f t="shared" si="14"/>
        <v>0.57971307940316608</v>
      </c>
      <c r="G47" s="8">
        <f t="shared" si="14"/>
        <v>0.68325541497282616</v>
      </c>
      <c r="H47" s="8">
        <f t="shared" si="14"/>
        <v>0.47289194798368178</v>
      </c>
      <c r="I47" s="8">
        <f t="shared" si="14"/>
        <v>6.935774234694253E-2</v>
      </c>
      <c r="J47" s="8">
        <f t="shared" si="14"/>
        <v>4.2750383924888051E-2</v>
      </c>
      <c r="K47" s="8">
        <f t="shared" si="14"/>
        <v>0.55390439360104871</v>
      </c>
      <c r="L47" s="8">
        <f t="shared" si="14"/>
        <v>0.41859762434928532</v>
      </c>
      <c r="M47" s="8">
        <f t="shared" si="14"/>
        <v>0.4266332225329213</v>
      </c>
      <c r="N47" s="8" t="s">
        <v>1</v>
      </c>
      <c r="O47" s="8">
        <f t="shared" ref="O47:AK47" si="15">STDEV(O28:O43)</f>
        <v>0.57111275354036661</v>
      </c>
      <c r="P47" s="8">
        <f t="shared" si="15"/>
        <v>0.39205894812132686</v>
      </c>
      <c r="Q47" s="8">
        <f t="shared" si="15"/>
        <v>4.5270646449153629E-2</v>
      </c>
      <c r="R47" s="8">
        <f t="shared" si="15"/>
        <v>0.35582028347287153</v>
      </c>
      <c r="S47" s="8">
        <f t="shared" si="15"/>
        <v>0.47637769403467811</v>
      </c>
      <c r="T47" s="8">
        <f t="shared" si="15"/>
        <v>0.63751786640647667</v>
      </c>
      <c r="U47" s="8">
        <f t="shared" si="15"/>
        <v>0.56663154620589251</v>
      </c>
      <c r="V47" s="8">
        <f t="shared" si="15"/>
        <v>0.3879743763420006</v>
      </c>
      <c r="W47" s="8" t="e">
        <f t="shared" si="15"/>
        <v>#DIV/0!</v>
      </c>
      <c r="X47" s="8" t="e">
        <f t="shared" si="15"/>
        <v>#DIV/0!</v>
      </c>
      <c r="Y47" s="8" t="e">
        <f t="shared" si="15"/>
        <v>#DIV/0!</v>
      </c>
      <c r="Z47" s="8" t="e">
        <f t="shared" si="15"/>
        <v>#DIV/0!</v>
      </c>
      <c r="AA47" s="8" t="e">
        <f t="shared" si="15"/>
        <v>#DIV/0!</v>
      </c>
      <c r="AB47" s="8" t="e">
        <f t="shared" si="15"/>
        <v>#DIV/0!</v>
      </c>
      <c r="AC47" s="8" t="e">
        <f t="shared" si="15"/>
        <v>#DIV/0!</v>
      </c>
      <c r="AD47" s="8" t="e">
        <f t="shared" si="15"/>
        <v>#DIV/0!</v>
      </c>
      <c r="AE47" s="8" t="e">
        <f t="shared" si="15"/>
        <v>#DIV/0!</v>
      </c>
      <c r="AF47" s="8" t="e">
        <f t="shared" si="15"/>
        <v>#DIV/0!</v>
      </c>
      <c r="AG47" s="8" t="e">
        <f t="shared" si="15"/>
        <v>#DIV/0!</v>
      </c>
      <c r="AH47" s="8" t="e">
        <f t="shared" si="15"/>
        <v>#DIV/0!</v>
      </c>
      <c r="AI47" s="8" t="e">
        <f t="shared" si="15"/>
        <v>#DIV/0!</v>
      </c>
      <c r="AJ47" s="8" t="e">
        <f t="shared" si="15"/>
        <v>#DIV/0!</v>
      </c>
      <c r="AK47" s="8" t="e">
        <f t="shared" si="15"/>
        <v>#DIV/0!</v>
      </c>
    </row>
    <row r="48" spans="1:37" x14ac:dyDescent="0.25">
      <c r="A48" s="8" t="s">
        <v>2</v>
      </c>
      <c r="B48" s="8">
        <f t="shared" ref="B48:M48" si="16" xml:space="preserve"> B47/SQRT(COUNT(B28:B43))</f>
        <v>2.2142319573996351E-2</v>
      </c>
      <c r="C48" s="8">
        <f t="shared" si="16"/>
        <v>4.387046739915447E-2</v>
      </c>
      <c r="D48" s="8">
        <f t="shared" si="16"/>
        <v>3.8596027025372022E-2</v>
      </c>
      <c r="E48" s="8">
        <f t="shared" si="16"/>
        <v>0.11615731318052896</v>
      </c>
      <c r="F48" s="8">
        <f t="shared" si="16"/>
        <v>0.20495952479425708</v>
      </c>
      <c r="G48" s="8">
        <f t="shared" si="16"/>
        <v>0.24156726860485694</v>
      </c>
      <c r="H48" s="8">
        <f t="shared" si="16"/>
        <v>0.17873635590995918</v>
      </c>
      <c r="I48" s="8">
        <f t="shared" si="16"/>
        <v>2.6214762535271895E-2</v>
      </c>
      <c r="J48" s="8">
        <f t="shared" si="16"/>
        <v>1.5114543185808356E-2</v>
      </c>
      <c r="K48" s="8">
        <f t="shared" si="16"/>
        <v>0.19583477642216202</v>
      </c>
      <c r="L48" s="8">
        <f t="shared" si="16"/>
        <v>0.15821503049009208</v>
      </c>
      <c r="M48" s="8">
        <f t="shared" si="16"/>
        <v>0.16125220112288396</v>
      </c>
      <c r="N48" s="8" t="s">
        <v>2</v>
      </c>
      <c r="O48" s="8">
        <f t="shared" ref="O48:AK48" si="17" xml:space="preserve"> O47/SQRT(COUNT(O28:O43))</f>
        <v>0.14277818838509165</v>
      </c>
      <c r="P48" s="8">
        <f t="shared" si="17"/>
        <v>0.13861377042072751</v>
      </c>
      <c r="Q48" s="8">
        <f t="shared" si="17"/>
        <v>1.6005590546447613E-2</v>
      </c>
      <c r="R48" s="8">
        <f t="shared" si="17"/>
        <v>0.13448742592881774</v>
      </c>
      <c r="S48" s="8">
        <f t="shared" si="17"/>
        <v>0.16842494892896559</v>
      </c>
      <c r="T48" s="8">
        <f t="shared" si="17"/>
        <v>0.22539660323179955</v>
      </c>
      <c r="U48" s="8">
        <f t="shared" si="17"/>
        <v>0.20033450437820255</v>
      </c>
      <c r="V48" s="8">
        <f t="shared" si="17"/>
        <v>0.13716965621902513</v>
      </c>
      <c r="W48" s="8" t="e">
        <f t="shared" si="17"/>
        <v>#DIV/0!</v>
      </c>
      <c r="X48" s="8" t="e">
        <f t="shared" si="17"/>
        <v>#DIV/0!</v>
      </c>
      <c r="Y48" s="8" t="e">
        <f t="shared" si="17"/>
        <v>#DIV/0!</v>
      </c>
      <c r="Z48" s="8" t="e">
        <f t="shared" si="17"/>
        <v>#DIV/0!</v>
      </c>
      <c r="AA48" s="8" t="e">
        <f t="shared" si="17"/>
        <v>#DIV/0!</v>
      </c>
      <c r="AB48" s="8" t="e">
        <f t="shared" si="17"/>
        <v>#DIV/0!</v>
      </c>
      <c r="AC48" s="8" t="e">
        <f t="shared" si="17"/>
        <v>#DIV/0!</v>
      </c>
      <c r="AD48" s="8" t="e">
        <f t="shared" si="17"/>
        <v>#DIV/0!</v>
      </c>
      <c r="AE48" s="8" t="e">
        <f t="shared" si="17"/>
        <v>#DIV/0!</v>
      </c>
      <c r="AF48" s="8" t="e">
        <f t="shared" si="17"/>
        <v>#DIV/0!</v>
      </c>
      <c r="AG48" s="8" t="e">
        <f t="shared" si="17"/>
        <v>#DIV/0!</v>
      </c>
      <c r="AH48" s="8" t="e">
        <f t="shared" si="17"/>
        <v>#DIV/0!</v>
      </c>
      <c r="AI48" s="8" t="e">
        <f t="shared" si="17"/>
        <v>#DIV/0!</v>
      </c>
      <c r="AJ48" s="8" t="e">
        <f t="shared" si="17"/>
        <v>#DIV/0!</v>
      </c>
      <c r="AK48" s="8" t="e">
        <f t="shared" si="17"/>
        <v>#DIV/0!</v>
      </c>
    </row>
    <row r="49" spans="1:37" ht="15.75" thickBot="1" x14ac:dyDescent="0.3">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row>
    <row r="50" spans="1:37" ht="27" thickBot="1" x14ac:dyDescent="0.45">
      <c r="A50" s="224" t="s">
        <v>44</v>
      </c>
      <c r="B50" s="225"/>
      <c r="C50" s="225"/>
      <c r="D50" s="225"/>
      <c r="E50" s="225"/>
      <c r="F50" s="225"/>
      <c r="G50" s="225"/>
      <c r="H50" s="225"/>
      <c r="I50" s="225"/>
      <c r="J50" s="225"/>
      <c r="K50" s="225"/>
      <c r="L50" s="225"/>
      <c r="M50" s="225"/>
      <c r="N50" s="225"/>
      <c r="O50" s="225"/>
      <c r="P50" s="225"/>
      <c r="Q50" s="225"/>
      <c r="R50" s="225"/>
      <c r="S50" s="225"/>
      <c r="T50" s="225"/>
      <c r="U50" s="225"/>
      <c r="V50" s="225"/>
      <c r="W50" s="225"/>
      <c r="X50" s="225"/>
      <c r="Y50" s="225"/>
      <c r="Z50" s="225"/>
      <c r="AA50" s="225"/>
      <c r="AB50" s="225"/>
      <c r="AC50" s="225"/>
      <c r="AD50" s="225"/>
      <c r="AE50" s="225"/>
      <c r="AF50" s="225"/>
      <c r="AG50" s="225"/>
      <c r="AH50" s="225"/>
      <c r="AI50" s="225"/>
      <c r="AJ50" s="225"/>
      <c r="AK50" s="226"/>
    </row>
    <row r="51" spans="1:37" ht="15.75" thickBot="1" x14ac:dyDescent="0.3"/>
    <row r="52" spans="1:37" x14ac:dyDescent="0.25">
      <c r="A52" s="45" t="str">
        <f t="shared" ref="A52:H52" si="18">A27</f>
        <v>Noms des groupes</v>
      </c>
      <c r="B52" s="46" t="str">
        <f t="shared" si="18"/>
        <v>Témoin solvant</v>
      </c>
      <c r="C52" s="46" t="str">
        <f t="shared" si="18"/>
        <v>EE2-33.8ng/L</v>
      </c>
      <c r="D52" s="46" t="str">
        <f t="shared" si="18"/>
        <v>EE2-50.6ng/L</v>
      </c>
      <c r="E52" s="46" t="str">
        <f t="shared" si="18"/>
        <v>EE2-76ng/L</v>
      </c>
      <c r="F52" s="46" t="str">
        <f t="shared" si="18"/>
        <v>EE2-114ng/L</v>
      </c>
      <c r="G52" s="46" t="str">
        <f t="shared" si="18"/>
        <v>EE2-170.9ng/L</v>
      </c>
      <c r="H52" s="46" t="str">
        <f t="shared" si="18"/>
        <v>EE2-488ng/L</v>
      </c>
      <c r="I52" s="46" t="str">
        <f>I4</f>
        <v>estradiol 34ng/L</v>
      </c>
      <c r="J52" s="46" t="str">
        <f>J4</f>
        <v>estradiol 68ng/L</v>
      </c>
      <c r="K52" s="46" t="str">
        <f t="shared" ref="K52:M52" si="19">K4</f>
        <v>estradiol 135ng/L</v>
      </c>
      <c r="L52" s="46" t="str">
        <f t="shared" si="19"/>
        <v>estradiol 270ng/L</v>
      </c>
      <c r="M52" s="46" t="str">
        <f t="shared" si="19"/>
        <v>estradiol 540ng/L</v>
      </c>
      <c r="N52" s="47"/>
      <c r="O52" s="46" t="str">
        <f>O27</f>
        <v>Testo -30µg/L</v>
      </c>
      <c r="P52" s="46" t="str">
        <f>P27</f>
        <v>Testo 30µg/L + EE2 -64ng/L</v>
      </c>
      <c r="Q52" s="46" t="str">
        <f>Q27</f>
        <v>Testo 30µg/L + FAD-10mg/L</v>
      </c>
      <c r="R52" s="46" t="str">
        <f>R27</f>
        <v>estradiol-34ng/L + Testostérone</v>
      </c>
      <c r="S52" s="46" t="str">
        <f t="shared" ref="S52:AK52" si="20">S27</f>
        <v>estradiol-68ng/L + Testostérone</v>
      </c>
      <c r="T52" s="46" t="str">
        <f t="shared" si="20"/>
        <v>estradiol-135ng/L + Testostérone</v>
      </c>
      <c r="U52" s="46" t="str">
        <f t="shared" si="20"/>
        <v>estradiol-270ng/L + Testostérone</v>
      </c>
      <c r="V52" s="46" t="str">
        <f t="shared" si="20"/>
        <v>estradiol-540ng/L + Testostérone</v>
      </c>
      <c r="W52" s="46" t="str">
        <f t="shared" si="20"/>
        <v>0-00 + Testostérone</v>
      </c>
      <c r="X52" s="46" t="str">
        <f t="shared" si="20"/>
        <v>0-00 + Testostérone</v>
      </c>
      <c r="Y52" s="46" t="str">
        <f t="shared" si="20"/>
        <v>0-00 + Testostérone</v>
      </c>
      <c r="Z52" s="46" t="str">
        <f t="shared" si="20"/>
        <v>0-00 + Testostérone</v>
      </c>
      <c r="AA52" s="46" t="str">
        <f t="shared" si="20"/>
        <v>0-00 + Testostérone</v>
      </c>
      <c r="AB52" s="46" t="str">
        <f t="shared" si="20"/>
        <v>0-00 + Testostérone</v>
      </c>
      <c r="AC52" s="46" t="str">
        <f t="shared" si="20"/>
        <v>0-00 + Testostérone</v>
      </c>
      <c r="AD52" s="46" t="str">
        <f t="shared" si="20"/>
        <v>0-00 + Testostérone</v>
      </c>
      <c r="AE52" s="46" t="str">
        <f t="shared" si="20"/>
        <v>0-00 + Testostérone</v>
      </c>
      <c r="AF52" s="46" t="str">
        <f t="shared" si="20"/>
        <v>0-00 + Testostérone</v>
      </c>
      <c r="AG52" s="46" t="str">
        <f t="shared" si="20"/>
        <v>0-00 + Testostérone</v>
      </c>
      <c r="AH52" s="46" t="str">
        <f t="shared" si="20"/>
        <v>0-00 + Testostérone</v>
      </c>
      <c r="AI52" s="46" t="str">
        <f t="shared" si="20"/>
        <v>0-00 + Testostérone</v>
      </c>
      <c r="AJ52" s="46" t="str">
        <f t="shared" si="20"/>
        <v>0-00 + Testostérone</v>
      </c>
      <c r="AK52" s="46" t="str">
        <f t="shared" si="20"/>
        <v>0-00 + Testostérone</v>
      </c>
    </row>
    <row r="53" spans="1:37" s="3" customFormat="1" x14ac:dyDescent="0.25">
      <c r="A53" s="64" t="s">
        <v>32</v>
      </c>
      <c r="B53" s="145">
        <f t="shared" ref="B53:AK53" si="21">B46</f>
        <v>7.5028694826113101E-2</v>
      </c>
      <c r="C53" s="145">
        <f t="shared" si="21"/>
        <v>0.17045229160096434</v>
      </c>
      <c r="D53" s="145">
        <f t="shared" si="21"/>
        <v>0.13354081291877376</v>
      </c>
      <c r="E53" s="145">
        <f t="shared" si="21"/>
        <v>0.43660921425636201</v>
      </c>
      <c r="F53" s="145">
        <f t="shared" si="21"/>
        <v>1.2034605297396945</v>
      </c>
      <c r="G53" s="145">
        <f t="shared" si="21"/>
        <v>1.7861013629921652</v>
      </c>
      <c r="H53" s="145">
        <f t="shared" si="21"/>
        <v>2.0321641136260289</v>
      </c>
      <c r="I53" s="145">
        <f t="shared" si="21"/>
        <v>0.1190772204271614</v>
      </c>
      <c r="J53" s="145">
        <f t="shared" si="21"/>
        <v>0.1107967144285459</v>
      </c>
      <c r="K53" s="145">
        <f t="shared" si="21"/>
        <v>0.6661546519154653</v>
      </c>
      <c r="L53" s="145">
        <f t="shared" si="21"/>
        <v>1.8955637012696758</v>
      </c>
      <c r="M53" s="145">
        <f t="shared" si="21"/>
        <v>2.4589765893590365</v>
      </c>
      <c r="N53" s="145"/>
      <c r="O53" s="145">
        <f t="shared" si="21"/>
        <v>1</v>
      </c>
      <c r="P53" s="145">
        <f t="shared" si="21"/>
        <v>2.0800810164388492</v>
      </c>
      <c r="Q53" s="145">
        <f t="shared" si="21"/>
        <v>7.3942649847199518E-2</v>
      </c>
      <c r="R53" s="145">
        <f t="shared" si="21"/>
        <v>1.0244320954762183</v>
      </c>
      <c r="S53" s="145">
        <f t="shared" si="21"/>
        <v>1.5525717674173478</v>
      </c>
      <c r="T53" s="145">
        <f t="shared" si="21"/>
        <v>1.6459270731278162</v>
      </c>
      <c r="U53" s="145">
        <f t="shared" si="21"/>
        <v>1.8663335060783897</v>
      </c>
      <c r="V53" s="145">
        <f t="shared" si="21"/>
        <v>1.9000725495842918</v>
      </c>
      <c r="W53" s="145" t="e">
        <f t="shared" si="21"/>
        <v>#DIV/0!</v>
      </c>
      <c r="X53" s="145" t="e">
        <f t="shared" si="21"/>
        <v>#DIV/0!</v>
      </c>
      <c r="Y53" s="145" t="e">
        <f t="shared" si="21"/>
        <v>#DIV/0!</v>
      </c>
      <c r="Z53" s="145" t="e">
        <f t="shared" si="21"/>
        <v>#DIV/0!</v>
      </c>
      <c r="AA53" s="145" t="e">
        <f t="shared" si="21"/>
        <v>#DIV/0!</v>
      </c>
      <c r="AB53" s="145" t="e">
        <f t="shared" si="21"/>
        <v>#DIV/0!</v>
      </c>
      <c r="AC53" s="145" t="e">
        <f t="shared" si="21"/>
        <v>#DIV/0!</v>
      </c>
      <c r="AD53" s="145" t="e">
        <f t="shared" si="21"/>
        <v>#DIV/0!</v>
      </c>
      <c r="AE53" s="145" t="e">
        <f t="shared" si="21"/>
        <v>#DIV/0!</v>
      </c>
      <c r="AF53" s="145" t="e">
        <f t="shared" si="21"/>
        <v>#DIV/0!</v>
      </c>
      <c r="AG53" s="145" t="e">
        <f t="shared" si="21"/>
        <v>#DIV/0!</v>
      </c>
      <c r="AH53" s="145" t="e">
        <f t="shared" si="21"/>
        <v>#DIV/0!</v>
      </c>
      <c r="AI53" s="145" t="e">
        <f t="shared" si="21"/>
        <v>#DIV/0!</v>
      </c>
      <c r="AJ53" s="145" t="e">
        <f t="shared" si="21"/>
        <v>#DIV/0!</v>
      </c>
      <c r="AK53" s="145" t="e">
        <f t="shared" si="21"/>
        <v>#DIV/0!</v>
      </c>
    </row>
    <row r="54" spans="1:37" s="3" customFormat="1" x14ac:dyDescent="0.25">
      <c r="A54" s="64" t="s">
        <v>2</v>
      </c>
      <c r="B54" s="145">
        <f t="shared" ref="B54:AK54" si="22">B48</f>
        <v>2.2142319573996351E-2</v>
      </c>
      <c r="C54" s="145">
        <f t="shared" si="22"/>
        <v>4.387046739915447E-2</v>
      </c>
      <c r="D54" s="145">
        <f t="shared" si="22"/>
        <v>3.8596027025372022E-2</v>
      </c>
      <c r="E54" s="145">
        <f t="shared" si="22"/>
        <v>0.11615731318052896</v>
      </c>
      <c r="F54" s="145">
        <f t="shared" si="22"/>
        <v>0.20495952479425708</v>
      </c>
      <c r="G54" s="145">
        <f t="shared" si="22"/>
        <v>0.24156726860485694</v>
      </c>
      <c r="H54" s="145">
        <f t="shared" si="22"/>
        <v>0.17873635590995918</v>
      </c>
      <c r="I54" s="145">
        <f t="shared" si="22"/>
        <v>2.6214762535271895E-2</v>
      </c>
      <c r="J54" s="145">
        <f t="shared" si="22"/>
        <v>1.5114543185808356E-2</v>
      </c>
      <c r="K54" s="145">
        <f t="shared" si="22"/>
        <v>0.19583477642216202</v>
      </c>
      <c r="L54" s="145">
        <f t="shared" si="22"/>
        <v>0.15821503049009208</v>
      </c>
      <c r="M54" s="145">
        <f t="shared" si="22"/>
        <v>0.16125220112288396</v>
      </c>
      <c r="N54" s="145"/>
      <c r="O54" s="145">
        <f t="shared" si="22"/>
        <v>0.14277818838509165</v>
      </c>
      <c r="P54" s="145">
        <f t="shared" si="22"/>
        <v>0.13861377042072751</v>
      </c>
      <c r="Q54" s="145">
        <f t="shared" si="22"/>
        <v>1.6005590546447613E-2</v>
      </c>
      <c r="R54" s="145">
        <f t="shared" si="22"/>
        <v>0.13448742592881774</v>
      </c>
      <c r="S54" s="145">
        <f t="shared" si="22"/>
        <v>0.16842494892896559</v>
      </c>
      <c r="T54" s="145">
        <f t="shared" si="22"/>
        <v>0.22539660323179955</v>
      </c>
      <c r="U54" s="145">
        <f t="shared" si="22"/>
        <v>0.20033450437820255</v>
      </c>
      <c r="V54" s="145">
        <f t="shared" si="22"/>
        <v>0.13716965621902513</v>
      </c>
      <c r="W54" s="145" t="e">
        <f t="shared" si="22"/>
        <v>#DIV/0!</v>
      </c>
      <c r="X54" s="145" t="e">
        <f t="shared" si="22"/>
        <v>#DIV/0!</v>
      </c>
      <c r="Y54" s="145" t="e">
        <f t="shared" si="22"/>
        <v>#DIV/0!</v>
      </c>
      <c r="Z54" s="145" t="e">
        <f t="shared" si="22"/>
        <v>#DIV/0!</v>
      </c>
      <c r="AA54" s="145" t="e">
        <f t="shared" si="22"/>
        <v>#DIV/0!</v>
      </c>
      <c r="AB54" s="145" t="e">
        <f t="shared" si="22"/>
        <v>#DIV/0!</v>
      </c>
      <c r="AC54" s="145" t="e">
        <f t="shared" si="22"/>
        <v>#DIV/0!</v>
      </c>
      <c r="AD54" s="145" t="e">
        <f t="shared" si="22"/>
        <v>#DIV/0!</v>
      </c>
      <c r="AE54" s="145" t="e">
        <f t="shared" si="22"/>
        <v>#DIV/0!</v>
      </c>
      <c r="AF54" s="145" t="e">
        <f t="shared" si="22"/>
        <v>#DIV/0!</v>
      </c>
      <c r="AG54" s="145" t="e">
        <f t="shared" si="22"/>
        <v>#DIV/0!</v>
      </c>
      <c r="AH54" s="145" t="e">
        <f t="shared" si="22"/>
        <v>#DIV/0!</v>
      </c>
      <c r="AI54" s="145" t="e">
        <f t="shared" si="22"/>
        <v>#DIV/0!</v>
      </c>
      <c r="AJ54" s="145" t="e">
        <f t="shared" si="22"/>
        <v>#DIV/0!</v>
      </c>
      <c r="AK54" s="145" t="e">
        <f t="shared" si="22"/>
        <v>#DIV/0!</v>
      </c>
    </row>
    <row r="55" spans="1:37" s="3" customFormat="1" x14ac:dyDescent="0.25">
      <c r="A55" s="64" t="s">
        <v>79</v>
      </c>
      <c r="B55" s="145">
        <f>(B53*100/$B53)-100</f>
        <v>0</v>
      </c>
      <c r="C55" s="145">
        <f t="shared" ref="C55:M55" si="23">(C53*100/$B53)-100</f>
        <v>127.18280252109605</v>
      </c>
      <c r="D55" s="145">
        <f t="shared" si="23"/>
        <v>77.986320071632122</v>
      </c>
      <c r="E55" s="145">
        <f t="shared" si="23"/>
        <v>481.92297662680903</v>
      </c>
      <c r="F55" s="145">
        <f t="shared" si="23"/>
        <v>1504.0003528367927</v>
      </c>
      <c r="G55" s="145">
        <f t="shared" si="23"/>
        <v>2280.5576881373763</v>
      </c>
      <c r="H55" s="145">
        <f t="shared" si="23"/>
        <v>2608.5158796055071</v>
      </c>
      <c r="I55" s="145">
        <f t="shared" si="23"/>
        <v>58.708905576906801</v>
      </c>
      <c r="J55" s="145">
        <f t="shared" si="23"/>
        <v>47.672453433088435</v>
      </c>
      <c r="K55" s="145">
        <f t="shared" si="23"/>
        <v>787.86650688693021</v>
      </c>
      <c r="L55" s="145">
        <f t="shared" si="23"/>
        <v>2426.4516538143762</v>
      </c>
      <c r="M55" s="145">
        <f t="shared" si="23"/>
        <v>3177.3815339024272</v>
      </c>
      <c r="N55" s="145"/>
      <c r="O55" s="145">
        <f>(O53*100/$O53)-100</f>
        <v>0</v>
      </c>
      <c r="P55" s="145">
        <f t="shared" ref="P55:AK55" si="24">(P53*100/$O53)-100</f>
        <v>108.00810164388491</v>
      </c>
      <c r="Q55" s="145">
        <f t="shared" si="24"/>
        <v>-92.605735015280047</v>
      </c>
      <c r="R55" s="145">
        <f t="shared" si="24"/>
        <v>2.4432095476218336</v>
      </c>
      <c r="S55" s="145">
        <f t="shared" si="24"/>
        <v>55.257176741734781</v>
      </c>
      <c r="T55" s="145">
        <f t="shared" si="24"/>
        <v>64.592707312781613</v>
      </c>
      <c r="U55" s="145">
        <f t="shared" si="24"/>
        <v>86.633350607838963</v>
      </c>
      <c r="V55" s="145">
        <f t="shared" si="24"/>
        <v>90.007254958429172</v>
      </c>
      <c r="W55" s="145" t="e">
        <f t="shared" si="24"/>
        <v>#DIV/0!</v>
      </c>
      <c r="X55" s="145" t="e">
        <f t="shared" si="24"/>
        <v>#DIV/0!</v>
      </c>
      <c r="Y55" s="145" t="e">
        <f t="shared" si="24"/>
        <v>#DIV/0!</v>
      </c>
      <c r="Z55" s="145" t="e">
        <f t="shared" si="24"/>
        <v>#DIV/0!</v>
      </c>
      <c r="AA55" s="145" t="e">
        <f t="shared" si="24"/>
        <v>#DIV/0!</v>
      </c>
      <c r="AB55" s="145" t="e">
        <f t="shared" si="24"/>
        <v>#DIV/0!</v>
      </c>
      <c r="AC55" s="145" t="e">
        <f t="shared" si="24"/>
        <v>#DIV/0!</v>
      </c>
      <c r="AD55" s="145" t="e">
        <f t="shared" si="24"/>
        <v>#DIV/0!</v>
      </c>
      <c r="AE55" s="145" t="e">
        <f t="shared" si="24"/>
        <v>#DIV/0!</v>
      </c>
      <c r="AF55" s="145" t="e">
        <f t="shared" si="24"/>
        <v>#DIV/0!</v>
      </c>
      <c r="AG55" s="145" t="e">
        <f t="shared" si="24"/>
        <v>#DIV/0!</v>
      </c>
      <c r="AH55" s="145" t="e">
        <f t="shared" si="24"/>
        <v>#DIV/0!</v>
      </c>
      <c r="AI55" s="145" t="e">
        <f t="shared" si="24"/>
        <v>#DIV/0!</v>
      </c>
      <c r="AJ55" s="145" t="e">
        <f t="shared" si="24"/>
        <v>#DIV/0!</v>
      </c>
      <c r="AK55" s="145" t="e">
        <f t="shared" si="24"/>
        <v>#DIV/0!</v>
      </c>
    </row>
    <row r="56" spans="1:37" s="3" customFormat="1" x14ac:dyDescent="0.25">
      <c r="A56" s="64" t="s">
        <v>81</v>
      </c>
      <c r="B56" s="145" t="e">
        <f ca="1">[1]!SWTEST(B28:B43)</f>
        <v>#NAME?</v>
      </c>
      <c r="C56" s="145" t="e">
        <f ca="1">[1]!SWTEST(C28:C43)</f>
        <v>#NAME?</v>
      </c>
      <c r="D56" s="145" t="e">
        <f ca="1">[1]!SWTEST(D28:D43)</f>
        <v>#NAME?</v>
      </c>
      <c r="E56" s="145" t="e">
        <f ca="1">[1]!SWTEST(E28:E43)</f>
        <v>#NAME?</v>
      </c>
      <c r="F56" s="145" t="e">
        <f ca="1">[1]!SWTEST(F28:F43)</f>
        <v>#NAME?</v>
      </c>
      <c r="G56" s="145" t="e">
        <f ca="1">[1]!SWTEST(G28:G43)</f>
        <v>#NAME?</v>
      </c>
      <c r="H56" s="145" t="e">
        <f ca="1">[1]!SWTEST(H28:H43)</f>
        <v>#NAME?</v>
      </c>
      <c r="I56" s="145" t="e">
        <f ca="1">[1]!SWTEST(I28:I43)</f>
        <v>#NAME?</v>
      </c>
      <c r="J56" s="145" t="e">
        <f ca="1">[1]!SWTEST(J28:J43)</f>
        <v>#NAME?</v>
      </c>
      <c r="K56" s="145" t="e">
        <f ca="1">[1]!SWTEST(K28:K43)</f>
        <v>#NAME?</v>
      </c>
      <c r="L56" s="145" t="e">
        <f ca="1">[1]!SWTEST(L28:L43)</f>
        <v>#NAME?</v>
      </c>
      <c r="M56" s="145" t="e">
        <f ca="1">[1]!SWTEST(M28:M43)</f>
        <v>#NAME?</v>
      </c>
      <c r="N56" s="145"/>
      <c r="O56" s="145" t="e">
        <f ca="1">[1]!SWTEST(O28:O43)</f>
        <v>#NAME?</v>
      </c>
      <c r="P56" s="145" t="e">
        <f ca="1">[1]!SWTEST(P28:P43)</f>
        <v>#NAME?</v>
      </c>
      <c r="Q56" s="145" t="e">
        <f ca="1">[1]!SWTEST(Q28:Q43)</f>
        <v>#NAME?</v>
      </c>
      <c r="R56" s="145" t="e">
        <f ca="1">[1]!SWTEST(R28:R43)</f>
        <v>#NAME?</v>
      </c>
      <c r="S56" s="145" t="e">
        <f ca="1">[1]!SWTEST(S28:S43)</f>
        <v>#NAME?</v>
      </c>
      <c r="T56" s="145" t="e">
        <f ca="1">[1]!SWTEST(T28:T43)</f>
        <v>#NAME?</v>
      </c>
      <c r="U56" s="145" t="e">
        <f ca="1">[1]!SWTEST(U28:U43)</f>
        <v>#NAME?</v>
      </c>
      <c r="V56" s="145" t="e">
        <f ca="1">[1]!SWTEST(V28:V43)</f>
        <v>#NAME?</v>
      </c>
      <c r="W56" s="145" t="e">
        <f ca="1">[1]!SWTEST(W28:W43)</f>
        <v>#NAME?</v>
      </c>
      <c r="X56" s="145" t="e">
        <f ca="1">[1]!SWTEST(X28:X43)</f>
        <v>#NAME?</v>
      </c>
      <c r="Y56" s="145" t="e">
        <f ca="1">[1]!SWTEST(Y28:Y43)</f>
        <v>#NAME?</v>
      </c>
      <c r="Z56" s="145" t="e">
        <f ca="1">[1]!SWTEST(Z28:Z43)</f>
        <v>#NAME?</v>
      </c>
      <c r="AA56" s="145" t="e">
        <f ca="1">[1]!SWTEST(AA28:AA43)</f>
        <v>#NAME?</v>
      </c>
      <c r="AB56" s="145" t="e">
        <f ca="1">[1]!SWTEST(AB28:AB43)</f>
        <v>#NAME?</v>
      </c>
      <c r="AC56" s="145" t="e">
        <f ca="1">[1]!SWTEST(AC28:AC43)</f>
        <v>#NAME?</v>
      </c>
      <c r="AD56" s="145" t="e">
        <f ca="1">[1]!SWTEST(AD28:AD43)</f>
        <v>#NAME?</v>
      </c>
      <c r="AE56" s="145" t="e">
        <f ca="1">[1]!SWTEST(AE28:AE43)</f>
        <v>#NAME?</v>
      </c>
      <c r="AF56" s="145" t="e">
        <f ca="1">[1]!SWTEST(AF28:AF43)</f>
        <v>#NAME?</v>
      </c>
      <c r="AG56" s="145" t="e">
        <f ca="1">[1]!SWTEST(AG28:AG43)</f>
        <v>#NAME?</v>
      </c>
      <c r="AH56" s="145" t="e">
        <f ca="1">[1]!SWTEST(AH28:AH43)</f>
        <v>#NAME?</v>
      </c>
      <c r="AI56" s="145" t="e">
        <f ca="1">[1]!SWTEST(AI28:AI43)</f>
        <v>#NAME?</v>
      </c>
      <c r="AJ56" s="145" t="e">
        <f ca="1">[1]!SWTEST(AJ28:AJ43)</f>
        <v>#NAME?</v>
      </c>
      <c r="AK56" s="145" t="e">
        <f ca="1">[1]!SWTEST(AK28:AK43)</f>
        <v>#NAME?</v>
      </c>
    </row>
    <row r="57" spans="1:37" s="3" customFormat="1" x14ac:dyDescent="0.25">
      <c r="A57" s="64" t="s">
        <v>85</v>
      </c>
      <c r="B57" s="145" t="e">
        <f ca="1">IF(B56&gt;0.05,"Oui","Non")</f>
        <v>#NAME?</v>
      </c>
      <c r="C57" s="145" t="e">
        <f t="shared" ref="C57:AK57" ca="1" si="25">IF(C56&gt;0.05,"Oui","Non")</f>
        <v>#NAME?</v>
      </c>
      <c r="D57" s="145" t="e">
        <f t="shared" ca="1" si="25"/>
        <v>#NAME?</v>
      </c>
      <c r="E57" s="145" t="e">
        <f t="shared" ca="1" si="25"/>
        <v>#NAME?</v>
      </c>
      <c r="F57" s="145" t="e">
        <f t="shared" ca="1" si="25"/>
        <v>#NAME?</v>
      </c>
      <c r="G57" s="145" t="e">
        <f t="shared" ca="1" si="25"/>
        <v>#NAME?</v>
      </c>
      <c r="H57" s="145" t="e">
        <f t="shared" ca="1" si="25"/>
        <v>#NAME?</v>
      </c>
      <c r="I57" s="145" t="e">
        <f t="shared" ca="1" si="25"/>
        <v>#NAME?</v>
      </c>
      <c r="J57" s="145" t="e">
        <f t="shared" ca="1" si="25"/>
        <v>#NAME?</v>
      </c>
      <c r="K57" s="145" t="e">
        <f t="shared" ca="1" si="25"/>
        <v>#NAME?</v>
      </c>
      <c r="L57" s="145" t="e">
        <f t="shared" ca="1" si="25"/>
        <v>#NAME?</v>
      </c>
      <c r="M57" s="145" t="e">
        <f t="shared" ca="1" si="25"/>
        <v>#NAME?</v>
      </c>
      <c r="N57" s="145"/>
      <c r="O57" s="145" t="e">
        <f t="shared" ca="1" si="25"/>
        <v>#NAME?</v>
      </c>
      <c r="P57" s="145" t="e">
        <f t="shared" ca="1" si="25"/>
        <v>#NAME?</v>
      </c>
      <c r="Q57" s="145" t="e">
        <f t="shared" ca="1" si="25"/>
        <v>#NAME?</v>
      </c>
      <c r="R57" s="145" t="e">
        <f t="shared" ca="1" si="25"/>
        <v>#NAME?</v>
      </c>
      <c r="S57" s="145" t="e">
        <f t="shared" ca="1" si="25"/>
        <v>#NAME?</v>
      </c>
      <c r="T57" s="145" t="e">
        <f t="shared" ca="1" si="25"/>
        <v>#NAME?</v>
      </c>
      <c r="U57" s="145" t="e">
        <f t="shared" ca="1" si="25"/>
        <v>#NAME?</v>
      </c>
      <c r="V57" s="145" t="e">
        <f t="shared" ca="1" si="25"/>
        <v>#NAME?</v>
      </c>
      <c r="W57" s="145" t="e">
        <f t="shared" ca="1" si="25"/>
        <v>#NAME?</v>
      </c>
      <c r="X57" s="145" t="e">
        <f t="shared" ca="1" si="25"/>
        <v>#NAME?</v>
      </c>
      <c r="Y57" s="145" t="e">
        <f t="shared" ca="1" si="25"/>
        <v>#NAME?</v>
      </c>
      <c r="Z57" s="145" t="e">
        <f t="shared" ca="1" si="25"/>
        <v>#NAME?</v>
      </c>
      <c r="AA57" s="145" t="e">
        <f t="shared" ca="1" si="25"/>
        <v>#NAME?</v>
      </c>
      <c r="AB57" s="145" t="e">
        <f t="shared" ca="1" si="25"/>
        <v>#NAME?</v>
      </c>
      <c r="AC57" s="145" t="e">
        <f t="shared" ca="1" si="25"/>
        <v>#NAME?</v>
      </c>
      <c r="AD57" s="145" t="e">
        <f t="shared" ca="1" si="25"/>
        <v>#NAME?</v>
      </c>
      <c r="AE57" s="145" t="e">
        <f t="shared" ca="1" si="25"/>
        <v>#NAME?</v>
      </c>
      <c r="AF57" s="145" t="e">
        <f t="shared" ca="1" si="25"/>
        <v>#NAME?</v>
      </c>
      <c r="AG57" s="145" t="e">
        <f t="shared" ca="1" si="25"/>
        <v>#NAME?</v>
      </c>
      <c r="AH57" s="145" t="e">
        <f t="shared" ca="1" si="25"/>
        <v>#NAME?</v>
      </c>
      <c r="AI57" s="145" t="e">
        <f t="shared" ca="1" si="25"/>
        <v>#NAME?</v>
      </c>
      <c r="AJ57" s="145" t="e">
        <f t="shared" ca="1" si="25"/>
        <v>#NAME?</v>
      </c>
      <c r="AK57" s="145" t="e">
        <f t="shared" ca="1" si="25"/>
        <v>#NAME?</v>
      </c>
    </row>
    <row r="58" spans="1:37" s="3" customFormat="1" x14ac:dyDescent="0.25">
      <c r="A58" s="64"/>
      <c r="B58" s="145"/>
      <c r="C58" s="145"/>
      <c r="D58" s="145"/>
      <c r="E58" s="145"/>
      <c r="F58" s="145"/>
      <c r="G58" s="145"/>
      <c r="H58" s="145"/>
      <c r="I58" s="145"/>
      <c r="J58" s="145"/>
      <c r="K58" s="145"/>
      <c r="L58" s="145"/>
      <c r="M58" s="145"/>
      <c r="N58" s="152"/>
      <c r="O58" s="153"/>
      <c r="P58" s="145"/>
      <c r="Q58" s="145"/>
      <c r="R58" s="145"/>
      <c r="S58" s="145"/>
      <c r="T58" s="145"/>
      <c r="U58" s="145"/>
      <c r="V58" s="145"/>
      <c r="W58" s="145"/>
      <c r="X58" s="145"/>
      <c r="Y58" s="145"/>
      <c r="Z58" s="145"/>
      <c r="AA58" s="145"/>
      <c r="AB58" s="145"/>
      <c r="AC58" s="145"/>
      <c r="AD58" s="145"/>
      <c r="AE58" s="154"/>
      <c r="AF58" s="154"/>
      <c r="AG58" s="154"/>
      <c r="AH58" s="154"/>
      <c r="AI58" s="154"/>
      <c r="AJ58" s="154"/>
      <c r="AK58" s="155"/>
    </row>
    <row r="59" spans="1:37" s="3" customFormat="1" x14ac:dyDescent="0.25">
      <c r="A59" s="64" t="s">
        <v>82</v>
      </c>
      <c r="B59" s="156"/>
      <c r="C59" s="156" t="e">
        <f t="shared" ref="C59:O59" ca="1" si="26">IF($B57="Non",IF(C57="Non","MW",IF(C57="Oui","MW","")),IF($B57="Oui",IF(C57="Oui","T-Test Welch",IF(C57="Non","MW",""))))</f>
        <v>#NAME?</v>
      </c>
      <c r="D59" s="156" t="e">
        <f t="shared" ca="1" si="26"/>
        <v>#NAME?</v>
      </c>
      <c r="E59" s="156" t="e">
        <f t="shared" ca="1" si="26"/>
        <v>#NAME?</v>
      </c>
      <c r="F59" s="156" t="e">
        <f t="shared" ca="1" si="26"/>
        <v>#NAME?</v>
      </c>
      <c r="G59" s="156" t="e">
        <f t="shared" ca="1" si="26"/>
        <v>#NAME?</v>
      </c>
      <c r="H59" s="156" t="e">
        <f t="shared" ca="1" si="26"/>
        <v>#NAME?</v>
      </c>
      <c r="I59" s="156" t="e">
        <f t="shared" ca="1" si="26"/>
        <v>#NAME?</v>
      </c>
      <c r="J59" s="156" t="e">
        <f t="shared" ca="1" si="26"/>
        <v>#NAME?</v>
      </c>
      <c r="K59" s="156" t="e">
        <f t="shared" ca="1" si="26"/>
        <v>#NAME?</v>
      </c>
      <c r="L59" s="156" t="e">
        <f t="shared" ca="1" si="26"/>
        <v>#NAME?</v>
      </c>
      <c r="M59" s="156" t="e">
        <f t="shared" ca="1" si="26"/>
        <v>#NAME?</v>
      </c>
      <c r="N59" s="156"/>
      <c r="O59" s="156" t="e">
        <f t="shared" ca="1" si="26"/>
        <v>#NAME?</v>
      </c>
      <c r="P59" s="156" t="e">
        <f ca="1">IF($O57="Non",IF(P57="Non","MW",IF(P57="Oui","MW","")),IF($O57="Oui",IF(P57="Oui","T-Test Welch",IF(P57="Non","MW",""))))</f>
        <v>#NAME?</v>
      </c>
      <c r="Q59" s="156" t="e">
        <f t="shared" ref="Q59:AK59" ca="1" si="27">IF($O57="Non",IF(Q57="Non","MW",IF(Q57="Oui","MW","")),IF($O57="Oui",IF(Q57="Oui","T-Test Welch",IF(Q57="Non","MW",""))))</f>
        <v>#NAME?</v>
      </c>
      <c r="R59" s="156" t="e">
        <f t="shared" ca="1" si="27"/>
        <v>#NAME?</v>
      </c>
      <c r="S59" s="156" t="e">
        <f t="shared" ca="1" si="27"/>
        <v>#NAME?</v>
      </c>
      <c r="T59" s="156" t="e">
        <f t="shared" ca="1" si="27"/>
        <v>#NAME?</v>
      </c>
      <c r="U59" s="156" t="e">
        <f t="shared" ca="1" si="27"/>
        <v>#NAME?</v>
      </c>
      <c r="V59" s="156" t="e">
        <f t="shared" ca="1" si="27"/>
        <v>#NAME?</v>
      </c>
      <c r="W59" s="156" t="e">
        <f t="shared" ca="1" si="27"/>
        <v>#NAME?</v>
      </c>
      <c r="X59" s="156" t="e">
        <f t="shared" ca="1" si="27"/>
        <v>#NAME?</v>
      </c>
      <c r="Y59" s="156" t="e">
        <f t="shared" ca="1" si="27"/>
        <v>#NAME?</v>
      </c>
      <c r="Z59" s="156" t="e">
        <f t="shared" ca="1" si="27"/>
        <v>#NAME?</v>
      </c>
      <c r="AA59" s="156" t="e">
        <f t="shared" ca="1" si="27"/>
        <v>#NAME?</v>
      </c>
      <c r="AB59" s="156" t="e">
        <f t="shared" ca="1" si="27"/>
        <v>#NAME?</v>
      </c>
      <c r="AC59" s="156" t="e">
        <f t="shared" ca="1" si="27"/>
        <v>#NAME?</v>
      </c>
      <c r="AD59" s="156" t="e">
        <f t="shared" ca="1" si="27"/>
        <v>#NAME?</v>
      </c>
      <c r="AE59" s="156" t="e">
        <f t="shared" ca="1" si="27"/>
        <v>#NAME?</v>
      </c>
      <c r="AF59" s="156" t="e">
        <f t="shared" ca="1" si="27"/>
        <v>#NAME?</v>
      </c>
      <c r="AG59" s="156" t="e">
        <f t="shared" ca="1" si="27"/>
        <v>#NAME?</v>
      </c>
      <c r="AH59" s="156" t="e">
        <f t="shared" ca="1" si="27"/>
        <v>#NAME?</v>
      </c>
      <c r="AI59" s="156" t="e">
        <f t="shared" ca="1" si="27"/>
        <v>#NAME?</v>
      </c>
      <c r="AJ59" s="156" t="e">
        <f t="shared" ca="1" si="27"/>
        <v>#NAME?</v>
      </c>
      <c r="AK59" s="156" t="e">
        <f t="shared" ca="1" si="27"/>
        <v>#NAME?</v>
      </c>
    </row>
    <row r="60" spans="1:37" s="3" customFormat="1" x14ac:dyDescent="0.25">
      <c r="A60" s="64" t="s">
        <v>83</v>
      </c>
      <c r="B60" s="157"/>
      <c r="C60" s="157" t="e">
        <f ca="1">IF(C59="MW",[1]!MTEST($B28:$B43,C28:C43,2), IF(C59="T-Test Welch",_xlfn.T.TEST($B28:$B43,C28:C43,2,3),""))</f>
        <v>#NAME?</v>
      </c>
      <c r="D60" s="157" t="e">
        <f ca="1">IF(D59="MW",[1]!MTEST($B28:$B43,D28:D43,2), IF(D59="T-Test Welch",_xlfn.T.TEST($B28:$B43,D28:D43,2,3),""))</f>
        <v>#NAME?</v>
      </c>
      <c r="E60" s="157" t="e">
        <f ca="1">IF(E59="MW",[1]!MTEST($B28:$B43,E28:E43,2), IF(E59="T-Test Welch",_xlfn.T.TEST($B28:$B43,E28:E43,2,3),""))</f>
        <v>#NAME?</v>
      </c>
      <c r="F60" s="157" t="e">
        <f ca="1">IF(F59="MW",[1]!MTEST($B28:$B43,F28:F43,2), IF(F59="T-Test Welch",_xlfn.T.TEST($B28:$B43,F28:F43,2,3),""))</f>
        <v>#NAME?</v>
      </c>
      <c r="G60" s="157" t="e">
        <f ca="1">IF(G59="MW",[1]!MTEST($B28:$B43,G28:G43,2), IF(G59="T-Test Welch",_xlfn.T.TEST($B28:$B43,G28:G43,2,3),""))</f>
        <v>#NAME?</v>
      </c>
      <c r="H60" s="157" t="e">
        <f ca="1">IF(H59="MW",[1]!MTEST($B28:$B43,H28:H43,2), IF(H59="T-Test Welch",_xlfn.T.TEST($B28:$B43,H28:H43,2,3),""))</f>
        <v>#NAME?</v>
      </c>
      <c r="I60" s="157" t="e">
        <f ca="1">IF(I59="MW",[1]!MTEST($B28:$B43,I28:I43,2), IF(I59="T-Test Welch",_xlfn.T.TEST($B28:$B43,I28:I43,2,3),""))</f>
        <v>#NAME?</v>
      </c>
      <c r="J60" s="157" t="e">
        <f ca="1">IF(J59="MW",[1]!MTEST($B28:$B43,J28:J43,2), IF(J59="T-Test Welch",_xlfn.T.TEST($B28:$B43,J28:J43,2,3),""))</f>
        <v>#NAME?</v>
      </c>
      <c r="K60" s="157" t="e">
        <f ca="1">IF(K59="MW",[1]!MTEST($B28:$B43,K28:K43,2), IF(K59="T-Test Welch",_xlfn.T.TEST($B28:$B43,K28:K43,2,3),""))</f>
        <v>#NAME?</v>
      </c>
      <c r="L60" s="157" t="e">
        <f ca="1">IF(L59="MW",[1]!MTEST($B28:$B43,L28:L43,2), IF(L59="T-Test Welch",_xlfn.T.TEST($B28:$B43,L28:L43,2,3),""))</f>
        <v>#NAME?</v>
      </c>
      <c r="M60" s="157" t="e">
        <f ca="1">IF(M59="MW",[1]!MTEST($B28:$B43,M28:M43,2), IF(M59="T-Test Welch",_xlfn.T.TEST($B28:$B43,M28:M43,2,3),""))</f>
        <v>#NAME?</v>
      </c>
      <c r="N60" s="157"/>
      <c r="O60" s="157" t="e">
        <f ca="1">IF(O59="MW",[1]!MTEST($B28:$B43,O28:O43,2), IF(O59="T-Test Welch",_xlfn.T.TEST($B28:$B43,O28:O43,2,3),""))</f>
        <v>#NAME?</v>
      </c>
      <c r="P60" s="157" t="e">
        <f ca="1">IF(P59="MW",[1]!MTEST($O28:$O43,P28:P43,2), IF(P59="T-Test Welch",_xlfn.T.TEST($O28:$O43,P28:P43,2,3),""))</f>
        <v>#NAME?</v>
      </c>
      <c r="Q60" s="157" t="e">
        <f ca="1">IF(Q59="MW",[1]!MTEST($O28:$O43,Q28:Q43,2), IF(Q59="T-Test Welch",_xlfn.T.TEST($O28:$O43,Q28:Q43,2,3),""))</f>
        <v>#NAME?</v>
      </c>
      <c r="R60" s="157" t="e">
        <f ca="1">IF(R59="MW",[1]!MTEST($O28:$O43,R28:R43,2), IF(R59="T-Test Welch",_xlfn.T.TEST($O28:$O43,R28:R43,2,3),""))</f>
        <v>#NAME?</v>
      </c>
      <c r="S60" s="157" t="e">
        <f ca="1">IF(S59="MW",[1]!MTEST($O28:$O43,S28:S43,2), IF(S59="T-Test Welch",_xlfn.T.TEST($O28:$O43,S28:S43,2,3),""))</f>
        <v>#NAME?</v>
      </c>
      <c r="T60" s="157" t="e">
        <f ca="1">IF(T59="MW",[1]!MTEST($O28:$O43,T28:T43,2), IF(T59="T-Test Welch",_xlfn.T.TEST($O28:$O43,T28:T43,2,3),""))</f>
        <v>#NAME?</v>
      </c>
      <c r="U60" s="157" t="e">
        <f ca="1">IF(U59="MW",[1]!MTEST($O28:$O43,U28:U43,2), IF(U59="T-Test Welch",_xlfn.T.TEST($O28:$O43,U28:U43,2,3),""))</f>
        <v>#NAME?</v>
      </c>
      <c r="V60" s="157" t="e">
        <f ca="1">IF(V59="MW",[1]!MTEST($O28:$O43,V28:V43,2), IF(V59="T-Test Welch",_xlfn.T.TEST($O28:$O43,V28:V43,2,3),""))</f>
        <v>#NAME?</v>
      </c>
      <c r="W60" s="157" t="e">
        <f ca="1">IF(W59="MW",[1]!MTEST($O28:$O43,W28:W43,2), IF(W59="T-Test Welch",_xlfn.T.TEST($O28:$O43,W28:W43,2,3),""))</f>
        <v>#NAME?</v>
      </c>
      <c r="X60" s="157" t="e">
        <f ca="1">IF(X59="MW",[1]!MTEST($O28:$O43,X28:X43,2), IF(X59="T-Test Welch",_xlfn.T.TEST($O28:$O43,X28:X43,2,3),""))</f>
        <v>#NAME?</v>
      </c>
      <c r="Y60" s="157" t="e">
        <f ca="1">IF(Y59="MW",[1]!MTEST($O28:$O43,Y28:Y43,2), IF(Y59="T-Test Welch",_xlfn.T.TEST($O28:$O43,Y28:Y43,2,3),""))</f>
        <v>#NAME?</v>
      </c>
      <c r="Z60" s="157" t="e">
        <f ca="1">IF(Z59="MW",[1]!MTEST($O28:$O43,Z28:Z43,2), IF(Z59="T-Test Welch",_xlfn.T.TEST($O28:$O43,Z28:Z43,2,3),""))</f>
        <v>#NAME?</v>
      </c>
      <c r="AA60" s="157" t="e">
        <f ca="1">IF(AA59="MW",[1]!MTEST($O28:$O43,AA28:AA43,2), IF(AA59="T-Test Welch",_xlfn.T.TEST($O28:$O43,AA28:AA43,2,3),""))</f>
        <v>#NAME?</v>
      </c>
      <c r="AB60" s="157" t="e">
        <f ca="1">IF(AB59="MW",[1]!MTEST($O28:$O43,AB28:AB43,2), IF(AB59="T-Test Welch",_xlfn.T.TEST($O28:$O43,AB28:AB43,2,3),""))</f>
        <v>#NAME?</v>
      </c>
      <c r="AC60" s="157" t="e">
        <f ca="1">IF(AC59="MW",[1]!MTEST($O28:$O43,AC28:AC43,2), IF(AC59="T-Test Welch",_xlfn.T.TEST($O28:$O43,AC28:AC43,2,3),""))</f>
        <v>#NAME?</v>
      </c>
      <c r="AD60" s="157" t="e">
        <f ca="1">IF(AD59="MW",[1]!MTEST($O28:$O43,AD28:AD43,2), IF(AD59="T-Test Welch",_xlfn.T.TEST($O28:$O43,AD28:AD43,2,3),""))</f>
        <v>#NAME?</v>
      </c>
      <c r="AE60" s="157" t="e">
        <f ca="1">IF(AE59="MW",[1]!MTEST($O28:$O43,AE28:AE43,2), IF(AE59="T-Test Welch",_xlfn.T.TEST($O28:$O43,AE28:AE43,2,3),""))</f>
        <v>#NAME?</v>
      </c>
      <c r="AF60" s="157" t="e">
        <f ca="1">IF(AF59="MW",[1]!MTEST($O28:$O43,AF28:AF43,2), IF(AF59="T-Test Welch",_xlfn.T.TEST($O28:$O43,AF28:AF43,2,3),""))</f>
        <v>#NAME?</v>
      </c>
      <c r="AG60" s="157" t="e">
        <f ca="1">IF(AG59="MW",[1]!MTEST($O28:$O43,AG28:AG43,2), IF(AG59="T-Test Welch",_xlfn.T.TEST($O28:$O43,AG28:AG43,2,3),""))</f>
        <v>#NAME?</v>
      </c>
      <c r="AH60" s="157" t="e">
        <f ca="1">IF(AH59="MW",[1]!MTEST($O28:$O43,AH28:AH43,2), IF(AH59="T-Test Welch",_xlfn.T.TEST($O28:$O43,AH28:AH43,2,3),""))</f>
        <v>#NAME?</v>
      </c>
      <c r="AI60" s="157" t="e">
        <f ca="1">IF(AI59="MW",[1]!MTEST($O28:$O43,AI28:AI43,2), IF(AI59="T-Test Welch",_xlfn.T.TEST($O28:$O43,AI28:AI43,2,3),""))</f>
        <v>#NAME?</v>
      </c>
      <c r="AJ60" s="157" t="e">
        <f ca="1">IF(AJ59="MW",[1]!MTEST($O28:$O43,AJ28:AJ43,2), IF(AJ59="T-Test Welch",_xlfn.T.TEST($O28:$O43,AJ28:AJ43,2,3),""))</f>
        <v>#NAME?</v>
      </c>
      <c r="AK60" s="157" t="e">
        <f ca="1">IF(AK59="MW",[1]!MTEST($O28:$O43,AK28:AK43,2), IF(AK59="T-Test Welch",_xlfn.T.TEST($O28:$O43,AK28:AK43,2,3),""))</f>
        <v>#NAME?</v>
      </c>
    </row>
    <row r="61" spans="1:37" s="3" customFormat="1" ht="15.75" thickBot="1" x14ac:dyDescent="0.3">
      <c r="A61" s="65" t="s">
        <v>84</v>
      </c>
      <c r="B61" s="146"/>
      <c r="C61" s="146" t="e">
        <f t="shared" ref="C61:O61" ca="1" si="28">IF(C60&gt;0.05,"NS",IF(C60&gt;0.01,"*",IF(C60&gt;0.001,"**","***")))</f>
        <v>#NAME?</v>
      </c>
      <c r="D61" s="146" t="e">
        <f t="shared" ca="1" si="28"/>
        <v>#NAME?</v>
      </c>
      <c r="E61" s="146" t="e">
        <f t="shared" ca="1" si="28"/>
        <v>#NAME?</v>
      </c>
      <c r="F61" s="146" t="e">
        <f t="shared" ca="1" si="28"/>
        <v>#NAME?</v>
      </c>
      <c r="G61" s="146" t="e">
        <f t="shared" ca="1" si="28"/>
        <v>#NAME?</v>
      </c>
      <c r="H61" s="146" t="e">
        <f t="shared" ca="1" si="28"/>
        <v>#NAME?</v>
      </c>
      <c r="I61" s="146" t="e">
        <f t="shared" ca="1" si="28"/>
        <v>#NAME?</v>
      </c>
      <c r="J61" s="146" t="e">
        <f t="shared" ca="1" si="28"/>
        <v>#NAME?</v>
      </c>
      <c r="K61" s="146" t="e">
        <f t="shared" ca="1" si="28"/>
        <v>#NAME?</v>
      </c>
      <c r="L61" s="146" t="e">
        <f t="shared" ca="1" si="28"/>
        <v>#NAME?</v>
      </c>
      <c r="M61" s="146" t="e">
        <f t="shared" ca="1" si="28"/>
        <v>#NAME?</v>
      </c>
      <c r="N61" s="146"/>
      <c r="O61" s="146" t="e">
        <f t="shared" ca="1" si="28"/>
        <v>#NAME?</v>
      </c>
      <c r="P61" s="146" t="e">
        <f ca="1">IF(P60&gt;0.05,"NS",IF(P60&gt;0.01,"*",IF(P60&gt;0.001,"**","***")))</f>
        <v>#NAME?</v>
      </c>
      <c r="Q61" s="146" t="e">
        <f t="shared" ref="Q61:AK61" ca="1" si="29">IF(Q60&gt;0.05,"NS",IF(Q60&gt;0.01,"*",IF(Q60&gt;0.001,"**","***")))</f>
        <v>#NAME?</v>
      </c>
      <c r="R61" s="146" t="e">
        <f t="shared" ca="1" si="29"/>
        <v>#NAME?</v>
      </c>
      <c r="S61" s="146" t="e">
        <f t="shared" ca="1" si="29"/>
        <v>#NAME?</v>
      </c>
      <c r="T61" s="146" t="e">
        <f t="shared" ca="1" si="29"/>
        <v>#NAME?</v>
      </c>
      <c r="U61" s="146" t="e">
        <f t="shared" ca="1" si="29"/>
        <v>#NAME?</v>
      </c>
      <c r="V61" s="146" t="e">
        <f t="shared" ca="1" si="29"/>
        <v>#NAME?</v>
      </c>
      <c r="W61" s="146" t="e">
        <f t="shared" ca="1" si="29"/>
        <v>#NAME?</v>
      </c>
      <c r="X61" s="146" t="e">
        <f t="shared" ca="1" si="29"/>
        <v>#NAME?</v>
      </c>
      <c r="Y61" s="146" t="e">
        <f t="shared" ca="1" si="29"/>
        <v>#NAME?</v>
      </c>
      <c r="Z61" s="146" t="e">
        <f t="shared" ca="1" si="29"/>
        <v>#NAME?</v>
      </c>
      <c r="AA61" s="146" t="e">
        <f t="shared" ca="1" si="29"/>
        <v>#NAME?</v>
      </c>
      <c r="AB61" s="146" t="e">
        <f t="shared" ca="1" si="29"/>
        <v>#NAME?</v>
      </c>
      <c r="AC61" s="146" t="e">
        <f t="shared" ca="1" si="29"/>
        <v>#NAME?</v>
      </c>
      <c r="AD61" s="146" t="e">
        <f t="shared" ca="1" si="29"/>
        <v>#NAME?</v>
      </c>
      <c r="AE61" s="146" t="e">
        <f t="shared" ca="1" si="29"/>
        <v>#NAME?</v>
      </c>
      <c r="AF61" s="146" t="e">
        <f t="shared" ca="1" si="29"/>
        <v>#NAME?</v>
      </c>
      <c r="AG61" s="146" t="e">
        <f t="shared" ca="1" si="29"/>
        <v>#NAME?</v>
      </c>
      <c r="AH61" s="146" t="e">
        <f t="shared" ca="1" si="29"/>
        <v>#NAME?</v>
      </c>
      <c r="AI61" s="146" t="e">
        <f t="shared" ca="1" si="29"/>
        <v>#NAME?</v>
      </c>
      <c r="AJ61" s="146" t="e">
        <f t="shared" ca="1" si="29"/>
        <v>#NAME?</v>
      </c>
      <c r="AK61" s="146" t="e">
        <f t="shared" ca="1" si="29"/>
        <v>#NAME?</v>
      </c>
    </row>
    <row r="63" spans="1:37" x14ac:dyDescent="0.25">
      <c r="A63" s="2" t="s">
        <v>39</v>
      </c>
    </row>
    <row r="64" spans="1:37" x14ac:dyDescent="0.25">
      <c r="A64" s="1" t="s">
        <v>23</v>
      </c>
      <c r="B64" s="1">
        <f>B46+(3*B47)</f>
        <v>0.25077790795484911</v>
      </c>
    </row>
    <row r="65" spans="1:37" x14ac:dyDescent="0.25">
      <c r="A65" s="1" t="s">
        <v>24</v>
      </c>
      <c r="B65" s="1">
        <f>B46+(10*B47)</f>
        <v>0.66085940525523301</v>
      </c>
    </row>
    <row r="66" spans="1:37" ht="15.75" thickBot="1" x14ac:dyDescent="0.3"/>
    <row r="67" spans="1:37" ht="27" thickBot="1" x14ac:dyDescent="0.45">
      <c r="A67" s="224" t="s">
        <v>45</v>
      </c>
      <c r="B67" s="225"/>
      <c r="C67" s="225"/>
      <c r="D67" s="225"/>
      <c r="E67" s="225"/>
      <c r="F67" s="225"/>
      <c r="G67" s="225"/>
      <c r="H67" s="225"/>
      <c r="I67" s="225"/>
      <c r="J67" s="225"/>
      <c r="K67" s="225"/>
      <c r="L67" s="225"/>
      <c r="M67" s="225"/>
      <c r="N67" s="225"/>
      <c r="O67" s="225"/>
      <c r="P67" s="225"/>
      <c r="Q67" s="225"/>
      <c r="R67" s="225"/>
      <c r="S67" s="225"/>
      <c r="T67" s="225"/>
      <c r="U67" s="225"/>
      <c r="V67" s="225"/>
      <c r="W67" s="225"/>
      <c r="X67" s="225"/>
      <c r="Y67" s="225"/>
      <c r="Z67" s="225"/>
      <c r="AA67" s="225"/>
      <c r="AB67" s="225"/>
      <c r="AC67" s="225"/>
      <c r="AD67" s="225"/>
      <c r="AE67" s="225"/>
      <c r="AF67" s="225"/>
      <c r="AG67" s="225"/>
      <c r="AH67" s="225"/>
      <c r="AI67" s="225"/>
      <c r="AJ67" s="225"/>
      <c r="AK67" s="226"/>
    </row>
    <row r="68" spans="1:37" ht="16.5" x14ac:dyDescent="0.25">
      <c r="A68" s="12"/>
      <c r="B68" s="12"/>
      <c r="C68" s="12"/>
      <c r="D68" s="12"/>
      <c r="E68" s="12"/>
      <c r="F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row>
    <row r="69" spans="1:37" ht="16.5" x14ac:dyDescent="0.25">
      <c r="A69" s="12"/>
      <c r="B69" s="12"/>
      <c r="C69" s="12"/>
      <c r="D69" s="12"/>
      <c r="E69" s="12"/>
      <c r="F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row>
    <row r="70" spans="1:37" ht="16.5" x14ac:dyDescent="0.25">
      <c r="A70" s="12"/>
      <c r="B70" s="12"/>
      <c r="C70" s="12"/>
      <c r="D70" s="12"/>
      <c r="E70" s="12"/>
      <c r="F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row>
    <row r="71" spans="1:37" ht="16.5" x14ac:dyDescent="0.25">
      <c r="A71" s="12"/>
      <c r="B71" s="12"/>
      <c r="C71" s="12"/>
      <c r="D71" s="12"/>
      <c r="E71" s="12"/>
      <c r="F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row>
    <row r="72" spans="1:37" ht="16.5" x14ac:dyDescent="0.25">
      <c r="A72" s="12"/>
      <c r="B72" s="12"/>
      <c r="C72" s="12"/>
      <c r="D72" s="12"/>
      <c r="E72" s="12"/>
      <c r="F72" s="12"/>
      <c r="N72" s="12"/>
      <c r="O72" s="12"/>
      <c r="P72" s="12"/>
      <c r="Q72" s="12"/>
      <c r="R72" s="12"/>
      <c r="S72" s="12"/>
      <c r="T72" s="12"/>
      <c r="U72" s="12"/>
      <c r="V72" s="12"/>
      <c r="W72" s="12"/>
      <c r="X72" s="12"/>
      <c r="Y72" s="12"/>
      <c r="Z72" s="12"/>
      <c r="AA72" s="12"/>
      <c r="AB72" s="12"/>
      <c r="AC72" s="12"/>
      <c r="AD72" s="12"/>
      <c r="AE72" s="12"/>
      <c r="AF72" s="12"/>
      <c r="AG72" s="12"/>
      <c r="AH72" s="12"/>
      <c r="AI72" s="12"/>
      <c r="AJ72" s="12"/>
      <c r="AK72" s="12"/>
    </row>
    <row r="73" spans="1:37" ht="16.5" x14ac:dyDescent="0.25">
      <c r="A73" s="12"/>
      <c r="B73" s="12"/>
      <c r="C73" s="12"/>
      <c r="D73" s="12"/>
      <c r="E73" s="12"/>
      <c r="F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row>
    <row r="74" spans="1:37" ht="16.5" x14ac:dyDescent="0.25">
      <c r="A74" s="12"/>
      <c r="B74" s="12"/>
      <c r="C74" s="12"/>
      <c r="D74" s="12"/>
      <c r="E74" s="12"/>
      <c r="F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row>
  </sheetData>
  <protectedRanges>
    <protectedRange sqref="O51:AK51" name="Plage2"/>
    <protectedRange sqref="R5:AK20" name="Plage1"/>
    <protectedRange sqref="B51:J51" name="Plage2_1"/>
    <protectedRange sqref="O5:O20 B5:J20" name="Plage1_1"/>
  </protectedRanges>
  <mergeCells count="9">
    <mergeCell ref="A28:A43"/>
    <mergeCell ref="A50:AK50"/>
    <mergeCell ref="A67:AK67"/>
    <mergeCell ref="A1:AK1"/>
    <mergeCell ref="B3:M3"/>
    <mergeCell ref="O3:AK3"/>
    <mergeCell ref="A5:A20"/>
    <mergeCell ref="B26:M26"/>
    <mergeCell ref="O26:AK26"/>
  </mergeCells>
  <pageMargins left="0.7" right="0.7" top="0.75" bottom="0.75" header="0.3" footer="0.3"/>
  <pageSetup paperSize="9" scale="21" orientation="landscape" r:id="rId1"/>
  <headerFooter>
    <oddHeader>&amp;C&amp;"-,Gras"&amp;14Données brutes et normalisées R1&amp;R&amp;"-,Gras"&amp;14Page : &amp;P/&amp;P</oddHeader>
    <oddFooter>&amp;C&amp;1#&amp;"Arial"&amp;10&amp;K000000Internal</oddFooter>
  </headerFooter>
  <colBreaks count="1" manualBreakCount="1">
    <brk id="14" max="1048575" man="1"/>
  </colBreak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M94"/>
  <sheetViews>
    <sheetView showGridLines="0" topLeftCell="K69" zoomScale="85" zoomScaleNormal="85" workbookViewId="0">
      <selection activeCell="B94" sqref="B94:V94"/>
    </sheetView>
  </sheetViews>
  <sheetFormatPr defaultColWidth="11.42578125" defaultRowHeight="15" x14ac:dyDescent="0.25"/>
  <cols>
    <col min="1" max="1" width="42.85546875" customWidth="1"/>
    <col min="2" max="2" width="14" bestFit="1" customWidth="1"/>
    <col min="3" max="13" width="22.7109375" bestFit="1" customWidth="1"/>
    <col min="14" max="14" width="8.42578125" customWidth="1"/>
    <col min="15" max="15" width="22.7109375" customWidth="1"/>
    <col min="18" max="30" width="29.140625" customWidth="1"/>
    <col min="31" max="36" width="29.140625" style="1" customWidth="1"/>
    <col min="37" max="37" width="29.140625" customWidth="1"/>
  </cols>
  <sheetData>
    <row r="1" spans="1:37" s="1" customFormat="1" ht="21.75" thickBot="1" x14ac:dyDescent="0.3">
      <c r="A1" s="37" t="s">
        <v>8</v>
      </c>
      <c r="B1" s="57" t="e">
        <f>'Page de garde'!#REF!</f>
        <v>#REF!</v>
      </c>
      <c r="C1" s="38"/>
      <c r="D1" s="38"/>
      <c r="E1" s="38"/>
      <c r="F1" s="38"/>
      <c r="G1" s="38"/>
      <c r="H1" s="58"/>
      <c r="I1" s="57"/>
      <c r="J1" s="59"/>
      <c r="K1" s="59"/>
      <c r="L1" s="59"/>
      <c r="M1" s="59"/>
      <c r="N1" s="59"/>
      <c r="O1" s="59"/>
      <c r="P1" s="59"/>
      <c r="Q1" s="59"/>
      <c r="R1" s="59"/>
      <c r="S1" s="59"/>
      <c r="T1" s="59"/>
      <c r="U1" s="59"/>
      <c r="V1" s="59"/>
      <c r="W1" s="59"/>
      <c r="X1" s="59"/>
      <c r="Y1" s="59"/>
      <c r="Z1" s="59"/>
      <c r="AA1" s="59"/>
      <c r="AB1" s="59"/>
      <c r="AC1" s="59"/>
      <c r="AD1" s="59"/>
      <c r="AE1" s="59"/>
      <c r="AF1" s="59"/>
      <c r="AG1" s="59"/>
      <c r="AH1" s="59"/>
      <c r="AI1" s="59"/>
      <c r="AJ1" s="59"/>
      <c r="AK1" s="60"/>
    </row>
    <row r="2" spans="1:37" ht="15.75" thickBot="1" x14ac:dyDescent="0.3">
      <c r="A2" s="1"/>
      <c r="B2" s="1"/>
      <c r="C2" s="1"/>
      <c r="D2" s="1"/>
      <c r="E2" s="1"/>
      <c r="F2" s="1"/>
      <c r="G2" s="1"/>
      <c r="H2" s="1"/>
      <c r="I2" s="1"/>
      <c r="J2" s="1"/>
      <c r="K2" s="1"/>
      <c r="L2" s="1"/>
      <c r="M2" s="1"/>
    </row>
    <row r="3" spans="1:37" s="33" customFormat="1" ht="15.75" thickBot="1" x14ac:dyDescent="0.3">
      <c r="B3" s="231" t="s">
        <v>6</v>
      </c>
      <c r="C3" s="232"/>
      <c r="D3" s="232"/>
      <c r="E3" s="232"/>
      <c r="F3" s="232"/>
      <c r="G3" s="232"/>
      <c r="H3" s="232"/>
      <c r="I3" s="232"/>
      <c r="J3" s="232"/>
      <c r="K3" s="232"/>
      <c r="L3" s="232"/>
      <c r="M3" s="232"/>
      <c r="N3" s="75"/>
      <c r="O3" s="231" t="s">
        <v>3</v>
      </c>
      <c r="P3" s="232"/>
      <c r="Q3" s="232"/>
      <c r="R3" s="232"/>
      <c r="S3" s="232"/>
      <c r="T3" s="232"/>
      <c r="U3" s="232"/>
      <c r="V3" s="232"/>
      <c r="W3" s="232"/>
      <c r="X3" s="232"/>
      <c r="Y3" s="232"/>
      <c r="Z3" s="232"/>
      <c r="AA3" s="232"/>
      <c r="AB3" s="232"/>
      <c r="AC3" s="232"/>
      <c r="AD3" s="232"/>
      <c r="AE3" s="232"/>
      <c r="AF3" s="232"/>
      <c r="AG3" s="232"/>
      <c r="AH3" s="232"/>
      <c r="AI3" s="232"/>
      <c r="AJ3" s="232"/>
      <c r="AK3" s="233"/>
    </row>
    <row r="4" spans="1:37" x14ac:dyDescent="0.25">
      <c r="A4" s="34" t="s">
        <v>41</v>
      </c>
      <c r="B4" s="35" t="str">
        <f>'R1'!B4</f>
        <v>Témoin solvant</v>
      </c>
      <c r="C4" s="35" t="str">
        <f>'R1'!C4</f>
        <v>EE2-33.8ng/L</v>
      </c>
      <c r="D4" s="35" t="str">
        <f>'R1'!D4</f>
        <v>EE2-50.6ng/L</v>
      </c>
      <c r="E4" s="35" t="str">
        <f>'R1'!E4</f>
        <v>EE2-76ng/L</v>
      </c>
      <c r="F4" s="35" t="str">
        <f>'R1'!F4</f>
        <v>EE2-114ng/L</v>
      </c>
      <c r="G4" s="35" t="str">
        <f>'R1'!G4</f>
        <v>EE2-170.9ng/L</v>
      </c>
      <c r="H4" s="35" t="str">
        <f>'R1'!H4</f>
        <v>EE2-488ng/L</v>
      </c>
      <c r="I4" s="35" t="str">
        <f>'R1'!I4</f>
        <v>estradiol 34ng/L</v>
      </c>
      <c r="J4" s="35" t="str">
        <f>'R1'!J4</f>
        <v>estradiol 68ng/L</v>
      </c>
      <c r="K4" s="35" t="str">
        <f>'R1'!K4</f>
        <v>estradiol 135ng/L</v>
      </c>
      <c r="L4" s="35" t="str">
        <f>'R1'!L4</f>
        <v>estradiol 270ng/L</v>
      </c>
      <c r="M4" s="35" t="str">
        <f>'R1'!M4</f>
        <v>estradiol 540ng/L</v>
      </c>
      <c r="O4" s="35" t="str">
        <f>'R1'!O4</f>
        <v>Testo -30µg/L</v>
      </c>
      <c r="P4" s="35" t="str">
        <f>'R1'!P4</f>
        <v>Testo 30µg/L + EE2 -64ng/L</v>
      </c>
      <c r="Q4" s="35" t="str">
        <f>'R1'!Q4</f>
        <v>Testo 30µg/L + FAD-10mg/L</v>
      </c>
      <c r="R4" s="35" t="str">
        <f>'R1'!R4</f>
        <v>estradiol-34ng/L + Testostérone</v>
      </c>
      <c r="S4" s="35" t="str">
        <f>'R1'!S4</f>
        <v>estradiol-68ng/L + Testostérone</v>
      </c>
      <c r="T4" s="35" t="str">
        <f>'R1'!T4</f>
        <v>estradiol-135ng/L + Testostérone</v>
      </c>
      <c r="U4" s="35" t="str">
        <f>'R1'!U4</f>
        <v>estradiol-270ng/L + Testostérone</v>
      </c>
      <c r="V4" s="35" t="str">
        <f>'R1'!V4</f>
        <v>estradiol-540ng/L + Testostérone</v>
      </c>
      <c r="W4" s="35" t="str">
        <f>'R1'!W4</f>
        <v>0-00 + Testostérone</v>
      </c>
      <c r="X4" s="35" t="str">
        <f>'R1'!X4</f>
        <v>0-00 + Testostérone</v>
      </c>
      <c r="Y4" s="35" t="str">
        <f>'R1'!Y4</f>
        <v>0-00 + Testostérone</v>
      </c>
      <c r="Z4" s="35" t="str">
        <f>'R1'!Z4</f>
        <v>0-00 + Testostérone</v>
      </c>
      <c r="AA4" s="35" t="str">
        <f>'R1'!AA4</f>
        <v>0-00 + Testostérone</v>
      </c>
      <c r="AB4" s="35" t="str">
        <f>'R1'!AB4</f>
        <v>0-00 + Testostérone</v>
      </c>
      <c r="AC4" s="35" t="str">
        <f>'R1'!AC4</f>
        <v>0-00 + Testostérone</v>
      </c>
      <c r="AD4" s="35" t="str">
        <f>'R1'!AD4</f>
        <v>0-00 + Testostérone</v>
      </c>
      <c r="AE4" s="35" t="str">
        <f>'R1'!AE4</f>
        <v>0-00 + Testostérone</v>
      </c>
      <c r="AF4" s="35" t="str">
        <f>'R1'!AF4</f>
        <v>0-00 + Testostérone</v>
      </c>
      <c r="AG4" s="35" t="str">
        <f>'R1'!AG4</f>
        <v>0-00 + Testostérone</v>
      </c>
      <c r="AH4" s="35" t="str">
        <f>'R1'!AH4</f>
        <v>0-00 + Testostérone</v>
      </c>
      <c r="AI4" s="35" t="str">
        <f>'R1'!AI4</f>
        <v>0-00 + Testostérone</v>
      </c>
      <c r="AJ4" s="35" t="str">
        <f>'R1'!AJ4</f>
        <v>0-00 + Testostérone</v>
      </c>
      <c r="AK4" s="35" t="str">
        <f>'R1'!AK4</f>
        <v>0-00 + Testostérone</v>
      </c>
    </row>
    <row r="5" spans="1:37" s="1" customFormat="1" x14ac:dyDescent="0.25">
      <c r="A5" s="34"/>
      <c r="B5" s="35"/>
      <c r="C5" s="200" t="s">
        <v>165</v>
      </c>
      <c r="D5" s="35"/>
      <c r="E5" s="35"/>
      <c r="F5" s="35"/>
      <c r="G5" s="35"/>
      <c r="H5" s="35"/>
      <c r="I5" s="35"/>
      <c r="J5" s="35"/>
      <c r="K5" s="35"/>
      <c r="L5" s="35"/>
      <c r="M5" s="35"/>
      <c r="O5" s="35"/>
      <c r="P5" s="35"/>
      <c r="Q5" s="35"/>
      <c r="R5" s="35"/>
      <c r="S5" s="35"/>
      <c r="T5" s="35"/>
      <c r="U5" s="35"/>
      <c r="V5" s="35"/>
      <c r="W5" s="35"/>
      <c r="X5" s="35"/>
      <c r="Y5" s="35"/>
      <c r="Z5" s="35"/>
      <c r="AA5" s="35"/>
      <c r="AB5" s="35"/>
      <c r="AC5" s="35"/>
      <c r="AD5" s="35"/>
      <c r="AE5" s="35"/>
      <c r="AF5" s="35"/>
      <c r="AG5" s="35"/>
      <c r="AH5" s="35"/>
      <c r="AI5" s="35"/>
      <c r="AJ5" s="35"/>
      <c r="AK5" s="35"/>
    </row>
    <row r="6" spans="1:37" s="1" customFormat="1" x14ac:dyDescent="0.25">
      <c r="A6" s="74" t="s">
        <v>4</v>
      </c>
      <c r="B6" s="55">
        <f>'R1'!B28</f>
        <v>0.28883449711217046</v>
      </c>
      <c r="C6" s="55">
        <f>'R1'!C28</f>
        <v>0.34313222944839611</v>
      </c>
      <c r="D6" s="55">
        <f>'R1'!D28</f>
        <v>0.20867401586296927</v>
      </c>
      <c r="E6" s="55">
        <f>'R1'!E28</f>
        <v>0.79232806662530919</v>
      </c>
      <c r="F6" s="55">
        <f>'R1'!F28</f>
        <v>3.9109972293801056</v>
      </c>
      <c r="G6" s="55">
        <f>'R1'!G28</f>
        <v>4.2083867233606442</v>
      </c>
      <c r="H6" s="55">
        <f>'R1'!H28</f>
        <v>5.7100040972523658</v>
      </c>
      <c r="I6" s="55">
        <f>'R1'!I28</f>
        <v>0.37630974157271629</v>
      </c>
      <c r="J6" s="55">
        <f>'R1'!J28</f>
        <v>0.18564870865736777</v>
      </c>
      <c r="K6" s="55">
        <f>'R1'!K28</f>
        <v>0.73096471901549831</v>
      </c>
      <c r="L6" s="55">
        <f>'R1'!L28</f>
        <v>3.62714431451518</v>
      </c>
      <c r="M6" s="55">
        <f>'R1'!M28</f>
        <v>4.74351978678932</v>
      </c>
      <c r="N6"/>
      <c r="O6" s="55">
        <f>'R1'!O28</f>
        <v>2.3276597907392858</v>
      </c>
      <c r="P6" s="55">
        <f>'R1'!P28</f>
        <v>7.0241167709430057</v>
      </c>
      <c r="Q6" s="55">
        <f>'R1'!Q28</f>
        <v>6.9075003944842353E-2</v>
      </c>
      <c r="R6" s="55">
        <f>'R1'!R28</f>
        <v>4.857870431173219</v>
      </c>
      <c r="S6" s="55">
        <f>'R1'!S28</f>
        <v>3.9896192335845422</v>
      </c>
      <c r="T6" s="55">
        <f>'R1'!T28</f>
        <v>5.0371780265712216</v>
      </c>
      <c r="U6" s="55">
        <f>'R1'!U28</f>
        <v>6.465800101895236</v>
      </c>
      <c r="V6" s="55">
        <f>'R1'!V28</f>
        <v>8.4643418905581047</v>
      </c>
      <c r="W6" s="55" t="str">
        <f>'R1'!W28</f>
        <v/>
      </c>
      <c r="X6" s="55" t="str">
        <f>'R1'!X28</f>
        <v/>
      </c>
      <c r="Y6" s="55" t="str">
        <f>'R1'!Y28</f>
        <v/>
      </c>
      <c r="Z6" s="55" t="str">
        <f>'R1'!Z28</f>
        <v/>
      </c>
      <c r="AA6" s="55" t="str">
        <f>'R1'!AA28</f>
        <v/>
      </c>
      <c r="AB6" s="55" t="str">
        <f>'R1'!AB28</f>
        <v/>
      </c>
      <c r="AC6" s="55" t="str">
        <f>'R1'!AC28</f>
        <v/>
      </c>
      <c r="AD6" s="55" t="str">
        <f>'R1'!AD28</f>
        <v/>
      </c>
      <c r="AE6" s="55" t="str">
        <f>'R1'!AE28</f>
        <v/>
      </c>
      <c r="AF6" s="55" t="str">
        <f>'R1'!AF28</f>
        <v/>
      </c>
      <c r="AG6" s="55" t="str">
        <f>'R1'!AG28</f>
        <v/>
      </c>
      <c r="AH6" s="55" t="str">
        <f>'R1'!AH28</f>
        <v/>
      </c>
      <c r="AI6" s="55" t="str">
        <f>'R1'!AI28</f>
        <v/>
      </c>
      <c r="AJ6" s="55" t="str">
        <f>'R1'!AJ28</f>
        <v/>
      </c>
      <c r="AK6" s="55" t="str">
        <f>'R1'!AK28</f>
        <v/>
      </c>
    </row>
    <row r="7" spans="1:37" s="1" customFormat="1" x14ac:dyDescent="0.25">
      <c r="A7" s="236" t="s">
        <v>34</v>
      </c>
      <c r="B7" s="55">
        <f>'R1'!B29</f>
        <v>0.29836268509653779</v>
      </c>
      <c r="C7" s="55">
        <f>'R1'!C29</f>
        <v>5.3731987571479185E-2</v>
      </c>
      <c r="D7" s="55">
        <f>'R1'!D29</f>
        <v>0.13499413401139909</v>
      </c>
      <c r="E7" s="55">
        <f>'R1'!E29</f>
        <v>2.5293367873078503</v>
      </c>
      <c r="F7" s="55">
        <f>'R1'!F29</f>
        <v>2.2373360925078187</v>
      </c>
      <c r="G7" s="55">
        <f>'R1'!G29</f>
        <v>0.63045899152653828</v>
      </c>
      <c r="H7" s="55">
        <f>'R1'!H29</f>
        <v>5.1668225918785016</v>
      </c>
      <c r="I7" s="55">
        <f>'R1'!I29</f>
        <v>0.16804317206099989</v>
      </c>
      <c r="J7" s="55">
        <f>'R1'!J29</f>
        <v>0.22991261575800903</v>
      </c>
      <c r="K7" s="55">
        <f>'R1'!K29</f>
        <v>3.4649861727482905</v>
      </c>
      <c r="L7" s="55">
        <f>'R1'!L29</f>
        <v>2.8001791785095418</v>
      </c>
      <c r="M7" s="55">
        <f>'R1'!M29</f>
        <v>5.6392520477964547</v>
      </c>
      <c r="N7"/>
      <c r="O7" s="55">
        <f>'R1'!O29</f>
        <v>9.9692211294397551E-2</v>
      </c>
      <c r="P7" s="55">
        <f>'R1'!P29</f>
        <v>5.6731141432046366</v>
      </c>
      <c r="Q7" s="55">
        <f>'R1'!Q29</f>
        <v>0.183157688115755</v>
      </c>
      <c r="R7" s="55">
        <f>'R1'!R29</f>
        <v>3.9592892575591807</v>
      </c>
      <c r="S7" s="55">
        <f>'R1'!S29</f>
        <v>2.3757935205048675</v>
      </c>
      <c r="T7" s="55">
        <f>'R1'!T29</f>
        <v>1.0035527517074396</v>
      </c>
      <c r="U7" s="55">
        <f>'R1'!U29</f>
        <v>4.4021242515295409</v>
      </c>
      <c r="V7" s="55">
        <f>'R1'!V29</f>
        <v>6.96749778737819</v>
      </c>
      <c r="W7" s="55" t="str">
        <f>'R1'!W29</f>
        <v/>
      </c>
      <c r="X7" s="55" t="str">
        <f>'R1'!X29</f>
        <v/>
      </c>
      <c r="Y7" s="55" t="str">
        <f>'R1'!Y29</f>
        <v/>
      </c>
      <c r="Z7" s="55" t="str">
        <f>'R1'!Z29</f>
        <v/>
      </c>
      <c r="AA7" s="55" t="str">
        <f>'R1'!AA29</f>
        <v/>
      </c>
      <c r="AB7" s="55" t="str">
        <f>'R1'!AB29</f>
        <v/>
      </c>
      <c r="AC7" s="55" t="str">
        <f>'R1'!AC29</f>
        <v/>
      </c>
      <c r="AD7" s="55" t="str">
        <f>'R1'!AD29</f>
        <v/>
      </c>
      <c r="AE7" s="55" t="str">
        <f>'R1'!AE29</f>
        <v/>
      </c>
      <c r="AF7" s="55" t="str">
        <f>'R1'!AF29</f>
        <v/>
      </c>
      <c r="AG7" s="55" t="str">
        <f>'R1'!AG29</f>
        <v/>
      </c>
      <c r="AH7" s="55" t="str">
        <f>'R1'!AH29</f>
        <v/>
      </c>
      <c r="AI7" s="55" t="str">
        <f>'R1'!AI29</f>
        <v/>
      </c>
      <c r="AJ7" s="55" t="str">
        <f>'R1'!AJ29</f>
        <v/>
      </c>
      <c r="AK7" s="55" t="str">
        <f>'R1'!AK29</f>
        <v/>
      </c>
    </row>
    <row r="8" spans="1:37" s="1" customFormat="1" x14ac:dyDescent="0.25">
      <c r="A8" s="237"/>
      <c r="B8" s="55">
        <f>'R1'!B30</f>
        <v>0.57688576120453372</v>
      </c>
      <c r="C8" s="55">
        <f>'R1'!C30</f>
        <v>0.2181521907253923</v>
      </c>
      <c r="D8" s="55">
        <f>'R1'!D30</f>
        <v>0.27663771906148893</v>
      </c>
      <c r="E8" s="55">
        <f>'R1'!E30</f>
        <v>0.38998626566257655</v>
      </c>
      <c r="F8" s="55">
        <f>'R1'!F30</f>
        <v>3.9713281960323501</v>
      </c>
      <c r="G8" s="55">
        <f>'R1'!G30</f>
        <v>4.3719881337062114</v>
      </c>
      <c r="H8" s="55">
        <f>'R1'!H30</f>
        <v>7.1525711157152063</v>
      </c>
      <c r="I8" s="55">
        <f>'R1'!I30</f>
        <v>0.33082578959822195</v>
      </c>
      <c r="J8" s="55">
        <f>'R1'!J30</f>
        <v>0.42305503365936631</v>
      </c>
      <c r="K8" s="55">
        <f>'R1'!K30</f>
        <v>2.7790594171336176</v>
      </c>
      <c r="L8" s="55">
        <f>'R1'!L30</f>
        <v>3.2804189404984707</v>
      </c>
      <c r="M8" s="55">
        <f>'R1'!M30</f>
        <v>6.2066697285301506</v>
      </c>
      <c r="N8"/>
      <c r="O8" s="55">
        <f>'R1'!O30</f>
        <v>2.0381898057932353</v>
      </c>
      <c r="P8" s="55">
        <f>'R1'!P30</f>
        <v>5.4581687571514363</v>
      </c>
      <c r="Q8" s="55">
        <f>'R1'!Q30</f>
        <v>0.12077687171776459</v>
      </c>
      <c r="R8" s="55">
        <f>'R1'!R30</f>
        <v>1.2376242567985076</v>
      </c>
      <c r="S8" s="55">
        <f>'R1'!S30</f>
        <v>2.8536321938044873</v>
      </c>
      <c r="T8" s="55">
        <f>'R1'!T30</f>
        <v>2.6889146649347953</v>
      </c>
      <c r="U8" s="55">
        <f>'R1'!U30</f>
        <v>3.8083464436793135</v>
      </c>
      <c r="V8" s="55">
        <f>'R1'!V30</f>
        <v>1.6888747614989688</v>
      </c>
      <c r="W8" s="55" t="str">
        <f>'R1'!W30</f>
        <v/>
      </c>
      <c r="X8" s="55" t="str">
        <f>'R1'!X30</f>
        <v/>
      </c>
      <c r="Y8" s="55" t="str">
        <f>'R1'!Y30</f>
        <v/>
      </c>
      <c r="Z8" s="55" t="str">
        <f>'R1'!Z30</f>
        <v/>
      </c>
      <c r="AA8" s="55" t="str">
        <f>'R1'!AA30</f>
        <v/>
      </c>
      <c r="AB8" s="55" t="str">
        <f>'R1'!AB30</f>
        <v/>
      </c>
      <c r="AC8" s="55" t="str">
        <f>'R1'!AC30</f>
        <v/>
      </c>
      <c r="AD8" s="55" t="str">
        <f>'R1'!AD30</f>
        <v/>
      </c>
      <c r="AE8" s="55" t="str">
        <f>'R1'!AE30</f>
        <v/>
      </c>
      <c r="AF8" s="55" t="str">
        <f>'R1'!AF30</f>
        <v/>
      </c>
      <c r="AG8" s="55" t="str">
        <f>'R1'!AG30</f>
        <v/>
      </c>
      <c r="AH8" s="55" t="str">
        <f>'R1'!AH30</f>
        <v/>
      </c>
      <c r="AI8" s="55" t="str">
        <f>'R1'!AI30</f>
        <v/>
      </c>
      <c r="AJ8" s="55" t="str">
        <f>'R1'!AJ30</f>
        <v/>
      </c>
      <c r="AK8" s="55" t="str">
        <f>'R1'!AK30</f>
        <v/>
      </c>
    </row>
    <row r="9" spans="1:37" s="1" customFormat="1" x14ac:dyDescent="0.25">
      <c r="A9" s="237"/>
      <c r="B9" s="55">
        <f>'R1'!B31</f>
        <v>0.2941051460275334</v>
      </c>
      <c r="C9" s="55">
        <f>'R1'!C31</f>
        <v>0.23521217134018388</v>
      </c>
      <c r="D9" s="55">
        <f>'R1'!D31</f>
        <v>0.27045444537963714</v>
      </c>
      <c r="E9" s="55">
        <f>'R1'!E31</f>
        <v>3.7062026717376813</v>
      </c>
      <c r="F9" s="55">
        <f>'R1'!F31</f>
        <v>3.074364878087815</v>
      </c>
      <c r="G9" s="55">
        <f>'R1'!G31</f>
        <v>5.3896888634741336</v>
      </c>
      <c r="H9" s="55">
        <f>'R1'!H31</f>
        <v>5.8743651105647112</v>
      </c>
      <c r="I9" s="55">
        <f>'R1'!I31</f>
        <v>0.33728665904866384</v>
      </c>
      <c r="J9" s="55">
        <f>'R1'!J31</f>
        <v>0.3833368146238858</v>
      </c>
      <c r="K9" s="55">
        <f>'R1'!K31</f>
        <v>3.5820269724896168</v>
      </c>
      <c r="L9" s="55">
        <f>'R1'!L31</f>
        <v>0.34420407030034073</v>
      </c>
      <c r="M9" s="55">
        <f>'R1'!M31</f>
        <v>5.5253675807693945</v>
      </c>
      <c r="N9"/>
      <c r="O9" s="55">
        <f>'R1'!O31</f>
        <v>1.458704050501568</v>
      </c>
      <c r="P9" s="55">
        <f>'R1'!P31</f>
        <v>4.8032161832796465</v>
      </c>
      <c r="Q9" s="55">
        <f>'R1'!Q31</f>
        <v>7.5734549375118157E-2</v>
      </c>
      <c r="R9" s="55" t="str">
        <f>'R1'!R31</f>
        <v/>
      </c>
      <c r="S9" s="55">
        <f>'R1'!S31</f>
        <v>1.2676309828751553</v>
      </c>
      <c r="T9" s="55">
        <f>'R1'!T31</f>
        <v>5.0038018384670675</v>
      </c>
      <c r="U9" s="55">
        <f>'R1'!U31</f>
        <v>6.5134479243567895</v>
      </c>
      <c r="V9" s="55">
        <f>'R1'!V31</f>
        <v>4.0591705092778083</v>
      </c>
      <c r="W9" s="55" t="str">
        <f>'R1'!W31</f>
        <v/>
      </c>
      <c r="X9" s="55" t="str">
        <f>'R1'!X31</f>
        <v/>
      </c>
      <c r="Y9" s="55" t="str">
        <f>'R1'!Y31</f>
        <v/>
      </c>
      <c r="Z9" s="55" t="str">
        <f>'R1'!Z31</f>
        <v/>
      </c>
      <c r="AA9" s="55" t="str">
        <f>'R1'!AA31</f>
        <v/>
      </c>
      <c r="AB9" s="55" t="str">
        <f>'R1'!AB31</f>
        <v/>
      </c>
      <c r="AC9" s="55" t="str">
        <f>'R1'!AC31</f>
        <v/>
      </c>
      <c r="AD9" s="55" t="str">
        <f>'R1'!AD31</f>
        <v/>
      </c>
      <c r="AE9" s="55" t="str">
        <f>'R1'!AE31</f>
        <v/>
      </c>
      <c r="AF9" s="55" t="str">
        <f>'R1'!AF31</f>
        <v/>
      </c>
      <c r="AG9" s="55" t="str">
        <f>'R1'!AG31</f>
        <v/>
      </c>
      <c r="AH9" s="55" t="str">
        <f>'R1'!AH31</f>
        <v/>
      </c>
      <c r="AI9" s="55" t="str">
        <f>'R1'!AI31</f>
        <v/>
      </c>
      <c r="AJ9" s="55" t="str">
        <f>'R1'!AJ31</f>
        <v/>
      </c>
      <c r="AK9" s="55" t="str">
        <f>'R1'!AK31</f>
        <v/>
      </c>
    </row>
    <row r="10" spans="1:37" s="1" customFormat="1" x14ac:dyDescent="0.25">
      <c r="A10" s="237"/>
      <c r="B10" s="55">
        <f>'R1'!B32</f>
        <v>0.40893206215985622</v>
      </c>
      <c r="C10" s="55" t="str">
        <f>'R1'!C32</f>
        <v/>
      </c>
      <c r="D10" s="55">
        <f>'R1'!D32</f>
        <v>0.16897598561065891</v>
      </c>
      <c r="E10" s="55">
        <f>'R1'!E32</f>
        <v>0.29884859240056577</v>
      </c>
      <c r="F10" s="55">
        <f>'R1'!F32</f>
        <v>4.1561932128339292</v>
      </c>
      <c r="G10" s="55">
        <f>'R1'!G32</f>
        <v>6.4298732445719207</v>
      </c>
      <c r="H10" s="55">
        <f>'R1'!H32</f>
        <v>5.8144507669833434</v>
      </c>
      <c r="I10" s="55">
        <f>'R1'!I32</f>
        <v>0.24426362874014604</v>
      </c>
      <c r="J10" s="55">
        <f>'R1'!J32</f>
        <v>0.36667326829679975</v>
      </c>
      <c r="K10" s="55">
        <f>'R1'!K32</f>
        <v>0.12420598242281947</v>
      </c>
      <c r="L10" s="55">
        <f>'R1'!L32</f>
        <v>4.1404331145537103</v>
      </c>
      <c r="M10" s="55">
        <f>'R1'!M32</f>
        <v>5.4370090770451531</v>
      </c>
      <c r="N10"/>
      <c r="O10" s="55">
        <f>'R1'!O32</f>
        <v>0.46433100085081952</v>
      </c>
      <c r="P10" s="55">
        <f>'R1'!P32</f>
        <v>2.5820269877841495</v>
      </c>
      <c r="Q10" s="55">
        <f>'R1'!Q32</f>
        <v>0.38222459620560079</v>
      </c>
      <c r="R10" s="55">
        <f>'R1'!R32</f>
        <v>5.6232643668695882E-2</v>
      </c>
      <c r="S10" s="55">
        <f>'R1'!S32</f>
        <v>4.2334162261318689</v>
      </c>
      <c r="T10" s="55">
        <f>'R1'!T32</f>
        <v>3.8116817224262252</v>
      </c>
      <c r="U10" s="55">
        <f>'R1'!U32</f>
        <v>5.5777794972231316</v>
      </c>
      <c r="V10" s="55">
        <f>'R1'!V32</f>
        <v>5.4465069818547649</v>
      </c>
      <c r="W10" s="55" t="str">
        <f>'R1'!W32</f>
        <v/>
      </c>
      <c r="X10" s="55" t="str">
        <f>'R1'!X32</f>
        <v/>
      </c>
      <c r="Y10" s="55" t="str">
        <f>'R1'!Y32</f>
        <v/>
      </c>
      <c r="Z10" s="55" t="str">
        <f>'R1'!Z32</f>
        <v/>
      </c>
      <c r="AA10" s="55" t="str">
        <f>'R1'!AA32</f>
        <v/>
      </c>
      <c r="AB10" s="55" t="str">
        <f>'R1'!AB32</f>
        <v/>
      </c>
      <c r="AC10" s="55" t="str">
        <f>'R1'!AC32</f>
        <v/>
      </c>
      <c r="AD10" s="55" t="str">
        <f>'R1'!AD32</f>
        <v/>
      </c>
      <c r="AE10" s="55" t="str">
        <f>'R1'!AE32</f>
        <v/>
      </c>
      <c r="AF10" s="55" t="str">
        <f>'R1'!AF32</f>
        <v/>
      </c>
      <c r="AG10" s="55" t="str">
        <f>'R1'!AG32</f>
        <v/>
      </c>
      <c r="AH10" s="55" t="str">
        <f>'R1'!AH32</f>
        <v/>
      </c>
      <c r="AI10" s="55" t="str">
        <f>'R1'!AI32</f>
        <v/>
      </c>
      <c r="AJ10" s="55" t="str">
        <f>'R1'!AJ32</f>
        <v/>
      </c>
      <c r="AK10" s="55" t="str">
        <f>'R1'!AK32</f>
        <v/>
      </c>
    </row>
    <row r="11" spans="1:37" s="1" customFormat="1" x14ac:dyDescent="0.25">
      <c r="A11" s="237"/>
      <c r="B11" s="55">
        <f>'R1'!B33</f>
        <v>0.17214195388052958</v>
      </c>
      <c r="C11" s="55">
        <f>'R1'!C33</f>
        <v>0.7546447851661876</v>
      </c>
      <c r="D11" s="55">
        <f>'R1'!D33</f>
        <v>0.17650869591304544</v>
      </c>
      <c r="E11" s="55">
        <f>'R1'!E33</f>
        <v>0.17790768681954336</v>
      </c>
      <c r="F11" s="55">
        <f>'R1'!F33</f>
        <v>2.0239778201133838</v>
      </c>
      <c r="G11" s="55">
        <f>'R1'!G33</f>
        <v>4.157393986596575</v>
      </c>
      <c r="H11" s="55">
        <f>'R1'!H33</f>
        <v>5.5408799076197992</v>
      </c>
      <c r="I11" s="55">
        <f>'R1'!I33</f>
        <v>8.4577236403661327E-2</v>
      </c>
      <c r="J11" s="55">
        <f>'R1'!J33</f>
        <v>0.27911864521151658</v>
      </c>
      <c r="K11" s="55">
        <f>'R1'!K33</f>
        <v>0.87926303171806186</v>
      </c>
      <c r="L11" s="55">
        <f>'R1'!L33</f>
        <v>0.20139963021796498</v>
      </c>
      <c r="M11" s="55">
        <f>'R1'!M33</f>
        <v>7.0327516052720922</v>
      </c>
      <c r="N11"/>
      <c r="O11" s="55">
        <f>'R1'!O33</f>
        <v>2.8204840471829602</v>
      </c>
      <c r="P11" s="55">
        <f>'R1'!P33</f>
        <v>4.1185493912691866</v>
      </c>
      <c r="Q11" s="55">
        <f>'R1'!Q33</f>
        <v>4.422398837028204E-2</v>
      </c>
      <c r="R11" s="55">
        <f>'R1'!R33</f>
        <v>0.10003955013212104</v>
      </c>
      <c r="S11" s="55">
        <f>'R1'!S33</f>
        <v>3.1586645187228863</v>
      </c>
      <c r="T11" s="55">
        <f>'R1'!T33</f>
        <v>3.7530571667878423</v>
      </c>
      <c r="U11" s="55">
        <f>'R1'!U33</f>
        <v>5.8206831361151776</v>
      </c>
      <c r="V11" s="55">
        <f>'R1'!V33</f>
        <v>7.0301860238835445</v>
      </c>
      <c r="W11" s="55" t="str">
        <f>'R1'!W33</f>
        <v/>
      </c>
      <c r="X11" s="55" t="str">
        <f>'R1'!X33</f>
        <v/>
      </c>
      <c r="Y11" s="55" t="str">
        <f>'R1'!Y33</f>
        <v/>
      </c>
      <c r="Z11" s="55" t="str">
        <f>'R1'!Z33</f>
        <v/>
      </c>
      <c r="AA11" s="55" t="str">
        <f>'R1'!AA33</f>
        <v/>
      </c>
      <c r="AB11" s="55" t="str">
        <f>'R1'!AB33</f>
        <v/>
      </c>
      <c r="AC11" s="55" t="str">
        <f>'R1'!AC33</f>
        <v/>
      </c>
      <c r="AD11" s="55" t="str">
        <f>'R1'!AD33</f>
        <v/>
      </c>
      <c r="AE11" s="55" t="str">
        <f>'R1'!AE33</f>
        <v/>
      </c>
      <c r="AF11" s="55" t="str">
        <f>'R1'!AF33</f>
        <v/>
      </c>
      <c r="AG11" s="55" t="str">
        <f>'R1'!AG33</f>
        <v/>
      </c>
      <c r="AH11" s="55" t="str">
        <f>'R1'!AH33</f>
        <v/>
      </c>
      <c r="AI11" s="55" t="str">
        <f>'R1'!AI33</f>
        <v/>
      </c>
      <c r="AJ11" s="55" t="str">
        <f>'R1'!AJ33</f>
        <v/>
      </c>
      <c r="AK11" s="55" t="str">
        <f>'R1'!AK33</f>
        <v/>
      </c>
    </row>
    <row r="12" spans="1:37" s="1" customFormat="1" x14ac:dyDescent="0.25">
      <c r="A12" s="237"/>
      <c r="B12" s="55">
        <f>'R1'!B34</f>
        <v>0.14327153511117693</v>
      </c>
      <c r="C12" s="55">
        <f>'R1'!C34</f>
        <v>0.25444657566960116</v>
      </c>
      <c r="D12" s="55">
        <f>'R1'!D34</f>
        <v>0.91745722704218369</v>
      </c>
      <c r="E12" s="55">
        <f>'R1'!E34</f>
        <v>1.7004172394405435</v>
      </c>
      <c r="F12" s="55">
        <f>'R1'!F34</f>
        <v>3.7501990774613172</v>
      </c>
      <c r="G12" s="55" t="str">
        <f>'R1'!G34</f>
        <v/>
      </c>
      <c r="H12" s="55">
        <f>'R1'!H34</f>
        <v>7.192884445018227</v>
      </c>
      <c r="I12" s="55">
        <f>'R1'!I34</f>
        <v>0.39143481085503762</v>
      </c>
      <c r="J12" s="55">
        <f>'R1'!J34</f>
        <v>0.18007132788861224</v>
      </c>
      <c r="K12" s="55">
        <f>'R1'!K34</f>
        <v>1.2799624292863014</v>
      </c>
      <c r="L12" s="55">
        <f>'R1'!L34</f>
        <v>1.9720527286356369</v>
      </c>
      <c r="M12" s="55">
        <f>'R1'!M34</f>
        <v>4.4120589681931985</v>
      </c>
      <c r="N12"/>
      <c r="O12" s="55">
        <f>'R1'!O34</f>
        <v>3.4170433187508627E-2</v>
      </c>
      <c r="P12" s="55">
        <f>'R1'!P34</f>
        <v>5.0502383339384105</v>
      </c>
      <c r="Q12" s="55">
        <f>'R1'!Q34</f>
        <v>0.11727847677955749</v>
      </c>
      <c r="R12" s="55">
        <f>'R1'!R34</f>
        <v>1.510688561238873</v>
      </c>
      <c r="S12" s="55">
        <f>'R1'!S34</f>
        <v>5.3418818249271238</v>
      </c>
      <c r="T12" s="55">
        <f>'R1'!T34</f>
        <v>3.7658297839948558</v>
      </c>
      <c r="U12" s="55">
        <f>'R1'!U34</f>
        <v>4.5962884971608986</v>
      </c>
      <c r="V12" s="55">
        <f>'R1'!V34</f>
        <v>3.7745834568430578</v>
      </c>
      <c r="W12" s="55" t="str">
        <f>'R1'!W34</f>
        <v/>
      </c>
      <c r="X12" s="55" t="str">
        <f>'R1'!X34</f>
        <v/>
      </c>
      <c r="Y12" s="55" t="str">
        <f>'R1'!Y34</f>
        <v/>
      </c>
      <c r="Z12" s="55" t="str">
        <f>'R1'!Z34</f>
        <v/>
      </c>
      <c r="AA12" s="55" t="str">
        <f>'R1'!AA34</f>
        <v/>
      </c>
      <c r="AB12" s="55" t="str">
        <f>'R1'!AB34</f>
        <v/>
      </c>
      <c r="AC12" s="55" t="str">
        <f>'R1'!AC34</f>
        <v/>
      </c>
      <c r="AD12" s="55" t="str">
        <f>'R1'!AD34</f>
        <v/>
      </c>
      <c r="AE12" s="55" t="str">
        <f>'R1'!AE34</f>
        <v/>
      </c>
      <c r="AF12" s="55" t="str">
        <f>'R1'!AF34</f>
        <v/>
      </c>
      <c r="AG12" s="55" t="str">
        <f>'R1'!AG34</f>
        <v/>
      </c>
      <c r="AH12" s="55" t="str">
        <f>'R1'!AH34</f>
        <v/>
      </c>
      <c r="AI12" s="55" t="str">
        <f>'R1'!AI34</f>
        <v/>
      </c>
      <c r="AJ12" s="55" t="str">
        <f>'R1'!AJ34</f>
        <v/>
      </c>
      <c r="AK12" s="55" t="str">
        <f>'R1'!AK34</f>
        <v/>
      </c>
    </row>
    <row r="13" spans="1:37" s="1" customFormat="1" x14ac:dyDescent="0.25">
      <c r="A13" s="237"/>
      <c r="B13" s="55">
        <f>'R1'!B35</f>
        <v>0.11436073877548392</v>
      </c>
      <c r="C13" s="55">
        <f>'R1'!C35</f>
        <v>9.2665597079209197E-2</v>
      </c>
      <c r="D13" s="55">
        <f>'R1'!D35</f>
        <v>0.21267368911057261</v>
      </c>
      <c r="E13" s="55">
        <f>'R1'!E35</f>
        <v>3.1219929706021796</v>
      </c>
      <c r="F13" s="55">
        <f>'R1'!F35</f>
        <v>3.656233139211555</v>
      </c>
      <c r="G13" s="55">
        <f>'R1'!G35</f>
        <v>2.0104013222674126</v>
      </c>
      <c r="H13" s="55">
        <f>'R1'!H35</f>
        <v>5.385322121441618</v>
      </c>
      <c r="I13" s="55">
        <f>'R1'!I35</f>
        <v>0.23983723803008192</v>
      </c>
      <c r="J13" s="55">
        <f>'R1'!J35</f>
        <v>0.31438019036217774</v>
      </c>
      <c r="K13" s="55">
        <f>'R1'!K35</f>
        <v>0.32495085369569671</v>
      </c>
      <c r="L13" s="55">
        <f>'R1'!L35</f>
        <v>0.44077023205522681</v>
      </c>
      <c r="M13" s="55">
        <f>'R1'!M35</f>
        <v>4.5463882488679248</v>
      </c>
      <c r="N13"/>
      <c r="O13" s="55">
        <f>'R1'!O35</f>
        <v>0.66722918938318998</v>
      </c>
      <c r="P13" s="55">
        <f>'R1'!P35</f>
        <v>4.6462786773061753</v>
      </c>
      <c r="Q13" s="55">
        <f>'R1'!Q35</f>
        <v>0.27217140962106556</v>
      </c>
      <c r="R13" s="55">
        <f>'R1'!R35</f>
        <v>3.0902048138287532</v>
      </c>
      <c r="S13" s="55">
        <f>'R1'!S35</f>
        <v>2.9609273173063859</v>
      </c>
      <c r="T13" s="55">
        <f>'R1'!T35</f>
        <v>2.0513102206739533</v>
      </c>
      <c r="U13" s="55">
        <f>'R1'!U35</f>
        <v>1.7979754045866558</v>
      </c>
      <c r="V13" s="55">
        <f>'R1'!V35</f>
        <v>4.6972214009483002</v>
      </c>
      <c r="W13" s="55" t="str">
        <f>'R1'!W35</f>
        <v/>
      </c>
      <c r="X13" s="55" t="str">
        <f>'R1'!X35</f>
        <v/>
      </c>
      <c r="Y13" s="55" t="str">
        <f>'R1'!Y35</f>
        <v/>
      </c>
      <c r="Z13" s="55" t="str">
        <f>'R1'!Z35</f>
        <v/>
      </c>
      <c r="AA13" s="55" t="str">
        <f>'R1'!AA35</f>
        <v/>
      </c>
      <c r="AB13" s="55" t="str">
        <f>'R1'!AB35</f>
        <v/>
      </c>
      <c r="AC13" s="55" t="str">
        <f>'R1'!AC35</f>
        <v/>
      </c>
      <c r="AD13" s="55" t="str">
        <f>'R1'!AD35</f>
        <v/>
      </c>
      <c r="AE13" s="55" t="str">
        <f>'R1'!AE35</f>
        <v/>
      </c>
      <c r="AF13" s="55" t="str">
        <f>'R1'!AF35</f>
        <v/>
      </c>
      <c r="AG13" s="55" t="str">
        <f>'R1'!AG35</f>
        <v/>
      </c>
      <c r="AH13" s="55" t="str">
        <f>'R1'!AH35</f>
        <v/>
      </c>
      <c r="AI13" s="55" t="str">
        <f>'R1'!AI35</f>
        <v/>
      </c>
      <c r="AJ13" s="55" t="str">
        <f>'R1'!AJ35</f>
        <v/>
      </c>
      <c r="AK13" s="55" t="str">
        <f>'R1'!AK35</f>
        <v/>
      </c>
    </row>
    <row r="14" spans="1:37" s="1" customFormat="1" x14ac:dyDescent="0.25">
      <c r="A14" s="237"/>
      <c r="B14" s="55" t="str">
        <f>'R1'!B36</f>
        <v/>
      </c>
      <c r="C14" s="55" t="str">
        <f>'R1'!C36</f>
        <v/>
      </c>
      <c r="D14" s="55" t="str">
        <f>'R1'!D36</f>
        <v/>
      </c>
      <c r="E14" s="55" t="str">
        <f>'R1'!E36</f>
        <v/>
      </c>
      <c r="F14" s="55" t="str">
        <f>'R1'!F36</f>
        <v/>
      </c>
      <c r="G14" s="55" t="str">
        <f>'R1'!G36</f>
        <v/>
      </c>
      <c r="H14" s="55" t="str">
        <f>'R1'!H36</f>
        <v/>
      </c>
      <c r="I14" s="55" t="str">
        <f>'R1'!I36</f>
        <v/>
      </c>
      <c r="J14" s="55" t="str">
        <f>'R1'!J36</f>
        <v/>
      </c>
      <c r="K14" s="55" t="str">
        <f>'R1'!K36</f>
        <v/>
      </c>
      <c r="L14" s="55" t="str">
        <f>'R1'!L36</f>
        <v/>
      </c>
      <c r="M14" s="55" t="str">
        <f>'R1'!M36</f>
        <v/>
      </c>
      <c r="N14"/>
      <c r="O14" s="55">
        <f>'R1'!O36</f>
        <v>9.591094397381722E-2</v>
      </c>
      <c r="P14" s="55" t="str">
        <f>'R1'!P36</f>
        <v/>
      </c>
      <c r="Q14" s="55" t="str">
        <f>'R1'!Q36</f>
        <v/>
      </c>
      <c r="R14" s="55" t="str">
        <f>'R1'!R36</f>
        <v/>
      </c>
      <c r="S14" s="55" t="str">
        <f>'R1'!S36</f>
        <v/>
      </c>
      <c r="T14" s="55" t="str">
        <f>'R1'!T36</f>
        <v/>
      </c>
      <c r="U14" s="55" t="str">
        <f>'R1'!U36</f>
        <v/>
      </c>
      <c r="V14" s="55" t="str">
        <f>'R1'!V36</f>
        <v/>
      </c>
      <c r="W14" s="55" t="str">
        <f>'R1'!W36</f>
        <v/>
      </c>
      <c r="X14" s="55" t="str">
        <f>'R1'!X36</f>
        <v/>
      </c>
      <c r="Y14" s="55" t="str">
        <f>'R1'!Y36</f>
        <v/>
      </c>
      <c r="Z14" s="55" t="str">
        <f>'R1'!Z36</f>
        <v/>
      </c>
      <c r="AA14" s="55" t="str">
        <f>'R1'!AA36</f>
        <v/>
      </c>
      <c r="AB14" s="55" t="str">
        <f>'R1'!AB36</f>
        <v/>
      </c>
      <c r="AC14" s="55" t="str">
        <f>'R1'!AC36</f>
        <v/>
      </c>
      <c r="AD14" s="55" t="str">
        <f>'R1'!AD36</f>
        <v/>
      </c>
      <c r="AE14" s="55" t="str">
        <f>'R1'!AE36</f>
        <v/>
      </c>
      <c r="AF14" s="55" t="str">
        <f>'R1'!AF36</f>
        <v/>
      </c>
      <c r="AG14" s="55" t="str">
        <f>'R1'!AG36</f>
        <v/>
      </c>
      <c r="AH14" s="55" t="str">
        <f>'R1'!AH36</f>
        <v/>
      </c>
      <c r="AI14" s="55" t="str">
        <f>'R1'!AI36</f>
        <v/>
      </c>
      <c r="AJ14" s="55" t="str">
        <f>'R1'!AJ36</f>
        <v/>
      </c>
      <c r="AK14" s="55" t="str">
        <f>'R1'!AK36</f>
        <v/>
      </c>
    </row>
    <row r="15" spans="1:37" s="1" customFormat="1" x14ac:dyDescent="0.25">
      <c r="A15" s="237"/>
      <c r="B15" s="55" t="str">
        <f>'R1'!B37</f>
        <v/>
      </c>
      <c r="C15" s="55" t="str">
        <f>'R1'!C37</f>
        <v/>
      </c>
      <c r="D15" s="55" t="str">
        <f>'R1'!D37</f>
        <v/>
      </c>
      <c r="E15" s="55" t="str">
        <f>'R1'!E37</f>
        <v/>
      </c>
      <c r="F15" s="55" t="str">
        <f>'R1'!F37</f>
        <v/>
      </c>
      <c r="G15" s="55" t="str">
        <f>'R1'!G37</f>
        <v/>
      </c>
      <c r="H15" s="55" t="str">
        <f>'R1'!H37</f>
        <v/>
      </c>
      <c r="I15" s="55" t="str">
        <f>'R1'!I37</f>
        <v/>
      </c>
      <c r="J15" s="55" t="str">
        <f>'R1'!J37</f>
        <v/>
      </c>
      <c r="K15" s="55" t="str">
        <f>'R1'!K37</f>
        <v/>
      </c>
      <c r="L15" s="55" t="str">
        <f>'R1'!L37</f>
        <v/>
      </c>
      <c r="M15" s="55" t="str">
        <f>'R1'!M37</f>
        <v/>
      </c>
      <c r="N15"/>
      <c r="O15" s="55">
        <f>'R1'!O37</f>
        <v>9.2824354328683883E-2</v>
      </c>
      <c r="P15" s="55" t="str">
        <f>'R1'!P37</f>
        <v/>
      </c>
      <c r="Q15" s="55" t="str">
        <f>'R1'!Q37</f>
        <v/>
      </c>
      <c r="R15" s="55" t="str">
        <f>'R1'!R37</f>
        <v/>
      </c>
      <c r="S15" s="55" t="str">
        <f>'R1'!S37</f>
        <v/>
      </c>
      <c r="T15" s="55" t="str">
        <f>'R1'!T37</f>
        <v/>
      </c>
      <c r="U15" s="55" t="str">
        <f>'R1'!U37</f>
        <v/>
      </c>
      <c r="V15" s="55" t="str">
        <f>'R1'!V37</f>
        <v/>
      </c>
      <c r="W15" s="55" t="str">
        <f>'R1'!W37</f>
        <v/>
      </c>
      <c r="X15" s="55" t="str">
        <f>'R1'!X37</f>
        <v/>
      </c>
      <c r="Y15" s="55" t="str">
        <f>'R1'!Y37</f>
        <v/>
      </c>
      <c r="Z15" s="55" t="str">
        <f>'R1'!Z37</f>
        <v/>
      </c>
      <c r="AA15" s="55" t="str">
        <f>'R1'!AA37</f>
        <v/>
      </c>
      <c r="AB15" s="55" t="str">
        <f>'R1'!AB37</f>
        <v/>
      </c>
      <c r="AC15" s="55" t="str">
        <f>'R1'!AC37</f>
        <v/>
      </c>
      <c r="AD15" s="55" t="str">
        <f>'R1'!AD37</f>
        <v/>
      </c>
      <c r="AE15" s="55" t="str">
        <f>'R1'!AE37</f>
        <v/>
      </c>
      <c r="AF15" s="55" t="str">
        <f>'R1'!AF37</f>
        <v/>
      </c>
      <c r="AG15" s="55" t="str">
        <f>'R1'!AG37</f>
        <v/>
      </c>
      <c r="AH15" s="55" t="str">
        <f>'R1'!AH37</f>
        <v/>
      </c>
      <c r="AI15" s="55" t="str">
        <f>'R1'!AI37</f>
        <v/>
      </c>
      <c r="AJ15" s="55" t="str">
        <f>'R1'!AJ37</f>
        <v/>
      </c>
      <c r="AK15" s="55" t="str">
        <f>'R1'!AK37</f>
        <v/>
      </c>
    </row>
    <row r="16" spans="1:37" s="1" customFormat="1" x14ac:dyDescent="0.25">
      <c r="A16" s="237"/>
      <c r="B16" s="55" t="str">
        <f>'R1'!B38</f>
        <v/>
      </c>
      <c r="C16" s="55" t="str">
        <f>'R1'!C38</f>
        <v/>
      </c>
      <c r="D16" s="55" t="str">
        <f>'R1'!D38</f>
        <v/>
      </c>
      <c r="E16" s="55" t="str">
        <f>'R1'!E38</f>
        <v/>
      </c>
      <c r="F16" s="55" t="str">
        <f>'R1'!F38</f>
        <v/>
      </c>
      <c r="G16" s="55" t="str">
        <f>'R1'!G38</f>
        <v/>
      </c>
      <c r="H16" s="55" t="str">
        <f>'R1'!H38</f>
        <v/>
      </c>
      <c r="I16" s="55" t="str">
        <f>'R1'!I38</f>
        <v/>
      </c>
      <c r="J16" s="55" t="str">
        <f>'R1'!J38</f>
        <v/>
      </c>
      <c r="K16" s="55" t="str">
        <f>'R1'!K38</f>
        <v/>
      </c>
      <c r="L16" s="55" t="str">
        <f>'R1'!L38</f>
        <v/>
      </c>
      <c r="M16" s="55" t="str">
        <f>'R1'!M38</f>
        <v/>
      </c>
      <c r="N16"/>
      <c r="O16" s="55">
        <f>'R1'!O38</f>
        <v>2.4395496977563269</v>
      </c>
      <c r="P16" s="55" t="str">
        <f>'R1'!P38</f>
        <v/>
      </c>
      <c r="Q16" s="55" t="str">
        <f>'R1'!Q38</f>
        <v/>
      </c>
      <c r="R16" s="55" t="str">
        <f>'R1'!R38</f>
        <v/>
      </c>
      <c r="S16" s="55" t="str">
        <f>'R1'!S38</f>
        <v/>
      </c>
      <c r="T16" s="55" t="str">
        <f>'R1'!T38</f>
        <v/>
      </c>
      <c r="U16" s="55" t="str">
        <f>'R1'!U38</f>
        <v/>
      </c>
      <c r="V16" s="55" t="str">
        <f>'R1'!V38</f>
        <v/>
      </c>
      <c r="W16" s="55" t="str">
        <f>'R1'!W38</f>
        <v/>
      </c>
      <c r="X16" s="55" t="str">
        <f>'R1'!X38</f>
        <v/>
      </c>
      <c r="Y16" s="55" t="str">
        <f>'R1'!Y38</f>
        <v/>
      </c>
      <c r="Z16" s="55" t="str">
        <f>'R1'!Z38</f>
        <v/>
      </c>
      <c r="AA16" s="55" t="str">
        <f>'R1'!AA38</f>
        <v/>
      </c>
      <c r="AB16" s="55" t="str">
        <f>'R1'!AB38</f>
        <v/>
      </c>
      <c r="AC16" s="55" t="str">
        <f>'R1'!AC38</f>
        <v/>
      </c>
      <c r="AD16" s="55" t="str">
        <f>'R1'!AD38</f>
        <v/>
      </c>
      <c r="AE16" s="55" t="str">
        <f>'R1'!AE38</f>
        <v/>
      </c>
      <c r="AF16" s="55" t="str">
        <f>'R1'!AF38</f>
        <v/>
      </c>
      <c r="AG16" s="55" t="str">
        <f>'R1'!AG38</f>
        <v/>
      </c>
      <c r="AH16" s="55" t="str">
        <f>'R1'!AH38</f>
        <v/>
      </c>
      <c r="AI16" s="55" t="str">
        <f>'R1'!AI38</f>
        <v/>
      </c>
      <c r="AJ16" s="55" t="str">
        <f>'R1'!AJ38</f>
        <v/>
      </c>
      <c r="AK16" s="55" t="str">
        <f>'R1'!AK38</f>
        <v/>
      </c>
    </row>
    <row r="17" spans="1:37" s="1" customFormat="1" x14ac:dyDescent="0.25">
      <c r="A17" s="237"/>
      <c r="B17" s="55" t="str">
        <f>'R1'!B39</f>
        <v/>
      </c>
      <c r="C17" s="55" t="str">
        <f>'R1'!C39</f>
        <v/>
      </c>
      <c r="D17" s="55" t="str">
        <f>'R1'!D39</f>
        <v/>
      </c>
      <c r="E17" s="55" t="str">
        <f>'R1'!E39</f>
        <v/>
      </c>
      <c r="F17" s="55" t="str">
        <f>'R1'!F39</f>
        <v/>
      </c>
      <c r="G17" s="55" t="str">
        <f>'R1'!G39</f>
        <v/>
      </c>
      <c r="H17" s="55" t="str">
        <f>'R1'!H39</f>
        <v/>
      </c>
      <c r="I17" s="55" t="str">
        <f>'R1'!I39</f>
        <v/>
      </c>
      <c r="J17" s="55" t="str">
        <f>'R1'!J39</f>
        <v/>
      </c>
      <c r="K17" s="55" t="str">
        <f>'R1'!K39</f>
        <v/>
      </c>
      <c r="L17" s="55" t="str">
        <f>'R1'!L39</f>
        <v/>
      </c>
      <c r="M17" s="55" t="str">
        <f>'R1'!M39</f>
        <v/>
      </c>
      <c r="N17"/>
      <c r="O17" s="55" t="str">
        <f>'R1'!O39</f>
        <v/>
      </c>
      <c r="P17" s="55" t="str">
        <f>'R1'!P39</f>
        <v/>
      </c>
      <c r="Q17" s="55" t="str">
        <f>'R1'!Q39</f>
        <v/>
      </c>
      <c r="R17" s="55" t="str">
        <f>'R1'!R39</f>
        <v/>
      </c>
      <c r="S17" s="55" t="str">
        <f>'R1'!S39</f>
        <v/>
      </c>
      <c r="T17" s="55" t="str">
        <f>'R1'!T39</f>
        <v/>
      </c>
      <c r="U17" s="55" t="str">
        <f>'R1'!U39</f>
        <v/>
      </c>
      <c r="V17" s="55" t="str">
        <f>'R1'!V39</f>
        <v/>
      </c>
      <c r="W17" s="55" t="str">
        <f>'R1'!W39</f>
        <v/>
      </c>
      <c r="X17" s="55" t="str">
        <f>'R1'!X39</f>
        <v/>
      </c>
      <c r="Y17" s="55" t="str">
        <f>'R1'!Y39</f>
        <v/>
      </c>
      <c r="Z17" s="55" t="str">
        <f>'R1'!Z39</f>
        <v/>
      </c>
      <c r="AA17" s="55" t="str">
        <f>'R1'!AA39</f>
        <v/>
      </c>
      <c r="AB17" s="55" t="str">
        <f>'R1'!AB39</f>
        <v/>
      </c>
      <c r="AC17" s="55" t="str">
        <f>'R1'!AC39</f>
        <v/>
      </c>
      <c r="AD17" s="55" t="str">
        <f>'R1'!AD39</f>
        <v/>
      </c>
      <c r="AE17" s="55" t="str">
        <f>'R1'!AE39</f>
        <v/>
      </c>
      <c r="AF17" s="55" t="str">
        <f>'R1'!AF39</f>
        <v/>
      </c>
      <c r="AG17" s="55" t="str">
        <f>'R1'!AG39</f>
        <v/>
      </c>
      <c r="AH17" s="55" t="str">
        <f>'R1'!AH39</f>
        <v/>
      </c>
      <c r="AI17" s="55" t="str">
        <f>'R1'!AI39</f>
        <v/>
      </c>
      <c r="AJ17" s="55" t="str">
        <f>'R1'!AJ39</f>
        <v/>
      </c>
      <c r="AK17" s="55" t="str">
        <f>'R1'!AK39</f>
        <v/>
      </c>
    </row>
    <row r="18" spans="1:37" s="1" customFormat="1" x14ac:dyDescent="0.25">
      <c r="A18" s="237"/>
      <c r="B18" s="55" t="str">
        <f>'R1'!B40</f>
        <v/>
      </c>
      <c r="C18" s="55" t="str">
        <f>'R1'!C40</f>
        <v/>
      </c>
      <c r="D18" s="55" t="str">
        <f>'R1'!D40</f>
        <v/>
      </c>
      <c r="E18" s="55" t="str">
        <f>'R1'!E40</f>
        <v/>
      </c>
      <c r="F18" s="55" t="str">
        <f>'R1'!F40</f>
        <v/>
      </c>
      <c r="G18" s="55" t="str">
        <f>'R1'!G40</f>
        <v/>
      </c>
      <c r="H18" s="55" t="str">
        <f>'R1'!H40</f>
        <v/>
      </c>
      <c r="I18" s="55" t="str">
        <f>'R1'!I40</f>
        <v/>
      </c>
      <c r="J18" s="55" t="str">
        <f>'R1'!J40</f>
        <v/>
      </c>
      <c r="K18" s="55" t="str">
        <f>'R1'!K40</f>
        <v/>
      </c>
      <c r="L18" s="55" t="str">
        <f>'R1'!L40</f>
        <v/>
      </c>
      <c r="M18" s="55" t="str">
        <f>'R1'!M40</f>
        <v/>
      </c>
      <c r="N18"/>
      <c r="O18" s="55">
        <f>'R1'!O40</f>
        <v>0.5212289566921694</v>
      </c>
      <c r="P18" s="55" t="str">
        <f>'R1'!P40</f>
        <v/>
      </c>
      <c r="Q18" s="55" t="str">
        <f>'R1'!Q40</f>
        <v/>
      </c>
      <c r="R18" s="55" t="str">
        <f>'R1'!R40</f>
        <v/>
      </c>
      <c r="S18" s="55" t="str">
        <f>'R1'!S40</f>
        <v/>
      </c>
      <c r="T18" s="55" t="str">
        <f>'R1'!T40</f>
        <v/>
      </c>
      <c r="U18" s="55" t="str">
        <f>'R1'!U40</f>
        <v/>
      </c>
      <c r="V18" s="55" t="str">
        <f>'R1'!V40</f>
        <v/>
      </c>
      <c r="W18" s="55" t="str">
        <f>'R1'!W40</f>
        <v/>
      </c>
      <c r="X18" s="55" t="str">
        <f>'R1'!X40</f>
        <v/>
      </c>
      <c r="Y18" s="55" t="str">
        <f>'R1'!Y40</f>
        <v/>
      </c>
      <c r="Z18" s="55" t="str">
        <f>'R1'!Z40</f>
        <v/>
      </c>
      <c r="AA18" s="55" t="str">
        <f>'R1'!AA40</f>
        <v/>
      </c>
      <c r="AB18" s="55" t="str">
        <f>'R1'!AB40</f>
        <v/>
      </c>
      <c r="AC18" s="55" t="str">
        <f>'R1'!AC40</f>
        <v/>
      </c>
      <c r="AD18" s="55" t="str">
        <f>'R1'!AD40</f>
        <v/>
      </c>
      <c r="AE18" s="55" t="str">
        <f>'R1'!AE40</f>
        <v/>
      </c>
      <c r="AF18" s="55" t="str">
        <f>'R1'!AF40</f>
        <v/>
      </c>
      <c r="AG18" s="55" t="str">
        <f>'R1'!AG40</f>
        <v/>
      </c>
      <c r="AH18" s="55" t="str">
        <f>'R1'!AH40</f>
        <v/>
      </c>
      <c r="AI18" s="55" t="str">
        <f>'R1'!AI40</f>
        <v/>
      </c>
      <c r="AJ18" s="55" t="str">
        <f>'R1'!AJ40</f>
        <v/>
      </c>
      <c r="AK18" s="55" t="str">
        <f>'R1'!AK40</f>
        <v/>
      </c>
    </row>
    <row r="19" spans="1:37" s="1" customFormat="1" x14ac:dyDescent="0.25">
      <c r="A19" s="237"/>
      <c r="B19" s="55" t="str">
        <f>'R1'!B41</f>
        <v/>
      </c>
      <c r="C19" s="55" t="str">
        <f>'R1'!C41</f>
        <v/>
      </c>
      <c r="D19" s="55" t="str">
        <f>'R1'!D41</f>
        <v/>
      </c>
      <c r="E19" s="55" t="str">
        <f>'R1'!E41</f>
        <v/>
      </c>
      <c r="F19" s="55" t="str">
        <f>'R1'!F41</f>
        <v/>
      </c>
      <c r="G19" s="55" t="str">
        <f>'R1'!G41</f>
        <v/>
      </c>
      <c r="H19" s="55" t="str">
        <f>'R1'!H41</f>
        <v/>
      </c>
      <c r="I19" s="55" t="str">
        <f>'R1'!I41</f>
        <v/>
      </c>
      <c r="J19" s="55" t="str">
        <f>'R1'!J41</f>
        <v/>
      </c>
      <c r="K19" s="55" t="str">
        <f>'R1'!K41</f>
        <v/>
      </c>
      <c r="L19" s="55" t="str">
        <f>'R1'!L41</f>
        <v/>
      </c>
      <c r="M19" s="55" t="str">
        <f>'R1'!M41</f>
        <v/>
      </c>
      <c r="N19"/>
      <c r="O19" s="55">
        <f>'R1'!O41</f>
        <v>0.73005163541302831</v>
      </c>
      <c r="P19" s="55" t="str">
        <f>'R1'!P41</f>
        <v/>
      </c>
      <c r="Q19" s="55" t="str">
        <f>'R1'!Q41</f>
        <v/>
      </c>
      <c r="R19" s="55" t="str">
        <f>'R1'!R41</f>
        <v/>
      </c>
      <c r="S19" s="55" t="str">
        <f>'R1'!S41</f>
        <v/>
      </c>
      <c r="T19" s="55" t="str">
        <f>'R1'!T41</f>
        <v/>
      </c>
      <c r="U19" s="55" t="str">
        <f>'R1'!U41</f>
        <v/>
      </c>
      <c r="V19" s="55" t="str">
        <f>'R1'!V41</f>
        <v/>
      </c>
      <c r="W19" s="55" t="str">
        <f>'R1'!W41</f>
        <v/>
      </c>
      <c r="X19" s="55" t="str">
        <f>'R1'!X41</f>
        <v/>
      </c>
      <c r="Y19" s="55" t="str">
        <f>'R1'!Y41</f>
        <v/>
      </c>
      <c r="Z19" s="55" t="str">
        <f>'R1'!Z41</f>
        <v/>
      </c>
      <c r="AA19" s="55" t="str">
        <f>'R1'!AA41</f>
        <v/>
      </c>
      <c r="AB19" s="55" t="str">
        <f>'R1'!AB41</f>
        <v/>
      </c>
      <c r="AC19" s="55" t="str">
        <f>'R1'!AC41</f>
        <v/>
      </c>
      <c r="AD19" s="55" t="str">
        <f>'R1'!AD41</f>
        <v/>
      </c>
      <c r="AE19" s="55" t="str">
        <f>'R1'!AE41</f>
        <v/>
      </c>
      <c r="AF19" s="55" t="str">
        <f>'R1'!AF41</f>
        <v/>
      </c>
      <c r="AG19" s="55" t="str">
        <f>'R1'!AG41</f>
        <v/>
      </c>
      <c r="AH19" s="55" t="str">
        <f>'R1'!AH41</f>
        <v/>
      </c>
      <c r="AI19" s="55" t="str">
        <f>'R1'!AI41</f>
        <v/>
      </c>
      <c r="AJ19" s="55" t="str">
        <f>'R1'!AJ41</f>
        <v/>
      </c>
      <c r="AK19" s="55" t="str">
        <f>'R1'!AK41</f>
        <v/>
      </c>
    </row>
    <row r="20" spans="1:37" s="1" customFormat="1" x14ac:dyDescent="0.25">
      <c r="A20" s="237"/>
      <c r="B20" s="55" t="str">
        <f>'R1'!B42</f>
        <v/>
      </c>
      <c r="C20" s="55" t="str">
        <f>'R1'!C42</f>
        <v/>
      </c>
      <c r="D20" s="55" t="str">
        <f>'R1'!D42</f>
        <v/>
      </c>
      <c r="E20" s="55" t="str">
        <f>'R1'!E42</f>
        <v/>
      </c>
      <c r="F20" s="55" t="str">
        <f>'R1'!F42</f>
        <v/>
      </c>
      <c r="G20" s="55" t="str">
        <f>'R1'!G42</f>
        <v/>
      </c>
      <c r="H20" s="55" t="str">
        <f>'R1'!H42</f>
        <v/>
      </c>
      <c r="I20" s="55" t="str">
        <f>'R1'!I42</f>
        <v/>
      </c>
      <c r="J20" s="55" t="str">
        <f>'R1'!J42</f>
        <v/>
      </c>
      <c r="K20" s="55" t="str">
        <f>'R1'!K42</f>
        <v/>
      </c>
      <c r="L20" s="55" t="str">
        <f>'R1'!L42</f>
        <v/>
      </c>
      <c r="M20" s="55" t="str">
        <f>'R1'!M42</f>
        <v/>
      </c>
      <c r="N20"/>
      <c r="O20" s="55">
        <f>'R1'!O42</f>
        <v>0.2553197405417118</v>
      </c>
      <c r="P20" s="55" t="str">
        <f>'R1'!P42</f>
        <v/>
      </c>
      <c r="Q20" s="55" t="str">
        <f>'R1'!Q42</f>
        <v/>
      </c>
      <c r="R20" s="55" t="str">
        <f>'R1'!R42</f>
        <v/>
      </c>
      <c r="S20" s="55" t="str">
        <f>'R1'!S42</f>
        <v/>
      </c>
      <c r="T20" s="55" t="str">
        <f>'R1'!T42</f>
        <v/>
      </c>
      <c r="U20" s="55" t="str">
        <f>'R1'!U42</f>
        <v/>
      </c>
      <c r="V20" s="55" t="str">
        <f>'R1'!V42</f>
        <v/>
      </c>
      <c r="W20" s="55" t="str">
        <f>'R1'!W42</f>
        <v/>
      </c>
      <c r="X20" s="55" t="str">
        <f>'R1'!X42</f>
        <v/>
      </c>
      <c r="Y20" s="55" t="str">
        <f>'R1'!Y42</f>
        <v/>
      </c>
      <c r="Z20" s="55" t="str">
        <f>'R1'!Z42</f>
        <v/>
      </c>
      <c r="AA20" s="55" t="str">
        <f>'R1'!AA42</f>
        <v/>
      </c>
      <c r="AB20" s="55" t="str">
        <f>'R1'!AB42</f>
        <v/>
      </c>
      <c r="AC20" s="55" t="str">
        <f>'R1'!AC42</f>
        <v/>
      </c>
      <c r="AD20" s="55" t="str">
        <f>'R1'!AD42</f>
        <v/>
      </c>
      <c r="AE20" s="55" t="str">
        <f>'R1'!AE42</f>
        <v/>
      </c>
      <c r="AF20" s="55" t="str">
        <f>'R1'!AF42</f>
        <v/>
      </c>
      <c r="AG20" s="55" t="str">
        <f>'R1'!AG42</f>
        <v/>
      </c>
      <c r="AH20" s="55" t="str">
        <f>'R1'!AH42</f>
        <v/>
      </c>
      <c r="AI20" s="55" t="str">
        <f>'R1'!AI42</f>
        <v/>
      </c>
      <c r="AJ20" s="55" t="str">
        <f>'R1'!AJ42</f>
        <v/>
      </c>
      <c r="AK20" s="55" t="str">
        <f>'R1'!AK42</f>
        <v/>
      </c>
    </row>
    <row r="21" spans="1:37" s="1" customFormat="1" x14ac:dyDescent="0.25">
      <c r="A21" s="238"/>
      <c r="B21" s="55" t="str">
        <f>'R1'!B43</f>
        <v/>
      </c>
      <c r="C21" s="55" t="str">
        <f>'R1'!C43</f>
        <v/>
      </c>
      <c r="D21" s="55" t="str">
        <f>'R1'!D43</f>
        <v/>
      </c>
      <c r="E21" s="55" t="str">
        <f>'R1'!E43</f>
        <v/>
      </c>
      <c r="F21" s="55" t="str">
        <f>'R1'!F43</f>
        <v/>
      </c>
      <c r="G21" s="55" t="str">
        <f>'R1'!G43</f>
        <v/>
      </c>
      <c r="H21" s="55" t="str">
        <f>'R1'!H43</f>
        <v/>
      </c>
      <c r="I21" s="55" t="str">
        <f>'R1'!I43</f>
        <v/>
      </c>
      <c r="J21" s="55" t="str">
        <f>'R1'!J43</f>
        <v/>
      </c>
      <c r="K21" s="55" t="str">
        <f>'R1'!K43</f>
        <v/>
      </c>
      <c r="L21" s="55" t="str">
        <f>'R1'!L43</f>
        <v/>
      </c>
      <c r="M21" s="55" t="str">
        <f>'R1'!M43</f>
        <v/>
      </c>
      <c r="N21"/>
      <c r="O21" s="55">
        <f>'R1'!O43</f>
        <v>0.95465414236129631</v>
      </c>
      <c r="P21" s="55" t="str">
        <f>'R1'!P43</f>
        <v/>
      </c>
      <c r="Q21" s="55" t="str">
        <f>'R1'!Q43</f>
        <v/>
      </c>
      <c r="R21" s="55" t="str">
        <f>'R1'!R43</f>
        <v/>
      </c>
      <c r="S21" s="55" t="str">
        <f>'R1'!S43</f>
        <v/>
      </c>
      <c r="T21" s="55" t="str">
        <f>'R1'!T43</f>
        <v/>
      </c>
      <c r="U21" s="55" t="str">
        <f>'R1'!U43</f>
        <v/>
      </c>
      <c r="V21" s="55" t="str">
        <f>'R1'!V43</f>
        <v/>
      </c>
      <c r="W21" s="55" t="str">
        <f>'R1'!W43</f>
        <v/>
      </c>
      <c r="X21" s="55" t="str">
        <f>'R1'!X43</f>
        <v/>
      </c>
      <c r="Y21" s="55" t="str">
        <f>'R1'!Y43</f>
        <v/>
      </c>
      <c r="Z21" s="55" t="str">
        <f>'R1'!Z43</f>
        <v/>
      </c>
      <c r="AA21" s="55" t="str">
        <f>'R1'!AA43</f>
        <v/>
      </c>
      <c r="AB21" s="55" t="str">
        <f>'R1'!AB43</f>
        <v/>
      </c>
      <c r="AC21" s="55" t="str">
        <f>'R1'!AC43</f>
        <v/>
      </c>
      <c r="AD21" s="55" t="str">
        <f>'R1'!AD43</f>
        <v/>
      </c>
      <c r="AE21" s="55" t="str">
        <f>'R1'!AE43</f>
        <v/>
      </c>
      <c r="AF21" s="55" t="str">
        <f>'R1'!AF43</f>
        <v/>
      </c>
      <c r="AG21" s="55" t="str">
        <f>'R1'!AG43</f>
        <v/>
      </c>
      <c r="AH21" s="55" t="str">
        <f>'R1'!AH43</f>
        <v/>
      </c>
      <c r="AI21" s="55" t="str">
        <f>'R1'!AI43</f>
        <v/>
      </c>
      <c r="AJ21" s="55" t="str">
        <f>'R1'!AJ43</f>
        <v/>
      </c>
      <c r="AK21" s="55" t="str">
        <f>'R1'!AK43</f>
        <v/>
      </c>
    </row>
    <row r="22" spans="1:37" x14ac:dyDescent="0.25">
      <c r="A22" s="39" t="s">
        <v>5</v>
      </c>
      <c r="B22" s="56">
        <f>'R2'!B28</f>
        <v>1.0648990933458035E-2</v>
      </c>
      <c r="C22" s="56" t="str">
        <f>'R2'!C28</f>
        <v/>
      </c>
      <c r="D22" s="56">
        <f>'R2'!D28</f>
        <v>7.1403242858637625E-2</v>
      </c>
      <c r="E22" s="56">
        <f>'R2'!E28</f>
        <v>1.4769910442285466E-2</v>
      </c>
      <c r="F22" s="56">
        <f>'R2'!F28</f>
        <v>4.6817181239151373E-4</v>
      </c>
      <c r="G22" s="56">
        <f>'R2'!G28</f>
        <v>1.6289285404711882</v>
      </c>
      <c r="H22" s="56">
        <f>'R2'!H28</f>
        <v>3.3701480157224517</v>
      </c>
      <c r="I22" s="56">
        <f>'R2'!I28</f>
        <v>0.1656792377254564</v>
      </c>
      <c r="J22" s="56">
        <f>'R2'!J28</f>
        <v>0.13533726185981065</v>
      </c>
      <c r="K22" s="56">
        <f>'R2'!K28</f>
        <v>0.20210412678472806</v>
      </c>
      <c r="L22" s="56">
        <f>'R2'!L28</f>
        <v>1.5244194020718911</v>
      </c>
      <c r="M22" s="56">
        <f>'R2'!M28</f>
        <v>2.6616789200693365</v>
      </c>
      <c r="O22" s="56">
        <f>'R2'!O28</f>
        <v>0.7484895991893602</v>
      </c>
      <c r="P22" s="56">
        <f>'R2'!P28</f>
        <v>2.9531955048544689</v>
      </c>
      <c r="Q22" s="56">
        <f>'R2'!Q28</f>
        <v>0.14005745044813361</v>
      </c>
      <c r="R22" s="56">
        <f>'R2'!R28</f>
        <v>1.7823446306940753</v>
      </c>
      <c r="S22" s="56">
        <f>'R2'!S28</f>
        <v>1.9088354031715358</v>
      </c>
      <c r="T22" s="56">
        <f>'R2'!T28</f>
        <v>1.60824986438398</v>
      </c>
      <c r="U22" s="56">
        <f>'R2'!U28</f>
        <v>3.134818689159228</v>
      </c>
      <c r="V22" s="56">
        <f>'R2'!V28</f>
        <v>2.6024355498356018</v>
      </c>
      <c r="W22" s="56" t="str">
        <f>'R2'!W28</f>
        <v/>
      </c>
      <c r="X22" s="56" t="str">
        <f>'R2'!X28</f>
        <v/>
      </c>
      <c r="Y22" s="56" t="str">
        <f>'R2'!Y28</f>
        <v/>
      </c>
      <c r="Z22" s="56" t="str">
        <f>'R2'!Z28</f>
        <v/>
      </c>
      <c r="AA22" s="56" t="str">
        <f>'R2'!AA28</f>
        <v/>
      </c>
      <c r="AB22" s="56" t="str">
        <f>'R2'!AB28</f>
        <v/>
      </c>
      <c r="AC22" s="56" t="str">
        <f>'R2'!AC28</f>
        <v/>
      </c>
      <c r="AD22" s="56" t="str">
        <f>'R2'!AD28</f>
        <v/>
      </c>
      <c r="AE22" s="56" t="str">
        <f>'R2'!AE28</f>
        <v/>
      </c>
      <c r="AF22" s="56" t="str">
        <f>'R2'!AF28</f>
        <v/>
      </c>
      <c r="AG22" s="56" t="str">
        <f>'R2'!AG28</f>
        <v/>
      </c>
      <c r="AH22" s="56" t="str">
        <f>'R2'!AH28</f>
        <v/>
      </c>
      <c r="AI22" s="56" t="str">
        <f>'R2'!AI28</f>
        <v/>
      </c>
      <c r="AJ22" s="56" t="str">
        <f>'R2'!AJ28</f>
        <v/>
      </c>
      <c r="AK22" s="56" t="str">
        <f>'R2'!AK28</f>
        <v/>
      </c>
    </row>
    <row r="23" spans="1:37" x14ac:dyDescent="0.25">
      <c r="A23" s="236" t="s">
        <v>34</v>
      </c>
      <c r="B23" s="56">
        <f>'R2'!B29</f>
        <v>0.10155240842052517</v>
      </c>
      <c r="C23" s="56">
        <f>'R2'!C29</f>
        <v>9.4380185707923253E-2</v>
      </c>
      <c r="D23" s="56">
        <f>'R2'!D29</f>
        <v>1.9190578986290441E-2</v>
      </c>
      <c r="E23" s="56">
        <f>'R2'!E29</f>
        <v>5.2502108318844068E-2</v>
      </c>
      <c r="F23" s="56">
        <f>'R2'!F29</f>
        <v>0.78631614130006178</v>
      </c>
      <c r="G23" s="56">
        <f>'R2'!G29</f>
        <v>1.5484517637929363</v>
      </c>
      <c r="H23" s="56">
        <f>'R2'!H29</f>
        <v>2.5044940982796406</v>
      </c>
      <c r="I23" s="56">
        <f>'R2'!I29</f>
        <v>0.1111762072756869</v>
      </c>
      <c r="J23" s="56">
        <f>'R2'!J29</f>
        <v>0.10816726738093294</v>
      </c>
      <c r="K23" s="56">
        <f>'R2'!K29</f>
        <v>0.1899664662732034</v>
      </c>
      <c r="L23" s="56">
        <f>'R2'!L29</f>
        <v>1.212283335336749</v>
      </c>
      <c r="M23" s="56">
        <f>'R2'!M29</f>
        <v>0.92524901763684553</v>
      </c>
      <c r="O23" s="56">
        <f>'R2'!O29</f>
        <v>1.8476999959606013</v>
      </c>
      <c r="P23" s="56">
        <f>'R2'!P29</f>
        <v>1.6577754350146994</v>
      </c>
      <c r="Q23" s="56">
        <f>'R2'!Q29</f>
        <v>0.16614500513382244</v>
      </c>
      <c r="R23" s="56">
        <f>'R2'!R29</f>
        <v>1.4956620429544718</v>
      </c>
      <c r="S23" s="56">
        <f>'R2'!S29</f>
        <v>1.5735237440164307</v>
      </c>
      <c r="T23" s="56">
        <f>'R2'!T29</f>
        <v>2.7388474657993758</v>
      </c>
      <c r="U23" s="56">
        <f>'R2'!U29</f>
        <v>2.3828272472498888</v>
      </c>
      <c r="V23" s="56">
        <f>'R2'!V29</f>
        <v>3.5032514717471539</v>
      </c>
      <c r="W23" s="56" t="str">
        <f>'R2'!W29</f>
        <v/>
      </c>
      <c r="X23" s="56" t="str">
        <f>'R2'!X29</f>
        <v/>
      </c>
      <c r="Y23" s="56" t="str">
        <f>'R2'!Y29</f>
        <v/>
      </c>
      <c r="Z23" s="56" t="str">
        <f>'R2'!Z29</f>
        <v/>
      </c>
      <c r="AA23" s="56" t="str">
        <f>'R2'!AA29</f>
        <v/>
      </c>
      <c r="AB23" s="56" t="str">
        <f>'R2'!AB29</f>
        <v/>
      </c>
      <c r="AC23" s="56" t="str">
        <f>'R2'!AC29</f>
        <v/>
      </c>
      <c r="AD23" s="56" t="str">
        <f>'R2'!AD29</f>
        <v/>
      </c>
      <c r="AE23" s="56" t="str">
        <f>'R2'!AE29</f>
        <v/>
      </c>
      <c r="AF23" s="56" t="str">
        <f>'R2'!AF29</f>
        <v/>
      </c>
      <c r="AG23" s="56" t="str">
        <f>'R2'!AG29</f>
        <v/>
      </c>
      <c r="AH23" s="56" t="str">
        <f>'R2'!AH29</f>
        <v/>
      </c>
      <c r="AI23" s="56" t="str">
        <f>'R2'!AI29</f>
        <v/>
      </c>
      <c r="AJ23" s="56" t="str">
        <f>'R2'!AJ29</f>
        <v/>
      </c>
      <c r="AK23" s="56" t="str">
        <f>'R2'!AK29</f>
        <v/>
      </c>
    </row>
    <row r="24" spans="1:37" x14ac:dyDescent="0.25">
      <c r="A24" s="237"/>
      <c r="B24" s="56">
        <f>'R2'!B30</f>
        <v>6.3403905161267732E-2</v>
      </c>
      <c r="C24" s="56">
        <f>'R2'!C30</f>
        <v>0.14599106160131964</v>
      </c>
      <c r="D24" s="56">
        <f>'R2'!D30</f>
        <v>0.16013674296041644</v>
      </c>
      <c r="E24" s="56" t="str">
        <f>'R2'!E30</f>
        <v/>
      </c>
      <c r="F24" s="56">
        <f>'R2'!F30</f>
        <v>2.0708559394382074E-2</v>
      </c>
      <c r="G24" s="56">
        <f>'R2'!G30</f>
        <v>1.9946965564262944</v>
      </c>
      <c r="H24" s="56">
        <f>'R2'!H30</f>
        <v>3.1631503542687058</v>
      </c>
      <c r="I24" s="56">
        <f>'R2'!I30</f>
        <v>7.2141394894462543E-2</v>
      </c>
      <c r="J24" s="56">
        <f>'R2'!J30</f>
        <v>7.163578307653129E-2</v>
      </c>
      <c r="K24" s="56">
        <f>'R2'!K30</f>
        <v>0.29613281152321086</v>
      </c>
      <c r="L24" s="56">
        <f>'R2'!L30</f>
        <v>2.1393452736088125</v>
      </c>
      <c r="M24" s="56">
        <f>'R2'!M30</f>
        <v>2.368185915175252</v>
      </c>
      <c r="O24" s="56">
        <f>'R2'!O30</f>
        <v>0.27704894227748023</v>
      </c>
      <c r="P24" s="56">
        <f>'R2'!P30</f>
        <v>1.1155500395558813</v>
      </c>
      <c r="Q24" s="56">
        <f>'R2'!Q30</f>
        <v>0.15070644138159162</v>
      </c>
      <c r="R24" s="56">
        <f>'R2'!R30</f>
        <v>0.97936596949737953</v>
      </c>
      <c r="S24" s="56">
        <f>'R2'!S30</f>
        <v>1.6637191217657066</v>
      </c>
      <c r="T24" s="56">
        <f>'R2'!T30</f>
        <v>2.2235919268081705</v>
      </c>
      <c r="U24" s="56">
        <f>'R2'!U30</f>
        <v>2.9236333573610902</v>
      </c>
      <c r="V24" s="56">
        <f>'R2'!V30</f>
        <v>2.5478727527714842</v>
      </c>
      <c r="W24" s="56" t="str">
        <f>'R2'!W30</f>
        <v/>
      </c>
      <c r="X24" s="56" t="str">
        <f>'R2'!X30</f>
        <v/>
      </c>
      <c r="Y24" s="56" t="str">
        <f>'R2'!Y30</f>
        <v/>
      </c>
      <c r="Z24" s="56" t="str">
        <f>'R2'!Z30</f>
        <v/>
      </c>
      <c r="AA24" s="56" t="str">
        <f>'R2'!AA30</f>
        <v/>
      </c>
      <c r="AB24" s="56" t="str">
        <f>'R2'!AB30</f>
        <v/>
      </c>
      <c r="AC24" s="56" t="str">
        <f>'R2'!AC30</f>
        <v/>
      </c>
      <c r="AD24" s="56" t="str">
        <f>'R2'!AD30</f>
        <v/>
      </c>
      <c r="AE24" s="56" t="str">
        <f>'R2'!AE30</f>
        <v/>
      </c>
      <c r="AF24" s="56" t="str">
        <f>'R2'!AF30</f>
        <v/>
      </c>
      <c r="AG24" s="56" t="str">
        <f>'R2'!AG30</f>
        <v/>
      </c>
      <c r="AH24" s="56" t="str">
        <f>'R2'!AH30</f>
        <v/>
      </c>
      <c r="AI24" s="56" t="str">
        <f>'R2'!AI30</f>
        <v/>
      </c>
      <c r="AJ24" s="56" t="str">
        <f>'R2'!AJ30</f>
        <v/>
      </c>
      <c r="AK24" s="56" t="str">
        <f>'R2'!AK30</f>
        <v/>
      </c>
    </row>
    <row r="25" spans="1:37" x14ac:dyDescent="0.25">
      <c r="A25" s="237"/>
      <c r="B25" s="56">
        <f>'R2'!B31</f>
        <v>0.11180524516692655</v>
      </c>
      <c r="C25" s="56">
        <f>'R2'!C31</f>
        <v>0.1258224626538044</v>
      </c>
      <c r="D25" s="56">
        <f>'R2'!D31</f>
        <v>3.9753271203126224E-2</v>
      </c>
      <c r="E25" s="56">
        <f>'R2'!E31</f>
        <v>7.13487430340599E-2</v>
      </c>
      <c r="F25" s="56">
        <f>'R2'!F31</f>
        <v>0</v>
      </c>
      <c r="G25" s="56" t="str">
        <f>'R2'!G31</f>
        <v/>
      </c>
      <c r="H25" s="56">
        <f>'R2'!H31</f>
        <v>3.0236230176604777</v>
      </c>
      <c r="I25" s="56">
        <f>'R2'!I31</f>
        <v>0.18363441102436498</v>
      </c>
      <c r="J25" s="56">
        <f>'R2'!J31</f>
        <v>6.4746249580068943E-2</v>
      </c>
      <c r="K25" s="56">
        <f>'R2'!K31</f>
        <v>1.0070981365365024</v>
      </c>
      <c r="L25" s="56">
        <f>'R2'!L31</f>
        <v>2.2543032649303036</v>
      </c>
      <c r="M25" s="56">
        <f>'R2'!M31</f>
        <v>2.0081243514406379</v>
      </c>
      <c r="O25" s="56">
        <f>'R2'!O31</f>
        <v>0.79934778212734892</v>
      </c>
      <c r="P25" s="56">
        <f>'R2'!P31</f>
        <v>1.856085412247207</v>
      </c>
      <c r="Q25" s="56">
        <f>'R2'!Q31</f>
        <v>1.8098521576999597E-2</v>
      </c>
      <c r="R25" s="56">
        <f>'R2'!R31</f>
        <v>1.4276664130771002</v>
      </c>
      <c r="S25" s="56">
        <f>'R2'!S31</f>
        <v>1.7446069370368873</v>
      </c>
      <c r="T25" s="56">
        <f>'R2'!T31</f>
        <v>1.7366277505351595</v>
      </c>
      <c r="U25" s="56">
        <f>'R2'!U31</f>
        <v>2.4871830762687037</v>
      </c>
      <c r="V25" s="56">
        <f>'R2'!V31</f>
        <v>3.6681729787182924</v>
      </c>
      <c r="W25" s="56" t="str">
        <f>'R2'!W31</f>
        <v/>
      </c>
      <c r="X25" s="56" t="str">
        <f>'R2'!X31</f>
        <v/>
      </c>
      <c r="Y25" s="56" t="str">
        <f>'R2'!Y31</f>
        <v/>
      </c>
      <c r="Z25" s="56" t="str">
        <f>'R2'!Z31</f>
        <v/>
      </c>
      <c r="AA25" s="56" t="str">
        <f>'R2'!AA31</f>
        <v/>
      </c>
      <c r="AB25" s="56" t="str">
        <f>'R2'!AB31</f>
        <v/>
      </c>
      <c r="AC25" s="56" t="str">
        <f>'R2'!AC31</f>
        <v/>
      </c>
      <c r="AD25" s="56" t="str">
        <f>'R2'!AD31</f>
        <v/>
      </c>
      <c r="AE25" s="56" t="str">
        <f>'R2'!AE31</f>
        <v/>
      </c>
      <c r="AF25" s="56" t="str">
        <f>'R2'!AF31</f>
        <v/>
      </c>
      <c r="AG25" s="56" t="str">
        <f>'R2'!AG31</f>
        <v/>
      </c>
      <c r="AH25" s="56" t="str">
        <f>'R2'!AH31</f>
        <v/>
      </c>
      <c r="AI25" s="56" t="str">
        <f>'R2'!AI31</f>
        <v/>
      </c>
      <c r="AJ25" s="56" t="str">
        <f>'R2'!AJ31</f>
        <v/>
      </c>
      <c r="AK25" s="56" t="str">
        <f>'R2'!AK31</f>
        <v/>
      </c>
    </row>
    <row r="26" spans="1:37" x14ac:dyDescent="0.25">
      <c r="A26" s="237"/>
      <c r="B26" s="56">
        <f>'R2'!B32</f>
        <v>8.2200619869097227E-2</v>
      </c>
      <c r="C26" s="56">
        <f>'R2'!C32</f>
        <v>0.2098484831599664</v>
      </c>
      <c r="D26" s="56">
        <f>'R2'!D32</f>
        <v>0.13097361203983868</v>
      </c>
      <c r="E26" s="56">
        <f>'R2'!E32</f>
        <v>9.6495374277774285E-2</v>
      </c>
      <c r="F26" s="56">
        <f>'R2'!F32</f>
        <v>0.35180506930194644</v>
      </c>
      <c r="G26" s="56">
        <f>'R2'!G32</f>
        <v>3.1824622984105684</v>
      </c>
      <c r="H26" s="56">
        <f>'R2'!H32</f>
        <v>2.6761470205587079</v>
      </c>
      <c r="I26" s="56">
        <f>'R2'!I32</f>
        <v>5.6826371710969943E-2</v>
      </c>
      <c r="J26" s="56">
        <f>'R2'!J32</f>
        <v>0.17718053263823516</v>
      </c>
      <c r="K26" s="56">
        <f>'R2'!K32</f>
        <v>0.14116187336384123</v>
      </c>
      <c r="L26" s="56">
        <f>'R2'!L32</f>
        <v>1.1196959190684017</v>
      </c>
      <c r="M26" s="56">
        <f>'R2'!M32</f>
        <v>2.8089379040600968</v>
      </c>
      <c r="O26" s="56">
        <f>'R2'!O32</f>
        <v>1.6600884716872191</v>
      </c>
      <c r="P26" s="56">
        <f>'R2'!P32</f>
        <v>3.7169952039238408</v>
      </c>
      <c r="Q26" s="56">
        <f>'R2'!Q32</f>
        <v>3.0352280454326416E-2</v>
      </c>
      <c r="R26" s="56">
        <f>'R2'!R32</f>
        <v>1.5849357324939772</v>
      </c>
      <c r="S26" s="56">
        <f>'R2'!S32</f>
        <v>2.2009463337326833</v>
      </c>
      <c r="T26" s="56">
        <f>'R2'!T32</f>
        <v>2.0709186829337298</v>
      </c>
      <c r="U26" s="56">
        <f>'R2'!U32</f>
        <v>2.8286265381659526</v>
      </c>
      <c r="V26" s="56">
        <f>'R2'!V32</f>
        <v>2.796802991438887</v>
      </c>
      <c r="W26" s="56" t="str">
        <f>'R2'!W32</f>
        <v/>
      </c>
      <c r="X26" s="56" t="str">
        <f>'R2'!X32</f>
        <v/>
      </c>
      <c r="Y26" s="56" t="str">
        <f>'R2'!Y32</f>
        <v/>
      </c>
      <c r="Z26" s="56" t="str">
        <f>'R2'!Z32</f>
        <v/>
      </c>
      <c r="AA26" s="56" t="str">
        <f>'R2'!AA32</f>
        <v/>
      </c>
      <c r="AB26" s="56" t="str">
        <f>'R2'!AB32</f>
        <v/>
      </c>
      <c r="AC26" s="56" t="str">
        <f>'R2'!AC32</f>
        <v/>
      </c>
      <c r="AD26" s="56" t="str">
        <f>'R2'!AD32</f>
        <v/>
      </c>
      <c r="AE26" s="56" t="str">
        <f>'R2'!AE32</f>
        <v/>
      </c>
      <c r="AF26" s="56" t="str">
        <f>'R2'!AF32</f>
        <v/>
      </c>
      <c r="AG26" s="56" t="str">
        <f>'R2'!AG32</f>
        <v/>
      </c>
      <c r="AH26" s="56" t="str">
        <f>'R2'!AH32</f>
        <v/>
      </c>
      <c r="AI26" s="56" t="str">
        <f>'R2'!AI32</f>
        <v/>
      </c>
      <c r="AJ26" s="56" t="str">
        <f>'R2'!AJ32</f>
        <v/>
      </c>
      <c r="AK26" s="56" t="str">
        <f>'R2'!AK32</f>
        <v/>
      </c>
    </row>
    <row r="27" spans="1:37" x14ac:dyDescent="0.25">
      <c r="A27" s="237"/>
      <c r="B27" s="56">
        <f>'R2'!B33</f>
        <v>6.0430687840606727E-4</v>
      </c>
      <c r="C27" s="56">
        <f>'R2'!C33</f>
        <v>0</v>
      </c>
      <c r="D27" s="56">
        <f>'R2'!D33</f>
        <v>8.1383580482150331E-2</v>
      </c>
      <c r="E27" s="56">
        <f>'R2'!E33</f>
        <v>0.12542104167697762</v>
      </c>
      <c r="F27" s="56">
        <f>'R2'!F33</f>
        <v>5.0918407534055752E-3</v>
      </c>
      <c r="G27" s="56">
        <f>'R2'!G33</f>
        <v>1.540259157810089</v>
      </c>
      <c r="H27" s="56">
        <f>'R2'!H33</f>
        <v>2.6753592920017861</v>
      </c>
      <c r="I27" s="56">
        <f>'R2'!I33</f>
        <v>0.19489251764428006</v>
      </c>
      <c r="J27" s="56">
        <f>'R2'!J33</f>
        <v>0.13468326396487781</v>
      </c>
      <c r="K27" s="56">
        <f>'R2'!K33</f>
        <v>1.7205303800799447</v>
      </c>
      <c r="L27" s="56">
        <f>'R2'!L33</f>
        <v>2.2038437550788266</v>
      </c>
      <c r="M27" s="56">
        <f>'R2'!M33</f>
        <v>2.9483289911068806</v>
      </c>
      <c r="O27" s="56">
        <f>'R2'!O33</f>
        <v>1.851023569296405</v>
      </c>
      <c r="P27" s="56">
        <f>'R2'!P33</f>
        <v>2.9372268272623332</v>
      </c>
      <c r="Q27" s="56">
        <f>'R2'!Q33</f>
        <v>0.22508152761573286</v>
      </c>
      <c r="R27" s="56">
        <f>'R2'!R33</f>
        <v>1.4901421037890996</v>
      </c>
      <c r="S27" s="56">
        <f>'R2'!S33</f>
        <v>2.2129772845036486</v>
      </c>
      <c r="T27" s="56">
        <f>'R2'!T33</f>
        <v>2.2672080448213885</v>
      </c>
      <c r="U27" s="56">
        <f>'R2'!U33</f>
        <v>2.3072189307415316</v>
      </c>
      <c r="V27" s="56">
        <f>'R2'!V33</f>
        <v>2.8732138064146082</v>
      </c>
      <c r="W27" s="56" t="str">
        <f>'R2'!W33</f>
        <v/>
      </c>
      <c r="X27" s="56" t="str">
        <f>'R2'!X33</f>
        <v/>
      </c>
      <c r="Y27" s="56" t="str">
        <f>'R2'!Y33</f>
        <v/>
      </c>
      <c r="Z27" s="56" t="str">
        <f>'R2'!Z33</f>
        <v/>
      </c>
      <c r="AA27" s="56" t="str">
        <f>'R2'!AA33</f>
        <v/>
      </c>
      <c r="AB27" s="56" t="str">
        <f>'R2'!AB33</f>
        <v/>
      </c>
      <c r="AC27" s="56" t="str">
        <f>'R2'!AC33</f>
        <v/>
      </c>
      <c r="AD27" s="56" t="str">
        <f>'R2'!AD33</f>
        <v/>
      </c>
      <c r="AE27" s="56" t="str">
        <f>'R2'!AE33</f>
        <v/>
      </c>
      <c r="AF27" s="56" t="str">
        <f>'R2'!AF33</f>
        <v/>
      </c>
      <c r="AG27" s="56" t="str">
        <f>'R2'!AG33</f>
        <v/>
      </c>
      <c r="AH27" s="56" t="str">
        <f>'R2'!AH33</f>
        <v/>
      </c>
      <c r="AI27" s="56" t="str">
        <f>'R2'!AI33</f>
        <v/>
      </c>
      <c r="AJ27" s="56" t="str">
        <f>'R2'!AJ33</f>
        <v/>
      </c>
      <c r="AK27" s="56" t="str">
        <f>'R2'!AK33</f>
        <v/>
      </c>
    </row>
    <row r="28" spans="1:37" x14ac:dyDescent="0.25">
      <c r="A28" s="237"/>
      <c r="B28" s="56">
        <f>'R2'!B34</f>
        <v>0.15808154999577284</v>
      </c>
      <c r="C28" s="56">
        <f>'R2'!C34</f>
        <v>4.3017192420011743E-2</v>
      </c>
      <c r="D28" s="56">
        <f>'R2'!D34</f>
        <v>9.9254256153877465E-2</v>
      </c>
      <c r="E28" s="56">
        <f>'R2'!E34</f>
        <v>0.32709409316856458</v>
      </c>
      <c r="F28" s="56">
        <f>'R2'!F34</f>
        <v>0.12280092826177405</v>
      </c>
      <c r="G28" s="56">
        <f>'R2'!G34</f>
        <v>1.8205918290138075</v>
      </c>
      <c r="H28" s="56">
        <f>'R2'!H34</f>
        <v>3.114328129063157</v>
      </c>
      <c r="I28" s="56">
        <f>'R2'!I34</f>
        <v>0.1831984124277431</v>
      </c>
      <c r="J28" s="56">
        <f>'R2'!J34</f>
        <v>0.17934472525203424</v>
      </c>
      <c r="K28" s="56">
        <f>'R2'!K34</f>
        <v>0.32589807390902881</v>
      </c>
      <c r="L28" s="56">
        <f>'R2'!L34</f>
        <v>2.1430205769049162</v>
      </c>
      <c r="M28" s="56">
        <f>'R2'!M34</f>
        <v>2.2719483846053539</v>
      </c>
      <c r="O28" s="56">
        <f>'R2'!O34</f>
        <v>0.84922496822293858</v>
      </c>
      <c r="P28" s="56">
        <f>'R2'!P34</f>
        <v>2.2568613218225635</v>
      </c>
      <c r="Q28" s="56">
        <f>'R2'!Q34</f>
        <v>9.542049118295122E-2</v>
      </c>
      <c r="R28" s="56">
        <f>'R2'!R34</f>
        <v>1.2600899860801036</v>
      </c>
      <c r="S28" s="56">
        <f>'R2'!S34</f>
        <v>2.1133467963674968</v>
      </c>
      <c r="T28" s="56">
        <f>'R2'!T34</f>
        <v>2.1781351802657265</v>
      </c>
      <c r="U28" s="56">
        <f>'R2'!U34</f>
        <v>2.4864498475363592</v>
      </c>
      <c r="V28" s="56">
        <f>'R2'!V34</f>
        <v>2.9418132851886667</v>
      </c>
      <c r="W28" s="56" t="str">
        <f>'R2'!W34</f>
        <v/>
      </c>
      <c r="X28" s="56" t="str">
        <f>'R2'!X34</f>
        <v/>
      </c>
      <c r="Y28" s="56" t="str">
        <f>'R2'!Y34</f>
        <v/>
      </c>
      <c r="Z28" s="56" t="str">
        <f>'R2'!Z34</f>
        <v/>
      </c>
      <c r="AA28" s="56" t="str">
        <f>'R2'!AA34</f>
        <v/>
      </c>
      <c r="AB28" s="56" t="str">
        <f>'R2'!AB34</f>
        <v/>
      </c>
      <c r="AC28" s="56" t="str">
        <f>'R2'!AC34</f>
        <v/>
      </c>
      <c r="AD28" s="56" t="str">
        <f>'R2'!AD34</f>
        <v/>
      </c>
      <c r="AE28" s="56" t="str">
        <f>'R2'!AE34</f>
        <v/>
      </c>
      <c r="AF28" s="56" t="str">
        <f>'R2'!AF34</f>
        <v/>
      </c>
      <c r="AG28" s="56" t="str">
        <f>'R2'!AG34</f>
        <v/>
      </c>
      <c r="AH28" s="56" t="str">
        <f>'R2'!AH34</f>
        <v/>
      </c>
      <c r="AI28" s="56" t="str">
        <f>'R2'!AI34</f>
        <v/>
      </c>
      <c r="AJ28" s="56" t="str">
        <f>'R2'!AJ34</f>
        <v/>
      </c>
      <c r="AK28" s="56" t="str">
        <f>'R2'!AK34</f>
        <v/>
      </c>
    </row>
    <row r="29" spans="1:37" x14ac:dyDescent="0.25">
      <c r="A29" s="237"/>
      <c r="B29" s="56" t="str">
        <f>'R2'!B35</f>
        <v/>
      </c>
      <c r="C29" s="56">
        <f>'R2'!C35</f>
        <v>9.8065564601847954E-2</v>
      </c>
      <c r="D29" s="56">
        <f>'R2'!D35</f>
        <v>5.8841491275188739E-3</v>
      </c>
      <c r="E29" s="56">
        <f>'R2'!E35</f>
        <v>0.13703614504696285</v>
      </c>
      <c r="F29" s="56">
        <f>'R2'!F35</f>
        <v>9.0155533339710478E-2</v>
      </c>
      <c r="G29" s="56">
        <f>'R2'!G35</f>
        <v>1.8190960607190945</v>
      </c>
      <c r="H29" s="56">
        <f>'R2'!H35</f>
        <v>3.4755786133406597</v>
      </c>
      <c r="I29" s="56">
        <f>'R2'!I35</f>
        <v>0.15063705715114181</v>
      </c>
      <c r="J29" s="56">
        <f>'R2'!J35</f>
        <v>0.27869813444810565</v>
      </c>
      <c r="K29" s="56">
        <f>'R2'!K35</f>
        <v>0.93869684935140174</v>
      </c>
      <c r="L29" s="56">
        <f>'R2'!L35</f>
        <v>2.4690399014740878</v>
      </c>
      <c r="M29" s="56">
        <f>'R2'!M35</f>
        <v>3.173977729081769</v>
      </c>
      <c r="O29" s="56">
        <f>'R2'!O35</f>
        <v>0.12639677172960675</v>
      </c>
      <c r="P29" s="56">
        <f>'R2'!P35</f>
        <v>2.5931089811161621</v>
      </c>
      <c r="Q29" s="56">
        <f>'R2'!Q35</f>
        <v>0.11562389674112118</v>
      </c>
      <c r="R29" s="56">
        <f>'R2'!R35</f>
        <v>1.8672647460114296</v>
      </c>
      <c r="S29" s="56">
        <f>'R2'!S35</f>
        <v>1.4092562349402253</v>
      </c>
      <c r="T29" s="56">
        <f>'R2'!T35</f>
        <v>2.1209944041045667</v>
      </c>
      <c r="U29" s="56">
        <f>'R2'!U35</f>
        <v>2.9946327748388755</v>
      </c>
      <c r="V29" s="56">
        <f>'R2'!V35</f>
        <v>3.1712731180393838</v>
      </c>
      <c r="W29" s="56" t="str">
        <f>'R2'!W35</f>
        <v/>
      </c>
      <c r="X29" s="56" t="str">
        <f>'R2'!X35</f>
        <v/>
      </c>
      <c r="Y29" s="56" t="str">
        <f>'R2'!Y35</f>
        <v/>
      </c>
      <c r="Z29" s="56" t="str">
        <f>'R2'!Z35</f>
        <v/>
      </c>
      <c r="AA29" s="56" t="str">
        <f>'R2'!AA35</f>
        <v/>
      </c>
      <c r="AB29" s="56" t="str">
        <f>'R2'!AB35</f>
        <v/>
      </c>
      <c r="AC29" s="56" t="str">
        <f>'R2'!AC35</f>
        <v/>
      </c>
      <c r="AD29" s="56" t="str">
        <f>'R2'!AD35</f>
        <v/>
      </c>
      <c r="AE29" s="56" t="str">
        <f>'R2'!AE35</f>
        <v/>
      </c>
      <c r="AF29" s="56" t="str">
        <f>'R2'!AF35</f>
        <v/>
      </c>
      <c r="AG29" s="56" t="str">
        <f>'R2'!AG35</f>
        <v/>
      </c>
      <c r="AH29" s="56" t="str">
        <f>'R2'!AH35</f>
        <v/>
      </c>
      <c r="AI29" s="56" t="str">
        <f>'R2'!AI35</f>
        <v/>
      </c>
      <c r="AJ29" s="56" t="str">
        <f>'R2'!AJ35</f>
        <v/>
      </c>
      <c r="AK29" s="56" t="str">
        <f>'R2'!AK35</f>
        <v/>
      </c>
    </row>
    <row r="30" spans="1:37" x14ac:dyDescent="0.25">
      <c r="A30" s="237"/>
      <c r="B30" s="56" t="str">
        <f>'R2'!B36</f>
        <v/>
      </c>
      <c r="C30" s="56" t="str">
        <f>'R2'!C36</f>
        <v/>
      </c>
      <c r="D30" s="56" t="str">
        <f>'R2'!D36</f>
        <v/>
      </c>
      <c r="E30" s="56" t="str">
        <f>'R2'!E36</f>
        <v/>
      </c>
      <c r="F30" s="56" t="str">
        <f>'R2'!F36</f>
        <v/>
      </c>
      <c r="G30" s="56" t="str">
        <f>'R2'!G36</f>
        <v/>
      </c>
      <c r="H30" s="56" t="str">
        <f>'R2'!H36</f>
        <v/>
      </c>
      <c r="I30" s="56" t="str">
        <f>'R2'!I36</f>
        <v/>
      </c>
      <c r="J30" s="56" t="str">
        <f>'R2'!J36</f>
        <v/>
      </c>
      <c r="K30" s="56" t="str">
        <f>'R2'!K36</f>
        <v/>
      </c>
      <c r="L30" s="56" t="str">
        <f>'R2'!L36</f>
        <v/>
      </c>
      <c r="M30" s="56" t="str">
        <f>'R2'!M36</f>
        <v/>
      </c>
      <c r="O30" s="56" t="str">
        <f>'R2'!O36</f>
        <v/>
      </c>
      <c r="P30" s="56" t="str">
        <f>'R2'!P36</f>
        <v/>
      </c>
      <c r="Q30" s="56" t="str">
        <f>'R2'!Q36</f>
        <v/>
      </c>
      <c r="R30" s="56" t="str">
        <f>'R2'!R36</f>
        <v/>
      </c>
      <c r="S30" s="56" t="str">
        <f>'R2'!S36</f>
        <v/>
      </c>
      <c r="T30" s="56" t="str">
        <f>'R2'!T36</f>
        <v/>
      </c>
      <c r="U30" s="56" t="str">
        <f>'R2'!U36</f>
        <v/>
      </c>
      <c r="V30" s="56" t="str">
        <f>'R2'!V36</f>
        <v/>
      </c>
      <c r="W30" s="56" t="str">
        <f>'R2'!W36</f>
        <v/>
      </c>
      <c r="X30" s="56" t="str">
        <f>'R2'!X36</f>
        <v/>
      </c>
      <c r="Y30" s="56" t="str">
        <f>'R2'!Y36</f>
        <v/>
      </c>
      <c r="Z30" s="56" t="str">
        <f>'R2'!Z36</f>
        <v/>
      </c>
      <c r="AA30" s="56" t="str">
        <f>'R2'!AA36</f>
        <v/>
      </c>
      <c r="AB30" s="56" t="str">
        <f>'R2'!AB36</f>
        <v/>
      </c>
      <c r="AC30" s="56" t="str">
        <f>'R2'!AC36</f>
        <v/>
      </c>
      <c r="AD30" s="56" t="str">
        <f>'R2'!AD36</f>
        <v/>
      </c>
      <c r="AE30" s="56" t="str">
        <f>'R2'!AE36</f>
        <v/>
      </c>
      <c r="AF30" s="56" t="str">
        <f>'R2'!AF36</f>
        <v/>
      </c>
      <c r="AG30" s="56" t="str">
        <f>'R2'!AG36</f>
        <v/>
      </c>
      <c r="AH30" s="56" t="str">
        <f>'R2'!AH36</f>
        <v/>
      </c>
      <c r="AI30" s="56" t="str">
        <f>'R2'!AI36</f>
        <v/>
      </c>
      <c r="AJ30" s="56" t="str">
        <f>'R2'!AJ36</f>
        <v/>
      </c>
      <c r="AK30" s="56" t="str">
        <f>'R2'!AK36</f>
        <v/>
      </c>
    </row>
    <row r="31" spans="1:37" s="1" customFormat="1" x14ac:dyDescent="0.25">
      <c r="A31" s="237"/>
      <c r="B31" s="56" t="str">
        <f>'R2'!B37</f>
        <v/>
      </c>
      <c r="C31" s="56" t="str">
        <f>'R2'!C37</f>
        <v/>
      </c>
      <c r="D31" s="56" t="str">
        <f>'R2'!D37</f>
        <v/>
      </c>
      <c r="E31" s="56" t="str">
        <f>'R2'!E37</f>
        <v/>
      </c>
      <c r="F31" s="56" t="str">
        <f>'R2'!F37</f>
        <v/>
      </c>
      <c r="G31" s="56" t="str">
        <f>'R2'!G37</f>
        <v/>
      </c>
      <c r="H31" s="56" t="str">
        <f>'R2'!H37</f>
        <v/>
      </c>
      <c r="I31" s="56" t="str">
        <f>'R2'!I37</f>
        <v/>
      </c>
      <c r="J31" s="56" t="str">
        <f>'R2'!J37</f>
        <v/>
      </c>
      <c r="K31" s="56" t="str">
        <f>'R2'!K37</f>
        <v/>
      </c>
      <c r="L31" s="56" t="str">
        <f>'R2'!L37</f>
        <v/>
      </c>
      <c r="M31" s="56" t="str">
        <f>'R2'!M37</f>
        <v/>
      </c>
      <c r="N31"/>
      <c r="O31" s="56">
        <f>'R2'!O37</f>
        <v>1.9351113028392213</v>
      </c>
      <c r="P31" s="56" t="str">
        <f>'R2'!P37</f>
        <v/>
      </c>
      <c r="Q31" s="56" t="str">
        <f>'R2'!Q37</f>
        <v/>
      </c>
      <c r="R31" s="56" t="str">
        <f>'R2'!R37</f>
        <v/>
      </c>
      <c r="S31" s="56" t="str">
        <f>'R2'!S37</f>
        <v/>
      </c>
      <c r="T31" s="56" t="str">
        <f>'R2'!T37</f>
        <v/>
      </c>
      <c r="U31" s="56" t="str">
        <f>'R2'!U37</f>
        <v/>
      </c>
      <c r="V31" s="56" t="str">
        <f>'R2'!V37</f>
        <v/>
      </c>
      <c r="W31" s="56" t="str">
        <f>'R2'!W37</f>
        <v/>
      </c>
      <c r="X31" s="56" t="str">
        <f>'R2'!X37</f>
        <v/>
      </c>
      <c r="Y31" s="56" t="str">
        <f>'R2'!Y37</f>
        <v/>
      </c>
      <c r="Z31" s="56" t="str">
        <f>'R2'!Z37</f>
        <v/>
      </c>
      <c r="AA31" s="56" t="str">
        <f>'R2'!AA37</f>
        <v/>
      </c>
      <c r="AB31" s="56" t="str">
        <f>'R2'!AB37</f>
        <v/>
      </c>
      <c r="AC31" s="56" t="str">
        <f>'R2'!AC37</f>
        <v/>
      </c>
      <c r="AD31" s="56" t="str">
        <f>'R2'!AD37</f>
        <v/>
      </c>
      <c r="AE31" s="56" t="str">
        <f>'R2'!AE37</f>
        <v/>
      </c>
      <c r="AF31" s="56" t="str">
        <f>'R2'!AF37</f>
        <v/>
      </c>
      <c r="AG31" s="56" t="str">
        <f>'R2'!AG37</f>
        <v/>
      </c>
      <c r="AH31" s="56" t="str">
        <f>'R2'!AH37</f>
        <v/>
      </c>
      <c r="AI31" s="56" t="str">
        <f>'R2'!AI37</f>
        <v/>
      </c>
      <c r="AJ31" s="56" t="str">
        <f>'R2'!AJ37</f>
        <v/>
      </c>
      <c r="AK31" s="56" t="str">
        <f>'R2'!AK37</f>
        <v/>
      </c>
    </row>
    <row r="32" spans="1:37" s="1" customFormat="1" x14ac:dyDescent="0.25">
      <c r="A32" s="237"/>
      <c r="B32" s="56" t="str">
        <f>'R2'!B38</f>
        <v/>
      </c>
      <c r="C32" s="56" t="str">
        <f>'R2'!C38</f>
        <v/>
      </c>
      <c r="D32" s="56" t="str">
        <f>'R2'!D38</f>
        <v/>
      </c>
      <c r="E32" s="56" t="str">
        <f>'R2'!E38</f>
        <v/>
      </c>
      <c r="F32" s="56" t="str">
        <f>'R2'!F38</f>
        <v/>
      </c>
      <c r="G32" s="56" t="str">
        <f>'R2'!G38</f>
        <v/>
      </c>
      <c r="H32" s="56" t="str">
        <f>'R2'!H38</f>
        <v/>
      </c>
      <c r="I32" s="56" t="str">
        <f>'R2'!I38</f>
        <v/>
      </c>
      <c r="J32" s="56" t="str">
        <f>'R2'!J38</f>
        <v/>
      </c>
      <c r="K32" s="56" t="str">
        <f>'R2'!K38</f>
        <v/>
      </c>
      <c r="L32" s="56" t="str">
        <f>'R2'!L38</f>
        <v/>
      </c>
      <c r="M32" s="56" t="str">
        <f>'R2'!M38</f>
        <v/>
      </c>
      <c r="N32"/>
      <c r="O32" s="56">
        <f>'R2'!O38</f>
        <v>1.155526347856229</v>
      </c>
      <c r="P32" s="56" t="str">
        <f>'R2'!P38</f>
        <v/>
      </c>
      <c r="Q32" s="56" t="str">
        <f>'R2'!Q38</f>
        <v/>
      </c>
      <c r="R32" s="56" t="str">
        <f>'R2'!R38</f>
        <v/>
      </c>
      <c r="S32" s="56" t="str">
        <f>'R2'!S38</f>
        <v/>
      </c>
      <c r="T32" s="56" t="str">
        <f>'R2'!T38</f>
        <v/>
      </c>
      <c r="U32" s="56" t="str">
        <f>'R2'!U38</f>
        <v/>
      </c>
      <c r="V32" s="56" t="str">
        <f>'R2'!V38</f>
        <v/>
      </c>
      <c r="W32" s="56" t="str">
        <f>'R2'!W38</f>
        <v/>
      </c>
      <c r="X32" s="56" t="str">
        <f>'R2'!X38</f>
        <v/>
      </c>
      <c r="Y32" s="56" t="str">
        <f>'R2'!Y38</f>
        <v/>
      </c>
      <c r="Z32" s="56" t="str">
        <f>'R2'!Z38</f>
        <v/>
      </c>
      <c r="AA32" s="56" t="str">
        <f>'R2'!AA38</f>
        <v/>
      </c>
      <c r="AB32" s="56" t="str">
        <f>'R2'!AB38</f>
        <v/>
      </c>
      <c r="AC32" s="56" t="str">
        <f>'R2'!AC38</f>
        <v/>
      </c>
      <c r="AD32" s="56" t="str">
        <f>'R2'!AD38</f>
        <v/>
      </c>
      <c r="AE32" s="56" t="str">
        <f>'R2'!AE38</f>
        <v/>
      </c>
      <c r="AF32" s="56" t="str">
        <f>'R2'!AF38</f>
        <v/>
      </c>
      <c r="AG32" s="56" t="str">
        <f>'R2'!AG38</f>
        <v/>
      </c>
      <c r="AH32" s="56" t="str">
        <f>'R2'!AH38</f>
        <v/>
      </c>
      <c r="AI32" s="56" t="str">
        <f>'R2'!AI38</f>
        <v/>
      </c>
      <c r="AJ32" s="56" t="str">
        <f>'R2'!AJ38</f>
        <v/>
      </c>
      <c r="AK32" s="56" t="str">
        <f>'R2'!AK38</f>
        <v/>
      </c>
    </row>
    <row r="33" spans="1:37" s="1" customFormat="1" x14ac:dyDescent="0.25">
      <c r="A33" s="237"/>
      <c r="B33" s="56" t="str">
        <f>'R2'!B39</f>
        <v/>
      </c>
      <c r="C33" s="56" t="str">
        <f>'R2'!C39</f>
        <v/>
      </c>
      <c r="D33" s="56" t="str">
        <f>'R2'!D39</f>
        <v/>
      </c>
      <c r="E33" s="56" t="str">
        <f>'R2'!E39</f>
        <v/>
      </c>
      <c r="F33" s="56" t="str">
        <f>'R2'!F39</f>
        <v/>
      </c>
      <c r="G33" s="56" t="str">
        <f>'R2'!G39</f>
        <v/>
      </c>
      <c r="H33" s="56" t="str">
        <f>'R2'!H39</f>
        <v/>
      </c>
      <c r="I33" s="56" t="str">
        <f>'R2'!I39</f>
        <v/>
      </c>
      <c r="J33" s="56" t="str">
        <f>'R2'!J39</f>
        <v/>
      </c>
      <c r="K33" s="56" t="str">
        <f>'R2'!K39</f>
        <v/>
      </c>
      <c r="L33" s="56" t="str">
        <f>'R2'!L39</f>
        <v/>
      </c>
      <c r="M33" s="56" t="str">
        <f>'R2'!M39</f>
        <v/>
      </c>
      <c r="N33"/>
      <c r="O33" s="56">
        <f>'R2'!O39</f>
        <v>2.2817404917422999</v>
      </c>
      <c r="P33" s="56" t="str">
        <f>'R2'!P39</f>
        <v/>
      </c>
      <c r="Q33" s="56" t="str">
        <f>'R2'!Q39</f>
        <v/>
      </c>
      <c r="R33" s="56" t="str">
        <f>'R2'!R39</f>
        <v/>
      </c>
      <c r="S33" s="56" t="str">
        <f>'R2'!S39</f>
        <v/>
      </c>
      <c r="T33" s="56" t="str">
        <f>'R2'!T39</f>
        <v/>
      </c>
      <c r="U33" s="56" t="str">
        <f>'R2'!U39</f>
        <v/>
      </c>
      <c r="V33" s="56" t="str">
        <f>'R2'!V39</f>
        <v/>
      </c>
      <c r="W33" s="56" t="str">
        <f>'R2'!W39</f>
        <v/>
      </c>
      <c r="X33" s="56" t="str">
        <f>'R2'!X39</f>
        <v/>
      </c>
      <c r="Y33" s="56" t="str">
        <f>'R2'!Y39</f>
        <v/>
      </c>
      <c r="Z33" s="56" t="str">
        <f>'R2'!Z39</f>
        <v/>
      </c>
      <c r="AA33" s="56" t="str">
        <f>'R2'!AA39</f>
        <v/>
      </c>
      <c r="AB33" s="56" t="str">
        <f>'R2'!AB39</f>
        <v/>
      </c>
      <c r="AC33" s="56" t="str">
        <f>'R2'!AC39</f>
        <v/>
      </c>
      <c r="AD33" s="56" t="str">
        <f>'R2'!AD39</f>
        <v/>
      </c>
      <c r="AE33" s="56" t="str">
        <f>'R2'!AE39</f>
        <v/>
      </c>
      <c r="AF33" s="56" t="str">
        <f>'R2'!AF39</f>
        <v/>
      </c>
      <c r="AG33" s="56" t="str">
        <f>'R2'!AG39</f>
        <v/>
      </c>
      <c r="AH33" s="56" t="str">
        <f>'R2'!AH39</f>
        <v/>
      </c>
      <c r="AI33" s="56" t="str">
        <f>'R2'!AI39</f>
        <v/>
      </c>
      <c r="AJ33" s="56" t="str">
        <f>'R2'!AJ39</f>
        <v/>
      </c>
      <c r="AK33" s="56" t="str">
        <f>'R2'!AK39</f>
        <v/>
      </c>
    </row>
    <row r="34" spans="1:37" s="1" customFormat="1" x14ac:dyDescent="0.25">
      <c r="A34" s="237"/>
      <c r="B34" s="56" t="str">
        <f>'R2'!B40</f>
        <v/>
      </c>
      <c r="C34" s="56" t="str">
        <f>'R2'!C40</f>
        <v/>
      </c>
      <c r="D34" s="56" t="str">
        <f>'R2'!D40</f>
        <v/>
      </c>
      <c r="E34" s="56" t="str">
        <f>'R2'!E40</f>
        <v/>
      </c>
      <c r="F34" s="56" t="str">
        <f>'R2'!F40</f>
        <v/>
      </c>
      <c r="G34" s="56" t="str">
        <f>'R2'!G40</f>
        <v/>
      </c>
      <c r="H34" s="56" t="str">
        <f>'R2'!H40</f>
        <v/>
      </c>
      <c r="I34" s="56" t="str">
        <f>'R2'!I40</f>
        <v/>
      </c>
      <c r="J34" s="56" t="str">
        <f>'R2'!J40</f>
        <v/>
      </c>
      <c r="K34" s="56" t="str">
        <f>'R2'!K40</f>
        <v/>
      </c>
      <c r="L34" s="56" t="str">
        <f>'R2'!L40</f>
        <v/>
      </c>
      <c r="M34" s="56" t="str">
        <f>'R2'!M40</f>
        <v/>
      </c>
      <c r="N34"/>
      <c r="O34" s="56">
        <f>'R2'!O40</f>
        <v>6.8763207238651439E-2</v>
      </c>
      <c r="P34" s="56" t="str">
        <f>'R2'!P40</f>
        <v/>
      </c>
      <c r="Q34" s="56" t="str">
        <f>'R2'!Q40</f>
        <v/>
      </c>
      <c r="R34" s="56" t="str">
        <f>'R2'!R40</f>
        <v/>
      </c>
      <c r="S34" s="56" t="str">
        <f>'R2'!S40</f>
        <v/>
      </c>
      <c r="T34" s="56" t="str">
        <f>'R2'!T40</f>
        <v/>
      </c>
      <c r="U34" s="56" t="str">
        <f>'R2'!U40</f>
        <v/>
      </c>
      <c r="V34" s="56" t="str">
        <f>'R2'!V40</f>
        <v/>
      </c>
      <c r="W34" s="56" t="str">
        <f>'R2'!W40</f>
        <v/>
      </c>
      <c r="X34" s="56" t="str">
        <f>'R2'!X40</f>
        <v/>
      </c>
      <c r="Y34" s="56" t="str">
        <f>'R2'!Y40</f>
        <v/>
      </c>
      <c r="Z34" s="56" t="str">
        <f>'R2'!Z40</f>
        <v/>
      </c>
      <c r="AA34" s="56" t="str">
        <f>'R2'!AA40</f>
        <v/>
      </c>
      <c r="AB34" s="56" t="str">
        <f>'R2'!AB40</f>
        <v/>
      </c>
      <c r="AC34" s="56" t="str">
        <f>'R2'!AC40</f>
        <v/>
      </c>
      <c r="AD34" s="56" t="str">
        <f>'R2'!AD40</f>
        <v/>
      </c>
      <c r="AE34" s="56" t="str">
        <f>'R2'!AE40</f>
        <v/>
      </c>
      <c r="AF34" s="56" t="str">
        <f>'R2'!AF40</f>
        <v/>
      </c>
      <c r="AG34" s="56" t="str">
        <f>'R2'!AG40</f>
        <v/>
      </c>
      <c r="AH34" s="56" t="str">
        <f>'R2'!AH40</f>
        <v/>
      </c>
      <c r="AI34" s="56" t="str">
        <f>'R2'!AI40</f>
        <v/>
      </c>
      <c r="AJ34" s="56" t="str">
        <f>'R2'!AJ40</f>
        <v/>
      </c>
      <c r="AK34" s="56" t="str">
        <f>'R2'!AK40</f>
        <v/>
      </c>
    </row>
    <row r="35" spans="1:37" s="1" customFormat="1" x14ac:dyDescent="0.25">
      <c r="A35" s="237"/>
      <c r="B35" s="56" t="str">
        <f>'R2'!B41</f>
        <v/>
      </c>
      <c r="C35" s="56" t="str">
        <f>'R2'!C41</f>
        <v/>
      </c>
      <c r="D35" s="56" t="str">
        <f>'R2'!D41</f>
        <v/>
      </c>
      <c r="E35" s="56" t="str">
        <f>'R2'!E41</f>
        <v/>
      </c>
      <c r="F35" s="56" t="str">
        <f>'R2'!F41</f>
        <v/>
      </c>
      <c r="G35" s="56" t="str">
        <f>'R2'!G41</f>
        <v/>
      </c>
      <c r="H35" s="56" t="str">
        <f>'R2'!H41</f>
        <v/>
      </c>
      <c r="I35" s="56" t="str">
        <f>'R2'!I41</f>
        <v/>
      </c>
      <c r="J35" s="56" t="str">
        <f>'R2'!J41</f>
        <v/>
      </c>
      <c r="K35" s="56" t="str">
        <f>'R2'!K41</f>
        <v/>
      </c>
      <c r="L35" s="56" t="str">
        <f>'R2'!L41</f>
        <v/>
      </c>
      <c r="M35" s="56" t="str">
        <f>'R2'!M41</f>
        <v/>
      </c>
      <c r="N35"/>
      <c r="O35" s="56">
        <f>'R2'!O41</f>
        <v>0.6117312200550562</v>
      </c>
      <c r="P35" s="56" t="str">
        <f>'R2'!P41</f>
        <v/>
      </c>
      <c r="Q35" s="56" t="str">
        <f>'R2'!Q41</f>
        <v/>
      </c>
      <c r="R35" s="56" t="str">
        <f>'R2'!R41</f>
        <v/>
      </c>
      <c r="S35" s="56" t="str">
        <f>'R2'!S41</f>
        <v/>
      </c>
      <c r="T35" s="56" t="str">
        <f>'R2'!T41</f>
        <v/>
      </c>
      <c r="U35" s="56" t="str">
        <f>'R2'!U41</f>
        <v/>
      </c>
      <c r="V35" s="56" t="str">
        <f>'R2'!V41</f>
        <v/>
      </c>
      <c r="W35" s="56" t="str">
        <f>'R2'!W41</f>
        <v/>
      </c>
      <c r="X35" s="56" t="str">
        <f>'R2'!X41</f>
        <v/>
      </c>
      <c r="Y35" s="56" t="str">
        <f>'R2'!Y41</f>
        <v/>
      </c>
      <c r="Z35" s="56" t="str">
        <f>'R2'!Z41</f>
        <v/>
      </c>
      <c r="AA35" s="56" t="str">
        <f>'R2'!AA41</f>
        <v/>
      </c>
      <c r="AB35" s="56" t="str">
        <f>'R2'!AB41</f>
        <v/>
      </c>
      <c r="AC35" s="56" t="str">
        <f>'R2'!AC41</f>
        <v/>
      </c>
      <c r="AD35" s="56" t="str">
        <f>'R2'!AD41</f>
        <v/>
      </c>
      <c r="AE35" s="56" t="str">
        <f>'R2'!AE41</f>
        <v/>
      </c>
      <c r="AF35" s="56" t="str">
        <f>'R2'!AF41</f>
        <v/>
      </c>
      <c r="AG35" s="56" t="str">
        <f>'R2'!AG41</f>
        <v/>
      </c>
      <c r="AH35" s="56" t="str">
        <f>'R2'!AH41</f>
        <v/>
      </c>
      <c r="AI35" s="56" t="str">
        <f>'R2'!AI41</f>
        <v/>
      </c>
      <c r="AJ35" s="56" t="str">
        <f>'R2'!AJ41</f>
        <v/>
      </c>
      <c r="AK35" s="56" t="str">
        <f>'R2'!AK41</f>
        <v/>
      </c>
    </row>
    <row r="36" spans="1:37" x14ac:dyDescent="0.25">
      <c r="A36" s="237"/>
      <c r="B36" s="56" t="str">
        <f>'R2'!B42</f>
        <v/>
      </c>
      <c r="C36" s="56" t="str">
        <f>'R2'!C42</f>
        <v/>
      </c>
      <c r="D36" s="56" t="str">
        <f>'R2'!D42</f>
        <v/>
      </c>
      <c r="E36" s="56" t="str">
        <f>'R2'!E42</f>
        <v/>
      </c>
      <c r="F36" s="56" t="str">
        <f>'R2'!F42</f>
        <v/>
      </c>
      <c r="G36" s="56" t="str">
        <f>'R2'!G42</f>
        <v/>
      </c>
      <c r="H36" s="56" t="str">
        <f>'R2'!H42</f>
        <v/>
      </c>
      <c r="I36" s="56" t="str">
        <f>'R2'!I42</f>
        <v/>
      </c>
      <c r="J36" s="56" t="str">
        <f>'R2'!J42</f>
        <v/>
      </c>
      <c r="K36" s="56" t="str">
        <f>'R2'!K42</f>
        <v/>
      </c>
      <c r="L36" s="56" t="str">
        <f>'R2'!L42</f>
        <v/>
      </c>
      <c r="M36" s="56" t="str">
        <f>'R2'!M42</f>
        <v/>
      </c>
      <c r="O36" s="56">
        <f>'R2'!O42</f>
        <v>0.17329730564164172</v>
      </c>
      <c r="P36" s="56" t="str">
        <f>'R2'!P42</f>
        <v/>
      </c>
      <c r="Q36" s="56" t="str">
        <f>'R2'!Q42</f>
        <v/>
      </c>
      <c r="R36" s="56" t="str">
        <f>'R2'!R42</f>
        <v/>
      </c>
      <c r="S36" s="56" t="str">
        <f>'R2'!S42</f>
        <v/>
      </c>
      <c r="T36" s="56" t="str">
        <f>'R2'!T42</f>
        <v/>
      </c>
      <c r="U36" s="56" t="str">
        <f>'R2'!U42</f>
        <v/>
      </c>
      <c r="V36" s="56" t="str">
        <f>'R2'!V42</f>
        <v/>
      </c>
      <c r="W36" s="56" t="str">
        <f>'R2'!W42</f>
        <v/>
      </c>
      <c r="X36" s="56" t="str">
        <f>'R2'!X42</f>
        <v/>
      </c>
      <c r="Y36" s="56" t="str">
        <f>'R2'!Y42</f>
        <v/>
      </c>
      <c r="Z36" s="56" t="str">
        <f>'R2'!Z42</f>
        <v/>
      </c>
      <c r="AA36" s="56" t="str">
        <f>'R2'!AA42</f>
        <v/>
      </c>
      <c r="AB36" s="56" t="str">
        <f>'R2'!AB42</f>
        <v/>
      </c>
      <c r="AC36" s="56" t="str">
        <f>'R2'!AC42</f>
        <v/>
      </c>
      <c r="AD36" s="56" t="str">
        <f>'R2'!AD42</f>
        <v/>
      </c>
      <c r="AE36" s="56" t="str">
        <f>'R2'!AE42</f>
        <v/>
      </c>
      <c r="AF36" s="56" t="str">
        <f>'R2'!AF42</f>
        <v/>
      </c>
      <c r="AG36" s="56" t="str">
        <f>'R2'!AG42</f>
        <v/>
      </c>
      <c r="AH36" s="56" t="str">
        <f>'R2'!AH42</f>
        <v/>
      </c>
      <c r="AI36" s="56" t="str">
        <f>'R2'!AI42</f>
        <v/>
      </c>
      <c r="AJ36" s="56" t="str">
        <f>'R2'!AJ42</f>
        <v/>
      </c>
      <c r="AK36" s="56" t="str">
        <f>'R2'!AK42</f>
        <v/>
      </c>
    </row>
    <row r="37" spans="1:37" x14ac:dyDescent="0.25">
      <c r="A37" s="238"/>
      <c r="B37" s="56" t="str">
        <f>'R2'!B43</f>
        <v/>
      </c>
      <c r="C37" s="56" t="str">
        <f>'R2'!C43</f>
        <v/>
      </c>
      <c r="D37" s="56" t="str">
        <f>'R2'!D43</f>
        <v/>
      </c>
      <c r="E37" s="56" t="str">
        <f>'R2'!E43</f>
        <v/>
      </c>
      <c r="F37" s="56" t="str">
        <f>'R2'!F43</f>
        <v/>
      </c>
      <c r="G37" s="56" t="str">
        <f>'R2'!G43</f>
        <v/>
      </c>
      <c r="H37" s="56" t="str">
        <f>'R2'!H43</f>
        <v/>
      </c>
      <c r="I37" s="56" t="str">
        <f>'R2'!I43</f>
        <v/>
      </c>
      <c r="J37" s="56" t="str">
        <f>'R2'!J43</f>
        <v/>
      </c>
      <c r="K37" s="56" t="str">
        <f>'R2'!K43</f>
        <v/>
      </c>
      <c r="L37" s="56" t="str">
        <f>'R2'!L43</f>
        <v/>
      </c>
      <c r="M37" s="56" t="str">
        <f>'R2'!M43</f>
        <v/>
      </c>
      <c r="O37" s="56">
        <f>'R2'!O43</f>
        <v>0.61451002413594202</v>
      </c>
      <c r="P37" s="56" t="str">
        <f>'R2'!P43</f>
        <v/>
      </c>
      <c r="Q37" s="56" t="str">
        <f>'R2'!Q43</f>
        <v/>
      </c>
      <c r="R37" s="56" t="str">
        <f>'R2'!R43</f>
        <v/>
      </c>
      <c r="S37" s="56" t="str">
        <f>'R2'!S43</f>
        <v/>
      </c>
      <c r="T37" s="56" t="str">
        <f>'R2'!T43</f>
        <v/>
      </c>
      <c r="U37" s="56" t="str">
        <f>'R2'!U43</f>
        <v/>
      </c>
      <c r="V37" s="56" t="str">
        <f>'R2'!V43</f>
        <v/>
      </c>
      <c r="W37" s="56" t="str">
        <f>'R2'!W43</f>
        <v/>
      </c>
      <c r="X37" s="56" t="str">
        <f>'R2'!X43</f>
        <v/>
      </c>
      <c r="Y37" s="56" t="str">
        <f>'R2'!Y43</f>
        <v/>
      </c>
      <c r="Z37" s="56" t="str">
        <f>'R2'!Z43</f>
        <v/>
      </c>
      <c r="AA37" s="56" t="str">
        <f>'R2'!AA43</f>
        <v/>
      </c>
      <c r="AB37" s="56" t="str">
        <f>'R2'!AB43</f>
        <v/>
      </c>
      <c r="AC37" s="56" t="str">
        <f>'R2'!AC43</f>
        <v/>
      </c>
      <c r="AD37" s="56" t="str">
        <f>'R2'!AD43</f>
        <v/>
      </c>
      <c r="AE37" s="56" t="str">
        <f>'R2'!AE43</f>
        <v/>
      </c>
      <c r="AF37" s="56" t="str">
        <f>'R2'!AF43</f>
        <v/>
      </c>
      <c r="AG37" s="56" t="str">
        <f>'R2'!AG43</f>
        <v/>
      </c>
      <c r="AH37" s="56" t="str">
        <f>'R2'!AH43</f>
        <v/>
      </c>
      <c r="AI37" s="56" t="str">
        <f>'R2'!AI43</f>
        <v/>
      </c>
      <c r="AJ37" s="56" t="str">
        <f>'R2'!AJ43</f>
        <v/>
      </c>
      <c r="AK37" s="56" t="str">
        <f>'R2'!AK43</f>
        <v/>
      </c>
    </row>
    <row r="38" spans="1:37" s="1" customFormat="1" x14ac:dyDescent="0.25">
      <c r="A38" s="159" t="s">
        <v>116</v>
      </c>
      <c r="B38" s="160">
        <f>'R3'!B28</f>
        <v>9.9799643376954267E-2</v>
      </c>
      <c r="C38" s="160">
        <f>'R3'!C28</f>
        <v>9.741118116238677E-2</v>
      </c>
      <c r="D38" s="160">
        <f>'R3'!D28</f>
        <v>1.6391358465433954E-2</v>
      </c>
      <c r="E38" s="160">
        <f>'R3'!E28</f>
        <v>8.5080261890892461E-2</v>
      </c>
      <c r="F38" s="160">
        <f>'R3'!F28</f>
        <v>0.30528878427283296</v>
      </c>
      <c r="G38" s="160">
        <f>'R3'!G28</f>
        <v>1.5675551780759613</v>
      </c>
      <c r="H38" s="160">
        <f>'R3'!H28</f>
        <v>2.3790916277790859</v>
      </c>
      <c r="I38" s="160">
        <f>'R3'!I28</f>
        <v>0.1049115687326124</v>
      </c>
      <c r="J38" s="160">
        <f>'R3'!J28</f>
        <v>3.1611371320159502E-2</v>
      </c>
      <c r="K38" s="160">
        <f>'R3'!K28</f>
        <v>1.167555345042133</v>
      </c>
      <c r="L38" s="160">
        <f>'R3'!L28</f>
        <v>2.454957316072222</v>
      </c>
      <c r="M38" s="160">
        <f>'R3'!M28</f>
        <v>2.3202796416226965</v>
      </c>
      <c r="N38"/>
      <c r="O38" s="160">
        <f>'R3'!O28</f>
        <v>0.22558634693127172</v>
      </c>
      <c r="P38" s="160">
        <f>'R3'!P28</f>
        <v>1.694624538021996</v>
      </c>
      <c r="Q38" s="160">
        <f>'R3'!Q28</f>
        <v>0.14537116760807298</v>
      </c>
      <c r="R38" s="160">
        <f>'R3'!R28</f>
        <v>0.62501199443234601</v>
      </c>
      <c r="S38" s="160">
        <f>'R3'!S28</f>
        <v>1.8205113322305959</v>
      </c>
      <c r="T38" s="160">
        <f>'R3'!T28</f>
        <v>2.1746771256873756</v>
      </c>
      <c r="U38" s="160">
        <f>'R3'!U28</f>
        <v>1.7167901655144009</v>
      </c>
      <c r="V38" s="160">
        <f>'R3'!V28</f>
        <v>1.8698699163774977</v>
      </c>
      <c r="W38" s="160" t="str">
        <f>'R3'!W28</f>
        <v/>
      </c>
      <c r="X38" s="160" t="str">
        <f>'R3'!X28</f>
        <v/>
      </c>
      <c r="Y38" s="160" t="str">
        <f>'R3'!Y28</f>
        <v/>
      </c>
      <c r="Z38" s="160" t="str">
        <f>'R3'!Z28</f>
        <v/>
      </c>
      <c r="AA38" s="160" t="str">
        <f>'R3'!AA28</f>
        <v/>
      </c>
      <c r="AB38" s="160" t="str">
        <f>'R3'!AB28</f>
        <v/>
      </c>
      <c r="AC38" s="160" t="str">
        <f>'R3'!AC28</f>
        <v/>
      </c>
      <c r="AD38" s="160" t="str">
        <f>'R3'!AD28</f>
        <v/>
      </c>
      <c r="AE38" s="160" t="str">
        <f>'R3'!AE28</f>
        <v/>
      </c>
      <c r="AF38" s="160" t="str">
        <f>'R3'!AF28</f>
        <v/>
      </c>
      <c r="AG38" s="160" t="str">
        <f>'R3'!AG28</f>
        <v/>
      </c>
      <c r="AH38" s="160" t="str">
        <f>'R3'!AH28</f>
        <v/>
      </c>
      <c r="AI38" s="160" t="str">
        <f>'R3'!AI28</f>
        <v/>
      </c>
      <c r="AJ38" s="160" t="str">
        <f>'R3'!AJ28</f>
        <v/>
      </c>
      <c r="AK38" s="160" t="str">
        <f>'R3'!AK28</f>
        <v/>
      </c>
    </row>
    <row r="39" spans="1:37" s="1" customFormat="1" x14ac:dyDescent="0.25">
      <c r="A39" s="236" t="s">
        <v>34</v>
      </c>
      <c r="B39" s="160">
        <f>'R3'!B29</f>
        <v>0.1526984446516742</v>
      </c>
      <c r="C39" s="160">
        <f>'R3'!C29</f>
        <v>1.7986219335723416E-2</v>
      </c>
      <c r="D39" s="160">
        <f>'R3'!D29</f>
        <v>0.34381104126699724</v>
      </c>
      <c r="E39" s="160">
        <f>'R3'!E29</f>
        <v>0.49668259644529583</v>
      </c>
      <c r="F39" s="160">
        <f>'R3'!F29</f>
        <v>1.233428530951201</v>
      </c>
      <c r="G39" s="160">
        <f>'R3'!G29</f>
        <v>1.9732559040699202</v>
      </c>
      <c r="H39" s="160">
        <f>'R3'!H29</f>
        <v>2.1336278468184444</v>
      </c>
      <c r="I39" s="160">
        <f>'R3'!I29</f>
        <v>0.14439679755543713</v>
      </c>
      <c r="J39" s="160">
        <f>'R3'!J29</f>
        <v>8.7634265498975766E-2</v>
      </c>
      <c r="K39" s="160">
        <f>'R3'!K29</f>
        <v>1.336317093025453E-2</v>
      </c>
      <c r="L39" s="160" t="str">
        <f>'R3'!L29</f>
        <v/>
      </c>
      <c r="M39" s="160">
        <f>'R3'!M29</f>
        <v>1.9746657218978612</v>
      </c>
      <c r="N39"/>
      <c r="O39" s="160">
        <f>'R3'!O29</f>
        <v>0.9105448070000457</v>
      </c>
      <c r="P39" s="160">
        <f>'R3'!P29</f>
        <v>2.5138001130527945</v>
      </c>
      <c r="Q39" s="160">
        <f>'R3'!Q29</f>
        <v>0.10804340886706691</v>
      </c>
      <c r="R39" s="160">
        <f>'R3'!R29</f>
        <v>0.96652326591508331</v>
      </c>
      <c r="S39" s="160">
        <f>'R3'!S29</f>
        <v>2.1307656459199049</v>
      </c>
      <c r="T39" s="160">
        <f>'R3'!T29</f>
        <v>1.5665033357197438</v>
      </c>
      <c r="U39" s="160">
        <f>'R3'!U29</f>
        <v>1.644156408010002</v>
      </c>
      <c r="V39" s="160">
        <f>'R3'!V29</f>
        <v>1.3365872665531167</v>
      </c>
      <c r="W39" s="160" t="str">
        <f>'R3'!W29</f>
        <v/>
      </c>
      <c r="X39" s="160" t="str">
        <f>'R3'!X29</f>
        <v/>
      </c>
      <c r="Y39" s="160" t="str">
        <f>'R3'!Y29</f>
        <v/>
      </c>
      <c r="Z39" s="160" t="str">
        <f>'R3'!Z29</f>
        <v/>
      </c>
      <c r="AA39" s="160" t="str">
        <f>'R3'!AA29</f>
        <v/>
      </c>
      <c r="AB39" s="160" t="str">
        <f>'R3'!AB29</f>
        <v/>
      </c>
      <c r="AC39" s="160" t="str">
        <f>'R3'!AC29</f>
        <v/>
      </c>
      <c r="AD39" s="160" t="str">
        <f>'R3'!AD29</f>
        <v/>
      </c>
      <c r="AE39" s="160" t="str">
        <f>'R3'!AE29</f>
        <v/>
      </c>
      <c r="AF39" s="160" t="str">
        <f>'R3'!AF29</f>
        <v/>
      </c>
      <c r="AG39" s="160" t="str">
        <f>'R3'!AG29</f>
        <v/>
      </c>
      <c r="AH39" s="160" t="str">
        <f>'R3'!AH29</f>
        <v/>
      </c>
      <c r="AI39" s="160" t="str">
        <f>'R3'!AI29</f>
        <v/>
      </c>
      <c r="AJ39" s="160" t="str">
        <f>'R3'!AJ29</f>
        <v/>
      </c>
      <c r="AK39" s="160" t="str">
        <f>'R3'!AK29</f>
        <v/>
      </c>
    </row>
    <row r="40" spans="1:37" s="1" customFormat="1" x14ac:dyDescent="0.25">
      <c r="A40" s="237"/>
      <c r="B40" s="160">
        <f>'R3'!B30</f>
        <v>0.12909370233376688</v>
      </c>
      <c r="C40" s="160">
        <f>'R3'!C30</f>
        <v>7.0665070507170608E-2</v>
      </c>
      <c r="D40" s="160">
        <f>'R3'!D30</f>
        <v>8.0118472516658559E-2</v>
      </c>
      <c r="E40" s="160">
        <f>'R3'!E30</f>
        <v>0.24780593789030952</v>
      </c>
      <c r="F40" s="160">
        <f>'R3'!F30</f>
        <v>1.2350965897910817</v>
      </c>
      <c r="G40" s="160">
        <f>'R3'!G30</f>
        <v>1.604574828575136</v>
      </c>
      <c r="H40" s="160">
        <f>'R3'!H30</f>
        <v>1.2537065056949519</v>
      </c>
      <c r="I40" s="160">
        <f>'R3'!I30</f>
        <v>0.11258898496895389</v>
      </c>
      <c r="J40" s="160">
        <f>'R3'!J30</f>
        <v>0.16857706113547072</v>
      </c>
      <c r="K40" s="160">
        <f>'R3'!K30</f>
        <v>6.876227949229928E-2</v>
      </c>
      <c r="L40" s="160">
        <f>'R3'!L30</f>
        <v>2.3442752183548805</v>
      </c>
      <c r="M40" s="160">
        <f>'R3'!M30</f>
        <v>2.8821016633086525</v>
      </c>
      <c r="N40"/>
      <c r="O40" s="160">
        <f>'R3'!O30</f>
        <v>0.72160642160800503</v>
      </c>
      <c r="P40" s="160">
        <f>'R3'!P30</f>
        <v>2.4775623094794237</v>
      </c>
      <c r="Q40" s="160">
        <f>'R3'!Q30</f>
        <v>8.2630178027958648E-2</v>
      </c>
      <c r="R40" s="160">
        <f>'R3'!R30</f>
        <v>0.63645313984477103</v>
      </c>
      <c r="S40" s="160">
        <f>'R3'!S30</f>
        <v>1.3953066421397071</v>
      </c>
      <c r="T40" s="160">
        <f>'R3'!T30</f>
        <v>0.71780048338376323</v>
      </c>
      <c r="U40" s="160">
        <f>'R3'!U30</f>
        <v>2.3221943651532917</v>
      </c>
      <c r="V40" s="160">
        <f>'R3'!V30</f>
        <v>1.883799614658773</v>
      </c>
      <c r="W40" s="160" t="str">
        <f>'R3'!W30</f>
        <v/>
      </c>
      <c r="X40" s="160" t="str">
        <f>'R3'!X30</f>
        <v/>
      </c>
      <c r="Y40" s="160" t="str">
        <f>'R3'!Y30</f>
        <v/>
      </c>
      <c r="Z40" s="160" t="str">
        <f>'R3'!Z30</f>
        <v/>
      </c>
      <c r="AA40" s="160" t="str">
        <f>'R3'!AA30</f>
        <v/>
      </c>
      <c r="AB40" s="160" t="str">
        <f>'R3'!AB30</f>
        <v/>
      </c>
      <c r="AC40" s="160" t="str">
        <f>'R3'!AC30</f>
        <v/>
      </c>
      <c r="AD40" s="160" t="str">
        <f>'R3'!AD30</f>
        <v/>
      </c>
      <c r="AE40" s="160" t="str">
        <f>'R3'!AE30</f>
        <v/>
      </c>
      <c r="AF40" s="160" t="str">
        <f>'R3'!AF30</f>
        <v/>
      </c>
      <c r="AG40" s="160" t="str">
        <f>'R3'!AG30</f>
        <v/>
      </c>
      <c r="AH40" s="160" t="str">
        <f>'R3'!AH30</f>
        <v/>
      </c>
      <c r="AI40" s="160" t="str">
        <f>'R3'!AI30</f>
        <v/>
      </c>
      <c r="AJ40" s="160" t="str">
        <f>'R3'!AJ30</f>
        <v/>
      </c>
      <c r="AK40" s="160" t="str">
        <f>'R3'!AK30</f>
        <v/>
      </c>
    </row>
    <row r="41" spans="1:37" s="1" customFormat="1" x14ac:dyDescent="0.25">
      <c r="A41" s="237"/>
      <c r="B41" s="160" t="str">
        <f>'R3'!B31</f>
        <v/>
      </c>
      <c r="C41" s="160">
        <f>'R3'!C31</f>
        <v>0.11750429096103865</v>
      </c>
      <c r="D41" s="160">
        <f>'R3'!D31</f>
        <v>8.1636573472364582E-2</v>
      </c>
      <c r="E41" s="160">
        <f>'R3'!E31</f>
        <v>0.54121438893317053</v>
      </c>
      <c r="F41" s="160">
        <f>'R3'!F31</f>
        <v>2.2035571975874615</v>
      </c>
      <c r="G41" s="160">
        <f>'R3'!G31</f>
        <v>0.68878167372622834</v>
      </c>
      <c r="H41" s="160">
        <f>'R3'!H31</f>
        <v>2.5190698325716103</v>
      </c>
      <c r="I41" s="160">
        <f>'R3'!I31</f>
        <v>2.3606434241778648E-2</v>
      </c>
      <c r="J41" s="160">
        <f>'R3'!J31</f>
        <v>9.4406502464156328E-2</v>
      </c>
      <c r="K41" s="160">
        <f>'R3'!K31</f>
        <v>0.42209609164750894</v>
      </c>
      <c r="L41" s="160">
        <f>'R3'!L31</f>
        <v>1.6735182329702925</v>
      </c>
      <c r="M41" s="160" t="str">
        <f>'R3'!M31</f>
        <v/>
      </c>
      <c r="N41"/>
      <c r="O41" s="160">
        <f>'R3'!O31</f>
        <v>1.815495757486979</v>
      </c>
      <c r="P41" s="160">
        <f>'R3'!P31</f>
        <v>2.0822854374080975</v>
      </c>
      <c r="Q41" s="160">
        <f>'R3'!Q31</f>
        <v>3.6376541330820016E-2</v>
      </c>
      <c r="R41" s="160">
        <f>'R3'!R31</f>
        <v>1.1889583601116926</v>
      </c>
      <c r="S41" s="160">
        <f>'R3'!S31</f>
        <v>0.75844530339882188</v>
      </c>
      <c r="T41" s="160">
        <f>'R3'!T31</f>
        <v>1.7342292700993114</v>
      </c>
      <c r="U41" s="160">
        <f>'R3'!U31</f>
        <v>1.62157456724525</v>
      </c>
      <c r="V41" s="160">
        <f>'R3'!V31</f>
        <v>2.438381270758939</v>
      </c>
      <c r="W41" s="160" t="str">
        <f>'R3'!W31</f>
        <v/>
      </c>
      <c r="X41" s="160" t="str">
        <f>'R3'!X31</f>
        <v/>
      </c>
      <c r="Y41" s="160" t="str">
        <f>'R3'!Y31</f>
        <v/>
      </c>
      <c r="Z41" s="160" t="str">
        <f>'R3'!Z31</f>
        <v/>
      </c>
      <c r="AA41" s="160" t="str">
        <f>'R3'!AA31</f>
        <v/>
      </c>
      <c r="AB41" s="160" t="str">
        <f>'R3'!AB31</f>
        <v/>
      </c>
      <c r="AC41" s="160" t="str">
        <f>'R3'!AC31</f>
        <v/>
      </c>
      <c r="AD41" s="160" t="str">
        <f>'R3'!AD31</f>
        <v/>
      </c>
      <c r="AE41" s="160" t="str">
        <f>'R3'!AE31</f>
        <v/>
      </c>
      <c r="AF41" s="160" t="str">
        <f>'R3'!AF31</f>
        <v/>
      </c>
      <c r="AG41" s="160" t="str">
        <f>'R3'!AG31</f>
        <v/>
      </c>
      <c r="AH41" s="160" t="str">
        <f>'R3'!AH31</f>
        <v/>
      </c>
      <c r="AI41" s="160" t="str">
        <f>'R3'!AI31</f>
        <v/>
      </c>
      <c r="AJ41" s="160" t="str">
        <f>'R3'!AJ31</f>
        <v/>
      </c>
      <c r="AK41" s="160" t="str">
        <f>'R3'!AK31</f>
        <v/>
      </c>
    </row>
    <row r="42" spans="1:37" s="1" customFormat="1" x14ac:dyDescent="0.25">
      <c r="A42" s="237"/>
      <c r="B42" s="160">
        <f>'R3'!B32</f>
        <v>1.8852840552343018E-2</v>
      </c>
      <c r="C42" s="160">
        <f>'R3'!C32</f>
        <v>0.37957902429588769</v>
      </c>
      <c r="D42" s="160">
        <f>'R3'!D32</f>
        <v>0.21488483939649186</v>
      </c>
      <c r="E42" s="160">
        <f>'R3'!E32</f>
        <v>0.22173036337988844</v>
      </c>
      <c r="F42" s="160">
        <f>'R3'!F32</f>
        <v>1.1731602435847213</v>
      </c>
      <c r="G42" s="160">
        <f>'R3'!G32</f>
        <v>2.7029826697740553</v>
      </c>
      <c r="H42" s="160" t="str">
        <f>'R3'!H32</f>
        <v/>
      </c>
      <c r="I42" s="160">
        <f>'R3'!I32</f>
        <v>0.24886900037325288</v>
      </c>
      <c r="J42" s="160">
        <f>'R3'!J32</f>
        <v>0.14912349856018114</v>
      </c>
      <c r="K42" s="160">
        <f>'R3'!K32</f>
        <v>0.38478338212409519</v>
      </c>
      <c r="L42" s="160">
        <f>'R3'!L32</f>
        <v>1.6842389750080304</v>
      </c>
      <c r="M42" s="160">
        <f>'R3'!M32</f>
        <v>2.5678351747800492</v>
      </c>
      <c r="N42"/>
      <c r="O42" s="160">
        <f>'R3'!O32</f>
        <v>0.44681572274799713</v>
      </c>
      <c r="P42" s="160">
        <f>'R3'!P32</f>
        <v>2.1759368075338923</v>
      </c>
      <c r="Q42" s="160">
        <f>'R3'!Q32</f>
        <v>1.4890711040190066E-2</v>
      </c>
      <c r="R42" s="160">
        <f>'R3'!R32</f>
        <v>1.2538568197736257</v>
      </c>
      <c r="S42" s="160">
        <f>'R3'!S32</f>
        <v>1.3383862268714632</v>
      </c>
      <c r="T42" s="160">
        <f>'R3'!T32</f>
        <v>2.2160307727558961</v>
      </c>
      <c r="U42" s="160">
        <f>'R3'!U32</f>
        <v>2.2337509148006971</v>
      </c>
      <c r="V42" s="160">
        <f>'R3'!V32</f>
        <v>1.9355001776380927</v>
      </c>
      <c r="W42" s="160" t="str">
        <f>'R3'!W32</f>
        <v/>
      </c>
      <c r="X42" s="160" t="str">
        <f>'R3'!X32</f>
        <v/>
      </c>
      <c r="Y42" s="160" t="str">
        <f>'R3'!Y32</f>
        <v/>
      </c>
      <c r="Z42" s="160" t="str">
        <f>'R3'!Z32</f>
        <v/>
      </c>
      <c r="AA42" s="160" t="str">
        <f>'R3'!AA32</f>
        <v/>
      </c>
      <c r="AB42" s="160" t="str">
        <f>'R3'!AB32</f>
        <v/>
      </c>
      <c r="AC42" s="160" t="str">
        <f>'R3'!AC32</f>
        <v/>
      </c>
      <c r="AD42" s="160" t="str">
        <f>'R3'!AD32</f>
        <v/>
      </c>
      <c r="AE42" s="160" t="str">
        <f>'R3'!AE32</f>
        <v/>
      </c>
      <c r="AF42" s="160" t="str">
        <f>'R3'!AF32</f>
        <v/>
      </c>
      <c r="AG42" s="160" t="str">
        <f>'R3'!AG32</f>
        <v/>
      </c>
      <c r="AH42" s="160" t="str">
        <f>'R3'!AH32</f>
        <v/>
      </c>
      <c r="AI42" s="160" t="str">
        <f>'R3'!AI32</f>
        <v/>
      </c>
      <c r="AJ42" s="160" t="str">
        <f>'R3'!AJ32</f>
        <v/>
      </c>
      <c r="AK42" s="160" t="str">
        <f>'R3'!AK32</f>
        <v/>
      </c>
    </row>
    <row r="43" spans="1:37" s="1" customFormat="1" x14ac:dyDescent="0.25">
      <c r="A43" s="237"/>
      <c r="B43" s="160">
        <f>'R3'!B33</f>
        <v>7.4368068521135818E-3</v>
      </c>
      <c r="C43" s="160">
        <f>'R3'!C33</f>
        <v>0.31129066158481006</v>
      </c>
      <c r="D43" s="160">
        <f>'R3'!D33</f>
        <v>8.1736664126647415E-2</v>
      </c>
      <c r="E43" s="160">
        <f>'R3'!E33</f>
        <v>0.54963536118664857</v>
      </c>
      <c r="F43" s="160">
        <f>'R3'!F33</f>
        <v>0.80762276264286637</v>
      </c>
      <c r="G43" s="160">
        <f>'R3'!G33</f>
        <v>2.5678198584165828</v>
      </c>
      <c r="H43" s="160">
        <f>'R3'!H33</f>
        <v>1.7751629638532431</v>
      </c>
      <c r="I43" s="160">
        <f>'R3'!I33</f>
        <v>0.12466949950749154</v>
      </c>
      <c r="J43" s="160">
        <f>'R3'!J33</f>
        <v>0.11491956557739699</v>
      </c>
      <c r="K43" s="160">
        <f>'R3'!K33</f>
        <v>1.0004151725165447</v>
      </c>
      <c r="L43" s="160">
        <f>'R3'!L33</f>
        <v>1.4484903990138087</v>
      </c>
      <c r="M43" s="160">
        <f>'R3'!M33</f>
        <v>2.5080912057164317</v>
      </c>
      <c r="N43"/>
      <c r="O43" s="160">
        <f>'R3'!O33</f>
        <v>0.77598823868025713</v>
      </c>
      <c r="P43" s="160">
        <f>'R3'!P33</f>
        <v>1.3457129696233157</v>
      </c>
      <c r="Q43" s="160">
        <f>'R3'!Q33</f>
        <v>6.5657153945286803E-2</v>
      </c>
      <c r="R43" s="160" t="str">
        <f>'R3'!R33</f>
        <v/>
      </c>
      <c r="S43" s="160">
        <f>'R3'!S33</f>
        <v>1.1737842963473673</v>
      </c>
      <c r="T43" s="160">
        <f>'R3'!T33</f>
        <v>2.1528351008975184</v>
      </c>
      <c r="U43" s="160">
        <f>'R3'!U33</f>
        <v>0.71787368135335439</v>
      </c>
      <c r="V43" s="160">
        <f>'R3'!V33</f>
        <v>1.8477733906179428</v>
      </c>
      <c r="W43" s="160" t="str">
        <f>'R3'!W33</f>
        <v/>
      </c>
      <c r="X43" s="160" t="str">
        <f>'R3'!X33</f>
        <v/>
      </c>
      <c r="Y43" s="160" t="str">
        <f>'R3'!Y33</f>
        <v/>
      </c>
      <c r="Z43" s="160" t="str">
        <f>'R3'!Z33</f>
        <v/>
      </c>
      <c r="AA43" s="160" t="str">
        <f>'R3'!AA33</f>
        <v/>
      </c>
      <c r="AB43" s="160" t="str">
        <f>'R3'!AB33</f>
        <v/>
      </c>
      <c r="AC43" s="160" t="str">
        <f>'R3'!AC33</f>
        <v/>
      </c>
      <c r="AD43" s="160" t="str">
        <f>'R3'!AD33</f>
        <v/>
      </c>
      <c r="AE43" s="160" t="str">
        <f>'R3'!AE33</f>
        <v/>
      </c>
      <c r="AF43" s="160" t="str">
        <f>'R3'!AF33</f>
        <v/>
      </c>
      <c r="AG43" s="160" t="str">
        <f>'R3'!AG33</f>
        <v/>
      </c>
      <c r="AH43" s="160" t="str">
        <f>'R3'!AH33</f>
        <v/>
      </c>
      <c r="AI43" s="160" t="str">
        <f>'R3'!AI33</f>
        <v/>
      </c>
      <c r="AJ43" s="160" t="str">
        <f>'R3'!AJ33</f>
        <v/>
      </c>
      <c r="AK43" s="160" t="str">
        <f>'R3'!AK33</f>
        <v/>
      </c>
    </row>
    <row r="44" spans="1:37" s="1" customFormat="1" x14ac:dyDescent="0.25">
      <c r="A44" s="237"/>
      <c r="B44" s="160">
        <f>'R3'!B34</f>
        <v>2.1495447542109077E-2</v>
      </c>
      <c r="C44" s="160">
        <f>'R3'!C34</f>
        <v>0.14946633576568727</v>
      </c>
      <c r="D44" s="160">
        <f>'R3'!D34</f>
        <v>0.19727636432719883</v>
      </c>
      <c r="E44" s="160">
        <f>'R3'!E34</f>
        <v>1.1275000269232953</v>
      </c>
      <c r="F44" s="160">
        <f>'R3'!F34</f>
        <v>0.91549270478880973</v>
      </c>
      <c r="G44" s="160">
        <f>'R3'!G34</f>
        <v>1.1332012760779246</v>
      </c>
      <c r="H44" s="160">
        <f>'R3'!H34</f>
        <v>2.4675812053193305</v>
      </c>
      <c r="I44" s="160" t="str">
        <f>'R3'!I34</f>
        <v/>
      </c>
      <c r="J44" s="160">
        <f>'R3'!J34</f>
        <v>0.13904978383028913</v>
      </c>
      <c r="K44" s="160">
        <f>'R3'!K34</f>
        <v>1.5949520560812656</v>
      </c>
      <c r="L44" s="160">
        <f>'R3'!L34</f>
        <v>2.1745848713120757</v>
      </c>
      <c r="M44" s="160">
        <f>'R3'!M34</f>
        <v>1.9124253636864106</v>
      </c>
      <c r="N44"/>
      <c r="O44" s="160">
        <f>'R3'!O34</f>
        <v>0.92496160125901405</v>
      </c>
      <c r="P44" s="160">
        <f>'R3'!P34</f>
        <v>2.0897934831600562</v>
      </c>
      <c r="Q44" s="160">
        <f>'R3'!Q34</f>
        <v>3.0586599745883052E-2</v>
      </c>
      <c r="R44" s="160">
        <f>'R3'!R34</f>
        <v>0.88633533547107546</v>
      </c>
      <c r="S44" s="160">
        <f>'R3'!S34</f>
        <v>2.118438644787902</v>
      </c>
      <c r="T44" s="160">
        <f>'R3'!T34</f>
        <v>0.64226213783541664</v>
      </c>
      <c r="U44" s="160">
        <f>'R3'!U34</f>
        <v>2.4104410180450642</v>
      </c>
      <c r="V44" s="160">
        <f>'R3'!V34</f>
        <v>1.4767387599695154</v>
      </c>
      <c r="W44" s="160" t="str">
        <f>'R3'!W34</f>
        <v/>
      </c>
      <c r="X44" s="160" t="str">
        <f>'R3'!X34</f>
        <v/>
      </c>
      <c r="Y44" s="160" t="str">
        <f>'R3'!Y34</f>
        <v/>
      </c>
      <c r="Z44" s="160" t="str">
        <f>'R3'!Z34</f>
        <v/>
      </c>
      <c r="AA44" s="160" t="str">
        <f>'R3'!AA34</f>
        <v/>
      </c>
      <c r="AB44" s="160" t="str">
        <f>'R3'!AB34</f>
        <v/>
      </c>
      <c r="AC44" s="160" t="str">
        <f>'R3'!AC34</f>
        <v/>
      </c>
      <c r="AD44" s="160" t="str">
        <f>'R3'!AD34</f>
        <v/>
      </c>
      <c r="AE44" s="160" t="str">
        <f>'R3'!AE34</f>
        <v/>
      </c>
      <c r="AF44" s="160" t="str">
        <f>'R3'!AF34</f>
        <v/>
      </c>
      <c r="AG44" s="160" t="str">
        <f>'R3'!AG34</f>
        <v/>
      </c>
      <c r="AH44" s="160" t="str">
        <f>'R3'!AH34</f>
        <v/>
      </c>
      <c r="AI44" s="160" t="str">
        <f>'R3'!AI34</f>
        <v/>
      </c>
      <c r="AJ44" s="160" t="str">
        <f>'R3'!AJ34</f>
        <v/>
      </c>
      <c r="AK44" s="160" t="str">
        <f>'R3'!AK34</f>
        <v/>
      </c>
    </row>
    <row r="45" spans="1:37" s="1" customFormat="1" x14ac:dyDescent="0.25">
      <c r="A45" s="237"/>
      <c r="B45" s="160">
        <f>'R3'!B35</f>
        <v>9.5823978473830687E-2</v>
      </c>
      <c r="C45" s="160">
        <f>'R3'!C35</f>
        <v>0.21971554919501018</v>
      </c>
      <c r="D45" s="160">
        <f>'R3'!D35</f>
        <v>5.2471189778397771E-2</v>
      </c>
      <c r="E45" s="160">
        <f>'R3'!E35</f>
        <v>0.22322477740139585</v>
      </c>
      <c r="F45" s="160">
        <f>'R3'!F35</f>
        <v>1.7540374242985814</v>
      </c>
      <c r="G45" s="160">
        <f>'R3'!G35</f>
        <v>2.0506395152215129</v>
      </c>
      <c r="H45" s="160">
        <f>'R3'!H35</f>
        <v>1.6969088133455392</v>
      </c>
      <c r="I45" s="160">
        <f>'R3'!I35</f>
        <v>7.449825761060333E-2</v>
      </c>
      <c r="J45" s="160">
        <f>'R3'!J35</f>
        <v>0.10105166704173763</v>
      </c>
      <c r="K45" s="160">
        <f>'R3'!K35</f>
        <v>0.67730971748962032</v>
      </c>
      <c r="L45" s="160">
        <f>'R3'!L35</f>
        <v>1.4888808961564193</v>
      </c>
      <c r="M45" s="160">
        <f>'R3'!M35</f>
        <v>3.0474373545011559</v>
      </c>
      <c r="N45"/>
      <c r="O45" s="160">
        <f>'R3'!O35</f>
        <v>1.7527043663852238</v>
      </c>
      <c r="P45" s="160">
        <f>'R3'!P35</f>
        <v>2.2609324732312182</v>
      </c>
      <c r="Q45" s="160">
        <f>'R3'!Q35</f>
        <v>0.10798543821231769</v>
      </c>
      <c r="R45" s="160">
        <f>'R3'!R35</f>
        <v>1.6138857527849331</v>
      </c>
      <c r="S45" s="160">
        <f>'R3'!S35</f>
        <v>1.684936047643018</v>
      </c>
      <c r="T45" s="160">
        <f>'R3'!T35</f>
        <v>1.9630783586435034</v>
      </c>
      <c r="U45" s="160">
        <f>'R3'!U35</f>
        <v>2.2638869285050576</v>
      </c>
      <c r="V45" s="160">
        <f>'R3'!V35</f>
        <v>2.4119300001004582</v>
      </c>
      <c r="W45" s="160" t="str">
        <f>'R3'!W35</f>
        <v/>
      </c>
      <c r="X45" s="160" t="str">
        <f>'R3'!X35</f>
        <v/>
      </c>
      <c r="Y45" s="160" t="str">
        <f>'R3'!Y35</f>
        <v/>
      </c>
      <c r="Z45" s="160" t="str">
        <f>'R3'!Z35</f>
        <v/>
      </c>
      <c r="AA45" s="160" t="str">
        <f>'R3'!AA35</f>
        <v/>
      </c>
      <c r="AB45" s="160" t="str">
        <f>'R3'!AB35</f>
        <v/>
      </c>
      <c r="AC45" s="160" t="str">
        <f>'R3'!AC35</f>
        <v/>
      </c>
      <c r="AD45" s="160" t="str">
        <f>'R3'!AD35</f>
        <v/>
      </c>
      <c r="AE45" s="160" t="str">
        <f>'R3'!AE35</f>
        <v/>
      </c>
      <c r="AF45" s="160" t="str">
        <f>'R3'!AF35</f>
        <v/>
      </c>
      <c r="AG45" s="160" t="str">
        <f>'R3'!AG35</f>
        <v/>
      </c>
      <c r="AH45" s="160" t="str">
        <f>'R3'!AH35</f>
        <v/>
      </c>
      <c r="AI45" s="160" t="str">
        <f>'R3'!AI35</f>
        <v/>
      </c>
      <c r="AJ45" s="160" t="str">
        <f>'R3'!AJ35</f>
        <v/>
      </c>
      <c r="AK45" s="160" t="str">
        <f>'R3'!AK35</f>
        <v/>
      </c>
    </row>
    <row r="46" spans="1:37" s="1" customFormat="1" x14ac:dyDescent="0.25">
      <c r="A46" s="237"/>
      <c r="B46" s="160" t="str">
        <f>'R3'!B36</f>
        <v/>
      </c>
      <c r="C46" s="160" t="str">
        <f>'R3'!C36</f>
        <v/>
      </c>
      <c r="D46" s="160" t="str">
        <f>'R3'!D36</f>
        <v/>
      </c>
      <c r="E46" s="160" t="str">
        <f>'R3'!E36</f>
        <v/>
      </c>
      <c r="F46" s="160" t="str">
        <f>'R3'!F36</f>
        <v/>
      </c>
      <c r="G46" s="160" t="str">
        <f>'R3'!G36</f>
        <v/>
      </c>
      <c r="H46" s="160" t="str">
        <f>'R3'!H36</f>
        <v/>
      </c>
      <c r="I46" s="160" t="str">
        <f>'R3'!I36</f>
        <v/>
      </c>
      <c r="J46" s="160" t="str">
        <f>'R3'!J36</f>
        <v/>
      </c>
      <c r="K46" s="160" t="str">
        <f>'R3'!K36</f>
        <v/>
      </c>
      <c r="L46" s="160" t="str">
        <f>'R3'!L36</f>
        <v/>
      </c>
      <c r="M46" s="160" t="str">
        <f>'R3'!M36</f>
        <v/>
      </c>
      <c r="N46"/>
      <c r="O46" s="160">
        <f>'R3'!O36</f>
        <v>0.46143875362201803</v>
      </c>
      <c r="P46" s="160" t="str">
        <f>'R3'!P36</f>
        <v/>
      </c>
      <c r="Q46" s="160" t="str">
        <f>'R3'!Q36</f>
        <v/>
      </c>
      <c r="R46" s="160" t="str">
        <f>'R3'!R36</f>
        <v/>
      </c>
      <c r="S46" s="160" t="str">
        <f>'R3'!S36</f>
        <v/>
      </c>
      <c r="T46" s="160" t="str">
        <f>'R3'!T36</f>
        <v/>
      </c>
      <c r="U46" s="160" t="str">
        <f>'R3'!U36</f>
        <v/>
      </c>
      <c r="V46" s="160" t="str">
        <f>'R3'!V36</f>
        <v/>
      </c>
      <c r="W46" s="160" t="str">
        <f>'R3'!W36</f>
        <v/>
      </c>
      <c r="X46" s="160" t="str">
        <f>'R3'!X36</f>
        <v/>
      </c>
      <c r="Y46" s="160" t="str">
        <f>'R3'!Y36</f>
        <v/>
      </c>
      <c r="Z46" s="160" t="str">
        <f>'R3'!Z36</f>
        <v/>
      </c>
      <c r="AA46" s="160" t="str">
        <f>'R3'!AA36</f>
        <v/>
      </c>
      <c r="AB46" s="160" t="str">
        <f>'R3'!AB36</f>
        <v/>
      </c>
      <c r="AC46" s="160" t="str">
        <f>'R3'!AC36</f>
        <v/>
      </c>
      <c r="AD46" s="160" t="str">
        <f>'R3'!AD36</f>
        <v/>
      </c>
      <c r="AE46" s="160" t="str">
        <f>'R3'!AE36</f>
        <v/>
      </c>
      <c r="AF46" s="160" t="str">
        <f>'R3'!AF36</f>
        <v/>
      </c>
      <c r="AG46" s="160" t="str">
        <f>'R3'!AG36</f>
        <v/>
      </c>
      <c r="AH46" s="160" t="str">
        <f>'R3'!AH36</f>
        <v/>
      </c>
      <c r="AI46" s="160" t="str">
        <f>'R3'!AI36</f>
        <v/>
      </c>
      <c r="AJ46" s="160" t="str">
        <f>'R3'!AJ36</f>
        <v/>
      </c>
      <c r="AK46" s="160" t="str">
        <f>'R3'!AK36</f>
        <v/>
      </c>
    </row>
    <row r="47" spans="1:37" s="1" customFormat="1" x14ac:dyDescent="0.25">
      <c r="A47" s="237"/>
      <c r="B47" s="160" t="str">
        <f>'R3'!B37</f>
        <v/>
      </c>
      <c r="C47" s="160" t="str">
        <f>'R3'!C37</f>
        <v/>
      </c>
      <c r="D47" s="160" t="str">
        <f>'R3'!D37</f>
        <v/>
      </c>
      <c r="E47" s="160" t="str">
        <f>'R3'!E37</f>
        <v/>
      </c>
      <c r="F47" s="160" t="str">
        <f>'R3'!F37</f>
        <v/>
      </c>
      <c r="G47" s="160" t="str">
        <f>'R3'!G37</f>
        <v/>
      </c>
      <c r="H47" s="160" t="str">
        <f>'R3'!H37</f>
        <v/>
      </c>
      <c r="I47" s="160" t="str">
        <f>'R3'!I37</f>
        <v/>
      </c>
      <c r="J47" s="160" t="str">
        <f>'R3'!J37</f>
        <v/>
      </c>
      <c r="K47" s="160" t="str">
        <f>'R3'!K37</f>
        <v/>
      </c>
      <c r="L47" s="160" t="str">
        <f>'R3'!L37</f>
        <v/>
      </c>
      <c r="M47" s="160" t="str">
        <f>'R3'!M37</f>
        <v/>
      </c>
      <c r="N47"/>
      <c r="O47" s="160">
        <f>'R3'!O37</f>
        <v>1.2266022414707627</v>
      </c>
      <c r="P47" s="160" t="str">
        <f>'R3'!P37</f>
        <v/>
      </c>
      <c r="Q47" s="160" t="str">
        <f>'R3'!Q37</f>
        <v/>
      </c>
      <c r="R47" s="160" t="str">
        <f>'R3'!R37</f>
        <v/>
      </c>
      <c r="S47" s="160" t="str">
        <f>'R3'!S37</f>
        <v/>
      </c>
      <c r="T47" s="160" t="str">
        <f>'R3'!T37</f>
        <v/>
      </c>
      <c r="U47" s="160" t="str">
        <f>'R3'!U37</f>
        <v/>
      </c>
      <c r="V47" s="160" t="str">
        <f>'R3'!V37</f>
        <v/>
      </c>
      <c r="W47" s="160" t="str">
        <f>'R3'!W37</f>
        <v/>
      </c>
      <c r="X47" s="160" t="str">
        <f>'R3'!X37</f>
        <v/>
      </c>
      <c r="Y47" s="160" t="str">
        <f>'R3'!Y37</f>
        <v/>
      </c>
      <c r="Z47" s="160" t="str">
        <f>'R3'!Z37</f>
        <v/>
      </c>
      <c r="AA47" s="160" t="str">
        <f>'R3'!AA37</f>
        <v/>
      </c>
      <c r="AB47" s="160" t="str">
        <f>'R3'!AB37</f>
        <v/>
      </c>
      <c r="AC47" s="160" t="str">
        <f>'R3'!AC37</f>
        <v/>
      </c>
      <c r="AD47" s="160" t="str">
        <f>'R3'!AD37</f>
        <v/>
      </c>
      <c r="AE47" s="160" t="str">
        <f>'R3'!AE37</f>
        <v/>
      </c>
      <c r="AF47" s="160" t="str">
        <f>'R3'!AF37</f>
        <v/>
      </c>
      <c r="AG47" s="160" t="str">
        <f>'R3'!AG37</f>
        <v/>
      </c>
      <c r="AH47" s="160" t="str">
        <f>'R3'!AH37</f>
        <v/>
      </c>
      <c r="AI47" s="160" t="str">
        <f>'R3'!AI37</f>
        <v/>
      </c>
      <c r="AJ47" s="160" t="str">
        <f>'R3'!AJ37</f>
        <v/>
      </c>
      <c r="AK47" s="160" t="str">
        <f>'R3'!AK37</f>
        <v/>
      </c>
    </row>
    <row r="48" spans="1:37" s="1" customFormat="1" x14ac:dyDescent="0.25">
      <c r="A48" s="237"/>
      <c r="B48" s="160" t="str">
        <f>'R3'!B38</f>
        <v/>
      </c>
      <c r="C48" s="160" t="str">
        <f>'R3'!C38</f>
        <v/>
      </c>
      <c r="D48" s="160" t="str">
        <f>'R3'!D38</f>
        <v/>
      </c>
      <c r="E48" s="160" t="str">
        <f>'R3'!E38</f>
        <v/>
      </c>
      <c r="F48" s="160" t="str">
        <f>'R3'!F38</f>
        <v/>
      </c>
      <c r="G48" s="160" t="str">
        <f>'R3'!G38</f>
        <v/>
      </c>
      <c r="H48" s="160" t="str">
        <f>'R3'!H38</f>
        <v/>
      </c>
      <c r="I48" s="160" t="str">
        <f>'R3'!I38</f>
        <v/>
      </c>
      <c r="J48" s="160" t="str">
        <f>'R3'!J38</f>
        <v/>
      </c>
      <c r="K48" s="160" t="str">
        <f>'R3'!K38</f>
        <v/>
      </c>
      <c r="L48" s="160" t="str">
        <f>'R3'!L38</f>
        <v/>
      </c>
      <c r="M48" s="160" t="str">
        <f>'R3'!M38</f>
        <v/>
      </c>
      <c r="N48"/>
      <c r="O48" s="160">
        <f>'R3'!O38</f>
        <v>1.1811808532210684</v>
      </c>
      <c r="P48" s="160" t="str">
        <f>'R3'!P38</f>
        <v/>
      </c>
      <c r="Q48" s="160" t="str">
        <f>'R3'!Q38</f>
        <v/>
      </c>
      <c r="R48" s="160" t="str">
        <f>'R3'!R38</f>
        <v/>
      </c>
      <c r="S48" s="160" t="str">
        <f>'R3'!S38</f>
        <v/>
      </c>
      <c r="T48" s="160" t="str">
        <f>'R3'!T38</f>
        <v/>
      </c>
      <c r="U48" s="160" t="str">
        <f>'R3'!U38</f>
        <v/>
      </c>
      <c r="V48" s="160" t="str">
        <f>'R3'!V38</f>
        <v/>
      </c>
      <c r="W48" s="160" t="str">
        <f>'R3'!W38</f>
        <v/>
      </c>
      <c r="X48" s="160" t="str">
        <f>'R3'!X38</f>
        <v/>
      </c>
      <c r="Y48" s="160" t="str">
        <f>'R3'!Y38</f>
        <v/>
      </c>
      <c r="Z48" s="160" t="str">
        <f>'R3'!Z38</f>
        <v/>
      </c>
      <c r="AA48" s="160" t="str">
        <f>'R3'!AA38</f>
        <v/>
      </c>
      <c r="AB48" s="160" t="str">
        <f>'R3'!AB38</f>
        <v/>
      </c>
      <c r="AC48" s="160" t="str">
        <f>'R3'!AC38</f>
        <v/>
      </c>
      <c r="AD48" s="160" t="str">
        <f>'R3'!AD38</f>
        <v/>
      </c>
      <c r="AE48" s="160" t="str">
        <f>'R3'!AE38</f>
        <v/>
      </c>
      <c r="AF48" s="160" t="str">
        <f>'R3'!AF38</f>
        <v/>
      </c>
      <c r="AG48" s="160" t="str">
        <f>'R3'!AG38</f>
        <v/>
      </c>
      <c r="AH48" s="160" t="str">
        <f>'R3'!AH38</f>
        <v/>
      </c>
      <c r="AI48" s="160" t="str">
        <f>'R3'!AI38</f>
        <v/>
      </c>
      <c r="AJ48" s="160" t="str">
        <f>'R3'!AJ38</f>
        <v/>
      </c>
      <c r="AK48" s="160" t="str">
        <f>'R3'!AK38</f>
        <v/>
      </c>
    </row>
    <row r="49" spans="1:39" s="1" customFormat="1" x14ac:dyDescent="0.25">
      <c r="A49" s="237"/>
      <c r="B49" s="160" t="str">
        <f>'R3'!B39</f>
        <v/>
      </c>
      <c r="C49" s="160" t="str">
        <f>'R3'!C39</f>
        <v/>
      </c>
      <c r="D49" s="160" t="str">
        <f>'R3'!D39</f>
        <v/>
      </c>
      <c r="E49" s="160" t="str">
        <f>'R3'!E39</f>
        <v/>
      </c>
      <c r="F49" s="160" t="str">
        <f>'R3'!F39</f>
        <v/>
      </c>
      <c r="G49" s="160" t="str">
        <f>'R3'!G39</f>
        <v/>
      </c>
      <c r="H49" s="160" t="str">
        <f>'R3'!H39</f>
        <v/>
      </c>
      <c r="I49" s="160" t="str">
        <f>'R3'!I39</f>
        <v/>
      </c>
      <c r="J49" s="160" t="str">
        <f>'R3'!J39</f>
        <v/>
      </c>
      <c r="K49" s="160" t="str">
        <f>'R3'!K39</f>
        <v/>
      </c>
      <c r="L49" s="160" t="str">
        <f>'R3'!L39</f>
        <v/>
      </c>
      <c r="M49" s="160" t="str">
        <f>'R3'!M39</f>
        <v/>
      </c>
      <c r="N49"/>
      <c r="O49" s="160">
        <f>'R3'!O39</f>
        <v>2.2573593971608461</v>
      </c>
      <c r="P49" s="160" t="str">
        <f>'R3'!P39</f>
        <v/>
      </c>
      <c r="Q49" s="160" t="str">
        <f>'R3'!Q39</f>
        <v/>
      </c>
      <c r="R49" s="160" t="str">
        <f>'R3'!R39</f>
        <v/>
      </c>
      <c r="S49" s="160" t="str">
        <f>'R3'!S39</f>
        <v/>
      </c>
      <c r="T49" s="160" t="str">
        <f>'R3'!T39</f>
        <v/>
      </c>
      <c r="U49" s="160" t="str">
        <f>'R3'!U39</f>
        <v/>
      </c>
      <c r="V49" s="160" t="str">
        <f>'R3'!V39</f>
        <v/>
      </c>
      <c r="W49" s="160" t="str">
        <f>'R3'!W39</f>
        <v/>
      </c>
      <c r="X49" s="160" t="str">
        <f>'R3'!X39</f>
        <v/>
      </c>
      <c r="Y49" s="160" t="str">
        <f>'R3'!Y39</f>
        <v/>
      </c>
      <c r="Z49" s="160" t="str">
        <f>'R3'!Z39</f>
        <v/>
      </c>
      <c r="AA49" s="160" t="str">
        <f>'R3'!AA39</f>
        <v/>
      </c>
      <c r="AB49" s="160" t="str">
        <f>'R3'!AB39</f>
        <v/>
      </c>
      <c r="AC49" s="160" t="str">
        <f>'R3'!AC39</f>
        <v/>
      </c>
      <c r="AD49" s="160" t="str">
        <f>'R3'!AD39</f>
        <v/>
      </c>
      <c r="AE49" s="160" t="str">
        <f>'R3'!AE39</f>
        <v/>
      </c>
      <c r="AF49" s="160" t="str">
        <f>'R3'!AF39</f>
        <v/>
      </c>
      <c r="AG49" s="160" t="str">
        <f>'R3'!AG39</f>
        <v/>
      </c>
      <c r="AH49" s="160" t="str">
        <f>'R3'!AH39</f>
        <v/>
      </c>
      <c r="AI49" s="160" t="str">
        <f>'R3'!AI39</f>
        <v/>
      </c>
      <c r="AJ49" s="160" t="str">
        <f>'R3'!AJ39</f>
        <v/>
      </c>
      <c r="AK49" s="160" t="str">
        <f>'R3'!AK39</f>
        <v/>
      </c>
    </row>
    <row r="50" spans="1:39" s="1" customFormat="1" x14ac:dyDescent="0.25">
      <c r="A50" s="237"/>
      <c r="B50" s="160" t="str">
        <f>'R3'!B40</f>
        <v/>
      </c>
      <c r="C50" s="160" t="str">
        <f>'R3'!C40</f>
        <v/>
      </c>
      <c r="D50" s="160" t="str">
        <f>'R3'!D40</f>
        <v/>
      </c>
      <c r="E50" s="160" t="str">
        <f>'R3'!E40</f>
        <v/>
      </c>
      <c r="F50" s="160" t="str">
        <f>'R3'!F40</f>
        <v/>
      </c>
      <c r="G50" s="160" t="str">
        <f>'R3'!G40</f>
        <v/>
      </c>
      <c r="H50" s="160" t="str">
        <f>'R3'!H40</f>
        <v/>
      </c>
      <c r="I50" s="160" t="str">
        <f>'R3'!I40</f>
        <v/>
      </c>
      <c r="J50" s="160" t="str">
        <f>'R3'!J40</f>
        <v/>
      </c>
      <c r="K50" s="160" t="str">
        <f>'R3'!K40</f>
        <v/>
      </c>
      <c r="L50" s="160" t="str">
        <f>'R3'!L40</f>
        <v/>
      </c>
      <c r="M50" s="160" t="str">
        <f>'R3'!M40</f>
        <v/>
      </c>
      <c r="N50"/>
      <c r="O50" s="160">
        <f>'R3'!O40</f>
        <v>1.1483443509208171</v>
      </c>
      <c r="P50" s="160" t="str">
        <f>'R3'!P40</f>
        <v/>
      </c>
      <c r="Q50" s="160" t="str">
        <f>'R3'!Q40</f>
        <v/>
      </c>
      <c r="R50" s="160" t="str">
        <f>'R3'!R40</f>
        <v/>
      </c>
      <c r="S50" s="160" t="str">
        <f>'R3'!S40</f>
        <v/>
      </c>
      <c r="T50" s="160" t="str">
        <f>'R3'!T40</f>
        <v/>
      </c>
      <c r="U50" s="160" t="str">
        <f>'R3'!U40</f>
        <v/>
      </c>
      <c r="V50" s="160" t="str">
        <f>'R3'!V40</f>
        <v/>
      </c>
      <c r="W50" s="160" t="str">
        <f>'R3'!W40</f>
        <v/>
      </c>
      <c r="X50" s="160" t="str">
        <f>'R3'!X40</f>
        <v/>
      </c>
      <c r="Y50" s="160" t="str">
        <f>'R3'!Y40</f>
        <v/>
      </c>
      <c r="Z50" s="160" t="str">
        <f>'R3'!Z40</f>
        <v/>
      </c>
      <c r="AA50" s="160" t="str">
        <f>'R3'!AA40</f>
        <v/>
      </c>
      <c r="AB50" s="160" t="str">
        <f>'R3'!AB40</f>
        <v/>
      </c>
      <c r="AC50" s="160" t="str">
        <f>'R3'!AC40</f>
        <v/>
      </c>
      <c r="AD50" s="160" t="str">
        <f>'R3'!AD40</f>
        <v/>
      </c>
      <c r="AE50" s="160" t="str">
        <f>'R3'!AE40</f>
        <v/>
      </c>
      <c r="AF50" s="160" t="str">
        <f>'R3'!AF40</f>
        <v/>
      </c>
      <c r="AG50" s="160" t="str">
        <f>'R3'!AG40</f>
        <v/>
      </c>
      <c r="AH50" s="160" t="str">
        <f>'R3'!AH40</f>
        <v/>
      </c>
      <c r="AI50" s="160" t="str">
        <f>'R3'!AI40</f>
        <v/>
      </c>
      <c r="AJ50" s="160" t="str">
        <f>'R3'!AJ40</f>
        <v/>
      </c>
      <c r="AK50" s="160" t="str">
        <f>'R3'!AK40</f>
        <v/>
      </c>
    </row>
    <row r="51" spans="1:39" s="1" customFormat="1" x14ac:dyDescent="0.25">
      <c r="A51" s="237"/>
      <c r="B51" s="160" t="str">
        <f>'R3'!B41</f>
        <v/>
      </c>
      <c r="C51" s="160" t="str">
        <f>'R3'!C41</f>
        <v/>
      </c>
      <c r="D51" s="160" t="str">
        <f>'R3'!D41</f>
        <v/>
      </c>
      <c r="E51" s="160" t="str">
        <f>'R3'!E41</f>
        <v/>
      </c>
      <c r="F51" s="160" t="str">
        <f>'R3'!F41</f>
        <v/>
      </c>
      <c r="G51" s="160" t="str">
        <f>'R3'!G41</f>
        <v/>
      </c>
      <c r="H51" s="160" t="str">
        <f>'R3'!H41</f>
        <v/>
      </c>
      <c r="I51" s="160" t="str">
        <f>'R3'!I41</f>
        <v/>
      </c>
      <c r="J51" s="160" t="str">
        <f>'R3'!J41</f>
        <v/>
      </c>
      <c r="K51" s="160" t="str">
        <f>'R3'!K41</f>
        <v/>
      </c>
      <c r="L51" s="160" t="str">
        <f>'R3'!L41</f>
        <v/>
      </c>
      <c r="M51" s="160" t="str">
        <f>'R3'!M41</f>
        <v/>
      </c>
      <c r="N51"/>
      <c r="O51" s="160">
        <f>'R3'!O41</f>
        <v>1.0368570755379727</v>
      </c>
      <c r="P51" s="160" t="str">
        <f>'R3'!P41</f>
        <v/>
      </c>
      <c r="Q51" s="160" t="str">
        <f>'R3'!Q41</f>
        <v/>
      </c>
      <c r="R51" s="160" t="str">
        <f>'R3'!R41</f>
        <v/>
      </c>
      <c r="S51" s="160" t="str">
        <f>'R3'!S41</f>
        <v/>
      </c>
      <c r="T51" s="160" t="str">
        <f>'R3'!T41</f>
        <v/>
      </c>
      <c r="U51" s="160" t="str">
        <f>'R3'!U41</f>
        <v/>
      </c>
      <c r="V51" s="160" t="str">
        <f>'R3'!V41</f>
        <v/>
      </c>
      <c r="W51" s="160" t="str">
        <f>'R3'!W41</f>
        <v/>
      </c>
      <c r="X51" s="160" t="str">
        <f>'R3'!X41</f>
        <v/>
      </c>
      <c r="Y51" s="160" t="str">
        <f>'R3'!Y41</f>
        <v/>
      </c>
      <c r="Z51" s="160" t="str">
        <f>'R3'!Z41</f>
        <v/>
      </c>
      <c r="AA51" s="160" t="str">
        <f>'R3'!AA41</f>
        <v/>
      </c>
      <c r="AB51" s="160" t="str">
        <f>'R3'!AB41</f>
        <v/>
      </c>
      <c r="AC51" s="160" t="str">
        <f>'R3'!AC41</f>
        <v/>
      </c>
      <c r="AD51" s="160" t="str">
        <f>'R3'!AD41</f>
        <v/>
      </c>
      <c r="AE51" s="160" t="str">
        <f>'R3'!AE41</f>
        <v/>
      </c>
      <c r="AF51" s="160" t="str">
        <f>'R3'!AF41</f>
        <v/>
      </c>
      <c r="AG51" s="160" t="str">
        <f>'R3'!AG41</f>
        <v/>
      </c>
      <c r="AH51" s="160" t="str">
        <f>'R3'!AH41</f>
        <v/>
      </c>
      <c r="AI51" s="160" t="str">
        <f>'R3'!AI41</f>
        <v/>
      </c>
      <c r="AJ51" s="160" t="str">
        <f>'R3'!AJ41</f>
        <v/>
      </c>
      <c r="AK51" s="160" t="str">
        <f>'R3'!AK41</f>
        <v/>
      </c>
    </row>
    <row r="52" spans="1:39" s="1" customFormat="1" x14ac:dyDescent="0.25">
      <c r="A52" s="237"/>
      <c r="B52" s="160" t="str">
        <f>'R3'!B42</f>
        <v/>
      </c>
      <c r="C52" s="160" t="str">
        <f>'R3'!C42</f>
        <v/>
      </c>
      <c r="D52" s="160" t="str">
        <f>'R3'!D42</f>
        <v/>
      </c>
      <c r="E52" s="160" t="str">
        <f>'R3'!E42</f>
        <v/>
      </c>
      <c r="F52" s="160" t="str">
        <f>'R3'!F42</f>
        <v/>
      </c>
      <c r="G52" s="160" t="str">
        <f>'R3'!G42</f>
        <v/>
      </c>
      <c r="H52" s="160" t="str">
        <f>'R3'!H42</f>
        <v/>
      </c>
      <c r="I52" s="160" t="str">
        <f>'R3'!I42</f>
        <v/>
      </c>
      <c r="J52" s="160" t="str">
        <f>'R3'!J42</f>
        <v/>
      </c>
      <c r="K52" s="160" t="str">
        <f>'R3'!K42</f>
        <v/>
      </c>
      <c r="L52" s="160" t="str">
        <f>'R3'!L42</f>
        <v/>
      </c>
      <c r="M52" s="160" t="str">
        <f>'R3'!M42</f>
        <v/>
      </c>
      <c r="N52"/>
      <c r="O52" s="160">
        <f>'R3'!O42</f>
        <v>0.90605479724003801</v>
      </c>
      <c r="P52" s="160" t="str">
        <f>'R3'!P42</f>
        <v/>
      </c>
      <c r="Q52" s="160" t="str">
        <f>'R3'!Q42</f>
        <v/>
      </c>
      <c r="R52" s="160" t="str">
        <f>'R3'!R42</f>
        <v/>
      </c>
      <c r="S52" s="160" t="str">
        <f>'R3'!S42</f>
        <v/>
      </c>
      <c r="T52" s="160" t="str">
        <f>'R3'!T42</f>
        <v/>
      </c>
      <c r="U52" s="160" t="str">
        <f>'R3'!U42</f>
        <v/>
      </c>
      <c r="V52" s="160" t="str">
        <f>'R3'!V42</f>
        <v/>
      </c>
      <c r="W52" s="160" t="str">
        <f>'R3'!W42</f>
        <v/>
      </c>
      <c r="X52" s="160" t="str">
        <f>'R3'!X42</f>
        <v/>
      </c>
      <c r="Y52" s="160" t="str">
        <f>'R3'!Y42</f>
        <v/>
      </c>
      <c r="Z52" s="160" t="str">
        <f>'R3'!Z42</f>
        <v/>
      </c>
      <c r="AA52" s="160" t="str">
        <f>'R3'!AA42</f>
        <v/>
      </c>
      <c r="AB52" s="160" t="str">
        <f>'R3'!AB42</f>
        <v/>
      </c>
      <c r="AC52" s="160" t="str">
        <f>'R3'!AC42</f>
        <v/>
      </c>
      <c r="AD52" s="160" t="str">
        <f>'R3'!AD42</f>
        <v/>
      </c>
      <c r="AE52" s="160" t="str">
        <f>'R3'!AE42</f>
        <v/>
      </c>
      <c r="AF52" s="160" t="str">
        <f>'R3'!AF42</f>
        <v/>
      </c>
      <c r="AG52" s="160" t="str">
        <f>'R3'!AG42</f>
        <v/>
      </c>
      <c r="AH52" s="160" t="str">
        <f>'R3'!AH42</f>
        <v/>
      </c>
      <c r="AI52" s="160" t="str">
        <f>'R3'!AI42</f>
        <v/>
      </c>
      <c r="AJ52" s="160" t="str">
        <f>'R3'!AJ42</f>
        <v/>
      </c>
      <c r="AK52" s="160" t="str">
        <f>'R3'!AK42</f>
        <v/>
      </c>
    </row>
    <row r="53" spans="1:39" s="1" customFormat="1" x14ac:dyDescent="0.25">
      <c r="A53" s="238"/>
      <c r="B53" s="160" t="str">
        <f>'R3'!B43</f>
        <v/>
      </c>
      <c r="C53" s="160" t="str">
        <f>'R3'!C43</f>
        <v/>
      </c>
      <c r="D53" s="160" t="str">
        <f>'R3'!D43</f>
        <v/>
      </c>
      <c r="E53" s="160" t="str">
        <f>'R3'!E43</f>
        <v/>
      </c>
      <c r="F53" s="160" t="str">
        <f>'R3'!F43</f>
        <v/>
      </c>
      <c r="G53" s="160" t="str">
        <f>'R3'!G43</f>
        <v/>
      </c>
      <c r="H53" s="160" t="str">
        <f>'R3'!H43</f>
        <v/>
      </c>
      <c r="I53" s="160" t="str">
        <f>'R3'!I43</f>
        <v/>
      </c>
      <c r="J53" s="160" t="str">
        <f>'R3'!J43</f>
        <v/>
      </c>
      <c r="K53" s="160" t="str">
        <f>'R3'!K43</f>
        <v/>
      </c>
      <c r="L53" s="160" t="str">
        <f>'R3'!L43</f>
        <v/>
      </c>
      <c r="M53" s="160" t="str">
        <f>'R3'!M43</f>
        <v/>
      </c>
      <c r="N53"/>
      <c r="O53" s="160">
        <f>'R3'!O43</f>
        <v>0.20845926872768411</v>
      </c>
      <c r="P53" s="160" t="str">
        <f>'R3'!P43</f>
        <v/>
      </c>
      <c r="Q53" s="160" t="str">
        <f>'R3'!Q43</f>
        <v/>
      </c>
      <c r="R53" s="160" t="str">
        <f>'R3'!R43</f>
        <v/>
      </c>
      <c r="S53" s="160" t="str">
        <f>'R3'!S43</f>
        <v/>
      </c>
      <c r="T53" s="160" t="str">
        <f>'R3'!T43</f>
        <v/>
      </c>
      <c r="U53" s="160" t="str">
        <f>'R3'!U43</f>
        <v/>
      </c>
      <c r="V53" s="160" t="str">
        <f>'R3'!V43</f>
        <v/>
      </c>
      <c r="W53" s="160" t="str">
        <f>'R3'!W43</f>
        <v/>
      </c>
      <c r="X53" s="160" t="str">
        <f>'R3'!X43</f>
        <v/>
      </c>
      <c r="Y53" s="160" t="str">
        <f>'R3'!Y43</f>
        <v/>
      </c>
      <c r="Z53" s="160" t="str">
        <f>'R3'!Z43</f>
        <v/>
      </c>
      <c r="AA53" s="160" t="str">
        <f>'R3'!AA43</f>
        <v/>
      </c>
      <c r="AB53" s="160" t="str">
        <f>'R3'!AB43</f>
        <v/>
      </c>
      <c r="AC53" s="160" t="str">
        <f>'R3'!AC43</f>
        <v/>
      </c>
      <c r="AD53" s="160" t="str">
        <f>'R3'!AD43</f>
        <v/>
      </c>
      <c r="AE53" s="160" t="str">
        <f>'R3'!AE43</f>
        <v/>
      </c>
      <c r="AF53" s="160" t="str">
        <f>'R3'!AF43</f>
        <v/>
      </c>
      <c r="AG53" s="160" t="str">
        <f>'R3'!AG43</f>
        <v/>
      </c>
      <c r="AH53" s="160" t="str">
        <f>'R3'!AH43</f>
        <v/>
      </c>
      <c r="AI53" s="160" t="str">
        <f>'R3'!AI43</f>
        <v/>
      </c>
      <c r="AJ53" s="160" t="str">
        <f>'R3'!AJ43</f>
        <v/>
      </c>
      <c r="AK53" s="160" t="str">
        <f>'R3'!AK43</f>
        <v/>
      </c>
    </row>
    <row r="54" spans="1:39" s="63" customFormat="1" x14ac:dyDescent="0.25">
      <c r="A54" s="61"/>
      <c r="B54" s="62"/>
      <c r="C54" s="62"/>
      <c r="D54" s="62"/>
      <c r="E54" s="62"/>
      <c r="F54" s="62"/>
      <c r="G54" s="62"/>
      <c r="H54" s="62"/>
      <c r="I54" s="62"/>
      <c r="J54" s="62"/>
      <c r="K54" s="62"/>
      <c r="L54" s="62"/>
      <c r="M54" s="62"/>
      <c r="N54"/>
      <c r="O54" s="62"/>
      <c r="P54" s="62"/>
      <c r="Q54" s="62"/>
      <c r="R54" s="62"/>
      <c r="S54" s="62"/>
      <c r="T54" s="62"/>
      <c r="U54" s="62"/>
      <c r="V54" s="62"/>
      <c r="W54" s="62"/>
      <c r="X54" s="62"/>
      <c r="Y54" s="62"/>
      <c r="Z54" s="62"/>
      <c r="AA54" s="62"/>
      <c r="AB54" s="62"/>
      <c r="AC54" s="62"/>
      <c r="AD54" s="62"/>
      <c r="AE54" s="62"/>
      <c r="AF54" s="62"/>
      <c r="AG54" s="62"/>
      <c r="AH54" s="62"/>
      <c r="AI54" s="62"/>
      <c r="AJ54" s="62"/>
      <c r="AK54" s="62"/>
    </row>
    <row r="55" spans="1:39" s="41" customFormat="1" x14ac:dyDescent="0.25">
      <c r="A55" s="41" t="s">
        <v>47</v>
      </c>
      <c r="B55" s="15" t="str">
        <f t="shared" ref="B55:M55" si="0">B4</f>
        <v>Témoin solvant</v>
      </c>
      <c r="C55" s="15" t="str">
        <f t="shared" si="0"/>
        <v>EE2-33.8ng/L</v>
      </c>
      <c r="D55" s="15" t="str">
        <f t="shared" si="0"/>
        <v>EE2-50.6ng/L</v>
      </c>
      <c r="E55" s="15" t="str">
        <f t="shared" si="0"/>
        <v>EE2-76ng/L</v>
      </c>
      <c r="F55" s="15" t="str">
        <f t="shared" si="0"/>
        <v>EE2-114ng/L</v>
      </c>
      <c r="G55" s="15" t="str">
        <f t="shared" si="0"/>
        <v>EE2-170.9ng/L</v>
      </c>
      <c r="H55" s="15" t="str">
        <f t="shared" si="0"/>
        <v>EE2-488ng/L</v>
      </c>
      <c r="I55" s="15" t="str">
        <f t="shared" si="0"/>
        <v>estradiol 34ng/L</v>
      </c>
      <c r="J55" s="15" t="str">
        <f t="shared" si="0"/>
        <v>estradiol 68ng/L</v>
      </c>
      <c r="K55" s="15" t="str">
        <f t="shared" si="0"/>
        <v>estradiol 135ng/L</v>
      </c>
      <c r="L55" s="15" t="str">
        <f t="shared" si="0"/>
        <v>estradiol 270ng/L</v>
      </c>
      <c r="M55" s="15" t="str">
        <f t="shared" si="0"/>
        <v>estradiol 540ng/L</v>
      </c>
      <c r="O55" s="15" t="str">
        <f t="shared" ref="O55:AD55" si="1">O4</f>
        <v>Testo -30µg/L</v>
      </c>
      <c r="P55" s="15" t="str">
        <f t="shared" si="1"/>
        <v>Testo 30µg/L + EE2 -64ng/L</v>
      </c>
      <c r="Q55" s="15" t="str">
        <f t="shared" si="1"/>
        <v>Testo 30µg/L + FAD-10mg/L</v>
      </c>
      <c r="R55" s="15" t="str">
        <f t="shared" si="1"/>
        <v>estradiol-34ng/L + Testostérone</v>
      </c>
      <c r="S55" s="15" t="str">
        <f t="shared" si="1"/>
        <v>estradiol-68ng/L + Testostérone</v>
      </c>
      <c r="T55" s="15" t="str">
        <f t="shared" si="1"/>
        <v>estradiol-135ng/L + Testostérone</v>
      </c>
      <c r="U55" s="15" t="str">
        <f t="shared" si="1"/>
        <v>estradiol-270ng/L + Testostérone</v>
      </c>
      <c r="V55" s="15" t="str">
        <f t="shared" si="1"/>
        <v>estradiol-540ng/L + Testostérone</v>
      </c>
      <c r="W55" s="15" t="str">
        <f t="shared" si="1"/>
        <v>0-00 + Testostérone</v>
      </c>
      <c r="X55" s="15" t="str">
        <f t="shared" si="1"/>
        <v>0-00 + Testostérone</v>
      </c>
      <c r="Y55" s="15" t="str">
        <f t="shared" si="1"/>
        <v>0-00 + Testostérone</v>
      </c>
      <c r="Z55" s="15" t="str">
        <f t="shared" si="1"/>
        <v>0-00 + Testostérone</v>
      </c>
      <c r="AA55" s="15" t="str">
        <f t="shared" si="1"/>
        <v>0-00 + Testostérone</v>
      </c>
      <c r="AB55" s="15" t="str">
        <f t="shared" si="1"/>
        <v>0-00 + Testostérone</v>
      </c>
      <c r="AC55" s="15" t="str">
        <f t="shared" si="1"/>
        <v>0-00 + Testostérone</v>
      </c>
      <c r="AD55" s="15" t="str">
        <f t="shared" si="1"/>
        <v>0-00 + Testostérone</v>
      </c>
      <c r="AE55" s="15" t="str">
        <f t="shared" ref="AE55:AK55" si="2">AE4</f>
        <v>0-00 + Testostérone</v>
      </c>
      <c r="AF55" s="15" t="str">
        <f t="shared" si="2"/>
        <v>0-00 + Testostérone</v>
      </c>
      <c r="AG55" s="15" t="str">
        <f t="shared" si="2"/>
        <v>0-00 + Testostérone</v>
      </c>
      <c r="AH55" s="15" t="str">
        <f t="shared" si="2"/>
        <v>0-00 + Testostérone</v>
      </c>
      <c r="AI55" s="15" t="str">
        <f t="shared" si="2"/>
        <v>0-00 + Testostérone</v>
      </c>
      <c r="AJ55" s="15" t="str">
        <f t="shared" si="2"/>
        <v>0-00 + Testostérone</v>
      </c>
      <c r="AK55" s="15" t="str">
        <f t="shared" si="2"/>
        <v>0-00 + Testostérone</v>
      </c>
    </row>
    <row r="56" spans="1:39" x14ac:dyDescent="0.25">
      <c r="A56" t="s">
        <v>48</v>
      </c>
      <c r="B56" s="9">
        <f t="shared" ref="B56:AJ56" si="3">AVERAGE(B6:B53)</f>
        <v>0.15229055770800312</v>
      </c>
      <c r="C56" s="9">
        <f t="shared" si="3"/>
        <v>0.18330585545241077</v>
      </c>
      <c r="D56" s="9">
        <f t="shared" si="3"/>
        <v>0.1684450770480834</v>
      </c>
      <c r="E56" s="9">
        <f t="shared" si="3"/>
        <v>0.74063310480924405</v>
      </c>
      <c r="F56" s="9">
        <f t="shared" si="3"/>
        <v>1.5744025053212292</v>
      </c>
      <c r="G56" s="9">
        <f t="shared" si="3"/>
        <v>2.5009767443674882</v>
      </c>
      <c r="H56" s="9">
        <f t="shared" si="3"/>
        <v>3.7419685866413728</v>
      </c>
      <c r="I56" s="9">
        <f t="shared" si="3"/>
        <v>0.17931758387625063</v>
      </c>
      <c r="J56" s="9">
        <f t="shared" si="3"/>
        <v>0.18326514742027913</v>
      </c>
      <c r="K56" s="9">
        <f t="shared" si="3"/>
        <v>0.97151022965231215</v>
      </c>
      <c r="L56" s="9">
        <f t="shared" si="3"/>
        <v>1.9626738933325127</v>
      </c>
      <c r="M56" s="9">
        <f t="shared" si="3"/>
        <v>3.474881929650135</v>
      </c>
      <c r="N56" s="9"/>
      <c r="O56" s="9">
        <f t="shared" si="3"/>
        <v>1.0000000000000002</v>
      </c>
      <c r="P56" s="9">
        <f t="shared" si="3"/>
        <v>3.1284648375910251</v>
      </c>
      <c r="Q56" s="9">
        <f t="shared" si="3"/>
        <v>0.11656955822676086</v>
      </c>
      <c r="R56" s="9">
        <f t="shared" si="3"/>
        <v>1.5395657185150233</v>
      </c>
      <c r="S56" s="9">
        <f t="shared" si="3"/>
        <v>2.2262229921971128</v>
      </c>
      <c r="T56" s="9">
        <f t="shared" si="3"/>
        <v>2.3844715033432506</v>
      </c>
      <c r="U56" s="9">
        <f t="shared" si="3"/>
        <v>3.1441043236039792</v>
      </c>
      <c r="V56" s="9">
        <f t="shared" si="3"/>
        <v>3.3930749651279641</v>
      </c>
      <c r="W56" s="9" t="e">
        <f t="shared" si="3"/>
        <v>#DIV/0!</v>
      </c>
      <c r="X56" s="9" t="e">
        <f t="shared" si="3"/>
        <v>#DIV/0!</v>
      </c>
      <c r="Y56" s="9" t="e">
        <f t="shared" si="3"/>
        <v>#DIV/0!</v>
      </c>
      <c r="Z56" s="9" t="e">
        <f t="shared" si="3"/>
        <v>#DIV/0!</v>
      </c>
      <c r="AA56" s="9" t="e">
        <f t="shared" si="3"/>
        <v>#DIV/0!</v>
      </c>
      <c r="AB56" s="9" t="e">
        <f t="shared" si="3"/>
        <v>#DIV/0!</v>
      </c>
      <c r="AC56" s="9" t="e">
        <f t="shared" si="3"/>
        <v>#DIV/0!</v>
      </c>
      <c r="AD56" s="9" t="e">
        <f t="shared" si="3"/>
        <v>#DIV/0!</v>
      </c>
      <c r="AE56" s="9" t="e">
        <f t="shared" si="3"/>
        <v>#DIV/0!</v>
      </c>
      <c r="AF56" s="9" t="e">
        <f t="shared" si="3"/>
        <v>#DIV/0!</v>
      </c>
      <c r="AG56" s="9" t="e">
        <f t="shared" si="3"/>
        <v>#DIV/0!</v>
      </c>
      <c r="AH56" s="9" t="e">
        <f t="shared" si="3"/>
        <v>#DIV/0!</v>
      </c>
      <c r="AI56" s="9" t="e">
        <f t="shared" si="3"/>
        <v>#DIV/0!</v>
      </c>
      <c r="AJ56" s="9" t="e">
        <f t="shared" si="3"/>
        <v>#DIV/0!</v>
      </c>
      <c r="AK56" s="9" t="e">
        <f>AVERAGE(AK6:AK53)</f>
        <v>#DIV/0!</v>
      </c>
    </row>
    <row r="57" spans="1:39" x14ac:dyDescent="0.25">
      <c r="A57" t="s">
        <v>1</v>
      </c>
      <c r="B57" s="3">
        <f>STDEV(B6:B53)</f>
        <v>0.14320511457544849</v>
      </c>
      <c r="C57" s="3">
        <f t="shared" ref="C57:AK57" si="4">STDEV(C6:C53)</f>
        <v>0.16459248515883065</v>
      </c>
      <c r="D57" s="3">
        <f t="shared" si="4"/>
        <v>0.18292056781584792</v>
      </c>
      <c r="E57" s="3">
        <f t="shared" si="4"/>
        <v>1.0334341438645287</v>
      </c>
      <c r="F57" s="3">
        <f t="shared" si="4"/>
        <v>1.4676525923808525</v>
      </c>
      <c r="G57" s="3">
        <f t="shared" si="4"/>
        <v>1.5161928254192851</v>
      </c>
      <c r="H57" s="3">
        <f t="shared" si="4"/>
        <v>1.8001053569124315</v>
      </c>
      <c r="I57" s="3">
        <f t="shared" si="4"/>
        <v>0.10343559169964275</v>
      </c>
      <c r="J57" s="3">
        <f t="shared" si="4"/>
        <v>0.10642583417777243</v>
      </c>
      <c r="K57" s="3">
        <f t="shared" si="4"/>
        <v>1.0176515516923805</v>
      </c>
      <c r="L57" s="3">
        <f t="shared" si="4"/>
        <v>0.97702620209120561</v>
      </c>
      <c r="M57" s="3">
        <f t="shared" si="4"/>
        <v>1.6182040565274005</v>
      </c>
      <c r="N57" s="3"/>
      <c r="O57" s="3">
        <f t="shared" si="4"/>
        <v>0.75501527336403429</v>
      </c>
      <c r="P57" s="3">
        <f t="shared" si="4"/>
        <v>1.564858539033066</v>
      </c>
      <c r="Q57" s="3">
        <f t="shared" si="4"/>
        <v>8.6175755389044151E-2</v>
      </c>
      <c r="R57" s="3">
        <f t="shared" si="4"/>
        <v>1.1303097072409165</v>
      </c>
      <c r="S57" s="3">
        <f t="shared" si="4"/>
        <v>1.0747087473576196</v>
      </c>
      <c r="T57" s="3">
        <f t="shared" si="4"/>
        <v>1.1502892205760722</v>
      </c>
      <c r="U57" s="3">
        <f t="shared" si="4"/>
        <v>1.6021906687581258</v>
      </c>
      <c r="V57" s="3">
        <f t="shared" si="4"/>
        <v>1.8919253791188513</v>
      </c>
      <c r="W57" s="3" t="e">
        <f t="shared" si="4"/>
        <v>#DIV/0!</v>
      </c>
      <c r="X57" s="3" t="e">
        <f t="shared" si="4"/>
        <v>#DIV/0!</v>
      </c>
      <c r="Y57" s="3" t="e">
        <f t="shared" si="4"/>
        <v>#DIV/0!</v>
      </c>
      <c r="Z57" s="3" t="e">
        <f t="shared" si="4"/>
        <v>#DIV/0!</v>
      </c>
      <c r="AA57" s="3" t="e">
        <f t="shared" si="4"/>
        <v>#DIV/0!</v>
      </c>
      <c r="AB57" s="3" t="e">
        <f t="shared" si="4"/>
        <v>#DIV/0!</v>
      </c>
      <c r="AC57" s="3" t="e">
        <f t="shared" si="4"/>
        <v>#DIV/0!</v>
      </c>
      <c r="AD57" s="3" t="e">
        <f t="shared" si="4"/>
        <v>#DIV/0!</v>
      </c>
      <c r="AE57" s="3" t="e">
        <f t="shared" si="4"/>
        <v>#DIV/0!</v>
      </c>
      <c r="AF57" s="3" t="e">
        <f t="shared" si="4"/>
        <v>#DIV/0!</v>
      </c>
      <c r="AG57" s="3" t="e">
        <f t="shared" si="4"/>
        <v>#DIV/0!</v>
      </c>
      <c r="AH57" s="3" t="e">
        <f t="shared" si="4"/>
        <v>#DIV/0!</v>
      </c>
      <c r="AI57" s="3" t="e">
        <f t="shared" si="4"/>
        <v>#DIV/0!</v>
      </c>
      <c r="AJ57" s="3" t="e">
        <f t="shared" si="4"/>
        <v>#DIV/0!</v>
      </c>
      <c r="AK57" s="3" t="e">
        <f t="shared" si="4"/>
        <v>#DIV/0!</v>
      </c>
      <c r="AL57" s="3"/>
      <c r="AM57" s="3"/>
    </row>
    <row r="58" spans="1:39" x14ac:dyDescent="0.25">
      <c r="A58" t="s">
        <v>2</v>
      </c>
      <c r="B58" s="3">
        <f xml:space="preserve"> B57/SQRT(COUNT(B6:B53))</f>
        <v>3.0531433013272886E-2</v>
      </c>
      <c r="C58" s="3">
        <f t="shared" ref="C58:AK58" si="5" xml:space="preserve"> C57/SQRT(COUNT(C6:C53))</f>
        <v>3.5091235742612872E-2</v>
      </c>
      <c r="D58" s="3">
        <f t="shared" si="5"/>
        <v>3.7338504550749524E-2</v>
      </c>
      <c r="E58" s="3">
        <f t="shared" si="5"/>
        <v>0.21548591497448694</v>
      </c>
      <c r="F58" s="3">
        <f t="shared" si="5"/>
        <v>0.29958333091716993</v>
      </c>
      <c r="G58" s="3">
        <f t="shared" si="5"/>
        <v>0.32325339651262858</v>
      </c>
      <c r="H58" s="3">
        <f t="shared" si="5"/>
        <v>0.37534791373759713</v>
      </c>
      <c r="I58" s="3">
        <f t="shared" si="5"/>
        <v>2.1567811795897836E-2</v>
      </c>
      <c r="J58" s="3">
        <f t="shared" si="5"/>
        <v>2.1724082432133082E-2</v>
      </c>
      <c r="K58" s="3">
        <f t="shared" si="5"/>
        <v>0.20772725313315596</v>
      </c>
      <c r="L58" s="3">
        <f t="shared" si="5"/>
        <v>0.20372404604745686</v>
      </c>
      <c r="M58" s="3">
        <f t="shared" si="5"/>
        <v>0.33741887067159243</v>
      </c>
      <c r="N58" s="3"/>
      <c r="O58" s="3">
        <f t="shared" si="5"/>
        <v>0.11132092883161762</v>
      </c>
      <c r="P58" s="3">
        <f t="shared" si="5"/>
        <v>0.31942541168901378</v>
      </c>
      <c r="Q58" s="3">
        <f t="shared" si="5"/>
        <v>1.7590552408504653E-2</v>
      </c>
      <c r="R58" s="3">
        <f t="shared" si="5"/>
        <v>0.2409828392874637</v>
      </c>
      <c r="S58" s="3">
        <f t="shared" si="5"/>
        <v>0.21937400442765395</v>
      </c>
      <c r="T58" s="3">
        <f t="shared" si="5"/>
        <v>0.23480180391959549</v>
      </c>
      <c r="U58" s="3">
        <f t="shared" si="5"/>
        <v>0.32704580075882916</v>
      </c>
      <c r="V58" s="3">
        <f t="shared" si="5"/>
        <v>0.38618765085523349</v>
      </c>
      <c r="W58" s="3" t="e">
        <f t="shared" si="5"/>
        <v>#DIV/0!</v>
      </c>
      <c r="X58" s="3" t="e">
        <f t="shared" si="5"/>
        <v>#DIV/0!</v>
      </c>
      <c r="Y58" s="3" t="e">
        <f t="shared" si="5"/>
        <v>#DIV/0!</v>
      </c>
      <c r="Z58" s="3" t="e">
        <f t="shared" si="5"/>
        <v>#DIV/0!</v>
      </c>
      <c r="AA58" s="3" t="e">
        <f t="shared" si="5"/>
        <v>#DIV/0!</v>
      </c>
      <c r="AB58" s="3" t="e">
        <f t="shared" si="5"/>
        <v>#DIV/0!</v>
      </c>
      <c r="AC58" s="3" t="e">
        <f t="shared" si="5"/>
        <v>#DIV/0!</v>
      </c>
      <c r="AD58" s="3" t="e">
        <f t="shared" si="5"/>
        <v>#DIV/0!</v>
      </c>
      <c r="AE58" s="3" t="e">
        <f t="shared" si="5"/>
        <v>#DIV/0!</v>
      </c>
      <c r="AF58" s="3" t="e">
        <f t="shared" si="5"/>
        <v>#DIV/0!</v>
      </c>
      <c r="AG58" s="3" t="e">
        <f t="shared" si="5"/>
        <v>#DIV/0!</v>
      </c>
      <c r="AH58" s="3" t="e">
        <f t="shared" si="5"/>
        <v>#DIV/0!</v>
      </c>
      <c r="AI58" s="3" t="e">
        <f t="shared" si="5"/>
        <v>#DIV/0!</v>
      </c>
      <c r="AJ58" s="3" t="e">
        <f t="shared" si="5"/>
        <v>#DIV/0!</v>
      </c>
      <c r="AK58" s="3" t="e">
        <f t="shared" si="5"/>
        <v>#DIV/0!</v>
      </c>
      <c r="AL58" s="3"/>
      <c r="AM58" s="3"/>
    </row>
    <row r="59" spans="1:39" s="1" customFormat="1" ht="15.75" thickBot="1" x14ac:dyDescent="0.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row>
    <row r="60" spans="1:39" s="49" customFormat="1" ht="27" thickBot="1" x14ac:dyDescent="0.3">
      <c r="A60" s="239" t="s">
        <v>46</v>
      </c>
      <c r="B60" s="240"/>
      <c r="C60" s="240"/>
      <c r="D60" s="240"/>
      <c r="E60" s="240"/>
      <c r="F60" s="240"/>
      <c r="G60" s="240"/>
      <c r="H60" s="240"/>
      <c r="I60" s="240"/>
      <c r="J60" s="240"/>
      <c r="K60" s="240"/>
      <c r="L60" s="240"/>
      <c r="M60" s="240"/>
      <c r="N60" s="240"/>
      <c r="O60" s="240"/>
      <c r="P60" s="240"/>
      <c r="Q60" s="240"/>
      <c r="R60" s="240"/>
      <c r="S60" s="240"/>
      <c r="T60" s="240"/>
      <c r="U60" s="240"/>
      <c r="V60" s="240"/>
      <c r="W60" s="240"/>
      <c r="X60" s="240"/>
      <c r="Y60" s="240"/>
      <c r="Z60" s="240"/>
      <c r="AA60" s="240"/>
      <c r="AB60" s="240"/>
      <c r="AC60" s="240"/>
      <c r="AD60" s="240"/>
      <c r="AE60" s="240"/>
      <c r="AF60" s="240"/>
      <c r="AG60" s="240"/>
      <c r="AH60" s="240"/>
      <c r="AI60" s="240"/>
      <c r="AJ60" s="240"/>
      <c r="AK60" s="241"/>
    </row>
    <row r="61" spans="1:39" s="1" customFormat="1" x14ac:dyDescent="0.25">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row>
    <row r="62" spans="1:39" s="1" customFormat="1" x14ac:dyDescent="0.25">
      <c r="A62" s="1" t="s">
        <v>47</v>
      </c>
      <c r="B62" s="3" t="str">
        <f t="shared" ref="B62" si="6">B4</f>
        <v>Témoin solvant</v>
      </c>
      <c r="C62" s="3" t="str">
        <f t="shared" ref="C62:AK62" si="7">C4</f>
        <v>EE2-33.8ng/L</v>
      </c>
      <c r="D62" s="3" t="str">
        <f t="shared" si="7"/>
        <v>EE2-50.6ng/L</v>
      </c>
      <c r="E62" s="3" t="str">
        <f t="shared" si="7"/>
        <v>EE2-76ng/L</v>
      </c>
      <c r="F62" s="3" t="str">
        <f t="shared" si="7"/>
        <v>EE2-114ng/L</v>
      </c>
      <c r="G62" s="3" t="str">
        <f t="shared" si="7"/>
        <v>EE2-170.9ng/L</v>
      </c>
      <c r="H62" s="3" t="str">
        <f t="shared" si="7"/>
        <v>EE2-488ng/L</v>
      </c>
      <c r="I62" s="3" t="str">
        <f t="shared" si="7"/>
        <v>estradiol 34ng/L</v>
      </c>
      <c r="J62" s="3" t="str">
        <f t="shared" si="7"/>
        <v>estradiol 68ng/L</v>
      </c>
      <c r="K62" s="3" t="str">
        <f t="shared" si="7"/>
        <v>estradiol 135ng/L</v>
      </c>
      <c r="L62" s="3" t="str">
        <f t="shared" si="7"/>
        <v>estradiol 270ng/L</v>
      </c>
      <c r="M62" s="3" t="str">
        <f t="shared" si="7"/>
        <v>estradiol 540ng/L</v>
      </c>
      <c r="N62" s="3"/>
      <c r="O62" s="3" t="str">
        <f t="shared" si="7"/>
        <v>Testo -30µg/L</v>
      </c>
      <c r="P62" s="3" t="str">
        <f t="shared" si="7"/>
        <v>Testo 30µg/L + EE2 -64ng/L</v>
      </c>
      <c r="Q62" s="3" t="str">
        <f t="shared" si="7"/>
        <v>Testo 30µg/L + FAD-10mg/L</v>
      </c>
      <c r="R62" s="3" t="str">
        <f t="shared" si="7"/>
        <v>estradiol-34ng/L + Testostérone</v>
      </c>
      <c r="S62" s="3" t="str">
        <f t="shared" si="7"/>
        <v>estradiol-68ng/L + Testostérone</v>
      </c>
      <c r="T62" s="3" t="str">
        <f t="shared" si="7"/>
        <v>estradiol-135ng/L + Testostérone</v>
      </c>
      <c r="U62" s="3" t="str">
        <f t="shared" si="7"/>
        <v>estradiol-270ng/L + Testostérone</v>
      </c>
      <c r="V62" s="3" t="str">
        <f t="shared" si="7"/>
        <v>estradiol-540ng/L + Testostérone</v>
      </c>
      <c r="W62" s="3" t="str">
        <f t="shared" si="7"/>
        <v>0-00 + Testostérone</v>
      </c>
      <c r="X62" s="3" t="str">
        <f t="shared" si="7"/>
        <v>0-00 + Testostérone</v>
      </c>
      <c r="Y62" s="3" t="str">
        <f t="shared" si="7"/>
        <v>0-00 + Testostérone</v>
      </c>
      <c r="Z62" s="3" t="str">
        <f t="shared" si="7"/>
        <v>0-00 + Testostérone</v>
      </c>
      <c r="AA62" s="3" t="str">
        <f t="shared" si="7"/>
        <v>0-00 + Testostérone</v>
      </c>
      <c r="AB62" s="3" t="str">
        <f t="shared" si="7"/>
        <v>0-00 + Testostérone</v>
      </c>
      <c r="AC62" s="3" t="str">
        <f t="shared" si="7"/>
        <v>0-00 + Testostérone</v>
      </c>
      <c r="AD62" s="3" t="str">
        <f t="shared" si="7"/>
        <v>0-00 + Testostérone</v>
      </c>
      <c r="AE62" s="3" t="str">
        <f t="shared" si="7"/>
        <v>0-00 + Testostérone</v>
      </c>
      <c r="AF62" s="3" t="str">
        <f t="shared" si="7"/>
        <v>0-00 + Testostérone</v>
      </c>
      <c r="AG62" s="3" t="str">
        <f t="shared" si="7"/>
        <v>0-00 + Testostérone</v>
      </c>
      <c r="AH62" s="3" t="str">
        <f t="shared" si="7"/>
        <v>0-00 + Testostérone</v>
      </c>
      <c r="AI62" s="3" t="str">
        <f t="shared" si="7"/>
        <v>0-00 + Testostérone</v>
      </c>
      <c r="AJ62" s="3" t="str">
        <f t="shared" si="7"/>
        <v>0-00 + Testostérone</v>
      </c>
      <c r="AK62" s="3" t="str">
        <f t="shared" si="7"/>
        <v>0-00 + Testostérone</v>
      </c>
    </row>
    <row r="63" spans="1:39" s="1" customFormat="1" x14ac:dyDescent="0.25">
      <c r="A63" s="1" t="s">
        <v>49</v>
      </c>
      <c r="B63" s="3">
        <f>COUNT(B6:B53)</f>
        <v>22</v>
      </c>
      <c r="C63" s="3">
        <f t="shared" ref="C63:AJ63" si="8">COUNT(C6:C53)</f>
        <v>22</v>
      </c>
      <c r="D63" s="3">
        <f t="shared" si="8"/>
        <v>24</v>
      </c>
      <c r="E63" s="3">
        <f t="shared" si="8"/>
        <v>23</v>
      </c>
      <c r="F63" s="3">
        <f t="shared" si="8"/>
        <v>24</v>
      </c>
      <c r="G63" s="3">
        <f t="shared" si="8"/>
        <v>22</v>
      </c>
      <c r="H63" s="3">
        <f t="shared" si="8"/>
        <v>23</v>
      </c>
      <c r="I63" s="3">
        <f t="shared" si="8"/>
        <v>23</v>
      </c>
      <c r="J63" s="3">
        <f t="shared" si="8"/>
        <v>24</v>
      </c>
      <c r="K63" s="3">
        <f t="shared" si="8"/>
        <v>24</v>
      </c>
      <c r="L63" s="3">
        <f t="shared" si="8"/>
        <v>23</v>
      </c>
      <c r="M63" s="3">
        <f t="shared" si="8"/>
        <v>23</v>
      </c>
      <c r="N63" s="3"/>
      <c r="O63" s="3">
        <f t="shared" si="8"/>
        <v>46</v>
      </c>
      <c r="P63" s="3">
        <f t="shared" si="8"/>
        <v>24</v>
      </c>
      <c r="Q63" s="3">
        <f t="shared" si="8"/>
        <v>24</v>
      </c>
      <c r="R63" s="3">
        <f t="shared" si="8"/>
        <v>22</v>
      </c>
      <c r="S63" s="3">
        <f t="shared" si="8"/>
        <v>24</v>
      </c>
      <c r="T63" s="3">
        <f t="shared" si="8"/>
        <v>24</v>
      </c>
      <c r="U63" s="3">
        <f t="shared" si="8"/>
        <v>24</v>
      </c>
      <c r="V63" s="3">
        <f t="shared" si="8"/>
        <v>24</v>
      </c>
      <c r="W63" s="3">
        <f t="shared" si="8"/>
        <v>0</v>
      </c>
      <c r="X63" s="3">
        <f t="shared" si="8"/>
        <v>0</v>
      </c>
      <c r="Y63" s="3">
        <f t="shared" si="8"/>
        <v>0</v>
      </c>
      <c r="Z63" s="3">
        <f t="shared" si="8"/>
        <v>0</v>
      </c>
      <c r="AA63" s="3">
        <f t="shared" si="8"/>
        <v>0</v>
      </c>
      <c r="AB63" s="3">
        <f t="shared" si="8"/>
        <v>0</v>
      </c>
      <c r="AC63" s="3">
        <f t="shared" si="8"/>
        <v>0</v>
      </c>
      <c r="AD63" s="3">
        <f t="shared" si="8"/>
        <v>0</v>
      </c>
      <c r="AE63" s="3">
        <f t="shared" si="8"/>
        <v>0</v>
      </c>
      <c r="AF63" s="3">
        <f t="shared" si="8"/>
        <v>0</v>
      </c>
      <c r="AG63" s="3">
        <f t="shared" si="8"/>
        <v>0</v>
      </c>
      <c r="AH63" s="3">
        <f t="shared" si="8"/>
        <v>0</v>
      </c>
      <c r="AI63" s="3">
        <f t="shared" si="8"/>
        <v>0</v>
      </c>
      <c r="AJ63" s="3">
        <f t="shared" si="8"/>
        <v>0</v>
      </c>
      <c r="AK63" s="3">
        <f>COUNT(AK6:AK53)</f>
        <v>0</v>
      </c>
    </row>
    <row r="64" spans="1:39" s="1" customFormat="1" ht="15.75" thickBot="1" x14ac:dyDescent="0.3">
      <c r="B64" s="3" t="str">
        <f>IF(B63&gt;=21,"OK","ATTENTION")</f>
        <v>OK</v>
      </c>
      <c r="C64" s="3" t="str">
        <f t="shared" ref="C64:AK64" si="9">IF(C63&gt;=21,"OK","ATTENTION")</f>
        <v>OK</v>
      </c>
      <c r="D64" s="3" t="str">
        <f t="shared" si="9"/>
        <v>OK</v>
      </c>
      <c r="E64" s="3" t="str">
        <f t="shared" si="9"/>
        <v>OK</v>
      </c>
      <c r="F64" s="3" t="str">
        <f t="shared" si="9"/>
        <v>OK</v>
      </c>
      <c r="G64" s="3" t="str">
        <f t="shared" si="9"/>
        <v>OK</v>
      </c>
      <c r="H64" s="3" t="str">
        <f t="shared" si="9"/>
        <v>OK</v>
      </c>
      <c r="I64" s="3" t="str">
        <f t="shared" si="9"/>
        <v>OK</v>
      </c>
      <c r="J64" s="3" t="str">
        <f t="shared" si="9"/>
        <v>OK</v>
      </c>
      <c r="K64" s="3" t="str">
        <f t="shared" si="9"/>
        <v>OK</v>
      </c>
      <c r="L64" s="3" t="str">
        <f t="shared" si="9"/>
        <v>OK</v>
      </c>
      <c r="M64" s="3" t="str">
        <f t="shared" si="9"/>
        <v>OK</v>
      </c>
      <c r="N64" s="3"/>
      <c r="O64" s="3" t="str">
        <f>IF(O63&gt;=41,"OK","ATTENTION")</f>
        <v>OK</v>
      </c>
      <c r="P64" s="3" t="str">
        <f t="shared" si="9"/>
        <v>OK</v>
      </c>
      <c r="Q64" s="3" t="str">
        <f t="shared" si="9"/>
        <v>OK</v>
      </c>
      <c r="R64" s="3" t="str">
        <f t="shared" si="9"/>
        <v>OK</v>
      </c>
      <c r="S64" s="3" t="str">
        <f t="shared" si="9"/>
        <v>OK</v>
      </c>
      <c r="T64" s="3" t="str">
        <f t="shared" si="9"/>
        <v>OK</v>
      </c>
      <c r="U64" s="3" t="str">
        <f t="shared" si="9"/>
        <v>OK</v>
      </c>
      <c r="V64" s="3" t="str">
        <f t="shared" si="9"/>
        <v>OK</v>
      </c>
      <c r="W64" s="3" t="str">
        <f t="shared" si="9"/>
        <v>ATTENTION</v>
      </c>
      <c r="X64" s="3" t="str">
        <f t="shared" si="9"/>
        <v>ATTENTION</v>
      </c>
      <c r="Y64" s="3" t="str">
        <f t="shared" si="9"/>
        <v>ATTENTION</v>
      </c>
      <c r="Z64" s="3" t="str">
        <f t="shared" si="9"/>
        <v>ATTENTION</v>
      </c>
      <c r="AA64" s="3" t="str">
        <f t="shared" si="9"/>
        <v>ATTENTION</v>
      </c>
      <c r="AB64" s="3" t="str">
        <f t="shared" si="9"/>
        <v>ATTENTION</v>
      </c>
      <c r="AC64" s="3" t="str">
        <f t="shared" si="9"/>
        <v>ATTENTION</v>
      </c>
      <c r="AD64" s="3" t="str">
        <f t="shared" si="9"/>
        <v>ATTENTION</v>
      </c>
      <c r="AE64" s="3" t="str">
        <f t="shared" si="9"/>
        <v>ATTENTION</v>
      </c>
      <c r="AF64" s="3" t="str">
        <f t="shared" si="9"/>
        <v>ATTENTION</v>
      </c>
      <c r="AG64" s="3" t="str">
        <f t="shared" si="9"/>
        <v>ATTENTION</v>
      </c>
      <c r="AH64" s="3" t="str">
        <f t="shared" si="9"/>
        <v>ATTENTION</v>
      </c>
      <c r="AI64" s="3" t="str">
        <f t="shared" si="9"/>
        <v>ATTENTION</v>
      </c>
      <c r="AJ64" s="3" t="str">
        <f t="shared" si="9"/>
        <v>ATTENTION</v>
      </c>
      <c r="AK64" s="3" t="str">
        <f t="shared" si="9"/>
        <v>ATTENTION</v>
      </c>
    </row>
    <row r="65" spans="1:37" s="49" customFormat="1" ht="27" thickBot="1" x14ac:dyDescent="0.3">
      <c r="A65" s="239" t="s">
        <v>58</v>
      </c>
      <c r="B65" s="240"/>
      <c r="C65" s="240"/>
      <c r="D65" s="240"/>
      <c r="E65" s="240"/>
      <c r="F65" s="240"/>
      <c r="G65" s="240"/>
      <c r="H65" s="240"/>
      <c r="I65" s="240"/>
      <c r="J65" s="240"/>
      <c r="K65" s="240"/>
      <c r="L65" s="240"/>
      <c r="M65" s="240"/>
      <c r="N65" s="240"/>
      <c r="O65" s="240"/>
      <c r="P65" s="240"/>
      <c r="Q65" s="240"/>
      <c r="R65" s="240"/>
      <c r="S65" s="240"/>
      <c r="T65" s="240"/>
      <c r="U65" s="240"/>
      <c r="V65" s="240"/>
      <c r="W65" s="240"/>
      <c r="X65" s="240"/>
      <c r="Y65" s="240"/>
      <c r="Z65" s="240"/>
      <c r="AA65" s="240"/>
      <c r="AB65" s="240"/>
      <c r="AC65" s="240"/>
      <c r="AD65" s="240"/>
      <c r="AE65" s="240"/>
      <c r="AF65" s="240"/>
      <c r="AG65" s="240"/>
      <c r="AH65" s="240"/>
      <c r="AI65" s="240"/>
      <c r="AJ65" s="240"/>
      <c r="AK65" s="241"/>
    </row>
    <row r="66" spans="1:37" s="1" customFormat="1" x14ac:dyDescent="0.25">
      <c r="B66" s="1" t="s">
        <v>61</v>
      </c>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row>
    <row r="67" spans="1:37" s="1" customFormat="1" x14ac:dyDescent="0.25">
      <c r="A67" s="1" t="s">
        <v>59</v>
      </c>
      <c r="B67" s="3">
        <v>3.5</v>
      </c>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row>
    <row r="68" spans="1:37" s="1" customFormat="1" x14ac:dyDescent="0.25">
      <c r="A68" s="1" t="s">
        <v>62</v>
      </c>
      <c r="B68" s="3">
        <v>2</v>
      </c>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row>
    <row r="69" spans="1:37" s="1" customFormat="1" ht="15.75" thickBot="1" x14ac:dyDescent="0.3">
      <c r="A69" s="1" t="s">
        <v>63</v>
      </c>
      <c r="B69" s="3">
        <v>0.5</v>
      </c>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row>
    <row r="70" spans="1:37" s="49" customFormat="1" ht="27" thickBot="1" x14ac:dyDescent="0.3">
      <c r="A70" s="239" t="s">
        <v>53</v>
      </c>
      <c r="B70" s="240"/>
      <c r="C70" s="240"/>
      <c r="D70" s="240"/>
      <c r="E70" s="240"/>
      <c r="F70" s="240"/>
      <c r="G70" s="240"/>
      <c r="H70" s="240"/>
      <c r="I70" s="240"/>
      <c r="J70" s="240"/>
      <c r="K70" s="240"/>
      <c r="L70" s="240"/>
      <c r="M70" s="240"/>
      <c r="N70" s="240"/>
      <c r="O70" s="240"/>
      <c r="P70" s="240"/>
      <c r="Q70" s="240"/>
      <c r="R70" s="240"/>
      <c r="S70" s="240"/>
      <c r="T70" s="240"/>
      <c r="U70" s="240"/>
      <c r="V70" s="240"/>
      <c r="W70" s="240"/>
      <c r="X70" s="240"/>
      <c r="Y70" s="240"/>
      <c r="Z70" s="240"/>
      <c r="AA70" s="240"/>
      <c r="AB70" s="240"/>
      <c r="AC70" s="240"/>
      <c r="AD70" s="240"/>
      <c r="AE70" s="240"/>
      <c r="AF70" s="240"/>
      <c r="AG70" s="240"/>
      <c r="AH70" s="240"/>
      <c r="AI70" s="240"/>
      <c r="AJ70" s="240"/>
      <c r="AK70" s="241"/>
    </row>
    <row r="71" spans="1:37" ht="15.75" thickBot="1" x14ac:dyDescent="0.3"/>
    <row r="72" spans="1:37" s="49" customFormat="1" ht="27" thickBot="1" x14ac:dyDescent="0.3">
      <c r="A72" s="239" t="s">
        <v>54</v>
      </c>
      <c r="B72" s="240"/>
      <c r="C72" s="240"/>
      <c r="D72" s="240"/>
      <c r="E72" s="240"/>
      <c r="F72" s="240"/>
      <c r="G72" s="240"/>
      <c r="H72" s="240"/>
      <c r="I72" s="240"/>
      <c r="J72" s="240"/>
      <c r="K72" s="240"/>
      <c r="L72" s="240"/>
      <c r="M72" s="240"/>
      <c r="N72" s="240"/>
      <c r="O72" s="240"/>
      <c r="P72" s="240"/>
      <c r="Q72" s="240"/>
      <c r="R72" s="240"/>
      <c r="S72" s="240"/>
      <c r="T72" s="240"/>
      <c r="U72" s="240"/>
      <c r="V72" s="240"/>
      <c r="W72" s="240"/>
      <c r="X72" s="240"/>
      <c r="Y72" s="240"/>
      <c r="Z72" s="240"/>
      <c r="AA72" s="240"/>
      <c r="AB72" s="240"/>
      <c r="AC72" s="240"/>
      <c r="AD72" s="240"/>
      <c r="AE72" s="240"/>
      <c r="AF72" s="240"/>
      <c r="AG72" s="240"/>
      <c r="AH72" s="240"/>
      <c r="AI72" s="240"/>
      <c r="AJ72" s="240"/>
      <c r="AK72" s="241"/>
    </row>
    <row r="73" spans="1:37" ht="15.75" thickBot="1" x14ac:dyDescent="0.3">
      <c r="J73" s="3">
        <v>1</v>
      </c>
      <c r="K73" s="3">
        <v>2</v>
      </c>
      <c r="L73" s="3">
        <v>3</v>
      </c>
      <c r="M73" s="3">
        <v>4</v>
      </c>
      <c r="R73" s="3">
        <v>1</v>
      </c>
      <c r="S73" s="3">
        <v>2</v>
      </c>
      <c r="T73" s="3">
        <v>3</v>
      </c>
      <c r="U73" s="3">
        <v>4</v>
      </c>
      <c r="V73" s="3">
        <v>5</v>
      </c>
      <c r="W73" s="3">
        <v>1</v>
      </c>
      <c r="X73" s="3">
        <v>2</v>
      </c>
      <c r="Y73" s="3">
        <v>3</v>
      </c>
      <c r="Z73" s="3">
        <v>4</v>
      </c>
      <c r="AA73" s="3">
        <v>5</v>
      </c>
      <c r="AB73" s="3">
        <v>1</v>
      </c>
      <c r="AC73" s="3">
        <v>2</v>
      </c>
      <c r="AD73" s="3">
        <v>3</v>
      </c>
      <c r="AE73" s="3">
        <v>4</v>
      </c>
      <c r="AF73" s="3">
        <v>5</v>
      </c>
      <c r="AG73" s="3">
        <v>1</v>
      </c>
      <c r="AH73" s="3">
        <v>2</v>
      </c>
      <c r="AI73" s="3">
        <v>3</v>
      </c>
      <c r="AJ73" s="3">
        <v>4</v>
      </c>
      <c r="AK73" s="3">
        <v>5</v>
      </c>
    </row>
    <row r="74" spans="1:37" s="1" customFormat="1" x14ac:dyDescent="0.25">
      <c r="A74" s="45" t="s">
        <v>41</v>
      </c>
      <c r="B74" s="46" t="str">
        <f t="shared" ref="B74:M74" si="10">B4</f>
        <v>Témoin solvant</v>
      </c>
      <c r="C74" s="46" t="str">
        <f t="shared" si="10"/>
        <v>EE2-33.8ng/L</v>
      </c>
      <c r="D74" s="46" t="str">
        <f t="shared" si="10"/>
        <v>EE2-50.6ng/L</v>
      </c>
      <c r="E74" s="46" t="str">
        <f t="shared" si="10"/>
        <v>EE2-76ng/L</v>
      </c>
      <c r="F74" s="46" t="str">
        <f t="shared" si="10"/>
        <v>EE2-114ng/L</v>
      </c>
      <c r="G74" s="46" t="str">
        <f t="shared" si="10"/>
        <v>EE2-170.9ng/L</v>
      </c>
      <c r="H74" s="46" t="str">
        <f t="shared" si="10"/>
        <v>EE2-488ng/L</v>
      </c>
      <c r="I74" s="46" t="str">
        <f t="shared" si="10"/>
        <v>estradiol 34ng/L</v>
      </c>
      <c r="J74" s="46" t="str">
        <f t="shared" si="10"/>
        <v>estradiol 68ng/L</v>
      </c>
      <c r="K74" s="46" t="str">
        <f t="shared" si="10"/>
        <v>estradiol 135ng/L</v>
      </c>
      <c r="L74" s="46" t="str">
        <f t="shared" si="10"/>
        <v>estradiol 270ng/L</v>
      </c>
      <c r="M74" s="46" t="str">
        <f t="shared" si="10"/>
        <v>estradiol 540ng/L</v>
      </c>
      <c r="N74" s="46"/>
      <c r="O74" s="46" t="str">
        <f t="shared" ref="O74:AD74" si="11">O4</f>
        <v>Testo -30µg/L</v>
      </c>
      <c r="P74" s="46" t="str">
        <f t="shared" si="11"/>
        <v>Testo 30µg/L + EE2 -64ng/L</v>
      </c>
      <c r="Q74" s="46" t="str">
        <f t="shared" si="11"/>
        <v>Testo 30µg/L + FAD-10mg/L</v>
      </c>
      <c r="R74" s="46" t="str">
        <f t="shared" si="11"/>
        <v>estradiol-34ng/L + Testostérone</v>
      </c>
      <c r="S74" s="46" t="str">
        <f t="shared" si="11"/>
        <v>estradiol-68ng/L + Testostérone</v>
      </c>
      <c r="T74" s="46" t="str">
        <f t="shared" si="11"/>
        <v>estradiol-135ng/L + Testostérone</v>
      </c>
      <c r="U74" s="46" t="str">
        <f t="shared" si="11"/>
        <v>estradiol-270ng/L + Testostérone</v>
      </c>
      <c r="V74" s="46" t="str">
        <f t="shared" si="11"/>
        <v>estradiol-540ng/L + Testostérone</v>
      </c>
      <c r="W74" s="46" t="str">
        <f t="shared" si="11"/>
        <v>0-00 + Testostérone</v>
      </c>
      <c r="X74" s="46" t="str">
        <f t="shared" si="11"/>
        <v>0-00 + Testostérone</v>
      </c>
      <c r="Y74" s="46" t="str">
        <f t="shared" si="11"/>
        <v>0-00 + Testostérone</v>
      </c>
      <c r="Z74" s="46" t="str">
        <f t="shared" si="11"/>
        <v>0-00 + Testostérone</v>
      </c>
      <c r="AA74" s="46" t="str">
        <f t="shared" si="11"/>
        <v>0-00 + Testostérone</v>
      </c>
      <c r="AB74" s="46" t="str">
        <f t="shared" si="11"/>
        <v>0-00 + Testostérone</v>
      </c>
      <c r="AC74" s="46" t="str">
        <f t="shared" si="11"/>
        <v>0-00 + Testostérone</v>
      </c>
      <c r="AD74" s="46" t="str">
        <f t="shared" si="11"/>
        <v>0-00 + Testostérone</v>
      </c>
      <c r="AE74" s="46" t="str">
        <f t="shared" ref="AE74:AK74" si="12">AE4</f>
        <v>0-00 + Testostérone</v>
      </c>
      <c r="AF74" s="46" t="str">
        <f t="shared" si="12"/>
        <v>0-00 + Testostérone</v>
      </c>
      <c r="AG74" s="46" t="str">
        <f t="shared" si="12"/>
        <v>0-00 + Testostérone</v>
      </c>
      <c r="AH74" s="46" t="str">
        <f t="shared" si="12"/>
        <v>0-00 + Testostérone</v>
      </c>
      <c r="AI74" s="46" t="str">
        <f t="shared" si="12"/>
        <v>0-00 + Testostérone</v>
      </c>
      <c r="AJ74" s="46" t="str">
        <f t="shared" si="12"/>
        <v>0-00 + Testostérone</v>
      </c>
      <c r="AK74" s="46" t="str">
        <f t="shared" si="12"/>
        <v>0-00 + Testostérone</v>
      </c>
    </row>
    <row r="75" spans="1:37" s="3" customFormat="1" x14ac:dyDescent="0.25">
      <c r="A75" s="64" t="s">
        <v>32</v>
      </c>
      <c r="B75" s="145">
        <f>B56</f>
        <v>0.15229055770800312</v>
      </c>
      <c r="C75" s="145">
        <f t="shared" ref="C75:AK75" si="13">C56</f>
        <v>0.18330585545241077</v>
      </c>
      <c r="D75" s="145">
        <f t="shared" si="13"/>
        <v>0.1684450770480834</v>
      </c>
      <c r="E75" s="145">
        <f t="shared" si="13"/>
        <v>0.74063310480924405</v>
      </c>
      <c r="F75" s="145">
        <f t="shared" si="13"/>
        <v>1.5744025053212292</v>
      </c>
      <c r="G75" s="145">
        <f t="shared" si="13"/>
        <v>2.5009767443674882</v>
      </c>
      <c r="H75" s="145">
        <f t="shared" si="13"/>
        <v>3.7419685866413728</v>
      </c>
      <c r="I75" s="145">
        <f t="shared" si="13"/>
        <v>0.17931758387625063</v>
      </c>
      <c r="J75" s="145">
        <f t="shared" si="13"/>
        <v>0.18326514742027913</v>
      </c>
      <c r="K75" s="145">
        <f t="shared" si="13"/>
        <v>0.97151022965231215</v>
      </c>
      <c r="L75" s="145">
        <f t="shared" si="13"/>
        <v>1.9626738933325127</v>
      </c>
      <c r="M75" s="145">
        <f t="shared" si="13"/>
        <v>3.474881929650135</v>
      </c>
      <c r="N75" s="145"/>
      <c r="O75" s="145">
        <f t="shared" si="13"/>
        <v>1.0000000000000002</v>
      </c>
      <c r="P75" s="145">
        <f t="shared" si="13"/>
        <v>3.1284648375910251</v>
      </c>
      <c r="Q75" s="145">
        <f t="shared" si="13"/>
        <v>0.11656955822676086</v>
      </c>
      <c r="R75" s="145">
        <f t="shared" si="13"/>
        <v>1.5395657185150233</v>
      </c>
      <c r="S75" s="145">
        <f t="shared" si="13"/>
        <v>2.2262229921971128</v>
      </c>
      <c r="T75" s="145">
        <f t="shared" si="13"/>
        <v>2.3844715033432506</v>
      </c>
      <c r="U75" s="145">
        <f t="shared" si="13"/>
        <v>3.1441043236039792</v>
      </c>
      <c r="V75" s="145">
        <f t="shared" si="13"/>
        <v>3.3930749651279641</v>
      </c>
      <c r="W75" s="145" t="e">
        <f t="shared" si="13"/>
        <v>#DIV/0!</v>
      </c>
      <c r="X75" s="145" t="e">
        <f t="shared" si="13"/>
        <v>#DIV/0!</v>
      </c>
      <c r="Y75" s="145" t="e">
        <f t="shared" si="13"/>
        <v>#DIV/0!</v>
      </c>
      <c r="Z75" s="145" t="e">
        <f t="shared" si="13"/>
        <v>#DIV/0!</v>
      </c>
      <c r="AA75" s="145" t="e">
        <f t="shared" si="13"/>
        <v>#DIV/0!</v>
      </c>
      <c r="AB75" s="145" t="e">
        <f t="shared" si="13"/>
        <v>#DIV/0!</v>
      </c>
      <c r="AC75" s="145" t="e">
        <f t="shared" si="13"/>
        <v>#DIV/0!</v>
      </c>
      <c r="AD75" s="145" t="e">
        <f t="shared" si="13"/>
        <v>#DIV/0!</v>
      </c>
      <c r="AE75" s="145" t="e">
        <f t="shared" si="13"/>
        <v>#DIV/0!</v>
      </c>
      <c r="AF75" s="145" t="e">
        <f t="shared" si="13"/>
        <v>#DIV/0!</v>
      </c>
      <c r="AG75" s="145" t="e">
        <f t="shared" si="13"/>
        <v>#DIV/0!</v>
      </c>
      <c r="AH75" s="145" t="e">
        <f t="shared" si="13"/>
        <v>#DIV/0!</v>
      </c>
      <c r="AI75" s="145" t="e">
        <f t="shared" si="13"/>
        <v>#DIV/0!</v>
      </c>
      <c r="AJ75" s="145" t="e">
        <f t="shared" si="13"/>
        <v>#DIV/0!</v>
      </c>
      <c r="AK75" s="145" t="e">
        <f t="shared" si="13"/>
        <v>#DIV/0!</v>
      </c>
    </row>
    <row r="76" spans="1:37" s="3" customFormat="1" x14ac:dyDescent="0.25">
      <c r="A76" s="64" t="s">
        <v>2</v>
      </c>
      <c r="B76" s="145">
        <f>B58</f>
        <v>3.0531433013272886E-2</v>
      </c>
      <c r="C76" s="145">
        <f t="shared" ref="C76:AK76" si="14">C58</f>
        <v>3.5091235742612872E-2</v>
      </c>
      <c r="D76" s="145">
        <f t="shared" si="14"/>
        <v>3.7338504550749524E-2</v>
      </c>
      <c r="E76" s="145">
        <f t="shared" si="14"/>
        <v>0.21548591497448694</v>
      </c>
      <c r="F76" s="145">
        <f t="shared" si="14"/>
        <v>0.29958333091716993</v>
      </c>
      <c r="G76" s="145">
        <f t="shared" si="14"/>
        <v>0.32325339651262858</v>
      </c>
      <c r="H76" s="145">
        <f t="shared" si="14"/>
        <v>0.37534791373759713</v>
      </c>
      <c r="I76" s="145">
        <f t="shared" si="14"/>
        <v>2.1567811795897836E-2</v>
      </c>
      <c r="J76" s="145">
        <f t="shared" si="14"/>
        <v>2.1724082432133082E-2</v>
      </c>
      <c r="K76" s="145">
        <f t="shared" si="14"/>
        <v>0.20772725313315596</v>
      </c>
      <c r="L76" s="145">
        <f t="shared" si="14"/>
        <v>0.20372404604745686</v>
      </c>
      <c r="M76" s="145">
        <f t="shared" si="14"/>
        <v>0.33741887067159243</v>
      </c>
      <c r="N76" s="145"/>
      <c r="O76" s="145">
        <f t="shared" si="14"/>
        <v>0.11132092883161762</v>
      </c>
      <c r="P76" s="145">
        <f t="shared" si="14"/>
        <v>0.31942541168901378</v>
      </c>
      <c r="Q76" s="145">
        <f t="shared" si="14"/>
        <v>1.7590552408504653E-2</v>
      </c>
      <c r="R76" s="145">
        <f t="shared" si="14"/>
        <v>0.2409828392874637</v>
      </c>
      <c r="S76" s="145">
        <f t="shared" si="14"/>
        <v>0.21937400442765395</v>
      </c>
      <c r="T76" s="145">
        <f t="shared" si="14"/>
        <v>0.23480180391959549</v>
      </c>
      <c r="U76" s="145">
        <f t="shared" si="14"/>
        <v>0.32704580075882916</v>
      </c>
      <c r="V76" s="145">
        <f t="shared" si="14"/>
        <v>0.38618765085523349</v>
      </c>
      <c r="W76" s="145" t="e">
        <f t="shared" si="14"/>
        <v>#DIV/0!</v>
      </c>
      <c r="X76" s="145" t="e">
        <f t="shared" si="14"/>
        <v>#DIV/0!</v>
      </c>
      <c r="Y76" s="145" t="e">
        <f t="shared" si="14"/>
        <v>#DIV/0!</v>
      </c>
      <c r="Z76" s="145" t="e">
        <f t="shared" si="14"/>
        <v>#DIV/0!</v>
      </c>
      <c r="AA76" s="145" t="e">
        <f t="shared" si="14"/>
        <v>#DIV/0!</v>
      </c>
      <c r="AB76" s="145" t="e">
        <f t="shared" si="14"/>
        <v>#DIV/0!</v>
      </c>
      <c r="AC76" s="145" t="e">
        <f t="shared" si="14"/>
        <v>#DIV/0!</v>
      </c>
      <c r="AD76" s="145" t="e">
        <f t="shared" si="14"/>
        <v>#DIV/0!</v>
      </c>
      <c r="AE76" s="145" t="e">
        <f t="shared" si="14"/>
        <v>#DIV/0!</v>
      </c>
      <c r="AF76" s="145" t="e">
        <f t="shared" si="14"/>
        <v>#DIV/0!</v>
      </c>
      <c r="AG76" s="145" t="e">
        <f t="shared" si="14"/>
        <v>#DIV/0!</v>
      </c>
      <c r="AH76" s="145" t="e">
        <f t="shared" si="14"/>
        <v>#DIV/0!</v>
      </c>
      <c r="AI76" s="145" t="e">
        <f t="shared" si="14"/>
        <v>#DIV/0!</v>
      </c>
      <c r="AJ76" s="145" t="e">
        <f t="shared" si="14"/>
        <v>#DIV/0!</v>
      </c>
      <c r="AK76" s="145" t="e">
        <f t="shared" si="14"/>
        <v>#DIV/0!</v>
      </c>
    </row>
    <row r="77" spans="1:37" s="3" customFormat="1" x14ac:dyDescent="0.25">
      <c r="A77" s="64" t="s">
        <v>79</v>
      </c>
      <c r="B77" s="145">
        <f>(B75*100/$B$75)-100</f>
        <v>0</v>
      </c>
      <c r="C77" s="145">
        <f t="shared" ref="C77:M77" si="15">(C75*100/$B$75)-100</f>
        <v>20.365870485467241</v>
      </c>
      <c r="D77" s="145">
        <f t="shared" si="15"/>
        <v>10.607695961724971</v>
      </c>
      <c r="E77" s="145">
        <f t="shared" si="15"/>
        <v>386.32897269265334</v>
      </c>
      <c r="F77" s="145">
        <f t="shared" si="15"/>
        <v>933.81491867666318</v>
      </c>
      <c r="G77" s="145">
        <f t="shared" si="15"/>
        <v>1542.2401900732273</v>
      </c>
      <c r="H77" s="145">
        <f t="shared" si="15"/>
        <v>2357.1244881879675</v>
      </c>
      <c r="I77" s="145">
        <f t="shared" si="15"/>
        <v>17.74701371838708</v>
      </c>
      <c r="J77" s="145">
        <f t="shared" si="15"/>
        <v>20.339139982444394</v>
      </c>
      <c r="K77" s="145">
        <f t="shared" si="15"/>
        <v>537.93201907832906</v>
      </c>
      <c r="L77" s="145">
        <f t="shared" si="15"/>
        <v>1188.7692598090546</v>
      </c>
      <c r="M77" s="145">
        <f t="shared" si="15"/>
        <v>2181.744831687306</v>
      </c>
      <c r="N77" s="145"/>
      <c r="O77" s="145">
        <f>(O75*100/$O$75)-100</f>
        <v>0</v>
      </c>
      <c r="P77" s="145">
        <f t="shared" ref="P77:AK77" si="16">(P75*100/$O$75)-100</f>
        <v>212.84648375910245</v>
      </c>
      <c r="Q77" s="145">
        <f t="shared" si="16"/>
        <v>-88.343044177323918</v>
      </c>
      <c r="R77" s="145">
        <f t="shared" si="16"/>
        <v>53.956571851502304</v>
      </c>
      <c r="S77" s="145">
        <f t="shared" si="16"/>
        <v>122.62229921971124</v>
      </c>
      <c r="T77" s="145">
        <f t="shared" si="16"/>
        <v>138.44715033432502</v>
      </c>
      <c r="U77" s="145">
        <f t="shared" si="16"/>
        <v>214.41043236039786</v>
      </c>
      <c r="V77" s="145">
        <f t="shared" si="16"/>
        <v>239.30749651279638</v>
      </c>
      <c r="W77" s="145" t="e">
        <f t="shared" si="16"/>
        <v>#DIV/0!</v>
      </c>
      <c r="X77" s="145" t="e">
        <f t="shared" si="16"/>
        <v>#DIV/0!</v>
      </c>
      <c r="Y77" s="145" t="e">
        <f t="shared" si="16"/>
        <v>#DIV/0!</v>
      </c>
      <c r="Z77" s="145" t="e">
        <f t="shared" si="16"/>
        <v>#DIV/0!</v>
      </c>
      <c r="AA77" s="145" t="e">
        <f t="shared" si="16"/>
        <v>#DIV/0!</v>
      </c>
      <c r="AB77" s="145" t="e">
        <f t="shared" si="16"/>
        <v>#DIV/0!</v>
      </c>
      <c r="AC77" s="145" t="e">
        <f t="shared" si="16"/>
        <v>#DIV/0!</v>
      </c>
      <c r="AD77" s="145" t="e">
        <f t="shared" si="16"/>
        <v>#DIV/0!</v>
      </c>
      <c r="AE77" s="145" t="e">
        <f t="shared" si="16"/>
        <v>#DIV/0!</v>
      </c>
      <c r="AF77" s="145" t="e">
        <f t="shared" si="16"/>
        <v>#DIV/0!</v>
      </c>
      <c r="AG77" s="145" t="e">
        <f t="shared" si="16"/>
        <v>#DIV/0!</v>
      </c>
      <c r="AH77" s="145" t="e">
        <f t="shared" si="16"/>
        <v>#DIV/0!</v>
      </c>
      <c r="AI77" s="145" t="e">
        <f t="shared" si="16"/>
        <v>#DIV/0!</v>
      </c>
      <c r="AJ77" s="145" t="e">
        <f t="shared" si="16"/>
        <v>#DIV/0!</v>
      </c>
      <c r="AK77" s="145" t="e">
        <f t="shared" si="16"/>
        <v>#DIV/0!</v>
      </c>
    </row>
    <row r="78" spans="1:37" s="3" customFormat="1" x14ac:dyDescent="0.25">
      <c r="A78" s="64" t="s">
        <v>81</v>
      </c>
      <c r="B78" s="145" t="e">
        <f ca="1">[2]!DPTEST(B6:B53)</f>
        <v>#NAME?</v>
      </c>
      <c r="C78" s="145" t="e">
        <f ca="1">[2]!DPTEST(C6:C53)</f>
        <v>#NAME?</v>
      </c>
      <c r="D78" s="145" t="e">
        <f ca="1">[2]!DPTEST(D6:D53)</f>
        <v>#NAME?</v>
      </c>
      <c r="E78" s="145" t="e">
        <f ca="1">[2]!DPTEST(E6:E53)</f>
        <v>#NAME?</v>
      </c>
      <c r="F78" s="145" t="e">
        <f ca="1">[2]!DPTEST(F6:F53)</f>
        <v>#NAME?</v>
      </c>
      <c r="G78" s="145" t="e">
        <f ca="1">[2]!DPTEST(G6:G53)</f>
        <v>#NAME?</v>
      </c>
      <c r="H78" s="145" t="e">
        <f ca="1">[2]!DPTEST(H6:H53)</f>
        <v>#NAME?</v>
      </c>
      <c r="I78" s="145" t="e">
        <f ca="1">[2]!DPTEST(I6:I53)</f>
        <v>#NAME?</v>
      </c>
      <c r="J78" s="145" t="e">
        <f ca="1">[2]!DPTEST(J6:J53)</f>
        <v>#NAME?</v>
      </c>
      <c r="K78" s="145" t="e">
        <f ca="1">[2]!DPTEST(K6:K53)</f>
        <v>#NAME?</v>
      </c>
      <c r="L78" s="145" t="e">
        <f ca="1">[2]!DPTEST(L6:L53)</f>
        <v>#NAME?</v>
      </c>
      <c r="M78" s="145" t="e">
        <f ca="1">[2]!DPTEST(M6:M53)</f>
        <v>#NAME?</v>
      </c>
      <c r="N78" s="145" t="e">
        <f ca="1">[2]!DPTEST(N6:N53)</f>
        <v>#NAME?</v>
      </c>
      <c r="O78" s="145" t="e">
        <f ca="1">[2]!DPTEST(O6:O53)</f>
        <v>#NAME?</v>
      </c>
      <c r="P78" s="145" t="e">
        <f ca="1">[2]!DPTEST(P6:P53)</f>
        <v>#NAME?</v>
      </c>
      <c r="Q78" s="145" t="e">
        <f ca="1">[2]!DPTEST(Q6:Q53)</f>
        <v>#NAME?</v>
      </c>
      <c r="R78" s="145" t="e">
        <f ca="1">[2]!DPTEST(R6:R53)</f>
        <v>#NAME?</v>
      </c>
      <c r="S78" s="145" t="e">
        <f ca="1">[2]!DPTEST(S6:S53)</f>
        <v>#NAME?</v>
      </c>
      <c r="T78" s="145" t="e">
        <f ca="1">[2]!DPTEST(T6:T53)</f>
        <v>#NAME?</v>
      </c>
      <c r="U78" s="145" t="e">
        <f ca="1">[2]!DPTEST(U6:U53)</f>
        <v>#NAME?</v>
      </c>
      <c r="V78" s="145" t="e">
        <f ca="1">[2]!DPTEST(V6:V53)</f>
        <v>#NAME?</v>
      </c>
      <c r="W78" s="145" t="e">
        <f ca="1">[2]!DPTEST(W6:W53)</f>
        <v>#NAME?</v>
      </c>
      <c r="X78" s="145" t="e">
        <f ca="1">[2]!DPTEST(X6:X53)</f>
        <v>#NAME?</v>
      </c>
      <c r="Y78" s="145" t="e">
        <f ca="1">[2]!DPTEST(Y6:Y53)</f>
        <v>#NAME?</v>
      </c>
      <c r="Z78" s="145" t="e">
        <f ca="1">[2]!DPTEST(Z6:Z53)</f>
        <v>#NAME?</v>
      </c>
      <c r="AA78" s="145" t="e">
        <f ca="1">[2]!DPTEST(AA6:AA53)</f>
        <v>#NAME?</v>
      </c>
      <c r="AB78" s="145" t="e">
        <f ca="1">[2]!DPTEST(AB6:AB53)</f>
        <v>#NAME?</v>
      </c>
      <c r="AC78" s="145" t="e">
        <f ca="1">[2]!DPTEST(AC6:AC53)</f>
        <v>#NAME?</v>
      </c>
      <c r="AD78" s="145" t="e">
        <f ca="1">[2]!DPTEST(AD6:AD53)</f>
        <v>#NAME?</v>
      </c>
      <c r="AE78" s="145" t="e">
        <f ca="1">[2]!DPTEST(AE6:AE53)</f>
        <v>#NAME?</v>
      </c>
      <c r="AF78" s="145" t="e">
        <f ca="1">[2]!DPTEST(AF6:AF53)</f>
        <v>#NAME?</v>
      </c>
      <c r="AG78" s="145" t="e">
        <f ca="1">[2]!DPTEST(AG6:AG53)</f>
        <v>#NAME?</v>
      </c>
      <c r="AH78" s="145" t="e">
        <f ca="1">[2]!DPTEST(AH6:AH53)</f>
        <v>#NAME?</v>
      </c>
      <c r="AI78" s="145" t="e">
        <f ca="1">[2]!DPTEST(AI6:AI53)</f>
        <v>#NAME?</v>
      </c>
      <c r="AJ78" s="145" t="e">
        <f ca="1">[2]!DPTEST(AJ6:AJ53)</f>
        <v>#NAME?</v>
      </c>
      <c r="AK78" s="145" t="e">
        <f ca="1">[2]!DPTEST(AK6:AK53)</f>
        <v>#NAME?</v>
      </c>
    </row>
    <row r="79" spans="1:37" s="3" customFormat="1" x14ac:dyDescent="0.25">
      <c r="A79" s="64" t="s">
        <v>85</v>
      </c>
      <c r="B79" s="145" t="e">
        <f ca="1">IF(B78&gt;0.05,"Oui","Non")</f>
        <v>#NAME?</v>
      </c>
      <c r="C79" s="145" t="e">
        <f t="shared" ref="C79:AK79" ca="1" si="17">IF(C78&gt;0.05,"Oui","Non")</f>
        <v>#NAME?</v>
      </c>
      <c r="D79" s="145" t="e">
        <f t="shared" ca="1" si="17"/>
        <v>#NAME?</v>
      </c>
      <c r="E79" s="145" t="e">
        <f t="shared" ca="1" si="17"/>
        <v>#NAME?</v>
      </c>
      <c r="F79" s="145" t="e">
        <f t="shared" ca="1" si="17"/>
        <v>#NAME?</v>
      </c>
      <c r="G79" s="145" t="e">
        <f t="shared" ca="1" si="17"/>
        <v>#NAME?</v>
      </c>
      <c r="H79" s="145" t="e">
        <f t="shared" ca="1" si="17"/>
        <v>#NAME?</v>
      </c>
      <c r="I79" s="145" t="e">
        <f t="shared" ca="1" si="17"/>
        <v>#NAME?</v>
      </c>
      <c r="J79" s="145" t="e">
        <f t="shared" ca="1" si="17"/>
        <v>#NAME?</v>
      </c>
      <c r="K79" s="145" t="e">
        <f t="shared" ca="1" si="17"/>
        <v>#NAME?</v>
      </c>
      <c r="L79" s="145" t="e">
        <f t="shared" ca="1" si="17"/>
        <v>#NAME?</v>
      </c>
      <c r="M79" s="145" t="e">
        <f t="shared" ca="1" si="17"/>
        <v>#NAME?</v>
      </c>
      <c r="N79" s="145"/>
      <c r="O79" s="145" t="e">
        <f t="shared" ca="1" si="17"/>
        <v>#NAME?</v>
      </c>
      <c r="P79" s="145" t="e">
        <f t="shared" ca="1" si="17"/>
        <v>#NAME?</v>
      </c>
      <c r="Q79" s="145" t="e">
        <f t="shared" ca="1" si="17"/>
        <v>#NAME?</v>
      </c>
      <c r="R79" s="145" t="e">
        <f t="shared" ca="1" si="17"/>
        <v>#NAME?</v>
      </c>
      <c r="S79" s="145" t="e">
        <f t="shared" ca="1" si="17"/>
        <v>#NAME?</v>
      </c>
      <c r="T79" s="145" t="e">
        <f t="shared" ca="1" si="17"/>
        <v>#NAME?</v>
      </c>
      <c r="U79" s="145" t="e">
        <f t="shared" ca="1" si="17"/>
        <v>#NAME?</v>
      </c>
      <c r="V79" s="145" t="e">
        <f t="shared" ca="1" si="17"/>
        <v>#NAME?</v>
      </c>
      <c r="W79" s="145" t="e">
        <f t="shared" ca="1" si="17"/>
        <v>#NAME?</v>
      </c>
      <c r="X79" s="145" t="e">
        <f t="shared" ca="1" si="17"/>
        <v>#NAME?</v>
      </c>
      <c r="Y79" s="145" t="e">
        <f t="shared" ca="1" si="17"/>
        <v>#NAME?</v>
      </c>
      <c r="Z79" s="145" t="e">
        <f t="shared" ca="1" si="17"/>
        <v>#NAME?</v>
      </c>
      <c r="AA79" s="145" t="e">
        <f t="shared" ca="1" si="17"/>
        <v>#NAME?</v>
      </c>
      <c r="AB79" s="145" t="e">
        <f t="shared" ca="1" si="17"/>
        <v>#NAME?</v>
      </c>
      <c r="AC79" s="145" t="e">
        <f t="shared" ca="1" si="17"/>
        <v>#NAME?</v>
      </c>
      <c r="AD79" s="145" t="e">
        <f t="shared" ca="1" si="17"/>
        <v>#NAME?</v>
      </c>
      <c r="AE79" s="145" t="e">
        <f t="shared" ca="1" si="17"/>
        <v>#NAME?</v>
      </c>
      <c r="AF79" s="145" t="e">
        <f t="shared" ca="1" si="17"/>
        <v>#NAME?</v>
      </c>
      <c r="AG79" s="145" t="e">
        <f t="shared" ca="1" si="17"/>
        <v>#NAME?</v>
      </c>
      <c r="AH79" s="145" t="e">
        <f t="shared" ca="1" si="17"/>
        <v>#NAME?</v>
      </c>
      <c r="AI79" s="145" t="e">
        <f t="shared" ca="1" si="17"/>
        <v>#NAME?</v>
      </c>
      <c r="AJ79" s="145" t="e">
        <f t="shared" ca="1" si="17"/>
        <v>#NAME?</v>
      </c>
      <c r="AK79" s="145" t="e">
        <f t="shared" ca="1" si="17"/>
        <v>#NAME?</v>
      </c>
    </row>
    <row r="80" spans="1:37" s="3" customFormat="1" x14ac:dyDescent="0.25">
      <c r="A80" s="64" t="s">
        <v>122</v>
      </c>
      <c r="B80" s="145" t="str">
        <f ca="1">IF(COUNTIF(B79:I79, "Non")=0, "Oui","Non")</f>
        <v>Oui</v>
      </c>
      <c r="C80" s="145"/>
      <c r="D80" s="145"/>
      <c r="E80" s="145"/>
      <c r="F80" s="145"/>
      <c r="G80" s="145"/>
      <c r="H80" s="145"/>
      <c r="I80" s="145"/>
      <c r="J80" s="145" t="str">
        <f ca="1">IF(COUNTIF(J79:M79, "Non")&gt;0, "Oui","Non")</f>
        <v>Non</v>
      </c>
      <c r="K80" s="145"/>
      <c r="L80" s="145"/>
      <c r="M80" s="145"/>
      <c r="N80" s="145"/>
      <c r="O80" s="145"/>
      <c r="P80" s="145"/>
      <c r="Q80" s="145"/>
      <c r="R80" s="145" t="str">
        <f ca="1">IF(COUNTIF(R79:V79, "Non")&gt;0, "Oui","Non")</f>
        <v>Non</v>
      </c>
      <c r="S80" s="145"/>
      <c r="T80" s="145"/>
      <c r="U80" s="145"/>
      <c r="V80" s="145"/>
      <c r="W80" s="145" t="str">
        <f ca="1">IF(COUNTIF(W79:AA79, "Non")&gt;0, "Oui","Non")</f>
        <v>Non</v>
      </c>
      <c r="X80" s="145"/>
      <c r="Y80" s="145"/>
      <c r="Z80" s="145"/>
      <c r="AA80" s="145"/>
      <c r="AB80" s="145" t="str">
        <f ca="1">IF(COUNTIF(AB79:AF79, "Non")&gt;0, "Oui","Non")</f>
        <v>Non</v>
      </c>
      <c r="AC80" s="145"/>
      <c r="AD80" s="145"/>
      <c r="AE80" s="145"/>
      <c r="AF80" s="145"/>
      <c r="AG80" s="145" t="str">
        <f ca="1">IF(COUNTIF(AG79:AK79, "Non")&gt;0, "Oui","Non")</f>
        <v>Non</v>
      </c>
      <c r="AH80" s="145"/>
      <c r="AI80" s="145"/>
      <c r="AJ80" s="145"/>
      <c r="AK80" s="145"/>
    </row>
    <row r="81" spans="1:37" s="3" customFormat="1" x14ac:dyDescent="0.25">
      <c r="A81" s="64" t="s">
        <v>82</v>
      </c>
      <c r="B81" s="145"/>
      <c r="C81" s="145" t="str">
        <f t="shared" ref="C81:I81" ca="1" si="18">IF($B80="Non","Kruskal-Wallis","ANOVA")</f>
        <v>ANOVA</v>
      </c>
      <c r="D81" s="145" t="str">
        <f t="shared" ca="1" si="18"/>
        <v>ANOVA</v>
      </c>
      <c r="E81" s="145" t="str">
        <f t="shared" ca="1" si="18"/>
        <v>ANOVA</v>
      </c>
      <c r="F81" s="145" t="str">
        <f t="shared" ca="1" si="18"/>
        <v>ANOVA</v>
      </c>
      <c r="G81" s="145" t="str">
        <f t="shared" ca="1" si="18"/>
        <v>ANOVA</v>
      </c>
      <c r="H81" s="145" t="str">
        <f t="shared" ca="1" si="18"/>
        <v>ANOVA</v>
      </c>
      <c r="I81" s="145" t="str">
        <f t="shared" ca="1" si="18"/>
        <v>ANOVA</v>
      </c>
      <c r="J81" s="145" t="e">
        <f t="shared" ref="J81:M81" ca="1" si="19">IF($B79="Non",IF(J79="Non","Mann Withney",IF(J79="Oui","Mann Withney","")),IF($B79="Oui",IF(J79="Oui","T-Test Welch",IF(J79="Non","Mann Withney",""))))</f>
        <v>#NAME?</v>
      </c>
      <c r="K81" s="145" t="e">
        <f t="shared" ca="1" si="19"/>
        <v>#NAME?</v>
      </c>
      <c r="L81" s="145" t="e">
        <f t="shared" ca="1" si="19"/>
        <v>#NAME?</v>
      </c>
      <c r="M81" s="145" t="e">
        <f t="shared" ca="1" si="19"/>
        <v>#NAME?</v>
      </c>
      <c r="N81" s="145"/>
      <c r="O81" s="145" t="e">
        <f ca="1">IF($B79="Non",IF(O79="Non","Mann Withney",IF(O79="Oui","Mann Withney","")),IF($B79="Oui",IF(O79="Oui","T-Test Welch",IF(O79="Non","Mann Withney",""))))</f>
        <v>#NAME?</v>
      </c>
      <c r="P81" s="145" t="e">
        <f t="shared" ref="P81:AK81" ca="1" si="20">IF($O79="Non",IF(P79="Non","Mann Withney",IF(P$79="Oui","Mann Withney","")),IF($O79="Oui",IF(P79="Oui","T-Test Welch",IF(P79="Non","Mann Withney",""))))</f>
        <v>#NAME?</v>
      </c>
      <c r="Q81" s="145" t="e">
        <f t="shared" ca="1" si="20"/>
        <v>#NAME?</v>
      </c>
      <c r="R81" s="145" t="e">
        <f t="shared" ca="1" si="20"/>
        <v>#NAME?</v>
      </c>
      <c r="S81" s="145" t="e">
        <f t="shared" ca="1" si="20"/>
        <v>#NAME?</v>
      </c>
      <c r="T81" s="145" t="e">
        <f t="shared" ca="1" si="20"/>
        <v>#NAME?</v>
      </c>
      <c r="U81" s="145" t="e">
        <f t="shared" ca="1" si="20"/>
        <v>#NAME?</v>
      </c>
      <c r="V81" s="145" t="e">
        <f t="shared" ca="1" si="20"/>
        <v>#NAME?</v>
      </c>
      <c r="W81" s="145" t="e">
        <f t="shared" ca="1" si="20"/>
        <v>#NAME?</v>
      </c>
      <c r="X81" s="145" t="e">
        <f t="shared" ca="1" si="20"/>
        <v>#NAME?</v>
      </c>
      <c r="Y81" s="145" t="e">
        <f t="shared" ca="1" si="20"/>
        <v>#NAME?</v>
      </c>
      <c r="Z81" s="145" t="e">
        <f t="shared" ca="1" si="20"/>
        <v>#NAME?</v>
      </c>
      <c r="AA81" s="145" t="e">
        <f t="shared" ca="1" si="20"/>
        <v>#NAME?</v>
      </c>
      <c r="AB81" s="145" t="e">
        <f t="shared" ca="1" si="20"/>
        <v>#NAME?</v>
      </c>
      <c r="AC81" s="145" t="e">
        <f t="shared" ca="1" si="20"/>
        <v>#NAME?</v>
      </c>
      <c r="AD81" s="145" t="e">
        <f t="shared" ca="1" si="20"/>
        <v>#NAME?</v>
      </c>
      <c r="AE81" s="145" t="e">
        <f t="shared" ca="1" si="20"/>
        <v>#NAME?</v>
      </c>
      <c r="AF81" s="145" t="e">
        <f t="shared" ca="1" si="20"/>
        <v>#NAME?</v>
      </c>
      <c r="AG81" s="145" t="e">
        <f t="shared" ca="1" si="20"/>
        <v>#NAME?</v>
      </c>
      <c r="AH81" s="145" t="e">
        <f t="shared" ca="1" si="20"/>
        <v>#NAME?</v>
      </c>
      <c r="AI81" s="145" t="e">
        <f t="shared" ca="1" si="20"/>
        <v>#NAME?</v>
      </c>
      <c r="AJ81" s="145" t="e">
        <f t="shared" ca="1" si="20"/>
        <v>#NAME?</v>
      </c>
      <c r="AK81" s="145" t="e">
        <f t="shared" ca="1" si="20"/>
        <v>#NAME?</v>
      </c>
    </row>
    <row r="82" spans="1:37" s="3" customFormat="1" x14ac:dyDescent="0.25">
      <c r="A82" s="64" t="s">
        <v>83</v>
      </c>
      <c r="B82" s="145"/>
      <c r="C82" s="202">
        <v>0.99990000000000001</v>
      </c>
      <c r="D82" s="202">
        <v>0.99990000000000001</v>
      </c>
      <c r="E82" s="202">
        <v>0.16470000000000001</v>
      </c>
      <c r="F82" s="202">
        <v>2.8E-3</v>
      </c>
      <c r="G82" s="202">
        <v>1E-4</v>
      </c>
      <c r="H82" s="202">
        <v>1E-4</v>
      </c>
      <c r="I82" s="202">
        <v>0.99990000000000001</v>
      </c>
      <c r="J82" s="202">
        <v>0.99990000000000001</v>
      </c>
      <c r="K82" s="202">
        <v>1.1000000000000001E-3</v>
      </c>
      <c r="L82" s="202">
        <v>1E-4</v>
      </c>
      <c r="M82" s="202">
        <v>1E-4</v>
      </c>
      <c r="N82" s="145"/>
      <c r="O82" s="202">
        <v>1E-4</v>
      </c>
      <c r="P82" s="202">
        <v>1E-4</v>
      </c>
      <c r="Q82" s="202">
        <v>1E-4</v>
      </c>
      <c r="R82" s="202">
        <v>0.76890000000000003</v>
      </c>
      <c r="S82" s="202">
        <v>2.0000000000000001E-4</v>
      </c>
      <c r="T82" s="202">
        <v>2.0000000000000001E-4</v>
      </c>
      <c r="U82" s="202">
        <v>2.0000000000000001E-4</v>
      </c>
      <c r="V82" s="202">
        <v>1E-4</v>
      </c>
      <c r="W82" s="145" t="e">
        <f ca="1">IF(W81="Mann Withney",[1]!MTEST($O6:$O53,W6:W53,2), IF(W81="T-Test Welch",_xlfn.T.TEST($O6:$O53,W6:W53,2,3),""))</f>
        <v>#NAME?</v>
      </c>
      <c r="X82" s="145" t="e">
        <f ca="1">IF(X81="Mann Withney",[1]!MTEST($O6:$O53,X6:X53,2), IF(X81="T-Test Welch",_xlfn.T.TEST($O6:$O53,X6:X53,2,3),""))</f>
        <v>#NAME?</v>
      </c>
      <c r="Y82" s="145" t="e">
        <f ca="1">IF(Y81="Mann Withney",[1]!MTEST($O6:$O53,Y6:Y53,2), IF(Y81="T-Test Welch",_xlfn.T.TEST($O6:$O53,Y6:Y53,2,3),""))</f>
        <v>#NAME?</v>
      </c>
      <c r="Z82" s="145" t="e">
        <f ca="1">IF(Z81="Mann Withney",[1]!MTEST($O6:$O53,Z6:Z53,2), IF(Z81="T-Test Welch",_xlfn.T.TEST($O6:$O53,Z6:Z53,2,3),""))</f>
        <v>#NAME?</v>
      </c>
      <c r="AA82" s="145" t="e">
        <f ca="1">IF(AA81="Mann Withney",[1]!MTEST($O6:$O53,AA6:AA53,2), IF(AA81="T-Test Welch",_xlfn.T.TEST($O6:$O53,AA6:AA53,2,3),""))</f>
        <v>#NAME?</v>
      </c>
      <c r="AB82" s="145" t="e">
        <f ca="1">IF(AB81="Mann Withney",[1]!MTEST($O6:$O53,AB6:AB53,2), IF(AB81="T-Test Welch",_xlfn.T.TEST($O6:$O53,AB6:AB53,2,3),""))</f>
        <v>#NAME?</v>
      </c>
      <c r="AC82" s="145" t="e">
        <f ca="1">IF(AC81="Mann Withney",[1]!MTEST($O6:$O53,AC6:AC53,2), IF(AC81="T-Test Welch",_xlfn.T.TEST($O6:$O53,AC6:AC53,2,3),""))</f>
        <v>#NAME?</v>
      </c>
      <c r="AD82" s="145" t="e">
        <f ca="1">IF(AD81="Mann Withney",[1]!MTEST($O6:$O53,AD6:AD53,2), IF(AD81="T-Test Welch",_xlfn.T.TEST($O6:$O53,AD6:AD53,2,3),""))</f>
        <v>#NAME?</v>
      </c>
      <c r="AE82" s="145" t="e">
        <f ca="1">IF(AE81="Mann Withney",[1]!MTEST($O6:$O53,AE6:AE53,2), IF(AE81="T-Test Welch",_xlfn.T.TEST($O6:$O53,AE6:AE53,2,3),""))</f>
        <v>#NAME?</v>
      </c>
      <c r="AF82" s="145" t="e">
        <f ca="1">IF(AF81="Mann Withney",[1]!MTEST($O6:$O53,AF6:AF53,2), IF(AF81="T-Test Welch",_xlfn.T.TEST($O6:$O53,AF6:AF53,2,3),""))</f>
        <v>#NAME?</v>
      </c>
      <c r="AG82" s="145" t="e">
        <f ca="1">IF(AG81="Mann Withney",[1]!MTEST($O6:$O53,AG6:AG53,2), IF(AG81="T-Test Welch",_xlfn.T.TEST($O6:$O53,AG6:AG53,2,3),""))</f>
        <v>#NAME?</v>
      </c>
      <c r="AH82" s="145" t="e">
        <f ca="1">IF(AH81="Mann Withney",[1]!MTEST($O6:$O53,AH6:AH53,2), IF(AH81="T-Test Welch",_xlfn.T.TEST($O6:$O53,AH6:AH53,2,3),""))</f>
        <v>#NAME?</v>
      </c>
      <c r="AI82" s="145" t="e">
        <f ca="1">IF(AI81="Mann Withney",[1]!MTEST($O6:$O53,AI6:AI53,2), IF(AI81="T-Test Welch",_xlfn.T.TEST($O6:$O53,AI6:AI53,2,3),""))</f>
        <v>#NAME?</v>
      </c>
      <c r="AJ82" s="145" t="e">
        <f ca="1">IF(AJ81="Mann Withney",[1]!MTEST($O6:$O53,AJ6:AJ53,2), IF(AJ81="T-Test Welch",_xlfn.T.TEST($O6:$O53,AJ6:AJ53,2,3),""))</f>
        <v>#NAME?</v>
      </c>
      <c r="AK82" s="145" t="e">
        <f ca="1">IF(AK81="Mann Withney",[1]!MTEST($O6:$O53,AK6:AK53,2), IF(AK81="T-Test Welch",_xlfn.T.TEST($O6:$O53,AK6:AK53,2,3),""))</f>
        <v>#NAME?</v>
      </c>
    </row>
    <row r="83" spans="1:37" s="3" customFormat="1" ht="15.75" thickBot="1" x14ac:dyDescent="0.3">
      <c r="A83" s="65" t="s">
        <v>84</v>
      </c>
      <c r="B83" s="146"/>
      <c r="C83" s="146" t="str">
        <f t="shared" ref="C83:O83" si="21">IF(C82&gt;0.05,"NS",IF(C82&gt;0.01,"*",IF(C82&gt;0.001,"**","***")))</f>
        <v>NS</v>
      </c>
      <c r="D83" s="146" t="str">
        <f t="shared" si="21"/>
        <v>NS</v>
      </c>
      <c r="E83" s="146" t="str">
        <f t="shared" si="21"/>
        <v>NS</v>
      </c>
      <c r="F83" s="146" t="str">
        <f t="shared" si="21"/>
        <v>**</v>
      </c>
      <c r="G83" s="146" t="str">
        <f t="shared" si="21"/>
        <v>***</v>
      </c>
      <c r="H83" s="146" t="str">
        <f t="shared" si="21"/>
        <v>***</v>
      </c>
      <c r="I83" s="146" t="str">
        <f t="shared" si="21"/>
        <v>NS</v>
      </c>
      <c r="J83" s="146" t="str">
        <f t="shared" si="21"/>
        <v>NS</v>
      </c>
      <c r="K83" s="146" t="str">
        <f t="shared" si="21"/>
        <v>**</v>
      </c>
      <c r="L83" s="146" t="str">
        <f t="shared" si="21"/>
        <v>***</v>
      </c>
      <c r="M83" s="146" t="str">
        <f t="shared" si="21"/>
        <v>***</v>
      </c>
      <c r="N83" s="146"/>
      <c r="O83" s="146" t="str">
        <f t="shared" si="21"/>
        <v>***</v>
      </c>
      <c r="P83" s="146" t="str">
        <f t="shared" ref="P83" si="22">IF(P82&gt;0.05,"NS",IF(P82&gt;0.01,"*",IF(P82&gt;0.001,"**","***")))</f>
        <v>***</v>
      </c>
      <c r="Q83" s="146" t="str">
        <f t="shared" ref="Q83:AK83" si="23">IF(Q82&gt;0.05,"NS",IF(Q82&gt;0.01,"*",IF(Q82&gt;0.001,"**","***")))</f>
        <v>***</v>
      </c>
      <c r="R83" s="146" t="str">
        <f t="shared" si="23"/>
        <v>NS</v>
      </c>
      <c r="S83" s="146" t="str">
        <f t="shared" si="23"/>
        <v>***</v>
      </c>
      <c r="T83" s="146" t="str">
        <f t="shared" si="23"/>
        <v>***</v>
      </c>
      <c r="U83" s="146" t="str">
        <f t="shared" si="23"/>
        <v>***</v>
      </c>
      <c r="V83" s="146" t="str">
        <f t="shared" si="23"/>
        <v>***</v>
      </c>
      <c r="W83" s="146" t="e">
        <f t="shared" ca="1" si="23"/>
        <v>#NAME?</v>
      </c>
      <c r="X83" s="146" t="e">
        <f t="shared" ca="1" si="23"/>
        <v>#NAME?</v>
      </c>
      <c r="Y83" s="146" t="e">
        <f t="shared" ca="1" si="23"/>
        <v>#NAME?</v>
      </c>
      <c r="Z83" s="146" t="e">
        <f t="shared" ca="1" si="23"/>
        <v>#NAME?</v>
      </c>
      <c r="AA83" s="146" t="e">
        <f t="shared" ca="1" si="23"/>
        <v>#NAME?</v>
      </c>
      <c r="AB83" s="146" t="e">
        <f t="shared" ca="1" si="23"/>
        <v>#NAME?</v>
      </c>
      <c r="AC83" s="146" t="e">
        <f t="shared" ca="1" si="23"/>
        <v>#NAME?</v>
      </c>
      <c r="AD83" s="146" t="e">
        <f t="shared" ca="1" si="23"/>
        <v>#NAME?</v>
      </c>
      <c r="AE83" s="146" t="e">
        <f t="shared" ca="1" si="23"/>
        <v>#NAME?</v>
      </c>
      <c r="AF83" s="146" t="e">
        <f t="shared" ca="1" si="23"/>
        <v>#NAME?</v>
      </c>
      <c r="AG83" s="146" t="e">
        <f t="shared" ca="1" si="23"/>
        <v>#NAME?</v>
      </c>
      <c r="AH83" s="146" t="e">
        <f t="shared" ca="1" si="23"/>
        <v>#NAME?</v>
      </c>
      <c r="AI83" s="146" t="e">
        <f t="shared" ca="1" si="23"/>
        <v>#NAME?</v>
      </c>
      <c r="AJ83" s="146" t="e">
        <f t="shared" ca="1" si="23"/>
        <v>#NAME?</v>
      </c>
      <c r="AK83" s="146" t="e">
        <f t="shared" ca="1" si="23"/>
        <v>#NAME?</v>
      </c>
    </row>
    <row r="84" spans="1:37" s="1" customFormat="1" x14ac:dyDescent="0.25"/>
    <row r="85" spans="1:37" s="1" customFormat="1" x14ac:dyDescent="0.25">
      <c r="A85" s="2" t="s">
        <v>39</v>
      </c>
    </row>
    <row r="86" spans="1:37" x14ac:dyDescent="0.25">
      <c r="A86" s="1" t="s">
        <v>23</v>
      </c>
      <c r="B86" s="1">
        <f>B56+(3*B57)</f>
        <v>0.58190590143434862</v>
      </c>
    </row>
    <row r="87" spans="1:37" x14ac:dyDescent="0.25">
      <c r="A87" s="1" t="s">
        <v>24</v>
      </c>
      <c r="B87" s="1">
        <f>B56+(10*B57)</f>
        <v>1.584341703462488</v>
      </c>
    </row>
    <row r="88" spans="1:37" ht="15.75" thickBot="1" x14ac:dyDescent="0.3"/>
    <row r="89" spans="1:37" s="49" customFormat="1" ht="27" thickBot="1" x14ac:dyDescent="0.3">
      <c r="A89" s="50" t="s">
        <v>55</v>
      </c>
      <c r="B89" s="51"/>
      <c r="C89" s="51"/>
      <c r="D89" s="51"/>
      <c r="E89" s="51"/>
      <c r="F89" s="51"/>
      <c r="G89" s="51"/>
      <c r="H89" s="51"/>
      <c r="I89" s="51"/>
      <c r="J89" s="51"/>
      <c r="K89" s="51"/>
      <c r="L89" s="51"/>
      <c r="M89" s="51"/>
      <c r="N89" s="51"/>
      <c r="O89" s="51"/>
      <c r="P89" s="51"/>
      <c r="Q89" s="51"/>
      <c r="R89" s="51"/>
      <c r="S89" s="51"/>
      <c r="T89" s="51"/>
      <c r="U89" s="51"/>
      <c r="V89" s="51"/>
      <c r="W89" s="51"/>
      <c r="X89" s="51"/>
      <c r="Y89" s="51"/>
      <c r="Z89" s="51"/>
      <c r="AA89" s="51"/>
      <c r="AB89" s="51"/>
      <c r="AC89" s="51"/>
      <c r="AD89" s="51"/>
      <c r="AE89" s="78"/>
      <c r="AF89" s="78"/>
      <c r="AG89" s="78"/>
      <c r="AH89" s="78"/>
      <c r="AI89" s="78"/>
      <c r="AJ89" s="78"/>
      <c r="AK89" s="52"/>
    </row>
    <row r="90" spans="1:37" ht="15.75" thickBot="1" x14ac:dyDescent="0.3"/>
    <row r="91" spans="1:37" s="49" customFormat="1" ht="27" thickBot="1" x14ac:dyDescent="0.3">
      <c r="A91" s="50" t="s">
        <v>56</v>
      </c>
      <c r="B91" s="51"/>
      <c r="C91" s="51"/>
      <c r="D91" s="51"/>
      <c r="E91" s="51"/>
      <c r="F91" s="51"/>
      <c r="G91" s="51"/>
      <c r="H91" s="51"/>
      <c r="I91" s="51"/>
      <c r="J91" s="51"/>
      <c r="K91" s="51"/>
      <c r="L91" s="51"/>
      <c r="M91" s="51"/>
      <c r="N91" s="51"/>
      <c r="O91" s="51"/>
      <c r="P91" s="51"/>
      <c r="Q91" s="51"/>
      <c r="R91" s="51"/>
      <c r="S91" s="51"/>
      <c r="T91" s="51"/>
      <c r="U91" s="51"/>
      <c r="V91" s="51"/>
      <c r="W91" s="51"/>
      <c r="X91" s="51"/>
      <c r="Y91" s="51"/>
      <c r="Z91" s="51"/>
      <c r="AA91" s="51"/>
      <c r="AB91" s="51"/>
      <c r="AC91" s="51"/>
      <c r="AD91" s="51"/>
      <c r="AE91" s="78"/>
      <c r="AF91" s="78"/>
      <c r="AG91" s="78"/>
      <c r="AH91" s="78"/>
      <c r="AI91" s="78"/>
      <c r="AJ91" s="78"/>
      <c r="AK91" s="52"/>
    </row>
    <row r="92" spans="1:37" ht="15.75" thickBot="1" x14ac:dyDescent="0.3"/>
    <row r="93" spans="1:37" s="49" customFormat="1" ht="27" thickBot="1" x14ac:dyDescent="0.3">
      <c r="A93" s="239" t="s">
        <v>57</v>
      </c>
      <c r="B93" s="240"/>
      <c r="C93" s="240"/>
      <c r="D93" s="240"/>
      <c r="E93" s="240"/>
      <c r="F93" s="240"/>
      <c r="G93" s="240"/>
      <c r="H93" s="240"/>
      <c r="I93" s="240"/>
      <c r="J93" s="240"/>
      <c r="K93" s="240"/>
      <c r="L93" s="240"/>
      <c r="M93" s="240"/>
      <c r="N93" s="240"/>
      <c r="O93" s="240"/>
      <c r="P93" s="240"/>
      <c r="Q93" s="240"/>
      <c r="R93" s="240"/>
      <c r="S93" s="240"/>
      <c r="T93" s="240"/>
      <c r="U93" s="240"/>
      <c r="V93" s="240"/>
      <c r="W93" s="240"/>
      <c r="X93" s="240"/>
      <c r="Y93" s="240"/>
      <c r="Z93" s="240"/>
      <c r="AA93" s="240"/>
      <c r="AB93" s="240"/>
      <c r="AC93" s="240"/>
      <c r="AD93" s="240"/>
      <c r="AE93" s="240"/>
      <c r="AF93" s="240"/>
      <c r="AG93" s="240"/>
      <c r="AH93" s="240"/>
      <c r="AI93" s="240"/>
      <c r="AJ93" s="240"/>
      <c r="AK93" s="241"/>
    </row>
    <row r="94" spans="1:37" x14ac:dyDescent="0.25">
      <c r="B94" s="1">
        <f t="shared" ref="B94:V94" si="24">B75/$B$75</f>
        <v>1</v>
      </c>
      <c r="C94" s="1">
        <f t="shared" si="24"/>
        <v>1.2036587048546723</v>
      </c>
      <c r="D94" s="1">
        <f t="shared" si="24"/>
        <v>1.1060769596172497</v>
      </c>
      <c r="E94" s="1">
        <f t="shared" si="24"/>
        <v>4.8632897269265341</v>
      </c>
      <c r="F94" s="1">
        <f t="shared" si="24"/>
        <v>10.33814918676663</v>
      </c>
      <c r="G94" s="1">
        <f t="shared" si="24"/>
        <v>16.422401900732272</v>
      </c>
      <c r="H94" s="1">
        <f>H75/$B$75</f>
        <v>24.571244881879675</v>
      </c>
      <c r="I94" s="1">
        <f t="shared" si="24"/>
        <v>1.1774701371838707</v>
      </c>
      <c r="J94" s="1">
        <f t="shared" si="24"/>
        <v>1.2033913998244439</v>
      </c>
      <c r="K94" s="1">
        <f t="shared" si="24"/>
        <v>6.3793201907832904</v>
      </c>
      <c r="L94" s="1">
        <f t="shared" si="24"/>
        <v>12.887692598090544</v>
      </c>
      <c r="M94" s="1">
        <f t="shared" si="24"/>
        <v>22.817448316873058</v>
      </c>
      <c r="N94" s="1">
        <f t="shared" si="24"/>
        <v>0</v>
      </c>
      <c r="O94" s="1">
        <f t="shared" si="24"/>
        <v>6.5663952844493956</v>
      </c>
      <c r="P94" s="1">
        <f t="shared" si="24"/>
        <v>20.542736757123446</v>
      </c>
      <c r="Q94" s="1">
        <f t="shared" si="24"/>
        <v>0.76544179745055163</v>
      </c>
      <c r="R94" s="1">
        <f t="shared" si="24"/>
        <v>10.109397074156993</v>
      </c>
      <c r="S94" s="1">
        <f t="shared" si="24"/>
        <v>14.618260158095941</v>
      </c>
      <c r="T94" s="1">
        <f t="shared" si="24"/>
        <v>15.657382435457079</v>
      </c>
      <c r="U94" s="1">
        <f t="shared" si="24"/>
        <v>20.645431804330119</v>
      </c>
      <c r="V94" s="1">
        <f t="shared" si="24"/>
        <v>22.280271450799557</v>
      </c>
    </row>
  </sheetData>
  <mergeCells count="10">
    <mergeCell ref="A7:A21"/>
    <mergeCell ref="A23:A37"/>
    <mergeCell ref="A93:AK93"/>
    <mergeCell ref="O3:AK3"/>
    <mergeCell ref="B3:M3"/>
    <mergeCell ref="A60:AK60"/>
    <mergeCell ref="A72:AK72"/>
    <mergeCell ref="A70:AK70"/>
    <mergeCell ref="A65:AK65"/>
    <mergeCell ref="A39:A53"/>
  </mergeCells>
  <pageMargins left="0.7" right="0.7" top="0.75" bottom="0.75" header="0.3" footer="0.3"/>
  <pageSetup paperSize="9" orientation="portrait" r:id="rId1"/>
  <headerFooter>
    <oddHeader>&amp;C&amp;"-,Gras"&amp;14Données poolées normalisées&amp;R&amp;"-,Gras"&amp;14Page : &amp;P/&amp;P</oddHeader>
    <oddFooter>&amp;C&amp;1#&amp;"Arial"&amp;10&amp;K000000Internal</oddFooter>
  </headerFooter>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53"/>
  <sheetViews>
    <sheetView showGridLines="0" zoomScale="70" zoomScaleNormal="70" workbookViewId="0">
      <selection activeCell="A7" sqref="A7"/>
    </sheetView>
  </sheetViews>
  <sheetFormatPr defaultColWidth="9.140625" defaultRowHeight="15" x14ac:dyDescent="0.25"/>
  <cols>
    <col min="1" max="1" width="33.7109375" style="41" bestFit="1" customWidth="1"/>
    <col min="2" max="3" width="14" style="41" bestFit="1" customWidth="1"/>
    <col min="4" max="4" width="14" style="41" customWidth="1"/>
    <col min="5" max="5" width="16" style="15" bestFit="1" customWidth="1"/>
    <col min="6" max="8" width="16" style="15" customWidth="1"/>
    <col min="9" max="13" width="19.140625" style="15" customWidth="1"/>
    <col min="14" max="14" width="32.140625" style="15" bestFit="1" customWidth="1"/>
    <col min="15" max="15" width="19.5703125" style="41" customWidth="1"/>
    <col min="16" max="16384" width="9.140625" style="41"/>
  </cols>
  <sheetData>
    <row r="1" spans="1:15" s="49" customFormat="1" ht="27" thickBot="1" x14ac:dyDescent="0.3">
      <c r="A1" s="239" t="s">
        <v>104</v>
      </c>
      <c r="B1" s="240"/>
      <c r="C1" s="240"/>
      <c r="D1" s="240"/>
      <c r="E1" s="240"/>
      <c r="F1" s="240"/>
      <c r="G1" s="240"/>
      <c r="H1" s="240"/>
      <c r="I1" s="240"/>
      <c r="J1" s="240"/>
      <c r="K1" s="240"/>
      <c r="L1" s="240"/>
      <c r="M1" s="240"/>
      <c r="N1" s="240"/>
      <c r="O1" s="241"/>
    </row>
    <row r="2" spans="1:15" s="49" customFormat="1" ht="27" thickBot="1" x14ac:dyDescent="0.3">
      <c r="A2" s="239" t="s">
        <v>105</v>
      </c>
      <c r="B2" s="240"/>
      <c r="C2" s="240"/>
      <c r="D2" s="240"/>
      <c r="E2" s="240"/>
      <c r="F2" s="240"/>
      <c r="G2" s="240"/>
      <c r="H2" s="240"/>
      <c r="I2" s="240"/>
      <c r="J2" s="240"/>
      <c r="K2" s="240"/>
      <c r="L2" s="240"/>
      <c r="M2" s="240"/>
      <c r="N2" s="240"/>
      <c r="O2" s="241"/>
    </row>
    <row r="3" spans="1:15" s="80" customFormat="1" ht="15.75" x14ac:dyDescent="0.25">
      <c r="H3" s="81"/>
      <c r="I3" s="81"/>
      <c r="J3" s="81"/>
      <c r="K3" s="81"/>
      <c r="L3" s="81"/>
      <c r="M3" s="81"/>
      <c r="N3" s="81"/>
    </row>
    <row r="4" spans="1:15" s="80" customFormat="1" ht="15.75" x14ac:dyDescent="0.25">
      <c r="O4"/>
    </row>
    <row r="5" spans="1:15" s="80" customFormat="1" ht="45.75" customHeight="1" thickBot="1" x14ac:dyDescent="0.3">
      <c r="A5" s="82"/>
      <c r="B5" s="91" t="s">
        <v>25</v>
      </c>
      <c r="C5" s="91" t="s">
        <v>26</v>
      </c>
      <c r="D5" s="91" t="s">
        <v>27</v>
      </c>
      <c r="E5" s="92" t="s">
        <v>64</v>
      </c>
      <c r="F5" s="130" t="s">
        <v>80</v>
      </c>
      <c r="G5" s="98" t="s">
        <v>42</v>
      </c>
      <c r="H5" s="98" t="s">
        <v>65</v>
      </c>
      <c r="I5" s="98" t="s">
        <v>66</v>
      </c>
      <c r="J5" s="99" t="s">
        <v>77</v>
      </c>
      <c r="K5" s="99" t="s">
        <v>67</v>
      </c>
      <c r="L5" s="100" t="s">
        <v>76</v>
      </c>
      <c r="M5" s="100" t="s">
        <v>68</v>
      </c>
      <c r="N5" s="100" t="s">
        <v>69</v>
      </c>
      <c r="O5"/>
    </row>
    <row r="6" spans="1:15" s="80" customFormat="1" ht="15.75" x14ac:dyDescent="0.25">
      <c r="A6" s="83" t="s">
        <v>28</v>
      </c>
      <c r="B6" s="103">
        <v>64</v>
      </c>
      <c r="C6" s="83"/>
      <c r="D6" s="83"/>
      <c r="E6" s="93"/>
      <c r="F6" s="94"/>
      <c r="G6" s="132">
        <f>IF(F6="NS","NC",ROUND(B6,2-(1+INT(LOG10(ABS(B6))))))</f>
        <v>64</v>
      </c>
      <c r="H6" s="124"/>
      <c r="I6" s="124"/>
      <c r="J6" s="125"/>
      <c r="K6" s="126"/>
      <c r="L6" s="128"/>
      <c r="M6" s="125"/>
      <c r="N6" s="95"/>
      <c r="O6"/>
    </row>
    <row r="7" spans="1:15" s="80" customFormat="1" ht="15.75" x14ac:dyDescent="0.25">
      <c r="A7" s="83" t="str">
        <f>'Page de garde'!A15</f>
        <v>estradiol 34ng/L</v>
      </c>
      <c r="B7" s="102"/>
      <c r="C7" s="84"/>
      <c r="D7" s="84"/>
      <c r="E7" s="85"/>
      <c r="F7" s="101" t="str">
        <f>HLOOKUP(A7,'pooled normalised values'!$B$74:$AK$83,10,FALSE)</f>
        <v>NS</v>
      </c>
      <c r="G7" s="132" t="str">
        <f>IF(F7="NS","NC",ROUND(B7,2-(1+INT(LOG10(ABS(B7))))))</f>
        <v>NC</v>
      </c>
      <c r="H7" s="123" t="str">
        <f>IF(VLOOKUP(A7,liste_groupe[],4,FALSE)="%",VLOOKUP(A7,liste_groupe[],3,FALSE)/100,IF(ISBLANK(VLOOKUP(A7,liste_groupe[],4,FALSE)),"Non","Non"))</f>
        <v>Non</v>
      </c>
      <c r="I7" s="132" t="str">
        <f>IF(F7="NS","NC",IF(H7="Non",G7,G7*(1/H7)))</f>
        <v>NC</v>
      </c>
      <c r="J7" s="133">
        <v>64</v>
      </c>
      <c r="K7" s="134">
        <f>IF(F7="NS",0,ROUND(I7/J7*100,0))</f>
        <v>0</v>
      </c>
      <c r="L7" s="129">
        <v>1</v>
      </c>
      <c r="M7" s="135">
        <f>IF(K7&gt;100,125,K7)</f>
        <v>0</v>
      </c>
      <c r="N7" s="96" t="str">
        <f>IF(H7="Non",CONCATENATE(VLOOKUP(A7,liste_groupe[],5,FALSE),"-",VLOOKUP(A7,liste_groupe[],3,FALSE),VLOOKUP(A7,liste_groupe[],4,FALSE)," : ",ROUND(K7,0),"%"),CONCATENATE(VLOOKUP(A7,liste_groupe[],5,FALSE)," : ",ROUND(K7,0),"%"))</f>
        <v>estradiol-34ng/L : 0%</v>
      </c>
      <c r="O7"/>
    </row>
    <row r="8" spans="1:15" s="80" customFormat="1" ht="15.75" x14ac:dyDescent="0.25">
      <c r="A8" s="83" t="str">
        <f>'Page de garde'!A16</f>
        <v>estradiol 68ng/L</v>
      </c>
      <c r="B8" s="102"/>
      <c r="C8" s="86"/>
      <c r="D8" s="84"/>
      <c r="E8" s="85"/>
      <c r="F8" s="101" t="str">
        <f>HLOOKUP(A8,'pooled normalised values'!$B$74:$AK$83,10,FALSE)</f>
        <v>NS</v>
      </c>
      <c r="G8" s="132" t="str">
        <f t="shared" ref="G8:G13" si="0">IF(F8="NS","NC",ROUND(B8,2-(1+INT(LOG10(ABS(B8))))))</f>
        <v>NC</v>
      </c>
      <c r="H8" s="123" t="str">
        <f>IF(VLOOKUP(A8,liste_groupe[],4,FALSE)="%",VLOOKUP(A8,liste_groupe[],3,FALSE)/100,IF(ISBLANK(VLOOKUP(A8,liste_groupe[],4,FALSE)),"Non","Non"))</f>
        <v>Non</v>
      </c>
      <c r="I8" s="132" t="str">
        <f t="shared" ref="I8:I26" si="1">IF(F8="NS","NC",IF(H8="Non",G8,G8*(1/H8)))</f>
        <v>NC</v>
      </c>
      <c r="J8" s="133">
        <v>64</v>
      </c>
      <c r="K8" s="134">
        <f t="shared" ref="K8:K26" si="2">IF(F8="NS",0,ROUND(I8/J8*100,0))</f>
        <v>0</v>
      </c>
      <c r="L8" s="129"/>
      <c r="M8" s="135">
        <f t="shared" ref="M8:M26" si="3">IF(K8&gt;100,125,K8)</f>
        <v>0</v>
      </c>
      <c r="N8" s="96" t="str">
        <f>IF(H8="Non",CONCATENATE(VLOOKUP(A8,liste_groupe[],5,FALSE),"-",VLOOKUP(A8,liste_groupe[],3,FALSE),VLOOKUP(A8,liste_groupe[],4,FALSE)," : ",ROUND(K8,0),"%"),CONCATENATE(VLOOKUP(A8,liste_groupe[],5,FALSE)," : ",ROUND(K8,0),"%"))</f>
        <v>estradiol-68ng/L : 0%</v>
      </c>
      <c r="O8"/>
    </row>
    <row r="9" spans="1:15" s="80" customFormat="1" ht="15.75" x14ac:dyDescent="0.25">
      <c r="A9" s="83" t="str">
        <f>'Page de garde'!A17</f>
        <v>estradiol 135ng/L</v>
      </c>
      <c r="B9" s="102"/>
      <c r="C9" s="86"/>
      <c r="D9" s="84"/>
      <c r="E9" s="85"/>
      <c r="F9" s="101" t="str">
        <f>HLOOKUP(A9,'pooled normalised values'!$B$74:$AK$83,10,FALSE)</f>
        <v>**</v>
      </c>
      <c r="G9" s="132" t="e">
        <f t="shared" si="0"/>
        <v>#NUM!</v>
      </c>
      <c r="H9" s="123" t="str">
        <f>IF(VLOOKUP(A9,liste_groupe[],4,FALSE)="%",VLOOKUP(A9,liste_groupe[],3,FALSE)/100,IF(ISBLANK(VLOOKUP(A9,liste_groupe[],4,FALSE)),"Non","Non"))</f>
        <v>Non</v>
      </c>
      <c r="I9" s="132" t="e">
        <f t="shared" si="1"/>
        <v>#NUM!</v>
      </c>
      <c r="J9" s="133">
        <v>64</v>
      </c>
      <c r="K9" s="134" t="e">
        <f t="shared" si="2"/>
        <v>#NUM!</v>
      </c>
      <c r="L9" s="129"/>
      <c r="M9" s="135" t="e">
        <f t="shared" si="3"/>
        <v>#NUM!</v>
      </c>
      <c r="N9" s="96" t="e">
        <f>IF(H9="Non",CONCATENATE(VLOOKUP(A9,liste_groupe[],5,FALSE),"-",VLOOKUP(A9,liste_groupe[],3,FALSE),VLOOKUP(A9,liste_groupe[],4,FALSE)," : ",ROUND(K9,0),"%"),CONCATENATE(VLOOKUP(A9,liste_groupe[],5,FALSE)," : ",ROUND(K9,0),"%"))</f>
        <v>#NUM!</v>
      </c>
      <c r="O9"/>
    </row>
    <row r="10" spans="1:15" s="80" customFormat="1" ht="15.75" x14ac:dyDescent="0.25">
      <c r="A10" s="83" t="str">
        <f>'Page de garde'!A18</f>
        <v>estradiol 270ng/L</v>
      </c>
      <c r="B10" s="103"/>
      <c r="C10" s="83"/>
      <c r="D10" s="88"/>
      <c r="E10" s="85"/>
      <c r="F10" s="101" t="str">
        <f>HLOOKUP(A10,'pooled normalised values'!$B$74:$AK$83,10,FALSE)</f>
        <v>***</v>
      </c>
      <c r="G10" s="132" t="e">
        <f t="shared" si="0"/>
        <v>#NUM!</v>
      </c>
      <c r="H10" s="123" t="str">
        <f>IF(VLOOKUP(A10,liste_groupe[],4,FALSE)="%",VLOOKUP(A10,liste_groupe[],3,FALSE)/100,IF(ISBLANK(VLOOKUP(A10,liste_groupe[],4,FALSE)),"Non","Non"))</f>
        <v>Non</v>
      </c>
      <c r="I10" s="132" t="e">
        <f t="shared" si="1"/>
        <v>#NUM!</v>
      </c>
      <c r="J10" s="133">
        <v>64</v>
      </c>
      <c r="K10" s="134" t="e">
        <f t="shared" si="2"/>
        <v>#NUM!</v>
      </c>
      <c r="L10" s="129"/>
      <c r="M10" s="135" t="e">
        <f t="shared" si="3"/>
        <v>#NUM!</v>
      </c>
      <c r="N10" s="96" t="e">
        <f>IF(H10="Non",CONCATENATE(VLOOKUP(A10,liste_groupe[],5,FALSE),"-",VLOOKUP(A10,liste_groupe[],3,FALSE),VLOOKUP(A10,liste_groupe[],4,FALSE)," : ",ROUND(K10,0),"%"),CONCATENATE(VLOOKUP(A10,liste_groupe[],5,FALSE)," : ",ROUND(K10,0),"%"))</f>
        <v>#NUM!</v>
      </c>
      <c r="O10"/>
    </row>
    <row r="11" spans="1:15" s="80" customFormat="1" ht="15.75" x14ac:dyDescent="0.25">
      <c r="A11" s="83" t="str">
        <f>'Page de garde'!A19</f>
        <v>estradiol 540ng/L</v>
      </c>
      <c r="B11" s="103"/>
      <c r="C11" s="83"/>
      <c r="D11" s="88"/>
      <c r="E11" s="85"/>
      <c r="F11" s="101" t="str">
        <f>HLOOKUP(A11,'pooled normalised values'!$B$74:$AK$83,10,FALSE)</f>
        <v>***</v>
      </c>
      <c r="G11" s="132" t="e">
        <f t="shared" si="0"/>
        <v>#NUM!</v>
      </c>
      <c r="H11" s="123" t="str">
        <f>IF(VLOOKUP(A11,liste_groupe[],4,FALSE)="%",VLOOKUP(A11,liste_groupe[],3,FALSE)/100,IF(ISBLANK(VLOOKUP(A11,liste_groupe[],4,FALSE)),"Non","Non"))</f>
        <v>Non</v>
      </c>
      <c r="I11" s="132" t="e">
        <f t="shared" si="1"/>
        <v>#NUM!</v>
      </c>
      <c r="J11" s="133">
        <v>64</v>
      </c>
      <c r="K11" s="134" t="e">
        <f t="shared" si="2"/>
        <v>#NUM!</v>
      </c>
      <c r="L11" s="129"/>
      <c r="M11" s="135" t="e">
        <f t="shared" si="3"/>
        <v>#NUM!</v>
      </c>
      <c r="N11" s="96" t="e">
        <f>IF(H11="Non",CONCATENATE(VLOOKUP(A11,liste_groupe[],5,FALSE),"-",VLOOKUP(A11,liste_groupe[],3,FALSE),VLOOKUP(A11,liste_groupe[],4,FALSE)," : ",ROUND(K11,0),"%"),CONCATENATE(VLOOKUP(A11,liste_groupe[],5,FALSE)," : ",ROUND(K11,0),"%"))</f>
        <v>#NUM!</v>
      </c>
      <c r="O11"/>
    </row>
    <row r="12" spans="1:15" s="80" customFormat="1" ht="15.75" x14ac:dyDescent="0.25">
      <c r="A12" s="83" t="str">
        <f>'Page de garde'!A20</f>
        <v xml:space="preserve"> </v>
      </c>
      <c r="B12" s="103"/>
      <c r="C12" s="83"/>
      <c r="D12" s="88"/>
      <c r="E12" s="85"/>
      <c r="F12" s="101" t="e">
        <f>HLOOKUP(A12,'pooled normalised values'!$B$74:$AK$83,10,FALSE)</f>
        <v>#N/A</v>
      </c>
      <c r="G12" s="132" t="e">
        <f t="shared" si="0"/>
        <v>#N/A</v>
      </c>
      <c r="H12" s="123" t="str">
        <f>IF(VLOOKUP(A12,liste_groupe[],4,FALSE)="%",VLOOKUP(A12,liste_groupe[],3,FALSE)/100,IF(ISBLANK(VLOOKUP(A12,liste_groupe[],4,FALSE)),"Non","Non"))</f>
        <v>Non</v>
      </c>
      <c r="I12" s="132" t="e">
        <f t="shared" si="1"/>
        <v>#N/A</v>
      </c>
      <c r="J12" s="133">
        <v>64</v>
      </c>
      <c r="K12" s="134" t="e">
        <f t="shared" si="2"/>
        <v>#N/A</v>
      </c>
      <c r="L12" s="129"/>
      <c r="M12" s="135" t="e">
        <f t="shared" si="3"/>
        <v>#N/A</v>
      </c>
      <c r="N12" s="96" t="e">
        <f>IF(H12="Non",CONCATENATE(VLOOKUP(A12,liste_groupe[],5,FALSE),"-",VLOOKUP(A12,liste_groupe[],3,FALSE),VLOOKUP(A12,liste_groupe[],4,FALSE)," : ",ROUND(K12,0),"%"),CONCATENATE(VLOOKUP(A12,liste_groupe[],5,FALSE)," : ",ROUND(K12,0),"%"))</f>
        <v>#N/A</v>
      </c>
      <c r="O12"/>
    </row>
    <row r="13" spans="1:15" s="80" customFormat="1" ht="15.75" x14ac:dyDescent="0.25">
      <c r="A13" s="83" t="str">
        <f>'Page de garde'!A21</f>
        <v xml:space="preserve"> </v>
      </c>
      <c r="B13" s="103"/>
      <c r="C13" s="83"/>
      <c r="D13" s="83"/>
      <c r="E13" s="85"/>
      <c r="F13" s="101" t="e">
        <f>HLOOKUP(A13,'pooled normalised values'!$B$74:$AK$83,10,FALSE)</f>
        <v>#N/A</v>
      </c>
      <c r="G13" s="132" t="e">
        <f t="shared" si="0"/>
        <v>#N/A</v>
      </c>
      <c r="H13" s="123" t="str">
        <f>IF(VLOOKUP(A13,liste_groupe[],4,FALSE)="%",VLOOKUP(A13,liste_groupe[],3,FALSE)/100,IF(ISBLANK(VLOOKUP(A13,liste_groupe[],4,FALSE)),"Non","Non"))</f>
        <v>Non</v>
      </c>
      <c r="I13" s="132" t="e">
        <f t="shared" si="1"/>
        <v>#N/A</v>
      </c>
      <c r="J13" s="133">
        <v>64</v>
      </c>
      <c r="K13" s="134" t="e">
        <f t="shared" si="2"/>
        <v>#N/A</v>
      </c>
      <c r="L13" s="129"/>
      <c r="M13" s="135" t="e">
        <f t="shared" si="3"/>
        <v>#N/A</v>
      </c>
      <c r="N13" s="96" t="e">
        <f>IF(H13="Non",CONCATENATE(VLOOKUP(A13,liste_groupe[],5,FALSE),"-",VLOOKUP(A13,liste_groupe[],3,FALSE),VLOOKUP(A13,liste_groupe[],4,FALSE)," : ",ROUND(K13,0),"%"),CONCATENATE(VLOOKUP(A13,liste_groupe[],5,FALSE)," : ",ROUND(K13,0),"%"))</f>
        <v>#N/A</v>
      </c>
      <c r="O13"/>
    </row>
    <row r="14" spans="1:15" s="80" customFormat="1" ht="15.75" x14ac:dyDescent="0.25">
      <c r="A14" s="83" t="str">
        <f>'Page de garde'!A22</f>
        <v xml:space="preserve"> </v>
      </c>
      <c r="B14" s="103"/>
      <c r="C14" s="83"/>
      <c r="D14" s="83"/>
      <c r="E14" s="85"/>
      <c r="F14" s="101" t="e">
        <f>HLOOKUP(A14,'pooled normalised values'!$B$74:$AK$83,10,FALSE)</f>
        <v>#N/A</v>
      </c>
      <c r="G14" s="132" t="e">
        <f t="shared" ref="G14:G25" si="4">IF(F14="NS","NC",ROUND(B14,2-(1+INT(LOG10(ABS(B14))))))</f>
        <v>#N/A</v>
      </c>
      <c r="H14" s="123" t="str">
        <f>IF(VLOOKUP(A14,liste_groupe[],4,FALSE)="%",VLOOKUP(A14,liste_groupe[],3,FALSE)/100,IF(ISBLANK(VLOOKUP(A14,liste_groupe[],4,FALSE)),"Non","Non"))</f>
        <v>Non</v>
      </c>
      <c r="I14" s="132" t="e">
        <f t="shared" si="1"/>
        <v>#N/A</v>
      </c>
      <c r="J14" s="133">
        <v>64</v>
      </c>
      <c r="K14" s="134" t="e">
        <f t="shared" si="2"/>
        <v>#N/A</v>
      </c>
      <c r="L14" s="129"/>
      <c r="M14" s="135" t="e">
        <f t="shared" si="3"/>
        <v>#N/A</v>
      </c>
      <c r="N14" s="96" t="e">
        <f>IF(H14="Non",CONCATENATE(VLOOKUP(A14,liste_groupe[],5,FALSE),"-",VLOOKUP(A14,liste_groupe[],3,FALSE),VLOOKUP(A14,liste_groupe[],4,FALSE)," : ",ROUND(K14,0),"%"),CONCATENATE(VLOOKUP(A14,liste_groupe[],5,FALSE)," : ",ROUND(K14,0),"%"))</f>
        <v>#N/A</v>
      </c>
      <c r="O14" s="1"/>
    </row>
    <row r="15" spans="1:15" s="80" customFormat="1" ht="15.75" x14ac:dyDescent="0.25">
      <c r="A15" s="83" t="str">
        <f>'Page de garde'!A23</f>
        <v xml:space="preserve"> </v>
      </c>
      <c r="B15" s="103"/>
      <c r="C15" s="83"/>
      <c r="D15" s="83"/>
      <c r="E15" s="85"/>
      <c r="F15" s="101" t="e">
        <f>HLOOKUP(A15,'pooled normalised values'!$B$74:$AK$83,10,FALSE)</f>
        <v>#N/A</v>
      </c>
      <c r="G15" s="132" t="e">
        <f t="shared" si="4"/>
        <v>#N/A</v>
      </c>
      <c r="H15" s="123" t="str">
        <f>IF(VLOOKUP(A15,liste_groupe[],4,FALSE)="%",VLOOKUP(A15,liste_groupe[],3,FALSE)/100,IF(ISBLANK(VLOOKUP(A15,liste_groupe[],4,FALSE)),"Non","Non"))</f>
        <v>Non</v>
      </c>
      <c r="I15" s="132" t="e">
        <f t="shared" si="1"/>
        <v>#N/A</v>
      </c>
      <c r="J15" s="133">
        <v>64</v>
      </c>
      <c r="K15" s="134" t="e">
        <f t="shared" si="2"/>
        <v>#N/A</v>
      </c>
      <c r="L15" s="129"/>
      <c r="M15" s="135" t="e">
        <f t="shared" si="3"/>
        <v>#N/A</v>
      </c>
      <c r="N15" s="96" t="e">
        <f>IF(H15="Non",CONCATENATE(VLOOKUP(A15,liste_groupe[],5,FALSE),"-",VLOOKUP(A15,liste_groupe[],3,FALSE),VLOOKUP(A15,liste_groupe[],4,FALSE)," : ",ROUND(K15,0),"%"),CONCATENATE(VLOOKUP(A15,liste_groupe[],5,FALSE)," : ",ROUND(K15,0),"%"))</f>
        <v>#N/A</v>
      </c>
      <c r="O15" s="1"/>
    </row>
    <row r="16" spans="1:15" s="80" customFormat="1" ht="15.75" x14ac:dyDescent="0.25">
      <c r="A16" s="83" t="str">
        <f>'Page de garde'!A24</f>
        <v xml:space="preserve"> </v>
      </c>
      <c r="B16" s="103"/>
      <c r="C16" s="83"/>
      <c r="D16" s="83"/>
      <c r="E16" s="85"/>
      <c r="F16" s="101" t="e">
        <f>HLOOKUP(A16,'pooled normalised values'!$B$74:$AK$83,10,FALSE)</f>
        <v>#N/A</v>
      </c>
      <c r="G16" s="132" t="e">
        <f t="shared" si="4"/>
        <v>#N/A</v>
      </c>
      <c r="H16" s="123" t="str">
        <f>IF(VLOOKUP(A16,liste_groupe[],4,FALSE)="%",VLOOKUP(A16,liste_groupe[],3,FALSE)/100,IF(ISBLANK(VLOOKUP(A16,liste_groupe[],4,FALSE)),"Non","Non"))</f>
        <v>Non</v>
      </c>
      <c r="I16" s="132" t="e">
        <f t="shared" si="1"/>
        <v>#N/A</v>
      </c>
      <c r="J16" s="133">
        <v>64</v>
      </c>
      <c r="K16" s="134" t="e">
        <f t="shared" si="2"/>
        <v>#N/A</v>
      </c>
      <c r="L16" s="129"/>
      <c r="M16" s="135" t="e">
        <f t="shared" si="3"/>
        <v>#N/A</v>
      </c>
      <c r="N16" s="96" t="e">
        <f>IF(H16="Non",CONCATENATE(VLOOKUP(A16,liste_groupe[],5,FALSE),"-",VLOOKUP(A16,liste_groupe[],3,FALSE),VLOOKUP(A16,liste_groupe[],4,FALSE)," : ",ROUND(K16,0),"%"),CONCATENATE(VLOOKUP(A16,liste_groupe[],5,FALSE)," : ",ROUND(K16,0),"%"))</f>
        <v>#N/A</v>
      </c>
      <c r="O16" s="1"/>
    </row>
    <row r="17" spans="1:15" s="80" customFormat="1" ht="15.75" x14ac:dyDescent="0.25">
      <c r="A17" s="83" t="str">
        <f>'Page de garde'!A25</f>
        <v xml:space="preserve"> </v>
      </c>
      <c r="B17" s="103"/>
      <c r="C17" s="83"/>
      <c r="D17" s="83"/>
      <c r="E17" s="85"/>
      <c r="F17" s="101" t="e">
        <f>HLOOKUP(A17,'pooled normalised values'!$B$74:$AK$83,10,FALSE)</f>
        <v>#N/A</v>
      </c>
      <c r="G17" s="132" t="e">
        <f t="shared" si="4"/>
        <v>#N/A</v>
      </c>
      <c r="H17" s="123" t="str">
        <f>IF(VLOOKUP(A17,liste_groupe[],4,FALSE)="%",VLOOKUP(A17,liste_groupe[],3,FALSE)/100,IF(ISBLANK(VLOOKUP(A17,liste_groupe[],4,FALSE)),"Non","Non"))</f>
        <v>Non</v>
      </c>
      <c r="I17" s="132" t="e">
        <f t="shared" si="1"/>
        <v>#N/A</v>
      </c>
      <c r="J17" s="133">
        <v>64</v>
      </c>
      <c r="K17" s="134" t="e">
        <f t="shared" si="2"/>
        <v>#N/A</v>
      </c>
      <c r="L17" s="129"/>
      <c r="M17" s="135" t="e">
        <f t="shared" si="3"/>
        <v>#N/A</v>
      </c>
      <c r="N17" s="96" t="e">
        <f>IF(H17="Non",CONCATENATE(VLOOKUP(A17,liste_groupe[],5,FALSE),"-",VLOOKUP(A17,liste_groupe[],3,FALSE),VLOOKUP(A17,liste_groupe[],4,FALSE)," : ",ROUND(K17,0),"%"),CONCATENATE(VLOOKUP(A17,liste_groupe[],5,FALSE)," : ",ROUND(K17,0),"%"))</f>
        <v>#N/A</v>
      </c>
      <c r="O17" s="1"/>
    </row>
    <row r="18" spans="1:15" s="80" customFormat="1" ht="15.75" x14ac:dyDescent="0.25">
      <c r="A18" s="83" t="str">
        <f>'Page de garde'!A26</f>
        <v xml:space="preserve"> </v>
      </c>
      <c r="B18" s="103"/>
      <c r="C18" s="83"/>
      <c r="D18" s="83"/>
      <c r="E18" s="85"/>
      <c r="F18" s="101" t="e">
        <f>HLOOKUP(A18,'pooled normalised values'!$B$74:$AK$83,10,FALSE)</f>
        <v>#N/A</v>
      </c>
      <c r="G18" s="132" t="e">
        <f t="shared" si="4"/>
        <v>#N/A</v>
      </c>
      <c r="H18" s="123" t="str">
        <f>IF(VLOOKUP(A18,liste_groupe[],4,FALSE)="%",VLOOKUP(A18,liste_groupe[],3,FALSE)/100,IF(ISBLANK(VLOOKUP(A18,liste_groupe[],4,FALSE)),"Non","Non"))</f>
        <v>Non</v>
      </c>
      <c r="I18" s="132" t="e">
        <f t="shared" si="1"/>
        <v>#N/A</v>
      </c>
      <c r="J18" s="133">
        <v>64</v>
      </c>
      <c r="K18" s="134" t="e">
        <f t="shared" si="2"/>
        <v>#N/A</v>
      </c>
      <c r="L18" s="129"/>
      <c r="M18" s="135" t="e">
        <f t="shared" si="3"/>
        <v>#N/A</v>
      </c>
      <c r="N18" s="96" t="e">
        <f>IF(H18="Non",CONCATENATE(VLOOKUP(A18,liste_groupe[],5,FALSE),"-",VLOOKUP(A18,liste_groupe[],3,FALSE),VLOOKUP(A18,liste_groupe[],4,FALSE)," : ",ROUND(K18,0),"%"),CONCATENATE(VLOOKUP(A18,liste_groupe[],5,FALSE)," : ",ROUND(K18,0),"%"))</f>
        <v>#N/A</v>
      </c>
      <c r="O18" s="1"/>
    </row>
    <row r="19" spans="1:15" s="80" customFormat="1" ht="15.75" x14ac:dyDescent="0.25">
      <c r="A19" s="83" t="str">
        <f>'Page de garde'!A27</f>
        <v xml:space="preserve"> </v>
      </c>
      <c r="B19" s="103"/>
      <c r="C19" s="83"/>
      <c r="D19" s="83"/>
      <c r="E19" s="85"/>
      <c r="F19" s="101" t="e">
        <f>HLOOKUP(A19,'pooled normalised values'!$B$74:$AK$83,10,FALSE)</f>
        <v>#N/A</v>
      </c>
      <c r="G19" s="132" t="e">
        <f t="shared" si="4"/>
        <v>#N/A</v>
      </c>
      <c r="H19" s="123" t="str">
        <f>IF(VLOOKUP(A19,liste_groupe[],4,FALSE)="%",VLOOKUP(A19,liste_groupe[],3,FALSE)/100,IF(ISBLANK(VLOOKUP(A19,liste_groupe[],4,FALSE)),"Non","Non"))</f>
        <v>Non</v>
      </c>
      <c r="I19" s="132" t="e">
        <f t="shared" si="1"/>
        <v>#N/A</v>
      </c>
      <c r="J19" s="133">
        <v>64</v>
      </c>
      <c r="K19" s="134" t="e">
        <f t="shared" si="2"/>
        <v>#N/A</v>
      </c>
      <c r="L19" s="129"/>
      <c r="M19" s="135" t="e">
        <f t="shared" si="3"/>
        <v>#N/A</v>
      </c>
      <c r="N19" s="96" t="e">
        <f>IF(H19="Non",CONCATENATE(VLOOKUP(A19,liste_groupe[],5,FALSE),"-",VLOOKUP(A19,liste_groupe[],3,FALSE),VLOOKUP(A19,liste_groupe[],4,FALSE)," : ",ROUND(K19,0),"%"),CONCATENATE(VLOOKUP(A19,liste_groupe[],5,FALSE)," : ",ROUND(K19,0),"%"))</f>
        <v>#N/A</v>
      </c>
      <c r="O19" s="1"/>
    </row>
    <row r="20" spans="1:15" s="80" customFormat="1" ht="15.75" x14ac:dyDescent="0.25">
      <c r="A20" s="83" t="str">
        <f>'Page de garde'!A28</f>
        <v xml:space="preserve"> </v>
      </c>
      <c r="B20" s="103"/>
      <c r="C20" s="83"/>
      <c r="D20" s="83"/>
      <c r="E20" s="85"/>
      <c r="F20" s="101" t="e">
        <f>HLOOKUP(A20,'pooled normalised values'!$B$74:$AK$83,10,FALSE)</f>
        <v>#N/A</v>
      </c>
      <c r="G20" s="132" t="e">
        <f t="shared" si="4"/>
        <v>#N/A</v>
      </c>
      <c r="H20" s="123" t="str">
        <f>IF(VLOOKUP(A20,liste_groupe[],4,FALSE)="%",VLOOKUP(A20,liste_groupe[],3,FALSE)/100,IF(ISBLANK(VLOOKUP(A20,liste_groupe[],4,FALSE)),"Non","Non"))</f>
        <v>Non</v>
      </c>
      <c r="I20" s="132" t="e">
        <f t="shared" si="1"/>
        <v>#N/A</v>
      </c>
      <c r="J20" s="133">
        <v>64</v>
      </c>
      <c r="K20" s="134" t="e">
        <f t="shared" si="2"/>
        <v>#N/A</v>
      </c>
      <c r="L20" s="129"/>
      <c r="M20" s="135" t="e">
        <f t="shared" si="3"/>
        <v>#N/A</v>
      </c>
      <c r="N20" s="96" t="e">
        <f>IF(H20="Non",CONCATENATE(VLOOKUP(A20,liste_groupe[],5,FALSE),"-",VLOOKUP(A20,liste_groupe[],3,FALSE),VLOOKUP(A20,liste_groupe[],4,FALSE)," : ",ROUND(K20,0),"%"),CONCATENATE(VLOOKUP(A20,liste_groupe[],5,FALSE)," : ",ROUND(K20,0),"%"))</f>
        <v>#N/A</v>
      </c>
      <c r="O20" s="1"/>
    </row>
    <row r="21" spans="1:15" s="80" customFormat="1" ht="15.75" x14ac:dyDescent="0.25">
      <c r="A21" s="83" t="str">
        <f>'Page de garde'!A29</f>
        <v xml:space="preserve"> </v>
      </c>
      <c r="B21" s="103"/>
      <c r="C21" s="83"/>
      <c r="D21" s="83"/>
      <c r="E21" s="85"/>
      <c r="F21" s="101" t="e">
        <f>HLOOKUP(A21,'pooled normalised values'!$B$74:$AK$83,10,FALSE)</f>
        <v>#N/A</v>
      </c>
      <c r="G21" s="132" t="e">
        <f t="shared" si="4"/>
        <v>#N/A</v>
      </c>
      <c r="H21" s="123" t="str">
        <f>IF(VLOOKUP(A21,liste_groupe[],4,FALSE)="%",VLOOKUP(A21,liste_groupe[],3,FALSE)/100,IF(ISBLANK(VLOOKUP(A21,liste_groupe[],4,FALSE)),"Non","Non"))</f>
        <v>Non</v>
      </c>
      <c r="I21" s="132" t="e">
        <f t="shared" si="1"/>
        <v>#N/A</v>
      </c>
      <c r="J21" s="133">
        <v>64</v>
      </c>
      <c r="K21" s="134" t="e">
        <f t="shared" si="2"/>
        <v>#N/A</v>
      </c>
      <c r="L21" s="129"/>
      <c r="M21" s="135" t="e">
        <f t="shared" si="3"/>
        <v>#N/A</v>
      </c>
      <c r="N21" s="96" t="e">
        <f>IF(H21="Non",CONCATENATE(VLOOKUP(A21,liste_groupe[],5,FALSE),"-",VLOOKUP(A21,liste_groupe[],3,FALSE),VLOOKUP(A21,liste_groupe[],4,FALSE)," : ",ROUND(K21,0),"%"),CONCATENATE(VLOOKUP(A21,liste_groupe[],5,FALSE)," : ",ROUND(K21,0),"%"))</f>
        <v>#N/A</v>
      </c>
      <c r="O21" s="1"/>
    </row>
    <row r="22" spans="1:15" s="80" customFormat="1" ht="15.75" x14ac:dyDescent="0.25">
      <c r="A22" s="83" t="str">
        <f>'Page de garde'!A30</f>
        <v xml:space="preserve"> </v>
      </c>
      <c r="B22" s="103"/>
      <c r="C22" s="83"/>
      <c r="D22" s="83"/>
      <c r="E22" s="85"/>
      <c r="F22" s="101" t="e">
        <f>HLOOKUP(A22,'pooled normalised values'!$B$74:$AK$83,10,FALSE)</f>
        <v>#N/A</v>
      </c>
      <c r="G22" s="132" t="e">
        <f t="shared" si="4"/>
        <v>#N/A</v>
      </c>
      <c r="H22" s="123" t="str">
        <f>IF(VLOOKUP(A22,liste_groupe[],4,FALSE)="%",VLOOKUP(A22,liste_groupe[],3,FALSE)/100,IF(ISBLANK(VLOOKUP(A22,liste_groupe[],4,FALSE)),"Non","Non"))</f>
        <v>Non</v>
      </c>
      <c r="I22" s="132" t="e">
        <f t="shared" si="1"/>
        <v>#N/A</v>
      </c>
      <c r="J22" s="133">
        <v>64</v>
      </c>
      <c r="K22" s="134" t="e">
        <f t="shared" si="2"/>
        <v>#N/A</v>
      </c>
      <c r="L22" s="129"/>
      <c r="M22" s="135" t="e">
        <f t="shared" si="3"/>
        <v>#N/A</v>
      </c>
      <c r="N22" s="96" t="e">
        <f>IF(H22="Non",CONCATENATE(VLOOKUP(A22,liste_groupe[],5,FALSE),"-",VLOOKUP(A22,liste_groupe[],3,FALSE),VLOOKUP(A22,liste_groupe[],4,FALSE)," : ",ROUND(K22,0),"%"),CONCATENATE(VLOOKUP(A22,liste_groupe[],5,FALSE)," : ",ROUND(K22,0),"%"))</f>
        <v>#N/A</v>
      </c>
      <c r="O22" s="1"/>
    </row>
    <row r="23" spans="1:15" s="80" customFormat="1" ht="15.75" x14ac:dyDescent="0.25">
      <c r="A23" s="83" t="str">
        <f>'Page de garde'!A31</f>
        <v xml:space="preserve"> </v>
      </c>
      <c r="B23" s="103"/>
      <c r="C23" s="83"/>
      <c r="D23" s="83"/>
      <c r="E23" s="85"/>
      <c r="F23" s="101" t="e">
        <f>HLOOKUP(A23,'pooled normalised values'!$B$74:$AK$83,10,FALSE)</f>
        <v>#N/A</v>
      </c>
      <c r="G23" s="132" t="e">
        <f t="shared" si="4"/>
        <v>#N/A</v>
      </c>
      <c r="H23" s="123" t="str">
        <f>IF(VLOOKUP(A23,liste_groupe[],4,FALSE)="%",VLOOKUP(A23,liste_groupe[],3,FALSE)/100,IF(ISBLANK(VLOOKUP(A23,liste_groupe[],4,FALSE)),"Non","Non"))</f>
        <v>Non</v>
      </c>
      <c r="I23" s="132" t="e">
        <f t="shared" si="1"/>
        <v>#N/A</v>
      </c>
      <c r="J23" s="133">
        <v>64</v>
      </c>
      <c r="K23" s="134" t="e">
        <f t="shared" si="2"/>
        <v>#N/A</v>
      </c>
      <c r="L23" s="129"/>
      <c r="M23" s="135" t="e">
        <f t="shared" si="3"/>
        <v>#N/A</v>
      </c>
      <c r="N23" s="96" t="e">
        <f>IF(H23="Non",CONCATENATE(VLOOKUP(A23,liste_groupe[],5,FALSE),"-",VLOOKUP(A23,liste_groupe[],3,FALSE),VLOOKUP(A23,liste_groupe[],4,FALSE)," : ",ROUND(K23,0),"%"),CONCATENATE(VLOOKUP(A23,liste_groupe[],5,FALSE)," : ",ROUND(K23,0),"%"))</f>
        <v>#N/A</v>
      </c>
      <c r="O23" s="1"/>
    </row>
    <row r="24" spans="1:15" s="80" customFormat="1" ht="15.75" x14ac:dyDescent="0.25">
      <c r="A24" s="83" t="str">
        <f>'Page de garde'!A32</f>
        <v xml:space="preserve"> </v>
      </c>
      <c r="B24" s="103"/>
      <c r="C24" s="83"/>
      <c r="D24" s="83"/>
      <c r="E24" s="85"/>
      <c r="F24" s="101" t="e">
        <f>HLOOKUP(A24,'pooled normalised values'!$B$74:$AK$83,10,FALSE)</f>
        <v>#N/A</v>
      </c>
      <c r="G24" s="132" t="e">
        <f t="shared" si="4"/>
        <v>#N/A</v>
      </c>
      <c r="H24" s="123" t="str">
        <f>IF(VLOOKUP(A24,liste_groupe[],4,FALSE)="%",VLOOKUP(A24,liste_groupe[],3,FALSE)/100,IF(ISBLANK(VLOOKUP(A24,liste_groupe[],4,FALSE)),"Non","Non"))</f>
        <v>Non</v>
      </c>
      <c r="I24" s="132" t="e">
        <f t="shared" si="1"/>
        <v>#N/A</v>
      </c>
      <c r="J24" s="133">
        <v>64</v>
      </c>
      <c r="K24" s="134" t="e">
        <f t="shared" si="2"/>
        <v>#N/A</v>
      </c>
      <c r="L24" s="129"/>
      <c r="M24" s="135" t="e">
        <f t="shared" si="3"/>
        <v>#N/A</v>
      </c>
      <c r="N24" s="96" t="e">
        <f>IF(H24="Non",CONCATENATE(VLOOKUP(A24,liste_groupe[],5,FALSE),"-",VLOOKUP(A24,liste_groupe[],3,FALSE),VLOOKUP(A24,liste_groupe[],4,FALSE)," : ",ROUND(K24,0),"%"),CONCATENATE(VLOOKUP(A24,liste_groupe[],5,FALSE)," : ",ROUND(K24,0),"%"))</f>
        <v>#N/A</v>
      </c>
      <c r="O24" s="1"/>
    </row>
    <row r="25" spans="1:15" s="80" customFormat="1" ht="15.75" x14ac:dyDescent="0.25">
      <c r="A25" s="83" t="str">
        <f>'Page de garde'!A33</f>
        <v xml:space="preserve"> </v>
      </c>
      <c r="B25" s="103"/>
      <c r="C25" s="83"/>
      <c r="D25" s="83"/>
      <c r="E25" s="85"/>
      <c r="F25" s="101" t="e">
        <f>HLOOKUP(A25,'pooled normalised values'!$B$74:$AK$83,10,FALSE)</f>
        <v>#N/A</v>
      </c>
      <c r="G25" s="132" t="e">
        <f t="shared" si="4"/>
        <v>#N/A</v>
      </c>
      <c r="H25" s="123" t="str">
        <f>IF(VLOOKUP(A25,liste_groupe[],4,FALSE)="%",VLOOKUP(A25,liste_groupe[],3,FALSE)/100,IF(ISBLANK(VLOOKUP(A25,liste_groupe[],4,FALSE)),"Non","Non"))</f>
        <v>Non</v>
      </c>
      <c r="I25" s="132" t="e">
        <f t="shared" si="1"/>
        <v>#N/A</v>
      </c>
      <c r="J25" s="133">
        <v>64</v>
      </c>
      <c r="K25" s="134" t="e">
        <f t="shared" si="2"/>
        <v>#N/A</v>
      </c>
      <c r="L25" s="129"/>
      <c r="M25" s="135" t="e">
        <f t="shared" si="3"/>
        <v>#N/A</v>
      </c>
      <c r="N25" s="96" t="e">
        <f>IF(H25="Non",CONCATENATE(VLOOKUP(A25,liste_groupe[],5,FALSE),"-",VLOOKUP(A25,liste_groupe[],3,FALSE),VLOOKUP(A25,liste_groupe[],4,FALSE)," : ",ROUND(K25,0),"%"),CONCATENATE(VLOOKUP(A25,liste_groupe[],5,FALSE)," : ",ROUND(K25,0),"%"))</f>
        <v>#N/A</v>
      </c>
      <c r="O25" s="1"/>
    </row>
    <row r="26" spans="1:15" s="80" customFormat="1" ht="15.75" x14ac:dyDescent="0.25">
      <c r="A26" s="83" t="str">
        <f>'Page de garde'!A34</f>
        <v xml:space="preserve"> </v>
      </c>
      <c r="B26" s="102"/>
      <c r="C26" s="89"/>
      <c r="D26" s="89"/>
      <c r="E26" s="85"/>
      <c r="F26" s="101" t="e">
        <f>HLOOKUP(A26,'pooled normalised values'!$B$74:$AK$83,10,FALSE)</f>
        <v>#N/A</v>
      </c>
      <c r="G26" s="132" t="e">
        <f t="shared" ref="G26" si="5">IF(F26="NS","NC",ROUND(B26,2-(1+INT(LOG10(ABS(B26))))))</f>
        <v>#N/A</v>
      </c>
      <c r="H26" s="123" t="str">
        <f>IF(VLOOKUP(A26,liste_groupe[],4,FALSE)="%",VLOOKUP(A26,liste_groupe[],3,FALSE)/100,IF(ISBLANK(VLOOKUP(A26,liste_groupe[],4,FALSE)),"Non","Non"))</f>
        <v>Non</v>
      </c>
      <c r="I26" s="132" t="e">
        <f t="shared" si="1"/>
        <v>#N/A</v>
      </c>
      <c r="J26" s="133">
        <v>64</v>
      </c>
      <c r="K26" s="134" t="e">
        <f t="shared" si="2"/>
        <v>#N/A</v>
      </c>
      <c r="L26" s="129"/>
      <c r="M26" s="135" t="e">
        <f t="shared" si="3"/>
        <v>#N/A</v>
      </c>
      <c r="N26" s="96" t="e">
        <f>IF(H26="Non",CONCATENATE(VLOOKUP(A26,liste_groupe[],5,FALSE),"-",VLOOKUP(A26,liste_groupe[],3,FALSE),VLOOKUP(A26,liste_groupe[],4,FALSE)," : ",ROUND(K26,0),"%"),CONCATENATE(VLOOKUP(A26,liste_groupe[],5,FALSE)," : ",ROUND(K26,0),"%"))</f>
        <v>#N/A</v>
      </c>
      <c r="O26"/>
    </row>
    <row r="27" spans="1:15" s="80" customFormat="1" ht="15.75" x14ac:dyDescent="0.25">
      <c r="A27"/>
      <c r="B27"/>
      <c r="C27"/>
      <c r="D27"/>
      <c r="E27"/>
      <c r="F27"/>
      <c r="G27"/>
      <c r="H27"/>
      <c r="I27"/>
      <c r="J27"/>
      <c r="K27"/>
      <c r="L27"/>
      <c r="M27"/>
      <c r="N27"/>
      <c r="O27" s="1"/>
    </row>
    <row r="28" spans="1:15" s="80" customFormat="1" ht="32.25" thickBot="1" x14ac:dyDescent="0.3">
      <c r="A28"/>
      <c r="B28" s="91" t="s">
        <v>25</v>
      </c>
      <c r="C28" s="91" t="s">
        <v>26</v>
      </c>
      <c r="D28" s="91" t="s">
        <v>27</v>
      </c>
      <c r="E28" s="92" t="s">
        <v>64</v>
      </c>
      <c r="F28" s="130" t="s">
        <v>80</v>
      </c>
      <c r="G28" s="98" t="s">
        <v>42</v>
      </c>
      <c r="H28" s="98" t="s">
        <v>65</v>
      </c>
      <c r="I28" s="98" t="s">
        <v>66</v>
      </c>
      <c r="J28" s="99" t="s">
        <v>77</v>
      </c>
      <c r="K28" s="99" t="s">
        <v>67</v>
      </c>
      <c r="L28" s="100" t="s">
        <v>76</v>
      </c>
      <c r="M28" s="100" t="s">
        <v>68</v>
      </c>
      <c r="N28" s="100" t="s">
        <v>69</v>
      </c>
      <c r="O28" s="1"/>
    </row>
    <row r="29" spans="1:15" s="80" customFormat="1" ht="15.75" x14ac:dyDescent="0.25">
      <c r="A29" s="87" t="s">
        <v>29</v>
      </c>
      <c r="B29" s="103"/>
      <c r="C29" s="83"/>
      <c r="D29" s="83"/>
      <c r="E29" s="85"/>
      <c r="F29" s="94"/>
      <c r="G29" s="137"/>
      <c r="H29" s="124"/>
      <c r="I29" s="124"/>
      <c r="J29" s="125"/>
      <c r="K29" s="126"/>
      <c r="L29" s="128"/>
      <c r="M29" s="125"/>
      <c r="N29" s="95"/>
      <c r="O29"/>
    </row>
    <row r="30" spans="1:15" s="80" customFormat="1" ht="15.75" x14ac:dyDescent="0.25">
      <c r="A30" s="87" t="s">
        <v>31</v>
      </c>
      <c r="B30" s="103"/>
      <c r="C30" s="83"/>
      <c r="D30" s="83"/>
      <c r="E30" s="85"/>
      <c r="F30" s="94"/>
      <c r="G30" s="136" t="e">
        <f>IF(F30="NS","NC",ROUND(B30-$B$29,2-(1+INT(LOG10(ABS(B30-$B$29))))))</f>
        <v>#NUM!</v>
      </c>
      <c r="H30" s="124"/>
      <c r="I30" s="137"/>
      <c r="J30" s="138"/>
      <c r="K30" s="139"/>
      <c r="L30" s="138"/>
      <c r="M30" s="138"/>
      <c r="N30" s="140"/>
      <c r="O30"/>
    </row>
    <row r="31" spans="1:15" s="80" customFormat="1" ht="15.75" x14ac:dyDescent="0.25">
      <c r="A31" s="87" t="s">
        <v>30</v>
      </c>
      <c r="B31" s="103"/>
      <c r="C31" s="83"/>
      <c r="D31" s="83"/>
      <c r="E31" s="85"/>
      <c r="F31" s="94"/>
      <c r="G31" s="136" t="e">
        <f t="shared" ref="G31:G51" si="6">IF(F31="NS","NC",ROUND(B31-$B$29,2-(1+INT(LOG10(ABS(B31-$B$29))))))</f>
        <v>#NUM!</v>
      </c>
      <c r="H31" s="124"/>
      <c r="I31" s="137"/>
      <c r="J31" s="138"/>
      <c r="K31" s="139"/>
      <c r="L31" s="138"/>
      <c r="M31" s="138"/>
      <c r="N31" s="140"/>
    </row>
    <row r="32" spans="1:15" s="80" customFormat="1" ht="15.75" x14ac:dyDescent="0.25">
      <c r="A32" s="131" t="str">
        <f>'Page de garde'!A39</f>
        <v>estradiol-34ng/L + Testostérone</v>
      </c>
      <c r="B32" s="103"/>
      <c r="C32" s="83"/>
      <c r="D32" s="83"/>
      <c r="E32" s="85"/>
      <c r="F32" s="97" t="str">
        <f>HLOOKUP(A32,'pooled normalised values'!$B$74:$AK$83,10,FALSE)</f>
        <v>NS</v>
      </c>
      <c r="G32" s="136" t="str">
        <f t="shared" si="6"/>
        <v>NC</v>
      </c>
      <c r="H32" s="127" t="str">
        <f>IF(VLOOKUP(A32,liste_groupe[],4,FALSE)="%",VLOOKUP(A32,liste_groupe[],3,FALSE)/100,IF(ISBLANK(VLOOKUP(A32,liste_groupe[],4,FALSE)),"Non","Non"))</f>
        <v>Non</v>
      </c>
      <c r="I32" s="136" t="str">
        <f>IF(F32="NS","NC",IF(H32="Non",G32,G32*(1/H32)))</f>
        <v>NC</v>
      </c>
      <c r="J32" s="141" t="e">
        <f>IF(G32&lt;0,$G$31,$G$30)</f>
        <v>#NUM!</v>
      </c>
      <c r="K32" s="142">
        <f>IF(F32="NS",0,IF(I32&lt;0,-ROUND(I32/J32*100,0),ROUND(I32/J32*100,0)))</f>
        <v>0</v>
      </c>
      <c r="L32" s="143">
        <v>1</v>
      </c>
      <c r="M32" s="135">
        <f>IF(I32&lt;0,IF(K32&lt;-100,-125,K32),IF(K32&gt;100,125,K32))</f>
        <v>0</v>
      </c>
      <c r="N32" s="144" t="str">
        <f>IF(H32="Non",CONCATENATE(VLOOKUP(A32,liste_groupe[],5,FALSE),"-",VLOOKUP(A32,liste_groupe[],3,FALSE),VLOOKUP(A32,liste_groupe[],4,FALSE)," : ",ROUND(K32,0),"%"),CONCATENATE(VLOOKUP(A32,liste_groupe[],5,FALSE)," : ",ROUND(K32,0),"%"))</f>
        <v>estradiol-34ng/L : 0%</v>
      </c>
    </row>
    <row r="33" spans="1:14" s="80" customFormat="1" ht="15.75" x14ac:dyDescent="0.25">
      <c r="A33" s="131" t="str">
        <f>'Page de garde'!A40</f>
        <v>estradiol-68ng/L + Testostérone</v>
      </c>
      <c r="B33" s="102"/>
      <c r="C33" s="90"/>
      <c r="D33" s="90"/>
      <c r="E33" s="85"/>
      <c r="F33" s="97" t="str">
        <f>HLOOKUP(A33,'pooled normalised values'!$B$74:$AK$83,10,FALSE)</f>
        <v>***</v>
      </c>
      <c r="G33" s="136" t="e">
        <f>IF(F33="NS","NC",ROUND(B33-$B$29,2-(1+INT(LOG10(ABS(B33-$B$29))))))</f>
        <v>#NUM!</v>
      </c>
      <c r="H33" s="127" t="str">
        <f>IF(VLOOKUP(A33,liste_groupe[],4,FALSE)="%",VLOOKUP(A33,liste_groupe[],3,FALSE)/100,IF(ISBLANK(VLOOKUP(A33,liste_groupe[],4,FALSE)),"Non","Non"))</f>
        <v>Non</v>
      </c>
      <c r="I33" s="136" t="e">
        <f t="shared" ref="I33:I51" si="7">IF(F33="NS","NC",IF(H33="Non",G33,G33*(1/H33)))</f>
        <v>#NUM!</v>
      </c>
      <c r="J33" s="141" t="e">
        <f t="shared" ref="J33:J51" si="8">IF(G33&lt;0,$G$31,$G$30)</f>
        <v>#NUM!</v>
      </c>
      <c r="K33" s="142" t="e">
        <f t="shared" ref="K33:K51" si="9">IF(F33="NS",0,IF(I33&lt;0,-ROUND(I33/J33*100,0),ROUND(I33/J33*100,0)))</f>
        <v>#NUM!</v>
      </c>
      <c r="L33" s="143"/>
      <c r="M33" s="135" t="e">
        <f t="shared" ref="M33:M51" si="10">IF(I33&lt;0,IF(K33&lt;-100,-125,K33),IF(K33&gt;100,125,K33))</f>
        <v>#NUM!</v>
      </c>
      <c r="N33" s="144" t="e">
        <f>IF(H33="Non",CONCATENATE(VLOOKUP(A33,liste_groupe[],5,FALSE),"-",VLOOKUP(A33,liste_groupe[],3,FALSE),VLOOKUP(A33,liste_groupe[],4,FALSE)," : ",ROUND(K33,0),"%"),CONCATENATE(VLOOKUP(A33,liste_groupe[],5,FALSE)," : ",ROUND(K33,0),"%"))</f>
        <v>#NUM!</v>
      </c>
    </row>
    <row r="34" spans="1:14" s="80" customFormat="1" ht="15.75" x14ac:dyDescent="0.25">
      <c r="A34" s="131" t="str">
        <f>'Page de garde'!A41</f>
        <v>estradiol-135ng/L + Testostérone</v>
      </c>
      <c r="B34" s="103"/>
      <c r="C34" s="83"/>
      <c r="D34" s="83"/>
      <c r="E34" s="85"/>
      <c r="F34" s="97" t="str">
        <f>HLOOKUP(A34,'pooled normalised values'!$B$74:$AK$83,10,FALSE)</f>
        <v>***</v>
      </c>
      <c r="G34" s="136" t="e">
        <f t="shared" si="6"/>
        <v>#NUM!</v>
      </c>
      <c r="H34" s="127" t="str">
        <f>IF(VLOOKUP(A34,liste_groupe[],4,FALSE)="%",VLOOKUP(A34,liste_groupe[],3,FALSE)/100,IF(ISBLANK(VLOOKUP(A34,liste_groupe[],4,FALSE)),"Non","Non"))</f>
        <v>Non</v>
      </c>
      <c r="I34" s="136" t="e">
        <f t="shared" si="7"/>
        <v>#NUM!</v>
      </c>
      <c r="J34" s="141" t="e">
        <f t="shared" si="8"/>
        <v>#NUM!</v>
      </c>
      <c r="K34" s="142" t="e">
        <f t="shared" si="9"/>
        <v>#NUM!</v>
      </c>
      <c r="L34" s="143"/>
      <c r="M34" s="135" t="e">
        <f t="shared" si="10"/>
        <v>#NUM!</v>
      </c>
      <c r="N34" s="144" t="e">
        <f>IF(H34="Non",CONCATENATE(VLOOKUP(A34,liste_groupe[],5,FALSE),"-",VLOOKUP(A34,liste_groupe[],3,FALSE),VLOOKUP(A34,liste_groupe[],4,FALSE)," : ",ROUND(K34,0),"%"),CONCATENATE(VLOOKUP(A34,liste_groupe[],5,FALSE)," : ",ROUND(K34,0),"%"))</f>
        <v>#NUM!</v>
      </c>
    </row>
    <row r="35" spans="1:14" s="80" customFormat="1" ht="15.75" x14ac:dyDescent="0.25">
      <c r="A35" s="131" t="str">
        <f>'Page de garde'!A42</f>
        <v>estradiol-270ng/L + Testostérone</v>
      </c>
      <c r="B35" s="102"/>
      <c r="C35" s="90"/>
      <c r="D35" s="90"/>
      <c r="E35" s="85"/>
      <c r="F35" s="97" t="str">
        <f>HLOOKUP(A35,'pooled normalised values'!$B$74:$AK$83,10,FALSE)</f>
        <v>***</v>
      </c>
      <c r="G35" s="136" t="e">
        <f t="shared" si="6"/>
        <v>#NUM!</v>
      </c>
      <c r="H35" s="127" t="str">
        <f>IF(VLOOKUP(A35,liste_groupe[],4,FALSE)="%",VLOOKUP(A35,liste_groupe[],3,FALSE)/100,IF(ISBLANK(VLOOKUP(A35,liste_groupe[],4,FALSE)),"Non","Non"))</f>
        <v>Non</v>
      </c>
      <c r="I35" s="136" t="e">
        <f t="shared" si="7"/>
        <v>#NUM!</v>
      </c>
      <c r="J35" s="141" t="e">
        <f t="shared" si="8"/>
        <v>#NUM!</v>
      </c>
      <c r="K35" s="142" t="e">
        <f t="shared" si="9"/>
        <v>#NUM!</v>
      </c>
      <c r="L35" s="143"/>
      <c r="M35" s="135" t="e">
        <f t="shared" si="10"/>
        <v>#NUM!</v>
      </c>
      <c r="N35" s="144" t="e">
        <f>IF(H35="Non",CONCATENATE(VLOOKUP(A35,liste_groupe[],5,FALSE),"-",VLOOKUP(A35,liste_groupe[],3,FALSE),VLOOKUP(A35,liste_groupe[],4,FALSE)," : ",ROUND(K35,0),"%"),CONCATENATE(VLOOKUP(A35,liste_groupe[],5,FALSE)," : ",ROUND(K35,0),"%"))</f>
        <v>#NUM!</v>
      </c>
    </row>
    <row r="36" spans="1:14" s="80" customFormat="1" ht="15.75" x14ac:dyDescent="0.25">
      <c r="A36" s="131" t="str">
        <f>'Page de garde'!A43</f>
        <v>estradiol-540ng/L + Testostérone</v>
      </c>
      <c r="B36" s="102"/>
      <c r="C36" s="90"/>
      <c r="D36" s="90"/>
      <c r="E36" s="85"/>
      <c r="F36" s="97" t="str">
        <f>HLOOKUP(A36,'pooled normalised values'!$B$74:$AK$83,10,FALSE)</f>
        <v>***</v>
      </c>
      <c r="G36" s="136" t="e">
        <f t="shared" si="6"/>
        <v>#NUM!</v>
      </c>
      <c r="H36" s="127" t="str">
        <f>IF(VLOOKUP(A36,liste_groupe[],4,FALSE)="%",VLOOKUP(A36,liste_groupe[],3,FALSE)/100,IF(ISBLANK(VLOOKUP(A36,liste_groupe[],4,FALSE)),"Non","Non"))</f>
        <v>Non</v>
      </c>
      <c r="I36" s="136" t="e">
        <f t="shared" si="7"/>
        <v>#NUM!</v>
      </c>
      <c r="J36" s="141" t="e">
        <f t="shared" si="8"/>
        <v>#NUM!</v>
      </c>
      <c r="K36" s="142" t="e">
        <f t="shared" si="9"/>
        <v>#NUM!</v>
      </c>
      <c r="L36" s="143"/>
      <c r="M36" s="135" t="e">
        <f t="shared" si="10"/>
        <v>#NUM!</v>
      </c>
      <c r="N36" s="144" t="e">
        <f>IF(H36="Non",CONCATENATE(VLOOKUP(A36,liste_groupe[],5,FALSE),"-",VLOOKUP(A36,liste_groupe[],3,FALSE),VLOOKUP(A36,liste_groupe[],4,FALSE)," : ",ROUND(K36,0),"%"),CONCATENATE(VLOOKUP(A36,liste_groupe[],5,FALSE)," : ",ROUND(K36,0),"%"))</f>
        <v>#NUM!</v>
      </c>
    </row>
    <row r="37" spans="1:14" s="80" customFormat="1" ht="15.75" x14ac:dyDescent="0.25">
      <c r="A37" s="131" t="str">
        <f>'Page de garde'!A44</f>
        <v>0-00 + Testostérone</v>
      </c>
      <c r="B37" s="102"/>
      <c r="C37" s="90"/>
      <c r="D37" s="90"/>
      <c r="E37" s="85"/>
      <c r="F37" s="97" t="e">
        <f ca="1">HLOOKUP(A37,'pooled normalised values'!$B$74:$AK$83,10,FALSE)</f>
        <v>#NAME?</v>
      </c>
      <c r="G37" s="136" t="e">
        <f t="shared" ca="1" si="6"/>
        <v>#NAME?</v>
      </c>
      <c r="H37" s="127" t="str">
        <f>IF(VLOOKUP(A37,liste_groupe[],4,FALSE)="%",VLOOKUP(A37,liste_groupe[],3,FALSE)/100,IF(ISBLANK(VLOOKUP(A37,liste_groupe[],4,FALSE)),"Non","Non"))</f>
        <v>Non</v>
      </c>
      <c r="I37" s="136" t="e">
        <f t="shared" ca="1" si="7"/>
        <v>#NAME?</v>
      </c>
      <c r="J37" s="141" t="e">
        <f t="shared" ca="1" si="8"/>
        <v>#NAME?</v>
      </c>
      <c r="K37" s="142" t="e">
        <f t="shared" ca="1" si="9"/>
        <v>#NAME?</v>
      </c>
      <c r="L37" s="143"/>
      <c r="M37" s="135" t="e">
        <f t="shared" ca="1" si="10"/>
        <v>#NAME?</v>
      </c>
      <c r="N37" s="144" t="e">
        <f ca="1">IF(H37="Non",CONCATENATE(VLOOKUP(A37,liste_groupe[],5,FALSE),"-",VLOOKUP(A37,liste_groupe[],3,FALSE),VLOOKUP(A37,liste_groupe[],4,FALSE)," : ",ROUND(K37,0),"%"),CONCATENATE(VLOOKUP(A37,liste_groupe[],5,FALSE)," : ",ROUND(K37,0),"%"))</f>
        <v>#NAME?</v>
      </c>
    </row>
    <row r="38" spans="1:14" s="80" customFormat="1" ht="15.75" x14ac:dyDescent="0.25">
      <c r="A38" s="131" t="str">
        <f>'Page de garde'!A45</f>
        <v>0-00 + Testostérone</v>
      </c>
      <c r="B38" s="102"/>
      <c r="C38" s="90"/>
      <c r="D38" s="90"/>
      <c r="E38" s="85"/>
      <c r="F38" s="97" t="e">
        <f ca="1">HLOOKUP(A38,'pooled normalised values'!$B$74:$AK$83,10,FALSE)</f>
        <v>#NAME?</v>
      </c>
      <c r="G38" s="136" t="e">
        <f t="shared" ca="1" si="6"/>
        <v>#NAME?</v>
      </c>
      <c r="H38" s="127" t="str">
        <f>IF(VLOOKUP(A38,liste_groupe[],4,FALSE)="%",VLOOKUP(A38,liste_groupe[],3,FALSE)/100,IF(ISBLANK(VLOOKUP(A38,liste_groupe[],4,FALSE)),"Non","Non"))</f>
        <v>Non</v>
      </c>
      <c r="I38" s="136" t="e">
        <f t="shared" ca="1" si="7"/>
        <v>#NAME?</v>
      </c>
      <c r="J38" s="141" t="e">
        <f t="shared" ca="1" si="8"/>
        <v>#NAME?</v>
      </c>
      <c r="K38" s="142" t="e">
        <f t="shared" ca="1" si="9"/>
        <v>#NAME?</v>
      </c>
      <c r="L38" s="143"/>
      <c r="M38" s="135" t="e">
        <f t="shared" ca="1" si="10"/>
        <v>#NAME?</v>
      </c>
      <c r="N38" s="144" t="e">
        <f ca="1">IF(H38="Non",CONCATENATE(VLOOKUP(A38,liste_groupe[],5,FALSE),"-",VLOOKUP(A38,liste_groupe[],3,FALSE),VLOOKUP(A38,liste_groupe[],4,FALSE)," : ",ROUND(K38,0),"%"),CONCATENATE(VLOOKUP(A38,liste_groupe[],5,FALSE)," : ",ROUND(K38,0),"%"))</f>
        <v>#NAME?</v>
      </c>
    </row>
    <row r="39" spans="1:14" s="80" customFormat="1" ht="15.75" x14ac:dyDescent="0.25">
      <c r="A39" s="131" t="str">
        <f>'Page de garde'!A46</f>
        <v>0-00 + Testostérone</v>
      </c>
      <c r="B39" s="102"/>
      <c r="C39" s="90"/>
      <c r="D39" s="90"/>
      <c r="E39" s="85"/>
      <c r="F39" s="97" t="e">
        <f ca="1">HLOOKUP(A39,'pooled normalised values'!$B$74:$AK$83,10,FALSE)</f>
        <v>#NAME?</v>
      </c>
      <c r="G39" s="136" t="e">
        <f t="shared" ref="G39:G50" ca="1" si="11">IF(F39="NS","NC",ROUND(B39-$B$29,2-(1+INT(LOG10(ABS(B39-$B$29))))))</f>
        <v>#NAME?</v>
      </c>
      <c r="H39" s="127" t="str">
        <f>IF(VLOOKUP(A39,liste_groupe[],4,FALSE)="%",VLOOKUP(A39,liste_groupe[],3,FALSE)/100,IF(ISBLANK(VLOOKUP(A39,liste_groupe[],4,FALSE)),"Non","Non"))</f>
        <v>Non</v>
      </c>
      <c r="I39" s="136" t="e">
        <f t="shared" ca="1" si="7"/>
        <v>#NAME?</v>
      </c>
      <c r="J39" s="141" t="e">
        <f t="shared" ref="J39:J50" ca="1" si="12">IF(G39&lt;0,$G$31,$G$30)</f>
        <v>#NAME?</v>
      </c>
      <c r="K39" s="142" t="e">
        <f t="shared" ca="1" si="9"/>
        <v>#NAME?</v>
      </c>
      <c r="L39" s="143"/>
      <c r="M39" s="135" t="e">
        <f t="shared" ca="1" si="10"/>
        <v>#NAME?</v>
      </c>
      <c r="N39" s="144" t="e">
        <f ca="1">IF(H39="Non",CONCATENATE(VLOOKUP(A39,liste_groupe[],5,FALSE),"-",VLOOKUP(A39,liste_groupe[],3,FALSE),VLOOKUP(A39,liste_groupe[],4,FALSE)," : ",ROUND(K39,0),"%"),CONCATENATE(VLOOKUP(A39,liste_groupe[],5,FALSE)," : ",ROUND(K39,0),"%"))</f>
        <v>#NAME?</v>
      </c>
    </row>
    <row r="40" spans="1:14" s="80" customFormat="1" ht="15.75" x14ac:dyDescent="0.25">
      <c r="A40" s="131" t="str">
        <f>'Page de garde'!A47</f>
        <v>0-00 + Testostérone</v>
      </c>
      <c r="B40" s="102"/>
      <c r="C40" s="90"/>
      <c r="D40" s="90"/>
      <c r="E40" s="85"/>
      <c r="F40" s="97" t="e">
        <f ca="1">HLOOKUP(A40,'pooled normalised values'!$B$74:$AK$83,10,FALSE)</f>
        <v>#NAME?</v>
      </c>
      <c r="G40" s="136" t="e">
        <f t="shared" ca="1" si="11"/>
        <v>#NAME?</v>
      </c>
      <c r="H40" s="127" t="str">
        <f>IF(VLOOKUP(A40,liste_groupe[],4,FALSE)="%",VLOOKUP(A40,liste_groupe[],3,FALSE)/100,IF(ISBLANK(VLOOKUP(A40,liste_groupe[],4,FALSE)),"Non","Non"))</f>
        <v>Non</v>
      </c>
      <c r="I40" s="136" t="e">
        <f t="shared" ca="1" si="7"/>
        <v>#NAME?</v>
      </c>
      <c r="J40" s="141" t="e">
        <f t="shared" ca="1" si="12"/>
        <v>#NAME?</v>
      </c>
      <c r="K40" s="142" t="e">
        <f t="shared" ca="1" si="9"/>
        <v>#NAME?</v>
      </c>
      <c r="L40" s="143"/>
      <c r="M40" s="135" t="e">
        <f t="shared" ca="1" si="10"/>
        <v>#NAME?</v>
      </c>
      <c r="N40" s="144" t="e">
        <f ca="1">IF(H40="Non",CONCATENATE(VLOOKUP(A40,liste_groupe[],5,FALSE),"-",VLOOKUP(A40,liste_groupe[],3,FALSE),VLOOKUP(A40,liste_groupe[],4,FALSE)," : ",ROUND(K40,0),"%"),CONCATENATE(VLOOKUP(A40,liste_groupe[],5,FALSE)," : ",ROUND(K40,0),"%"))</f>
        <v>#NAME?</v>
      </c>
    </row>
    <row r="41" spans="1:14" s="80" customFormat="1" ht="15.75" x14ac:dyDescent="0.25">
      <c r="A41" s="131" t="str">
        <f>'Page de garde'!A48</f>
        <v>0-00 + Testostérone</v>
      </c>
      <c r="B41" s="102"/>
      <c r="C41" s="90"/>
      <c r="D41" s="90"/>
      <c r="E41" s="85"/>
      <c r="F41" s="97" t="e">
        <f ca="1">HLOOKUP(A41,'pooled normalised values'!$B$74:$AK$83,10,FALSE)</f>
        <v>#NAME?</v>
      </c>
      <c r="G41" s="136" t="e">
        <f t="shared" ca="1" si="11"/>
        <v>#NAME?</v>
      </c>
      <c r="H41" s="127" t="str">
        <f>IF(VLOOKUP(A41,liste_groupe[],4,FALSE)="%",VLOOKUP(A41,liste_groupe[],3,FALSE)/100,IF(ISBLANK(VLOOKUP(A41,liste_groupe[],4,FALSE)),"Non","Non"))</f>
        <v>Non</v>
      </c>
      <c r="I41" s="136" t="e">
        <f t="shared" ca="1" si="7"/>
        <v>#NAME?</v>
      </c>
      <c r="J41" s="141" t="e">
        <f t="shared" ca="1" si="12"/>
        <v>#NAME?</v>
      </c>
      <c r="K41" s="142" t="e">
        <f t="shared" ca="1" si="9"/>
        <v>#NAME?</v>
      </c>
      <c r="L41" s="143"/>
      <c r="M41" s="135" t="e">
        <f t="shared" ca="1" si="10"/>
        <v>#NAME?</v>
      </c>
      <c r="N41" s="144" t="e">
        <f ca="1">IF(H41="Non",CONCATENATE(VLOOKUP(A41,liste_groupe[],5,FALSE),"-",VLOOKUP(A41,liste_groupe[],3,FALSE),VLOOKUP(A41,liste_groupe[],4,FALSE)," : ",ROUND(K41,0),"%"),CONCATENATE(VLOOKUP(A41,liste_groupe[],5,FALSE)," : ",ROUND(K41,0),"%"))</f>
        <v>#NAME?</v>
      </c>
    </row>
    <row r="42" spans="1:14" s="80" customFormat="1" ht="15.75" x14ac:dyDescent="0.25">
      <c r="A42" s="131" t="str">
        <f>'Page de garde'!A49</f>
        <v>0-00 + Testostérone</v>
      </c>
      <c r="B42" s="102"/>
      <c r="C42" s="90"/>
      <c r="D42" s="90"/>
      <c r="E42" s="85"/>
      <c r="F42" s="97" t="e">
        <f ca="1">HLOOKUP(A42,'pooled normalised values'!$B$74:$AK$83,10,FALSE)</f>
        <v>#NAME?</v>
      </c>
      <c r="G42" s="136" t="e">
        <f t="shared" ca="1" si="11"/>
        <v>#NAME?</v>
      </c>
      <c r="H42" s="127" t="str">
        <f>IF(VLOOKUP(A42,liste_groupe[],4,FALSE)="%",VLOOKUP(A42,liste_groupe[],3,FALSE)/100,IF(ISBLANK(VLOOKUP(A42,liste_groupe[],4,FALSE)),"Non","Non"))</f>
        <v>Non</v>
      </c>
      <c r="I42" s="136" t="e">
        <f t="shared" ca="1" si="7"/>
        <v>#NAME?</v>
      </c>
      <c r="J42" s="141" t="e">
        <f t="shared" ca="1" si="12"/>
        <v>#NAME?</v>
      </c>
      <c r="K42" s="142" t="e">
        <f t="shared" ca="1" si="9"/>
        <v>#NAME?</v>
      </c>
      <c r="L42" s="143"/>
      <c r="M42" s="135" t="e">
        <f t="shared" ca="1" si="10"/>
        <v>#NAME?</v>
      </c>
      <c r="N42" s="144" t="e">
        <f ca="1">IF(H42="Non",CONCATENATE(VLOOKUP(A42,liste_groupe[],5,FALSE),"-",VLOOKUP(A42,liste_groupe[],3,FALSE),VLOOKUP(A42,liste_groupe[],4,FALSE)," : ",ROUND(K42,0),"%"),CONCATENATE(VLOOKUP(A42,liste_groupe[],5,FALSE)," : ",ROUND(K42,0),"%"))</f>
        <v>#NAME?</v>
      </c>
    </row>
    <row r="43" spans="1:14" s="80" customFormat="1" ht="15.75" x14ac:dyDescent="0.25">
      <c r="A43" s="131" t="str">
        <f>'Page de garde'!A50</f>
        <v>0-00 + Testostérone</v>
      </c>
      <c r="B43" s="102"/>
      <c r="C43" s="90"/>
      <c r="D43" s="90"/>
      <c r="E43" s="85"/>
      <c r="F43" s="97" t="e">
        <f ca="1">HLOOKUP(A43,'pooled normalised values'!$B$74:$AK$83,10,FALSE)</f>
        <v>#NAME?</v>
      </c>
      <c r="G43" s="136" t="e">
        <f t="shared" ca="1" si="11"/>
        <v>#NAME?</v>
      </c>
      <c r="H43" s="127" t="str">
        <f>IF(VLOOKUP(A43,liste_groupe[],4,FALSE)="%",VLOOKUP(A43,liste_groupe[],3,FALSE)/100,IF(ISBLANK(VLOOKUP(A43,liste_groupe[],4,FALSE)),"Non","Non"))</f>
        <v>Non</v>
      </c>
      <c r="I43" s="136" t="e">
        <f t="shared" ca="1" si="7"/>
        <v>#NAME?</v>
      </c>
      <c r="J43" s="141" t="e">
        <f t="shared" ca="1" si="12"/>
        <v>#NAME?</v>
      </c>
      <c r="K43" s="142" t="e">
        <f t="shared" ca="1" si="9"/>
        <v>#NAME?</v>
      </c>
      <c r="L43" s="143"/>
      <c r="M43" s="135" t="e">
        <f t="shared" ca="1" si="10"/>
        <v>#NAME?</v>
      </c>
      <c r="N43" s="144" t="e">
        <f ca="1">IF(H43="Non",CONCATENATE(VLOOKUP(A43,liste_groupe[],5,FALSE),"-",VLOOKUP(A43,liste_groupe[],3,FALSE),VLOOKUP(A43,liste_groupe[],4,FALSE)," : ",ROUND(K43,0),"%"),CONCATENATE(VLOOKUP(A43,liste_groupe[],5,FALSE)," : ",ROUND(K43,0),"%"))</f>
        <v>#NAME?</v>
      </c>
    </row>
    <row r="44" spans="1:14" s="80" customFormat="1" ht="15.75" x14ac:dyDescent="0.25">
      <c r="A44" s="131" t="str">
        <f>'Page de garde'!A51</f>
        <v>0-00 + Testostérone</v>
      </c>
      <c r="B44" s="102"/>
      <c r="C44" s="90"/>
      <c r="D44" s="90"/>
      <c r="E44" s="85"/>
      <c r="F44" s="97" t="e">
        <f ca="1">HLOOKUP(A44,'pooled normalised values'!$B$74:$AK$83,10,FALSE)</f>
        <v>#NAME?</v>
      </c>
      <c r="G44" s="136" t="e">
        <f t="shared" ca="1" si="11"/>
        <v>#NAME?</v>
      </c>
      <c r="H44" s="127" t="str">
        <f>IF(VLOOKUP(A44,liste_groupe[],4,FALSE)="%",VLOOKUP(A44,liste_groupe[],3,FALSE)/100,IF(ISBLANK(VLOOKUP(A44,liste_groupe[],4,FALSE)),"Non","Non"))</f>
        <v>Non</v>
      </c>
      <c r="I44" s="136" t="e">
        <f t="shared" ca="1" si="7"/>
        <v>#NAME?</v>
      </c>
      <c r="J44" s="141" t="e">
        <f t="shared" ca="1" si="12"/>
        <v>#NAME?</v>
      </c>
      <c r="K44" s="142" t="e">
        <f t="shared" ca="1" si="9"/>
        <v>#NAME?</v>
      </c>
      <c r="L44" s="143"/>
      <c r="M44" s="135" t="e">
        <f t="shared" ca="1" si="10"/>
        <v>#NAME?</v>
      </c>
      <c r="N44" s="144" t="e">
        <f ca="1">IF(H44="Non",CONCATENATE(VLOOKUP(A44,liste_groupe[],5,FALSE),"-",VLOOKUP(A44,liste_groupe[],3,FALSE),VLOOKUP(A44,liste_groupe[],4,FALSE)," : ",ROUND(K44,0),"%"),CONCATENATE(VLOOKUP(A44,liste_groupe[],5,FALSE)," : ",ROUND(K44,0),"%"))</f>
        <v>#NAME?</v>
      </c>
    </row>
    <row r="45" spans="1:14" s="80" customFormat="1" ht="15.75" x14ac:dyDescent="0.25">
      <c r="A45" s="131" t="str">
        <f>'Page de garde'!A52</f>
        <v>0-00 + Testostérone</v>
      </c>
      <c r="B45" s="102"/>
      <c r="C45" s="90"/>
      <c r="D45" s="90"/>
      <c r="E45" s="85"/>
      <c r="F45" s="97" t="e">
        <f ca="1">HLOOKUP(A45,'pooled normalised values'!$B$74:$AK$83,10,FALSE)</f>
        <v>#NAME?</v>
      </c>
      <c r="G45" s="136" t="e">
        <f t="shared" ca="1" si="11"/>
        <v>#NAME?</v>
      </c>
      <c r="H45" s="127" t="str">
        <f>IF(VLOOKUP(A45,liste_groupe[],4,FALSE)="%",VLOOKUP(A45,liste_groupe[],3,FALSE)/100,IF(ISBLANK(VLOOKUP(A45,liste_groupe[],4,FALSE)),"Non","Non"))</f>
        <v>Non</v>
      </c>
      <c r="I45" s="136" t="e">
        <f t="shared" ca="1" si="7"/>
        <v>#NAME?</v>
      </c>
      <c r="J45" s="141" t="e">
        <f t="shared" ca="1" si="12"/>
        <v>#NAME?</v>
      </c>
      <c r="K45" s="142" t="e">
        <f t="shared" ca="1" si="9"/>
        <v>#NAME?</v>
      </c>
      <c r="L45" s="143"/>
      <c r="M45" s="135" t="e">
        <f t="shared" ca="1" si="10"/>
        <v>#NAME?</v>
      </c>
      <c r="N45" s="144" t="e">
        <f ca="1">IF(H45="Non",CONCATENATE(VLOOKUP(A45,liste_groupe[],5,FALSE),"-",VLOOKUP(A45,liste_groupe[],3,FALSE),VLOOKUP(A45,liste_groupe[],4,FALSE)," : ",ROUND(K45,0),"%"),CONCATENATE(VLOOKUP(A45,liste_groupe[],5,FALSE)," : ",ROUND(K45,0),"%"))</f>
        <v>#NAME?</v>
      </c>
    </row>
    <row r="46" spans="1:14" s="80" customFormat="1" ht="15.75" x14ac:dyDescent="0.25">
      <c r="A46" s="131" t="str">
        <f>'Page de garde'!A53</f>
        <v>0-00 + Testostérone</v>
      </c>
      <c r="B46" s="102"/>
      <c r="C46" s="90"/>
      <c r="D46" s="90"/>
      <c r="E46" s="85"/>
      <c r="F46" s="97" t="e">
        <f ca="1">HLOOKUP(A46,'pooled normalised values'!$B$74:$AK$83,10,FALSE)</f>
        <v>#NAME?</v>
      </c>
      <c r="G46" s="136" t="e">
        <f t="shared" ca="1" si="11"/>
        <v>#NAME?</v>
      </c>
      <c r="H46" s="127" t="str">
        <f>IF(VLOOKUP(A46,liste_groupe[],4,FALSE)="%",VLOOKUP(A46,liste_groupe[],3,FALSE)/100,IF(ISBLANK(VLOOKUP(A46,liste_groupe[],4,FALSE)),"Non","Non"))</f>
        <v>Non</v>
      </c>
      <c r="I46" s="136" t="e">
        <f t="shared" ca="1" si="7"/>
        <v>#NAME?</v>
      </c>
      <c r="J46" s="141" t="e">
        <f t="shared" ca="1" si="12"/>
        <v>#NAME?</v>
      </c>
      <c r="K46" s="142" t="e">
        <f t="shared" ca="1" si="9"/>
        <v>#NAME?</v>
      </c>
      <c r="L46" s="143"/>
      <c r="M46" s="135" t="e">
        <f t="shared" ca="1" si="10"/>
        <v>#NAME?</v>
      </c>
      <c r="N46" s="144" t="e">
        <f ca="1">IF(H46="Non",CONCATENATE(VLOOKUP(A46,liste_groupe[],5,FALSE),"-",VLOOKUP(A46,liste_groupe[],3,FALSE),VLOOKUP(A46,liste_groupe[],4,FALSE)," : ",ROUND(K46,0),"%"),CONCATENATE(VLOOKUP(A46,liste_groupe[],5,FALSE)," : ",ROUND(K46,0),"%"))</f>
        <v>#NAME?</v>
      </c>
    </row>
    <row r="47" spans="1:14" s="80" customFormat="1" ht="15.75" x14ac:dyDescent="0.25">
      <c r="A47" s="131" t="str">
        <f>'Page de garde'!A54</f>
        <v>0-00 + Testostérone</v>
      </c>
      <c r="B47" s="102"/>
      <c r="C47" s="90"/>
      <c r="D47" s="90"/>
      <c r="E47" s="85"/>
      <c r="F47" s="97" t="e">
        <f ca="1">HLOOKUP(A47,'pooled normalised values'!$B$74:$AK$83,10,FALSE)</f>
        <v>#NAME?</v>
      </c>
      <c r="G47" s="136" t="e">
        <f t="shared" ca="1" si="11"/>
        <v>#NAME?</v>
      </c>
      <c r="H47" s="127" t="str">
        <f>IF(VLOOKUP(A47,liste_groupe[],4,FALSE)="%",VLOOKUP(A47,liste_groupe[],3,FALSE)/100,IF(ISBLANK(VLOOKUP(A47,liste_groupe[],4,FALSE)),"Non","Non"))</f>
        <v>Non</v>
      </c>
      <c r="I47" s="136" t="e">
        <f t="shared" ca="1" si="7"/>
        <v>#NAME?</v>
      </c>
      <c r="J47" s="141" t="e">
        <f t="shared" ca="1" si="12"/>
        <v>#NAME?</v>
      </c>
      <c r="K47" s="142" t="e">
        <f t="shared" ca="1" si="9"/>
        <v>#NAME?</v>
      </c>
      <c r="L47" s="143"/>
      <c r="M47" s="135" t="e">
        <f t="shared" ca="1" si="10"/>
        <v>#NAME?</v>
      </c>
      <c r="N47" s="144" t="e">
        <f ca="1">IF(H47="Non",CONCATENATE(VLOOKUP(A47,liste_groupe[],5,FALSE),"-",VLOOKUP(A47,liste_groupe[],3,FALSE),VLOOKUP(A47,liste_groupe[],4,FALSE)," : ",ROUND(K47,0),"%"),CONCATENATE(VLOOKUP(A47,liste_groupe[],5,FALSE)," : ",ROUND(K47,0),"%"))</f>
        <v>#NAME?</v>
      </c>
    </row>
    <row r="48" spans="1:14" s="80" customFormat="1" ht="15.75" x14ac:dyDescent="0.25">
      <c r="A48" s="131" t="str">
        <f>'Page de garde'!A55</f>
        <v>0-00 + Testostérone</v>
      </c>
      <c r="B48" s="102"/>
      <c r="C48" s="90"/>
      <c r="D48" s="90"/>
      <c r="E48" s="85"/>
      <c r="F48" s="97" t="e">
        <f ca="1">HLOOKUP(A48,'pooled normalised values'!$B$74:$AK$83,10,FALSE)</f>
        <v>#NAME?</v>
      </c>
      <c r="G48" s="136" t="e">
        <f t="shared" ca="1" si="11"/>
        <v>#NAME?</v>
      </c>
      <c r="H48" s="127" t="str">
        <f>IF(VLOOKUP(A48,liste_groupe[],4,FALSE)="%",VLOOKUP(A48,liste_groupe[],3,FALSE)/100,IF(ISBLANK(VLOOKUP(A48,liste_groupe[],4,FALSE)),"Non","Non"))</f>
        <v>Non</v>
      </c>
      <c r="I48" s="136" t="e">
        <f t="shared" ca="1" si="7"/>
        <v>#NAME?</v>
      </c>
      <c r="J48" s="141" t="e">
        <f t="shared" ca="1" si="12"/>
        <v>#NAME?</v>
      </c>
      <c r="K48" s="142" t="e">
        <f t="shared" ca="1" si="9"/>
        <v>#NAME?</v>
      </c>
      <c r="L48" s="143"/>
      <c r="M48" s="135" t="e">
        <f t="shared" ca="1" si="10"/>
        <v>#NAME?</v>
      </c>
      <c r="N48" s="144" t="e">
        <f ca="1">IF(H48="Non",CONCATENATE(VLOOKUP(A48,liste_groupe[],5,FALSE),"-",VLOOKUP(A48,liste_groupe[],3,FALSE),VLOOKUP(A48,liste_groupe[],4,FALSE)," : ",ROUND(K48,0),"%"),CONCATENATE(VLOOKUP(A48,liste_groupe[],5,FALSE)," : ",ROUND(K48,0),"%"))</f>
        <v>#NAME?</v>
      </c>
    </row>
    <row r="49" spans="1:15" s="80" customFormat="1" ht="15.75" x14ac:dyDescent="0.25">
      <c r="A49" s="131" t="str">
        <f>'Page de garde'!A56</f>
        <v>0-00 + Testostérone</v>
      </c>
      <c r="B49" s="102"/>
      <c r="C49" s="90"/>
      <c r="D49" s="90"/>
      <c r="E49" s="85"/>
      <c r="F49" s="97" t="e">
        <f ca="1">HLOOKUP(A49,'pooled normalised values'!$B$74:$AK$83,10,FALSE)</f>
        <v>#NAME?</v>
      </c>
      <c r="G49" s="136" t="e">
        <f t="shared" ca="1" si="11"/>
        <v>#NAME?</v>
      </c>
      <c r="H49" s="127" t="str">
        <f>IF(VLOOKUP(A49,liste_groupe[],4,FALSE)="%",VLOOKUP(A49,liste_groupe[],3,FALSE)/100,IF(ISBLANK(VLOOKUP(A49,liste_groupe[],4,FALSE)),"Non","Non"))</f>
        <v>Non</v>
      </c>
      <c r="I49" s="136" t="e">
        <f t="shared" ca="1" si="7"/>
        <v>#NAME?</v>
      </c>
      <c r="J49" s="141" t="e">
        <f t="shared" ca="1" si="12"/>
        <v>#NAME?</v>
      </c>
      <c r="K49" s="142" t="e">
        <f t="shared" ca="1" si="9"/>
        <v>#NAME?</v>
      </c>
      <c r="L49" s="143"/>
      <c r="M49" s="135" t="e">
        <f t="shared" ca="1" si="10"/>
        <v>#NAME?</v>
      </c>
      <c r="N49" s="144" t="e">
        <f ca="1">IF(H49="Non",CONCATENATE(VLOOKUP(A49,liste_groupe[],5,FALSE),"-",VLOOKUP(A49,liste_groupe[],3,FALSE),VLOOKUP(A49,liste_groupe[],4,FALSE)," : ",ROUND(K49,0),"%"),CONCATENATE(VLOOKUP(A49,liste_groupe[],5,FALSE)," : ",ROUND(K49,0),"%"))</f>
        <v>#NAME?</v>
      </c>
    </row>
    <row r="50" spans="1:15" s="80" customFormat="1" ht="15.75" x14ac:dyDescent="0.25">
      <c r="A50" s="131" t="str">
        <f>'Page de garde'!A57</f>
        <v>0-00 + Testostérone</v>
      </c>
      <c r="B50" s="102"/>
      <c r="C50" s="90"/>
      <c r="D50" s="90"/>
      <c r="E50" s="85"/>
      <c r="F50" s="97" t="e">
        <f ca="1">HLOOKUP(A50,'pooled normalised values'!$B$74:$AK$83,10,FALSE)</f>
        <v>#NAME?</v>
      </c>
      <c r="G50" s="136" t="e">
        <f t="shared" ca="1" si="11"/>
        <v>#NAME?</v>
      </c>
      <c r="H50" s="127" t="str">
        <f>IF(VLOOKUP(A50,liste_groupe[],4,FALSE)="%",VLOOKUP(A50,liste_groupe[],3,FALSE)/100,IF(ISBLANK(VLOOKUP(A50,liste_groupe[],4,FALSE)),"Non","Non"))</f>
        <v>Non</v>
      </c>
      <c r="I50" s="136" t="e">
        <f t="shared" ca="1" si="7"/>
        <v>#NAME?</v>
      </c>
      <c r="J50" s="141" t="e">
        <f t="shared" ca="1" si="12"/>
        <v>#NAME?</v>
      </c>
      <c r="K50" s="142" t="e">
        <f t="shared" ca="1" si="9"/>
        <v>#NAME?</v>
      </c>
      <c r="L50" s="143"/>
      <c r="M50" s="135" t="e">
        <f t="shared" ca="1" si="10"/>
        <v>#NAME?</v>
      </c>
      <c r="N50" s="144" t="e">
        <f ca="1">IF(H50="Non",CONCATENATE(VLOOKUP(A50,liste_groupe[],5,FALSE),"-",VLOOKUP(A50,liste_groupe[],3,FALSE),VLOOKUP(A50,liste_groupe[],4,FALSE)," : ",ROUND(K50,0),"%"),CONCATENATE(VLOOKUP(A50,liste_groupe[],5,FALSE)," : ",ROUND(K50,0),"%"))</f>
        <v>#NAME?</v>
      </c>
    </row>
    <row r="51" spans="1:15" s="80" customFormat="1" ht="15.75" x14ac:dyDescent="0.25">
      <c r="A51" s="131" t="str">
        <f>'Page de garde'!A58</f>
        <v>0-00 + Testostérone</v>
      </c>
      <c r="B51" s="102"/>
      <c r="C51" s="90"/>
      <c r="D51" s="90"/>
      <c r="E51" s="85"/>
      <c r="F51" s="97" t="e">
        <f ca="1">HLOOKUP(A51,'pooled normalised values'!$B$74:$AK$83,10,FALSE)</f>
        <v>#NAME?</v>
      </c>
      <c r="G51" s="136" t="e">
        <f t="shared" ca="1" si="6"/>
        <v>#NAME?</v>
      </c>
      <c r="H51" s="127" t="str">
        <f>IF(VLOOKUP(A51,liste_groupe[],4,FALSE)="%",VLOOKUP(A51,liste_groupe[],3,FALSE)/100,IF(ISBLANK(VLOOKUP(A51,liste_groupe[],4,FALSE)),"Non","Non"))</f>
        <v>Non</v>
      </c>
      <c r="I51" s="136" t="e">
        <f t="shared" ca="1" si="7"/>
        <v>#NAME?</v>
      </c>
      <c r="J51" s="141" t="e">
        <f t="shared" ca="1" si="8"/>
        <v>#NAME?</v>
      </c>
      <c r="K51" s="142" t="e">
        <f t="shared" ca="1" si="9"/>
        <v>#NAME?</v>
      </c>
      <c r="L51" s="143"/>
      <c r="M51" s="135" t="e">
        <f t="shared" ca="1" si="10"/>
        <v>#NAME?</v>
      </c>
      <c r="N51" s="144" t="e">
        <f ca="1">IF(H51="Non",CONCATENATE(VLOOKUP(A51,liste_groupe[],5,FALSE),"-",VLOOKUP(A51,liste_groupe[],3,FALSE),VLOOKUP(A51,liste_groupe[],4,FALSE)," : ",ROUND(K51,0),"%"),CONCATENATE(VLOOKUP(A51,liste_groupe[],5,FALSE)," : ",ROUND(K51,0),"%"))</f>
        <v>#NAME?</v>
      </c>
    </row>
    <row r="52" spans="1:15" s="80" customFormat="1" ht="16.5" thickBot="1" x14ac:dyDescent="0.3">
      <c r="E52" s="81"/>
      <c r="F52" s="81"/>
      <c r="G52" s="81"/>
      <c r="H52" s="81"/>
      <c r="I52" s="81"/>
      <c r="J52" s="81"/>
      <c r="K52" s="81"/>
      <c r="L52" s="81"/>
      <c r="M52" s="81"/>
      <c r="N52" s="81"/>
    </row>
    <row r="53" spans="1:15" s="49" customFormat="1" ht="27" thickBot="1" x14ac:dyDescent="0.3">
      <c r="A53" s="239" t="s">
        <v>60</v>
      </c>
      <c r="B53" s="240"/>
      <c r="C53" s="240"/>
      <c r="D53" s="240"/>
      <c r="E53" s="240"/>
      <c r="F53" s="240"/>
      <c r="G53" s="240"/>
      <c r="H53" s="240"/>
      <c r="I53" s="240"/>
      <c r="J53" s="240"/>
      <c r="K53" s="240"/>
      <c r="L53" s="240"/>
      <c r="M53" s="240"/>
      <c r="N53" s="240"/>
      <c r="O53" s="241"/>
    </row>
  </sheetData>
  <mergeCells count="3">
    <mergeCell ref="A2:O2"/>
    <mergeCell ref="A1:O1"/>
    <mergeCell ref="A53:O53"/>
  </mergeCells>
  <pageMargins left="0.7" right="0.7" top="0.75" bottom="0.75" header="0.3" footer="0.3"/>
  <pageSetup paperSize="9" orientation="portrait" r:id="rId1"/>
  <headerFooter>
    <oddFooter>&amp;C&amp;1#&amp;"Arial"&amp;10&amp;K000000Internal</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2"/>
  <sheetViews>
    <sheetView showGridLines="0" workbookViewId="0">
      <selection activeCell="B6" sqref="B6"/>
    </sheetView>
  </sheetViews>
  <sheetFormatPr defaultColWidth="11.42578125" defaultRowHeight="15" x14ac:dyDescent="0.25"/>
  <cols>
    <col min="1" max="1" width="22.85546875" style="185" customWidth="1"/>
    <col min="2" max="2" width="46.28515625" style="185" customWidth="1"/>
    <col min="3" max="3" width="15.28515625" style="185" customWidth="1"/>
    <col min="4" max="4" width="24.7109375" style="185" customWidth="1"/>
    <col min="5" max="5" width="24.42578125" style="185" customWidth="1"/>
    <col min="6" max="6" width="23.140625" style="185" customWidth="1"/>
    <col min="7" max="7" width="21.28515625" style="185" customWidth="1"/>
    <col min="8" max="16384" width="11.42578125" style="185"/>
  </cols>
  <sheetData>
    <row r="1" spans="1:7" ht="30.75" thickBot="1" x14ac:dyDescent="0.3">
      <c r="A1" s="190" t="s">
        <v>132</v>
      </c>
      <c r="B1" s="191" t="s">
        <v>133</v>
      </c>
      <c r="C1" s="191" t="s">
        <v>139</v>
      </c>
      <c r="D1" s="191" t="s">
        <v>138</v>
      </c>
      <c r="E1" s="191" t="s">
        <v>140</v>
      </c>
      <c r="F1" s="192" t="s">
        <v>141</v>
      </c>
      <c r="G1" s="193" t="s">
        <v>142</v>
      </c>
    </row>
    <row r="2" spans="1:7" ht="60" x14ac:dyDescent="0.25">
      <c r="A2" s="186" t="s">
        <v>134</v>
      </c>
      <c r="B2" s="187" t="s">
        <v>135</v>
      </c>
      <c r="C2" s="187" t="s">
        <v>136</v>
      </c>
      <c r="D2" s="187" t="s">
        <v>143</v>
      </c>
      <c r="E2" s="187" t="s">
        <v>137</v>
      </c>
      <c r="F2" s="188" t="s">
        <v>136</v>
      </c>
      <c r="G2" s="189" t="s">
        <v>136</v>
      </c>
    </row>
  </sheetData>
  <pageMargins left="0.7" right="0.7" top="0.75" bottom="0.75" header="0.3" footer="0.3"/>
  <pageSetup paperSize="9" orientation="portrait" horizontalDpi="300" verticalDpi="300" r:id="rId1"/>
  <headerFooter>
    <oddFooter>&amp;C&amp;1#&amp;"Arial"&amp;10&amp;K000000Internal</oddFooter>
  </headerFooter>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2:AK24"/>
  <sheetViews>
    <sheetView zoomScale="70" zoomScaleNormal="70" workbookViewId="0">
      <selection activeCell="A16" sqref="A16"/>
    </sheetView>
  </sheetViews>
  <sheetFormatPr defaultColWidth="11.42578125" defaultRowHeight="12.75" x14ac:dyDescent="0.2"/>
  <cols>
    <col min="1" max="1" width="18.85546875" style="17" customWidth="1"/>
    <col min="2" max="2" width="7.28515625" style="17" bestFit="1" customWidth="1"/>
    <col min="3" max="3" width="10.5703125" style="17" customWidth="1"/>
    <col min="4" max="4" width="13.7109375" style="17" bestFit="1" customWidth="1"/>
    <col min="5" max="5" width="12" style="17" bestFit="1" customWidth="1"/>
    <col min="6" max="19" width="14.85546875" style="17" customWidth="1"/>
    <col min="20" max="21" width="11.42578125" style="17"/>
    <col min="22" max="22" width="13.5703125" style="17" bestFit="1" customWidth="1"/>
    <col min="23" max="34" width="13.5703125" style="17" customWidth="1"/>
    <col min="35" max="35" width="13.5703125" style="17" bestFit="1" customWidth="1"/>
    <col min="36" max="282" width="11.42578125" style="17"/>
    <col min="283" max="283" width="18.7109375" style="17" customWidth="1"/>
    <col min="284" max="284" width="13.7109375" style="17" bestFit="1" customWidth="1"/>
    <col min="285" max="285" width="17.28515625" style="17" customWidth="1"/>
    <col min="286" max="286" width="11" style="17" customWidth="1"/>
    <col min="287" max="287" width="12" style="17" bestFit="1" customWidth="1"/>
    <col min="288" max="288" width="14.85546875" style="17" customWidth="1"/>
    <col min="289" max="538" width="11.42578125" style="17"/>
    <col min="539" max="539" width="18.7109375" style="17" customWidth="1"/>
    <col min="540" max="540" width="13.7109375" style="17" bestFit="1" customWidth="1"/>
    <col min="541" max="541" width="17.28515625" style="17" customWidth="1"/>
    <col min="542" max="542" width="11" style="17" customWidth="1"/>
    <col min="543" max="543" width="12" style="17" bestFit="1" customWidth="1"/>
    <col min="544" max="544" width="14.85546875" style="17" customWidth="1"/>
    <col min="545" max="794" width="11.42578125" style="17"/>
    <col min="795" max="795" width="18.7109375" style="17" customWidth="1"/>
    <col min="796" max="796" width="13.7109375" style="17" bestFit="1" customWidth="1"/>
    <col min="797" max="797" width="17.28515625" style="17" customWidth="1"/>
    <col min="798" max="798" width="11" style="17" customWidth="1"/>
    <col min="799" max="799" width="12" style="17" bestFit="1" customWidth="1"/>
    <col min="800" max="800" width="14.85546875" style="17" customWidth="1"/>
    <col min="801" max="1050" width="11.42578125" style="17"/>
    <col min="1051" max="1051" width="18.7109375" style="17" customWidth="1"/>
    <col min="1052" max="1052" width="13.7109375" style="17" bestFit="1" customWidth="1"/>
    <col min="1053" max="1053" width="17.28515625" style="17" customWidth="1"/>
    <col min="1054" max="1054" width="11" style="17" customWidth="1"/>
    <col min="1055" max="1055" width="12" style="17" bestFit="1" customWidth="1"/>
    <col min="1056" max="1056" width="14.85546875" style="17" customWidth="1"/>
    <col min="1057" max="1306" width="11.42578125" style="17"/>
    <col min="1307" max="1307" width="18.7109375" style="17" customWidth="1"/>
    <col min="1308" max="1308" width="13.7109375" style="17" bestFit="1" customWidth="1"/>
    <col min="1309" max="1309" width="17.28515625" style="17" customWidth="1"/>
    <col min="1310" max="1310" width="11" style="17" customWidth="1"/>
    <col min="1311" max="1311" width="12" style="17" bestFit="1" customWidth="1"/>
    <col min="1312" max="1312" width="14.85546875" style="17" customWidth="1"/>
    <col min="1313" max="1562" width="11.42578125" style="17"/>
    <col min="1563" max="1563" width="18.7109375" style="17" customWidth="1"/>
    <col min="1564" max="1564" width="13.7109375" style="17" bestFit="1" customWidth="1"/>
    <col min="1565" max="1565" width="17.28515625" style="17" customWidth="1"/>
    <col min="1566" max="1566" width="11" style="17" customWidth="1"/>
    <col min="1567" max="1567" width="12" style="17" bestFit="1" customWidth="1"/>
    <col min="1568" max="1568" width="14.85546875" style="17" customWidth="1"/>
    <col min="1569" max="1818" width="11.42578125" style="17"/>
    <col min="1819" max="1819" width="18.7109375" style="17" customWidth="1"/>
    <col min="1820" max="1820" width="13.7109375" style="17" bestFit="1" customWidth="1"/>
    <col min="1821" max="1821" width="17.28515625" style="17" customWidth="1"/>
    <col min="1822" max="1822" width="11" style="17" customWidth="1"/>
    <col min="1823" max="1823" width="12" style="17" bestFit="1" customWidth="1"/>
    <col min="1824" max="1824" width="14.85546875" style="17" customWidth="1"/>
    <col min="1825" max="2074" width="11.42578125" style="17"/>
    <col min="2075" max="2075" width="18.7109375" style="17" customWidth="1"/>
    <col min="2076" max="2076" width="13.7109375" style="17" bestFit="1" customWidth="1"/>
    <col min="2077" max="2077" width="17.28515625" style="17" customWidth="1"/>
    <col min="2078" max="2078" width="11" style="17" customWidth="1"/>
    <col min="2079" max="2079" width="12" style="17" bestFit="1" customWidth="1"/>
    <col min="2080" max="2080" width="14.85546875" style="17" customWidth="1"/>
    <col min="2081" max="2330" width="11.42578125" style="17"/>
    <col min="2331" max="2331" width="18.7109375" style="17" customWidth="1"/>
    <col min="2332" max="2332" width="13.7109375" style="17" bestFit="1" customWidth="1"/>
    <col min="2333" max="2333" width="17.28515625" style="17" customWidth="1"/>
    <col min="2334" max="2334" width="11" style="17" customWidth="1"/>
    <col min="2335" max="2335" width="12" style="17" bestFit="1" customWidth="1"/>
    <col min="2336" max="2336" width="14.85546875" style="17" customWidth="1"/>
    <col min="2337" max="2586" width="11.42578125" style="17"/>
    <col min="2587" max="2587" width="18.7109375" style="17" customWidth="1"/>
    <col min="2588" max="2588" width="13.7109375" style="17" bestFit="1" customWidth="1"/>
    <col min="2589" max="2589" width="17.28515625" style="17" customWidth="1"/>
    <col min="2590" max="2590" width="11" style="17" customWidth="1"/>
    <col min="2591" max="2591" width="12" style="17" bestFit="1" customWidth="1"/>
    <col min="2592" max="2592" width="14.85546875" style="17" customWidth="1"/>
    <col min="2593" max="2842" width="11.42578125" style="17"/>
    <col min="2843" max="2843" width="18.7109375" style="17" customWidth="1"/>
    <col min="2844" max="2844" width="13.7109375" style="17" bestFit="1" customWidth="1"/>
    <col min="2845" max="2845" width="17.28515625" style="17" customWidth="1"/>
    <col min="2846" max="2846" width="11" style="17" customWidth="1"/>
    <col min="2847" max="2847" width="12" style="17" bestFit="1" customWidth="1"/>
    <col min="2848" max="2848" width="14.85546875" style="17" customWidth="1"/>
    <col min="2849" max="3098" width="11.42578125" style="17"/>
    <col min="3099" max="3099" width="18.7109375" style="17" customWidth="1"/>
    <col min="3100" max="3100" width="13.7109375" style="17" bestFit="1" customWidth="1"/>
    <col min="3101" max="3101" width="17.28515625" style="17" customWidth="1"/>
    <col min="3102" max="3102" width="11" style="17" customWidth="1"/>
    <col min="3103" max="3103" width="12" style="17" bestFit="1" customWidth="1"/>
    <col min="3104" max="3104" width="14.85546875" style="17" customWidth="1"/>
    <col min="3105" max="3354" width="11.42578125" style="17"/>
    <col min="3355" max="3355" width="18.7109375" style="17" customWidth="1"/>
    <col min="3356" max="3356" width="13.7109375" style="17" bestFit="1" customWidth="1"/>
    <col min="3357" max="3357" width="17.28515625" style="17" customWidth="1"/>
    <col min="3358" max="3358" width="11" style="17" customWidth="1"/>
    <col min="3359" max="3359" width="12" style="17" bestFit="1" customWidth="1"/>
    <col min="3360" max="3360" width="14.85546875" style="17" customWidth="1"/>
    <col min="3361" max="3610" width="11.42578125" style="17"/>
    <col min="3611" max="3611" width="18.7109375" style="17" customWidth="1"/>
    <col min="3612" max="3612" width="13.7109375" style="17" bestFit="1" customWidth="1"/>
    <col min="3613" max="3613" width="17.28515625" style="17" customWidth="1"/>
    <col min="3614" max="3614" width="11" style="17" customWidth="1"/>
    <col min="3615" max="3615" width="12" style="17" bestFit="1" customWidth="1"/>
    <col min="3616" max="3616" width="14.85546875" style="17" customWidth="1"/>
    <col min="3617" max="3866" width="11.42578125" style="17"/>
    <col min="3867" max="3867" width="18.7109375" style="17" customWidth="1"/>
    <col min="3868" max="3868" width="13.7109375" style="17" bestFit="1" customWidth="1"/>
    <col min="3869" max="3869" width="17.28515625" style="17" customWidth="1"/>
    <col min="3870" max="3870" width="11" style="17" customWidth="1"/>
    <col min="3871" max="3871" width="12" style="17" bestFit="1" customWidth="1"/>
    <col min="3872" max="3872" width="14.85546875" style="17" customWidth="1"/>
    <col min="3873" max="4122" width="11.42578125" style="17"/>
    <col min="4123" max="4123" width="18.7109375" style="17" customWidth="1"/>
    <col min="4124" max="4124" width="13.7109375" style="17" bestFit="1" customWidth="1"/>
    <col min="4125" max="4125" width="17.28515625" style="17" customWidth="1"/>
    <col min="4126" max="4126" width="11" style="17" customWidth="1"/>
    <col min="4127" max="4127" width="12" style="17" bestFit="1" customWidth="1"/>
    <col min="4128" max="4128" width="14.85546875" style="17" customWidth="1"/>
    <col min="4129" max="4378" width="11.42578125" style="17"/>
    <col min="4379" max="4379" width="18.7109375" style="17" customWidth="1"/>
    <col min="4380" max="4380" width="13.7109375" style="17" bestFit="1" customWidth="1"/>
    <col min="4381" max="4381" width="17.28515625" style="17" customWidth="1"/>
    <col min="4382" max="4382" width="11" style="17" customWidth="1"/>
    <col min="4383" max="4383" width="12" style="17" bestFit="1" customWidth="1"/>
    <col min="4384" max="4384" width="14.85546875" style="17" customWidth="1"/>
    <col min="4385" max="4634" width="11.42578125" style="17"/>
    <col min="4635" max="4635" width="18.7109375" style="17" customWidth="1"/>
    <col min="4636" max="4636" width="13.7109375" style="17" bestFit="1" customWidth="1"/>
    <col min="4637" max="4637" width="17.28515625" style="17" customWidth="1"/>
    <col min="4638" max="4638" width="11" style="17" customWidth="1"/>
    <col min="4639" max="4639" width="12" style="17" bestFit="1" customWidth="1"/>
    <col min="4640" max="4640" width="14.85546875" style="17" customWidth="1"/>
    <col min="4641" max="4890" width="11.42578125" style="17"/>
    <col min="4891" max="4891" width="18.7109375" style="17" customWidth="1"/>
    <col min="4892" max="4892" width="13.7109375" style="17" bestFit="1" customWidth="1"/>
    <col min="4893" max="4893" width="17.28515625" style="17" customWidth="1"/>
    <col min="4894" max="4894" width="11" style="17" customWidth="1"/>
    <col min="4895" max="4895" width="12" style="17" bestFit="1" customWidth="1"/>
    <col min="4896" max="4896" width="14.85546875" style="17" customWidth="1"/>
    <col min="4897" max="5146" width="11.42578125" style="17"/>
    <col min="5147" max="5147" width="18.7109375" style="17" customWidth="1"/>
    <col min="5148" max="5148" width="13.7109375" style="17" bestFit="1" customWidth="1"/>
    <col min="5149" max="5149" width="17.28515625" style="17" customWidth="1"/>
    <col min="5150" max="5150" width="11" style="17" customWidth="1"/>
    <col min="5151" max="5151" width="12" style="17" bestFit="1" customWidth="1"/>
    <col min="5152" max="5152" width="14.85546875" style="17" customWidth="1"/>
    <col min="5153" max="5402" width="11.42578125" style="17"/>
    <col min="5403" max="5403" width="18.7109375" style="17" customWidth="1"/>
    <col min="5404" max="5404" width="13.7109375" style="17" bestFit="1" customWidth="1"/>
    <col min="5405" max="5405" width="17.28515625" style="17" customWidth="1"/>
    <col min="5406" max="5406" width="11" style="17" customWidth="1"/>
    <col min="5407" max="5407" width="12" style="17" bestFit="1" customWidth="1"/>
    <col min="5408" max="5408" width="14.85546875" style="17" customWidth="1"/>
    <col min="5409" max="5658" width="11.42578125" style="17"/>
    <col min="5659" max="5659" width="18.7109375" style="17" customWidth="1"/>
    <col min="5660" max="5660" width="13.7109375" style="17" bestFit="1" customWidth="1"/>
    <col min="5661" max="5661" width="17.28515625" style="17" customWidth="1"/>
    <col min="5662" max="5662" width="11" style="17" customWidth="1"/>
    <col min="5663" max="5663" width="12" style="17" bestFit="1" customWidth="1"/>
    <col min="5664" max="5664" width="14.85546875" style="17" customWidth="1"/>
    <col min="5665" max="5914" width="11.42578125" style="17"/>
    <col min="5915" max="5915" width="18.7109375" style="17" customWidth="1"/>
    <col min="5916" max="5916" width="13.7109375" style="17" bestFit="1" customWidth="1"/>
    <col min="5917" max="5917" width="17.28515625" style="17" customWidth="1"/>
    <col min="5918" max="5918" width="11" style="17" customWidth="1"/>
    <col min="5919" max="5919" width="12" style="17" bestFit="1" customWidth="1"/>
    <col min="5920" max="5920" width="14.85546875" style="17" customWidth="1"/>
    <col min="5921" max="6170" width="11.42578125" style="17"/>
    <col min="6171" max="6171" width="18.7109375" style="17" customWidth="1"/>
    <col min="6172" max="6172" width="13.7109375" style="17" bestFit="1" customWidth="1"/>
    <col min="6173" max="6173" width="17.28515625" style="17" customWidth="1"/>
    <col min="6174" max="6174" width="11" style="17" customWidth="1"/>
    <col min="6175" max="6175" width="12" style="17" bestFit="1" customWidth="1"/>
    <col min="6176" max="6176" width="14.85546875" style="17" customWidth="1"/>
    <col min="6177" max="6426" width="11.42578125" style="17"/>
    <col min="6427" max="6427" width="18.7109375" style="17" customWidth="1"/>
    <col min="6428" max="6428" width="13.7109375" style="17" bestFit="1" customWidth="1"/>
    <col min="6429" max="6429" width="17.28515625" style="17" customWidth="1"/>
    <col min="6430" max="6430" width="11" style="17" customWidth="1"/>
    <col min="6431" max="6431" width="12" style="17" bestFit="1" customWidth="1"/>
    <col min="6432" max="6432" width="14.85546875" style="17" customWidth="1"/>
    <col min="6433" max="6682" width="11.42578125" style="17"/>
    <col min="6683" max="6683" width="18.7109375" style="17" customWidth="1"/>
    <col min="6684" max="6684" width="13.7109375" style="17" bestFit="1" customWidth="1"/>
    <col min="6685" max="6685" width="17.28515625" style="17" customWidth="1"/>
    <col min="6686" max="6686" width="11" style="17" customWidth="1"/>
    <col min="6687" max="6687" width="12" style="17" bestFit="1" customWidth="1"/>
    <col min="6688" max="6688" width="14.85546875" style="17" customWidth="1"/>
    <col min="6689" max="6938" width="11.42578125" style="17"/>
    <col min="6939" max="6939" width="18.7109375" style="17" customWidth="1"/>
    <col min="6940" max="6940" width="13.7109375" style="17" bestFit="1" customWidth="1"/>
    <col min="6941" max="6941" width="17.28515625" style="17" customWidth="1"/>
    <col min="6942" max="6942" width="11" style="17" customWidth="1"/>
    <col min="6943" max="6943" width="12" style="17" bestFit="1" customWidth="1"/>
    <col min="6944" max="6944" width="14.85546875" style="17" customWidth="1"/>
    <col min="6945" max="7194" width="11.42578125" style="17"/>
    <col min="7195" max="7195" width="18.7109375" style="17" customWidth="1"/>
    <col min="7196" max="7196" width="13.7109375" style="17" bestFit="1" customWidth="1"/>
    <col min="7197" max="7197" width="17.28515625" style="17" customWidth="1"/>
    <col min="7198" max="7198" width="11" style="17" customWidth="1"/>
    <col min="7199" max="7199" width="12" style="17" bestFit="1" customWidth="1"/>
    <col min="7200" max="7200" width="14.85546875" style="17" customWidth="1"/>
    <col min="7201" max="7450" width="11.42578125" style="17"/>
    <col min="7451" max="7451" width="18.7109375" style="17" customWidth="1"/>
    <col min="7452" max="7452" width="13.7109375" style="17" bestFit="1" customWidth="1"/>
    <col min="7453" max="7453" width="17.28515625" style="17" customWidth="1"/>
    <col min="7454" max="7454" width="11" style="17" customWidth="1"/>
    <col min="7455" max="7455" width="12" style="17" bestFit="1" customWidth="1"/>
    <col min="7456" max="7456" width="14.85546875" style="17" customWidth="1"/>
    <col min="7457" max="7706" width="11.42578125" style="17"/>
    <col min="7707" max="7707" width="18.7109375" style="17" customWidth="1"/>
    <col min="7708" max="7708" width="13.7109375" style="17" bestFit="1" customWidth="1"/>
    <col min="7709" max="7709" width="17.28515625" style="17" customWidth="1"/>
    <col min="7710" max="7710" width="11" style="17" customWidth="1"/>
    <col min="7711" max="7711" width="12" style="17" bestFit="1" customWidth="1"/>
    <col min="7712" max="7712" width="14.85546875" style="17" customWidth="1"/>
    <col min="7713" max="7962" width="11.42578125" style="17"/>
    <col min="7963" max="7963" width="18.7109375" style="17" customWidth="1"/>
    <col min="7964" max="7964" width="13.7109375" style="17" bestFit="1" customWidth="1"/>
    <col min="7965" max="7965" width="17.28515625" style="17" customWidth="1"/>
    <col min="7966" max="7966" width="11" style="17" customWidth="1"/>
    <col min="7967" max="7967" width="12" style="17" bestFit="1" customWidth="1"/>
    <col min="7968" max="7968" width="14.85546875" style="17" customWidth="1"/>
    <col min="7969" max="8218" width="11.42578125" style="17"/>
    <col min="8219" max="8219" width="18.7109375" style="17" customWidth="1"/>
    <col min="8220" max="8220" width="13.7109375" style="17" bestFit="1" customWidth="1"/>
    <col min="8221" max="8221" width="17.28515625" style="17" customWidth="1"/>
    <col min="8222" max="8222" width="11" style="17" customWidth="1"/>
    <col min="8223" max="8223" width="12" style="17" bestFit="1" customWidth="1"/>
    <col min="8224" max="8224" width="14.85546875" style="17" customWidth="1"/>
    <col min="8225" max="8474" width="11.42578125" style="17"/>
    <col min="8475" max="8475" width="18.7109375" style="17" customWidth="1"/>
    <col min="8476" max="8476" width="13.7109375" style="17" bestFit="1" customWidth="1"/>
    <col min="8477" max="8477" width="17.28515625" style="17" customWidth="1"/>
    <col min="8478" max="8478" width="11" style="17" customWidth="1"/>
    <col min="8479" max="8479" width="12" style="17" bestFit="1" customWidth="1"/>
    <col min="8480" max="8480" width="14.85546875" style="17" customWidth="1"/>
    <col min="8481" max="8730" width="11.42578125" style="17"/>
    <col min="8731" max="8731" width="18.7109375" style="17" customWidth="1"/>
    <col min="8732" max="8732" width="13.7109375" style="17" bestFit="1" customWidth="1"/>
    <col min="8733" max="8733" width="17.28515625" style="17" customWidth="1"/>
    <col min="8734" max="8734" width="11" style="17" customWidth="1"/>
    <col min="8735" max="8735" width="12" style="17" bestFit="1" customWidth="1"/>
    <col min="8736" max="8736" width="14.85546875" style="17" customWidth="1"/>
    <col min="8737" max="8986" width="11.42578125" style="17"/>
    <col min="8987" max="8987" width="18.7109375" style="17" customWidth="1"/>
    <col min="8988" max="8988" width="13.7109375" style="17" bestFit="1" customWidth="1"/>
    <col min="8989" max="8989" width="17.28515625" style="17" customWidth="1"/>
    <col min="8990" max="8990" width="11" style="17" customWidth="1"/>
    <col min="8991" max="8991" width="12" style="17" bestFit="1" customWidth="1"/>
    <col min="8992" max="8992" width="14.85546875" style="17" customWidth="1"/>
    <col min="8993" max="9242" width="11.42578125" style="17"/>
    <col min="9243" max="9243" width="18.7109375" style="17" customWidth="1"/>
    <col min="9244" max="9244" width="13.7109375" style="17" bestFit="1" customWidth="1"/>
    <col min="9245" max="9245" width="17.28515625" style="17" customWidth="1"/>
    <col min="9246" max="9246" width="11" style="17" customWidth="1"/>
    <col min="9247" max="9247" width="12" style="17" bestFit="1" customWidth="1"/>
    <col min="9248" max="9248" width="14.85546875" style="17" customWidth="1"/>
    <col min="9249" max="9498" width="11.42578125" style="17"/>
    <col min="9499" max="9499" width="18.7109375" style="17" customWidth="1"/>
    <col min="9500" max="9500" width="13.7109375" style="17" bestFit="1" customWidth="1"/>
    <col min="9501" max="9501" width="17.28515625" style="17" customWidth="1"/>
    <col min="9502" max="9502" width="11" style="17" customWidth="1"/>
    <col min="9503" max="9503" width="12" style="17" bestFit="1" customWidth="1"/>
    <col min="9504" max="9504" width="14.85546875" style="17" customWidth="1"/>
    <col min="9505" max="9754" width="11.42578125" style="17"/>
    <col min="9755" max="9755" width="18.7109375" style="17" customWidth="1"/>
    <col min="9756" max="9756" width="13.7109375" style="17" bestFit="1" customWidth="1"/>
    <col min="9757" max="9757" width="17.28515625" style="17" customWidth="1"/>
    <col min="9758" max="9758" width="11" style="17" customWidth="1"/>
    <col min="9759" max="9759" width="12" style="17" bestFit="1" customWidth="1"/>
    <col min="9760" max="9760" width="14.85546875" style="17" customWidth="1"/>
    <col min="9761" max="10010" width="11.42578125" style="17"/>
    <col min="10011" max="10011" width="18.7109375" style="17" customWidth="1"/>
    <col min="10012" max="10012" width="13.7109375" style="17" bestFit="1" customWidth="1"/>
    <col min="10013" max="10013" width="17.28515625" style="17" customWidth="1"/>
    <col min="10014" max="10014" width="11" style="17" customWidth="1"/>
    <col min="10015" max="10015" width="12" style="17" bestFit="1" customWidth="1"/>
    <col min="10016" max="10016" width="14.85546875" style="17" customWidth="1"/>
    <col min="10017" max="10266" width="11.42578125" style="17"/>
    <col min="10267" max="10267" width="18.7109375" style="17" customWidth="1"/>
    <col min="10268" max="10268" width="13.7109375" style="17" bestFit="1" customWidth="1"/>
    <col min="10269" max="10269" width="17.28515625" style="17" customWidth="1"/>
    <col min="10270" max="10270" width="11" style="17" customWidth="1"/>
    <col min="10271" max="10271" width="12" style="17" bestFit="1" customWidth="1"/>
    <col min="10272" max="10272" width="14.85546875" style="17" customWidth="1"/>
    <col min="10273" max="10522" width="11.42578125" style="17"/>
    <col min="10523" max="10523" width="18.7109375" style="17" customWidth="1"/>
    <col min="10524" max="10524" width="13.7109375" style="17" bestFit="1" customWidth="1"/>
    <col min="10525" max="10525" width="17.28515625" style="17" customWidth="1"/>
    <col min="10526" max="10526" width="11" style="17" customWidth="1"/>
    <col min="10527" max="10527" width="12" style="17" bestFit="1" customWidth="1"/>
    <col min="10528" max="10528" width="14.85546875" style="17" customWidth="1"/>
    <col min="10529" max="10778" width="11.42578125" style="17"/>
    <col min="10779" max="10779" width="18.7109375" style="17" customWidth="1"/>
    <col min="10780" max="10780" width="13.7109375" style="17" bestFit="1" customWidth="1"/>
    <col min="10781" max="10781" width="17.28515625" style="17" customWidth="1"/>
    <col min="10782" max="10782" width="11" style="17" customWidth="1"/>
    <col min="10783" max="10783" width="12" style="17" bestFit="1" customWidth="1"/>
    <col min="10784" max="10784" width="14.85546875" style="17" customWidth="1"/>
    <col min="10785" max="11034" width="11.42578125" style="17"/>
    <col min="11035" max="11035" width="18.7109375" style="17" customWidth="1"/>
    <col min="11036" max="11036" width="13.7109375" style="17" bestFit="1" customWidth="1"/>
    <col min="11037" max="11037" width="17.28515625" style="17" customWidth="1"/>
    <col min="11038" max="11038" width="11" style="17" customWidth="1"/>
    <col min="11039" max="11039" width="12" style="17" bestFit="1" customWidth="1"/>
    <col min="11040" max="11040" width="14.85546875" style="17" customWidth="1"/>
    <col min="11041" max="11290" width="11.42578125" style="17"/>
    <col min="11291" max="11291" width="18.7109375" style="17" customWidth="1"/>
    <col min="11292" max="11292" width="13.7109375" style="17" bestFit="1" customWidth="1"/>
    <col min="11293" max="11293" width="17.28515625" style="17" customWidth="1"/>
    <col min="11294" max="11294" width="11" style="17" customWidth="1"/>
    <col min="11295" max="11295" width="12" style="17" bestFit="1" customWidth="1"/>
    <col min="11296" max="11296" width="14.85546875" style="17" customWidth="1"/>
    <col min="11297" max="11546" width="11.42578125" style="17"/>
    <col min="11547" max="11547" width="18.7109375" style="17" customWidth="1"/>
    <col min="11548" max="11548" width="13.7109375" style="17" bestFit="1" customWidth="1"/>
    <col min="11549" max="11549" width="17.28515625" style="17" customWidth="1"/>
    <col min="11550" max="11550" width="11" style="17" customWidth="1"/>
    <col min="11551" max="11551" width="12" style="17" bestFit="1" customWidth="1"/>
    <col min="11552" max="11552" width="14.85546875" style="17" customWidth="1"/>
    <col min="11553" max="11802" width="11.42578125" style="17"/>
    <col min="11803" max="11803" width="18.7109375" style="17" customWidth="1"/>
    <col min="11804" max="11804" width="13.7109375" style="17" bestFit="1" customWidth="1"/>
    <col min="11805" max="11805" width="17.28515625" style="17" customWidth="1"/>
    <col min="11806" max="11806" width="11" style="17" customWidth="1"/>
    <col min="11807" max="11807" width="12" style="17" bestFit="1" customWidth="1"/>
    <col min="11808" max="11808" width="14.85546875" style="17" customWidth="1"/>
    <col min="11809" max="12058" width="11.42578125" style="17"/>
    <col min="12059" max="12059" width="18.7109375" style="17" customWidth="1"/>
    <col min="12060" max="12060" width="13.7109375" style="17" bestFit="1" customWidth="1"/>
    <col min="12061" max="12061" width="17.28515625" style="17" customWidth="1"/>
    <col min="12062" max="12062" width="11" style="17" customWidth="1"/>
    <col min="12063" max="12063" width="12" style="17" bestFit="1" customWidth="1"/>
    <col min="12064" max="12064" width="14.85546875" style="17" customWidth="1"/>
    <col min="12065" max="12314" width="11.42578125" style="17"/>
    <col min="12315" max="12315" width="18.7109375" style="17" customWidth="1"/>
    <col min="12316" max="12316" width="13.7109375" style="17" bestFit="1" customWidth="1"/>
    <col min="12317" max="12317" width="17.28515625" style="17" customWidth="1"/>
    <col min="12318" max="12318" width="11" style="17" customWidth="1"/>
    <col min="12319" max="12319" width="12" style="17" bestFit="1" customWidth="1"/>
    <col min="12320" max="12320" width="14.85546875" style="17" customWidth="1"/>
    <col min="12321" max="12570" width="11.42578125" style="17"/>
    <col min="12571" max="12571" width="18.7109375" style="17" customWidth="1"/>
    <col min="12572" max="12572" width="13.7109375" style="17" bestFit="1" customWidth="1"/>
    <col min="12573" max="12573" width="17.28515625" style="17" customWidth="1"/>
    <col min="12574" max="12574" width="11" style="17" customWidth="1"/>
    <col min="12575" max="12575" width="12" style="17" bestFit="1" customWidth="1"/>
    <col min="12576" max="12576" width="14.85546875" style="17" customWidth="1"/>
    <col min="12577" max="12826" width="11.42578125" style="17"/>
    <col min="12827" max="12827" width="18.7109375" style="17" customWidth="1"/>
    <col min="12828" max="12828" width="13.7109375" style="17" bestFit="1" customWidth="1"/>
    <col min="12829" max="12829" width="17.28515625" style="17" customWidth="1"/>
    <col min="12830" max="12830" width="11" style="17" customWidth="1"/>
    <col min="12831" max="12831" width="12" style="17" bestFit="1" customWidth="1"/>
    <col min="12832" max="12832" width="14.85546875" style="17" customWidth="1"/>
    <col min="12833" max="13082" width="11.42578125" style="17"/>
    <col min="13083" max="13083" width="18.7109375" style="17" customWidth="1"/>
    <col min="13084" max="13084" width="13.7109375" style="17" bestFit="1" customWidth="1"/>
    <col min="13085" max="13085" width="17.28515625" style="17" customWidth="1"/>
    <col min="13086" max="13086" width="11" style="17" customWidth="1"/>
    <col min="13087" max="13087" width="12" style="17" bestFit="1" customWidth="1"/>
    <col min="13088" max="13088" width="14.85546875" style="17" customWidth="1"/>
    <col min="13089" max="13338" width="11.42578125" style="17"/>
    <col min="13339" max="13339" width="18.7109375" style="17" customWidth="1"/>
    <col min="13340" max="13340" width="13.7109375" style="17" bestFit="1" customWidth="1"/>
    <col min="13341" max="13341" width="17.28515625" style="17" customWidth="1"/>
    <col min="13342" max="13342" width="11" style="17" customWidth="1"/>
    <col min="13343" max="13343" width="12" style="17" bestFit="1" customWidth="1"/>
    <col min="13344" max="13344" width="14.85546875" style="17" customWidth="1"/>
    <col min="13345" max="13594" width="11.42578125" style="17"/>
    <col min="13595" max="13595" width="18.7109375" style="17" customWidth="1"/>
    <col min="13596" max="13596" width="13.7109375" style="17" bestFit="1" customWidth="1"/>
    <col min="13597" max="13597" width="17.28515625" style="17" customWidth="1"/>
    <col min="13598" max="13598" width="11" style="17" customWidth="1"/>
    <col min="13599" max="13599" width="12" style="17" bestFit="1" customWidth="1"/>
    <col min="13600" max="13600" width="14.85546875" style="17" customWidth="1"/>
    <col min="13601" max="13850" width="11.42578125" style="17"/>
    <col min="13851" max="13851" width="18.7109375" style="17" customWidth="1"/>
    <col min="13852" max="13852" width="13.7109375" style="17" bestFit="1" customWidth="1"/>
    <col min="13853" max="13853" width="17.28515625" style="17" customWidth="1"/>
    <col min="13854" max="13854" width="11" style="17" customWidth="1"/>
    <col min="13855" max="13855" width="12" style="17" bestFit="1" customWidth="1"/>
    <col min="13856" max="13856" width="14.85546875" style="17" customWidth="1"/>
    <col min="13857" max="14106" width="11.42578125" style="17"/>
    <col min="14107" max="14107" width="18.7109375" style="17" customWidth="1"/>
    <col min="14108" max="14108" width="13.7109375" style="17" bestFit="1" customWidth="1"/>
    <col min="14109" max="14109" width="17.28515625" style="17" customWidth="1"/>
    <col min="14110" max="14110" width="11" style="17" customWidth="1"/>
    <col min="14111" max="14111" width="12" style="17" bestFit="1" customWidth="1"/>
    <col min="14112" max="14112" width="14.85546875" style="17" customWidth="1"/>
    <col min="14113" max="14362" width="11.42578125" style="17"/>
    <col min="14363" max="14363" width="18.7109375" style="17" customWidth="1"/>
    <col min="14364" max="14364" width="13.7109375" style="17" bestFit="1" customWidth="1"/>
    <col min="14365" max="14365" width="17.28515625" style="17" customWidth="1"/>
    <col min="14366" max="14366" width="11" style="17" customWidth="1"/>
    <col min="14367" max="14367" width="12" style="17" bestFit="1" customWidth="1"/>
    <col min="14368" max="14368" width="14.85546875" style="17" customWidth="1"/>
    <col min="14369" max="14618" width="11.42578125" style="17"/>
    <col min="14619" max="14619" width="18.7109375" style="17" customWidth="1"/>
    <col min="14620" max="14620" width="13.7109375" style="17" bestFit="1" customWidth="1"/>
    <col min="14621" max="14621" width="17.28515625" style="17" customWidth="1"/>
    <col min="14622" max="14622" width="11" style="17" customWidth="1"/>
    <col min="14623" max="14623" width="12" style="17" bestFit="1" customWidth="1"/>
    <col min="14624" max="14624" width="14.85546875" style="17" customWidth="1"/>
    <col min="14625" max="14874" width="11.42578125" style="17"/>
    <col min="14875" max="14875" width="18.7109375" style="17" customWidth="1"/>
    <col min="14876" max="14876" width="13.7109375" style="17" bestFit="1" customWidth="1"/>
    <col min="14877" max="14877" width="17.28515625" style="17" customWidth="1"/>
    <col min="14878" max="14878" width="11" style="17" customWidth="1"/>
    <col min="14879" max="14879" width="12" style="17" bestFit="1" customWidth="1"/>
    <col min="14880" max="14880" width="14.85546875" style="17" customWidth="1"/>
    <col min="14881" max="15130" width="11.42578125" style="17"/>
    <col min="15131" max="15131" width="18.7109375" style="17" customWidth="1"/>
    <col min="15132" max="15132" width="13.7109375" style="17" bestFit="1" customWidth="1"/>
    <col min="15133" max="15133" width="17.28515625" style="17" customWidth="1"/>
    <col min="15134" max="15134" width="11" style="17" customWidth="1"/>
    <col min="15135" max="15135" width="12" style="17" bestFit="1" customWidth="1"/>
    <col min="15136" max="15136" width="14.85546875" style="17" customWidth="1"/>
    <col min="15137" max="15386" width="11.42578125" style="17"/>
    <col min="15387" max="15387" width="18.7109375" style="17" customWidth="1"/>
    <col min="15388" max="15388" width="13.7109375" style="17" bestFit="1" customWidth="1"/>
    <col min="15389" max="15389" width="17.28515625" style="17" customWidth="1"/>
    <col min="15390" max="15390" width="11" style="17" customWidth="1"/>
    <col min="15391" max="15391" width="12" style="17" bestFit="1" customWidth="1"/>
    <col min="15392" max="15392" width="14.85546875" style="17" customWidth="1"/>
    <col min="15393" max="15642" width="11.42578125" style="17"/>
    <col min="15643" max="15643" width="18.7109375" style="17" customWidth="1"/>
    <col min="15644" max="15644" width="13.7109375" style="17" bestFit="1" customWidth="1"/>
    <col min="15645" max="15645" width="17.28515625" style="17" customWidth="1"/>
    <col min="15646" max="15646" width="11" style="17" customWidth="1"/>
    <col min="15647" max="15647" width="12" style="17" bestFit="1" customWidth="1"/>
    <col min="15648" max="15648" width="14.85546875" style="17" customWidth="1"/>
    <col min="15649" max="15898" width="11.42578125" style="17"/>
    <col min="15899" max="15899" width="18.7109375" style="17" customWidth="1"/>
    <col min="15900" max="15900" width="13.7109375" style="17" bestFit="1" customWidth="1"/>
    <col min="15901" max="15901" width="17.28515625" style="17" customWidth="1"/>
    <col min="15902" max="15902" width="11" style="17" customWidth="1"/>
    <col min="15903" max="15903" width="12" style="17" bestFit="1" customWidth="1"/>
    <col min="15904" max="15904" width="14.85546875" style="17" customWidth="1"/>
    <col min="15905" max="16154" width="11.42578125" style="17"/>
    <col min="16155" max="16155" width="18.7109375" style="17" customWidth="1"/>
    <col min="16156" max="16156" width="13.7109375" style="17" bestFit="1" customWidth="1"/>
    <col min="16157" max="16157" width="17.28515625" style="17" customWidth="1"/>
    <col min="16158" max="16158" width="11" style="17" customWidth="1"/>
    <col min="16159" max="16159" width="12" style="17" bestFit="1" customWidth="1"/>
    <col min="16160" max="16160" width="14.85546875" style="17" customWidth="1"/>
    <col min="16161" max="16384" width="11.42578125" style="17"/>
  </cols>
  <sheetData>
    <row r="2" spans="1:37" x14ac:dyDescent="0.2">
      <c r="A2" s="17" t="s">
        <v>70</v>
      </c>
      <c r="B2" s="66">
        <f>'pooled normalised values'!B75</f>
        <v>0.15229055770800312</v>
      </c>
      <c r="D2" s="17" t="s">
        <v>9</v>
      </c>
      <c r="E2" s="18"/>
      <c r="F2" s="19" t="str">
        <f>'pooled normalised values'!J74</f>
        <v>estradiol 68ng/L</v>
      </c>
      <c r="G2" s="19" t="str">
        <f>'pooled normalised values'!K74</f>
        <v>estradiol 135ng/L</v>
      </c>
      <c r="H2" s="19" t="str">
        <f>'pooled normalised values'!L74</f>
        <v>estradiol 270ng/L</v>
      </c>
      <c r="I2" s="19" t="str">
        <f>'pooled normalised values'!M74</f>
        <v>estradiol 540ng/L</v>
      </c>
      <c r="J2" s="19" t="e">
        <f>'pooled normalised values'!#REF!</f>
        <v>#REF!</v>
      </c>
      <c r="K2" s="19" t="e">
        <f>'pooled normalised values'!#REF!</f>
        <v>#REF!</v>
      </c>
      <c r="L2" s="19" t="e">
        <f>'pooled normalised values'!#REF!</f>
        <v>#REF!</v>
      </c>
      <c r="M2" s="19" t="e">
        <f>'pooled normalised values'!#REF!</f>
        <v>#REF!</v>
      </c>
      <c r="N2" s="19" t="e">
        <f>'pooled normalised values'!#REF!</f>
        <v>#REF!</v>
      </c>
      <c r="O2" s="19" t="e">
        <f>'pooled normalised values'!#REF!</f>
        <v>#REF!</v>
      </c>
      <c r="P2" s="19" t="e">
        <f>'pooled normalised values'!#REF!</f>
        <v>#REF!</v>
      </c>
      <c r="Q2" s="19" t="e">
        <f>'pooled normalised values'!#REF!</f>
        <v>#REF!</v>
      </c>
      <c r="R2" s="19" t="e">
        <f>'pooled normalised values'!#REF!</f>
        <v>#REF!</v>
      </c>
      <c r="S2" s="19" t="e">
        <f>'pooled normalised values'!#REF!</f>
        <v>#REF!</v>
      </c>
      <c r="T2" s="18"/>
      <c r="U2" s="20"/>
      <c r="V2" s="19" t="str">
        <f>'pooled normalised values'!R74</f>
        <v>estradiol-34ng/L + Testostérone</v>
      </c>
      <c r="W2" s="19" t="str">
        <f>'pooled normalised values'!S74</f>
        <v>estradiol-68ng/L + Testostérone</v>
      </c>
      <c r="X2" s="19" t="str">
        <f>'pooled normalised values'!T74</f>
        <v>estradiol-135ng/L + Testostérone</v>
      </c>
      <c r="Y2" s="19" t="str">
        <f>'pooled normalised values'!U74</f>
        <v>estradiol-270ng/L + Testostérone</v>
      </c>
      <c r="Z2" s="19" t="str">
        <f>'pooled normalised values'!V74</f>
        <v>estradiol-540ng/L + Testostérone</v>
      </c>
      <c r="AA2" s="19" t="str">
        <f>'pooled normalised values'!W74</f>
        <v>0-00 + Testostérone</v>
      </c>
      <c r="AB2" s="19" t="str">
        <f>'pooled normalised values'!X74</f>
        <v>0-00 + Testostérone</v>
      </c>
      <c r="AC2" s="19" t="str">
        <f>'pooled normalised values'!Y74</f>
        <v>0-00 + Testostérone</v>
      </c>
      <c r="AD2" s="19" t="str">
        <f>'pooled normalised values'!Z74</f>
        <v>0-00 + Testostérone</v>
      </c>
      <c r="AE2" s="19" t="str">
        <f>'pooled normalised values'!AA74</f>
        <v>0-00 + Testostérone</v>
      </c>
      <c r="AF2" s="19" t="str">
        <f>'pooled normalised values'!AB74</f>
        <v>0-00 + Testostérone</v>
      </c>
      <c r="AG2" s="19" t="str">
        <f>'pooled normalised values'!AC74</f>
        <v>0-00 + Testostérone</v>
      </c>
      <c r="AH2" s="19" t="str">
        <f>'pooled normalised values'!AD74</f>
        <v>0-00 + Testostérone</v>
      </c>
      <c r="AI2" s="19" t="str">
        <f>'pooled normalised values'!AK74</f>
        <v>0-00 + Testostérone</v>
      </c>
      <c r="AJ2" s="20"/>
      <c r="AK2" s="17" t="s">
        <v>9</v>
      </c>
    </row>
    <row r="3" spans="1:37" x14ac:dyDescent="0.2">
      <c r="A3" s="17" t="s">
        <v>71</v>
      </c>
      <c r="B3" s="66">
        <f>'summary results'!E6</f>
        <v>0</v>
      </c>
      <c r="D3" s="21" t="s">
        <v>10</v>
      </c>
      <c r="E3" s="22"/>
      <c r="F3" s="19">
        <f>HLOOKUP(F2,'pooled normalised values'!B74:AK83,2,FALSE)</f>
        <v>0.18326514742027913</v>
      </c>
      <c r="G3" s="19">
        <f>HLOOKUP(G2,'pooled normalised values'!C74:AL83,2,FALSE)</f>
        <v>0.97151022965231215</v>
      </c>
      <c r="H3" s="19">
        <f>HLOOKUP(H2,'pooled normalised values'!C74:AM83,2,FALSE)</f>
        <v>1.9626738933325127</v>
      </c>
      <c r="I3" s="19">
        <f>HLOOKUP(I2,'pooled normalised values'!D74:AN83,2,FALSE)</f>
        <v>3.474881929650135</v>
      </c>
      <c r="J3" s="19" t="e">
        <f>HLOOKUP(J2,'pooled normalised values'!E74:AO83,2,FALSE)</f>
        <v>#REF!</v>
      </c>
      <c r="K3" s="19" t="e">
        <f>HLOOKUP(K2,'pooled normalised values'!F74:AP83,2,FALSE)</f>
        <v>#REF!</v>
      </c>
      <c r="L3" s="19" t="e">
        <f>HLOOKUP(L2,'pooled normalised values'!G74:AQ83,2,FALSE)</f>
        <v>#REF!</v>
      </c>
      <c r="M3" s="19" t="e">
        <f>HLOOKUP(M2,'pooled normalised values'!H74:AR83,2,FALSE)</f>
        <v>#REF!</v>
      </c>
      <c r="N3" s="19" t="e">
        <f>HLOOKUP(N2,'pooled normalised values'!I74:AS83,2,FALSE)</f>
        <v>#REF!</v>
      </c>
      <c r="O3" s="19" t="e">
        <f>HLOOKUP(O2,'pooled normalised values'!J74:AT83,2,FALSE)</f>
        <v>#REF!</v>
      </c>
      <c r="P3" s="19" t="e">
        <f>HLOOKUP(P2,'pooled normalised values'!K74:AU83,2,FALSE)</f>
        <v>#REF!</v>
      </c>
      <c r="Q3" s="19" t="e">
        <f>HLOOKUP(Q2,'pooled normalised values'!L74:AV83,2,FALSE)</f>
        <v>#REF!</v>
      </c>
      <c r="R3" s="19" t="e">
        <f>HLOOKUP(R2,'pooled normalised values'!M74:AW83,2,FALSE)</f>
        <v>#REF!</v>
      </c>
      <c r="S3" s="19" t="e">
        <f>HLOOKUP(S2,'pooled normalised values'!N74:AX83,2,FALSE)</f>
        <v>#REF!</v>
      </c>
      <c r="T3" s="22"/>
      <c r="U3" s="20"/>
      <c r="V3" s="19">
        <f>HLOOKUP(V2,'pooled normalised values'!N74:BA83,2,FALSE)</f>
        <v>1.5395657185150233</v>
      </c>
      <c r="W3" s="19">
        <f>HLOOKUP(W2,'pooled normalised values'!N74:BB83,2,FALSE)</f>
        <v>2.2262229921971128</v>
      </c>
      <c r="X3" s="19">
        <f>HLOOKUP(X2,'pooled normalised values'!N74:BC83,2,FALSE)</f>
        <v>2.3844715033432506</v>
      </c>
      <c r="Y3" s="19">
        <f>HLOOKUP(Y2,'pooled normalised values'!N74:BD83,2,FALSE)</f>
        <v>3.1441043236039792</v>
      </c>
      <c r="Z3" s="19">
        <f>HLOOKUP(Z2,'pooled normalised values'!N74:BE83,2,FALSE)</f>
        <v>3.3930749651279641</v>
      </c>
      <c r="AA3" s="19" t="e">
        <f>HLOOKUP(AA2,'pooled normalised values'!N74:BF83,2,FALSE)</f>
        <v>#DIV/0!</v>
      </c>
      <c r="AB3" s="19" t="e">
        <f>HLOOKUP(AB2,'pooled normalised values'!N74:BG83,2,FALSE)</f>
        <v>#DIV/0!</v>
      </c>
      <c r="AC3" s="19" t="e">
        <f>HLOOKUP(AC2,'pooled normalised values'!N74:BH83,2,FALSE)</f>
        <v>#DIV/0!</v>
      </c>
      <c r="AD3" s="19" t="e">
        <f>HLOOKUP(AD2,'pooled normalised values'!N74:BI83,2,FALSE)</f>
        <v>#DIV/0!</v>
      </c>
      <c r="AE3" s="19" t="e">
        <f>HLOOKUP(AE2,'pooled normalised values'!N74:BJ83,2,FALSE)</f>
        <v>#DIV/0!</v>
      </c>
      <c r="AF3" s="19" t="e">
        <f>HLOOKUP(AF2,'pooled normalised values'!N74:BK83,2,FALSE)</f>
        <v>#DIV/0!</v>
      </c>
      <c r="AG3" s="19" t="e">
        <f>HLOOKUP(AG2,'pooled normalised values'!N74:BL83,2,FALSE)</f>
        <v>#DIV/0!</v>
      </c>
      <c r="AH3" s="19" t="e">
        <f>HLOOKUP(AH2,'pooled normalised values'!N74:BM83,2,FALSE)</f>
        <v>#DIV/0!</v>
      </c>
      <c r="AI3" s="19" t="e">
        <f>HLOOKUP(AI2,'pooled normalised values'!N74:BN83,2,FALSE)</f>
        <v>#DIV/0!</v>
      </c>
      <c r="AJ3" s="20"/>
      <c r="AK3" s="21" t="s">
        <v>10</v>
      </c>
    </row>
    <row r="4" spans="1:37" x14ac:dyDescent="0.2">
      <c r="A4" s="17" t="s">
        <v>72</v>
      </c>
      <c r="B4" s="66">
        <f>'pooled normalised values'!O75</f>
        <v>1.0000000000000002</v>
      </c>
      <c r="D4" s="21" t="s">
        <v>2</v>
      </c>
      <c r="E4" s="22"/>
      <c r="F4" s="19">
        <f>HLOOKUP(F2,'pooled normalised values'!B74:AK83,3,FALSE)</f>
        <v>2.1724082432133082E-2</v>
      </c>
      <c r="G4" s="19">
        <f>HLOOKUP(G2,'pooled normalised values'!C74:AL83,3,FALSE)</f>
        <v>0.20772725313315596</v>
      </c>
      <c r="H4" s="19">
        <f>HLOOKUP(H2,'pooled normalised values'!C74:AM83,3,FALSE)</f>
        <v>0.20372404604745686</v>
      </c>
      <c r="I4" s="19">
        <f>HLOOKUP(I2,'pooled normalised values'!D74:AN83,3,FALSE)</f>
        <v>0.33741887067159243</v>
      </c>
      <c r="J4" s="19" t="e">
        <f>HLOOKUP(J2,'pooled normalised values'!E74:AO83,3,FALSE)</f>
        <v>#REF!</v>
      </c>
      <c r="K4" s="19" t="e">
        <f>HLOOKUP(K2,'pooled normalised values'!F74:AP83,3,FALSE)</f>
        <v>#REF!</v>
      </c>
      <c r="L4" s="19" t="e">
        <f>HLOOKUP(L2,'pooled normalised values'!G74:AQ83,3,FALSE)</f>
        <v>#REF!</v>
      </c>
      <c r="M4" s="19" t="e">
        <f>HLOOKUP(M2,'pooled normalised values'!H74:AR83,3,FALSE)</f>
        <v>#REF!</v>
      </c>
      <c r="N4" s="19" t="e">
        <f>HLOOKUP(N2,'pooled normalised values'!I74:AS83,3,FALSE)</f>
        <v>#REF!</v>
      </c>
      <c r="O4" s="19" t="e">
        <f>HLOOKUP(O2,'pooled normalised values'!J74:AT83,3,FALSE)</f>
        <v>#REF!</v>
      </c>
      <c r="P4" s="19" t="e">
        <f>HLOOKUP(P2,'pooled normalised values'!K74:AU83,3,FALSE)</f>
        <v>#REF!</v>
      </c>
      <c r="Q4" s="19" t="e">
        <f>HLOOKUP(Q2,'pooled normalised values'!L74:AV83,3,FALSE)</f>
        <v>#REF!</v>
      </c>
      <c r="R4" s="19" t="e">
        <f>HLOOKUP(R2,'pooled normalised values'!M74:AW83,3,FALSE)</f>
        <v>#REF!</v>
      </c>
      <c r="S4" s="19" t="e">
        <f>HLOOKUP(S2,'pooled normalised values'!N74:AX83,3,FALSE)</f>
        <v>#REF!</v>
      </c>
      <c r="T4" s="22"/>
      <c r="U4" s="20"/>
      <c r="V4" s="19">
        <f>HLOOKUP(V2,'pooled normalised values'!N74:BA83,3,FALSE)</f>
        <v>0.2409828392874637</v>
      </c>
      <c r="W4" s="19">
        <f>HLOOKUP(W2,'pooled normalised values'!N74:BB83,3,FALSE)</f>
        <v>0.21937400442765395</v>
      </c>
      <c r="X4" s="19">
        <f>HLOOKUP(X2,'pooled normalised values'!N74:BC83,3,FALSE)</f>
        <v>0.23480180391959549</v>
      </c>
      <c r="Y4" s="19">
        <f>HLOOKUP(Y2,'pooled normalised values'!N74:BD83,3,FALSE)</f>
        <v>0.32704580075882916</v>
      </c>
      <c r="Z4" s="19">
        <f>HLOOKUP(Z2,'pooled normalised values'!N74:BE83,3,FALSE)</f>
        <v>0.38618765085523349</v>
      </c>
      <c r="AA4" s="19" t="e">
        <f>HLOOKUP(AA2,'pooled normalised values'!N74:BF83,3,FALSE)</f>
        <v>#DIV/0!</v>
      </c>
      <c r="AB4" s="19" t="e">
        <f>HLOOKUP(AB2,'pooled normalised values'!N74:BG83,3,FALSE)</f>
        <v>#DIV/0!</v>
      </c>
      <c r="AC4" s="19" t="e">
        <f>HLOOKUP(AC2,'pooled normalised values'!N74:BH83,3,FALSE)</f>
        <v>#DIV/0!</v>
      </c>
      <c r="AD4" s="19" t="e">
        <f>HLOOKUP(AD2,'pooled normalised values'!N74:BI83,3,FALSE)</f>
        <v>#DIV/0!</v>
      </c>
      <c r="AE4" s="19" t="e">
        <f>HLOOKUP(AE2,'pooled normalised values'!N74:BJ83,3,FALSE)</f>
        <v>#DIV/0!</v>
      </c>
      <c r="AF4" s="19" t="e">
        <f>HLOOKUP(AF2,'pooled normalised values'!N74:BK83,3,FALSE)</f>
        <v>#DIV/0!</v>
      </c>
      <c r="AG4" s="19" t="e">
        <f>HLOOKUP(AG2,'pooled normalised values'!N74:BL83,3,FALSE)</f>
        <v>#DIV/0!</v>
      </c>
      <c r="AH4" s="19" t="e">
        <f>HLOOKUP(AH2,'pooled normalised values'!N74:BM83,3,FALSE)</f>
        <v>#DIV/0!</v>
      </c>
      <c r="AI4" s="19" t="e">
        <f>HLOOKUP(AI2,'pooled normalised values'!N74:BN83,3,FALSE)</f>
        <v>#DIV/0!</v>
      </c>
      <c r="AJ4" s="20"/>
      <c r="AK4" s="21" t="s">
        <v>2</v>
      </c>
    </row>
    <row r="5" spans="1:37" x14ac:dyDescent="0.2">
      <c r="A5" s="17" t="s">
        <v>73</v>
      </c>
      <c r="B5" s="66">
        <f>'pooled normalised values'!P75</f>
        <v>3.1284648375910251</v>
      </c>
      <c r="D5" s="23" t="s">
        <v>11</v>
      </c>
      <c r="E5" s="22"/>
      <c r="F5" s="19" t="str">
        <f>HLOOKUP(F2,'pooled normalised values'!B74:AK83,10,FALSE)</f>
        <v>NS</v>
      </c>
      <c r="G5" s="19" t="str">
        <f>HLOOKUP(G2,'pooled normalised values'!C74:AL83,10,FALSE)</f>
        <v>**</v>
      </c>
      <c r="H5" s="19" t="str">
        <f>HLOOKUP(H2,'pooled normalised values'!C74:AM83,10,FALSE)</f>
        <v>***</v>
      </c>
      <c r="I5" s="19" t="str">
        <f>HLOOKUP(I2,'pooled normalised values'!D74:AN83,10,FALSE)</f>
        <v>***</v>
      </c>
      <c r="J5" s="19" t="e">
        <f>HLOOKUP(J2,'pooled normalised values'!E74:AO83,10,FALSE)</f>
        <v>#REF!</v>
      </c>
      <c r="K5" s="19" t="e">
        <f>HLOOKUP(K2,'pooled normalised values'!F74:AP83,10,FALSE)</f>
        <v>#REF!</v>
      </c>
      <c r="L5" s="19" t="e">
        <f>HLOOKUP(L2,'pooled normalised values'!G74:AQ83,10,FALSE)</f>
        <v>#REF!</v>
      </c>
      <c r="M5" s="19" t="e">
        <f>HLOOKUP(M2,'pooled normalised values'!H74:AR83,10,FALSE)</f>
        <v>#REF!</v>
      </c>
      <c r="N5" s="19" t="e">
        <f>HLOOKUP(N2,'pooled normalised values'!I74:AS83,10,FALSE)</f>
        <v>#REF!</v>
      </c>
      <c r="O5" s="19" t="e">
        <f>HLOOKUP(O2,'pooled normalised values'!J74:AT83,10,FALSE)</f>
        <v>#REF!</v>
      </c>
      <c r="P5" s="19" t="e">
        <f>HLOOKUP(P2,'pooled normalised values'!K74:AU83,10,FALSE)</f>
        <v>#REF!</v>
      </c>
      <c r="Q5" s="19" t="e">
        <f>HLOOKUP(Q2,'pooled normalised values'!L74:AV83,10,FALSE)</f>
        <v>#REF!</v>
      </c>
      <c r="R5" s="19" t="e">
        <f>HLOOKUP(R2,'pooled normalised values'!M74:AW83,10,FALSE)</f>
        <v>#REF!</v>
      </c>
      <c r="S5" s="19" t="e">
        <f>HLOOKUP(S2,'pooled normalised values'!N74:AX83,10,FALSE)</f>
        <v>#REF!</v>
      </c>
      <c r="T5" s="22"/>
      <c r="U5" s="20"/>
      <c r="V5" s="19" t="str">
        <f>HLOOKUP(V2,'pooled normalised values'!N74:BA83,10,FALSE)</f>
        <v>NS</v>
      </c>
      <c r="W5" s="19" t="str">
        <f>HLOOKUP(W2,'pooled normalised values'!N74:BB83,10,FALSE)</f>
        <v>***</v>
      </c>
      <c r="X5" s="19" t="str">
        <f>HLOOKUP(X2,'pooled normalised values'!N74:BC83,10,FALSE)</f>
        <v>***</v>
      </c>
      <c r="Y5" s="19" t="str">
        <f>HLOOKUP(Y2,'pooled normalised values'!N74:BD83,10,FALSE)</f>
        <v>***</v>
      </c>
      <c r="Z5" s="19" t="str">
        <f>HLOOKUP(Z2,'pooled normalised values'!N74:BE83,10,FALSE)</f>
        <v>***</v>
      </c>
      <c r="AA5" s="19" t="e">
        <f ca="1">HLOOKUP(AA2,'pooled normalised values'!N74:BF83,10,FALSE)</f>
        <v>#NAME?</v>
      </c>
      <c r="AB5" s="19" t="e">
        <f ca="1">HLOOKUP(AB2,'pooled normalised values'!N74:BG83,10,FALSE)</f>
        <v>#NAME?</v>
      </c>
      <c r="AC5" s="19" t="e">
        <f ca="1">HLOOKUP(AC2,'pooled normalised values'!N74:BH83,10,FALSE)</f>
        <v>#NAME?</v>
      </c>
      <c r="AD5" s="19" t="e">
        <f ca="1">HLOOKUP(AD2,'pooled normalised values'!N74:BI83,10,FALSE)</f>
        <v>#NAME?</v>
      </c>
      <c r="AE5" s="19" t="e">
        <f ca="1">HLOOKUP(AE2,'pooled normalised values'!N74:BJ83,10,FALSE)</f>
        <v>#NAME?</v>
      </c>
      <c r="AF5" s="19" t="e">
        <f ca="1">HLOOKUP(AF2,'pooled normalised values'!N74:BK83,10,FALSE)</f>
        <v>#NAME?</v>
      </c>
      <c r="AG5" s="19" t="e">
        <f ca="1">HLOOKUP(AG2,'pooled normalised values'!N74:BL83,10,FALSE)</f>
        <v>#NAME?</v>
      </c>
      <c r="AH5" s="19" t="e">
        <f ca="1">HLOOKUP(AH2,'pooled normalised values'!N74:BM83,10,FALSE)</f>
        <v>#NAME?</v>
      </c>
      <c r="AI5" s="19" t="e">
        <f ca="1">HLOOKUP(AI2,'pooled normalised values'!N74:BN83,10,FALSE)</f>
        <v>#NAME?</v>
      </c>
      <c r="AJ5" s="20"/>
      <c r="AK5" s="23" t="s">
        <v>11</v>
      </c>
    </row>
    <row r="6" spans="1:37" x14ac:dyDescent="0.2">
      <c r="A6" s="17" t="s">
        <v>74</v>
      </c>
      <c r="B6" s="66">
        <f>'pooled normalised values'!Q75</f>
        <v>0.11656955822676086</v>
      </c>
      <c r="D6" s="21" t="s">
        <v>12</v>
      </c>
      <c r="E6" s="24">
        <f>$B$2</f>
        <v>0.15229055770800312</v>
      </c>
      <c r="F6" s="24">
        <f>$B$2</f>
        <v>0.15229055770800312</v>
      </c>
      <c r="G6" s="24">
        <f t="shared" ref="G6:R6" si="0">$B$2</f>
        <v>0.15229055770800312</v>
      </c>
      <c r="H6" s="24">
        <f t="shared" si="0"/>
        <v>0.15229055770800312</v>
      </c>
      <c r="I6" s="24">
        <f t="shared" si="0"/>
        <v>0.15229055770800312</v>
      </c>
      <c r="J6" s="24">
        <f t="shared" si="0"/>
        <v>0.15229055770800312</v>
      </c>
      <c r="K6" s="24">
        <f t="shared" si="0"/>
        <v>0.15229055770800312</v>
      </c>
      <c r="L6" s="24">
        <f t="shared" si="0"/>
        <v>0.15229055770800312</v>
      </c>
      <c r="M6" s="24">
        <f t="shared" si="0"/>
        <v>0.15229055770800312</v>
      </c>
      <c r="N6" s="24">
        <f t="shared" si="0"/>
        <v>0.15229055770800312</v>
      </c>
      <c r="O6" s="24">
        <f t="shared" si="0"/>
        <v>0.15229055770800312</v>
      </c>
      <c r="P6" s="24">
        <f t="shared" si="0"/>
        <v>0.15229055770800312</v>
      </c>
      <c r="Q6" s="24">
        <f t="shared" si="0"/>
        <v>0.15229055770800312</v>
      </c>
      <c r="R6" s="24">
        <f t="shared" si="0"/>
        <v>0.15229055770800312</v>
      </c>
      <c r="S6" s="24">
        <f>$B$2</f>
        <v>0.15229055770800312</v>
      </c>
      <c r="T6" s="24">
        <f>$B$2</f>
        <v>0.15229055770800312</v>
      </c>
      <c r="U6" s="25"/>
      <c r="V6" s="25"/>
      <c r="W6" s="25"/>
      <c r="X6" s="25"/>
      <c r="Y6" s="25"/>
      <c r="Z6" s="25"/>
      <c r="AA6" s="25"/>
      <c r="AB6" s="25"/>
      <c r="AC6" s="25"/>
      <c r="AD6" s="25"/>
      <c r="AE6" s="25"/>
      <c r="AF6" s="25"/>
      <c r="AG6" s="25"/>
      <c r="AH6" s="25"/>
      <c r="AI6" s="25"/>
      <c r="AJ6" s="25"/>
      <c r="AK6" s="21" t="s">
        <v>12</v>
      </c>
    </row>
    <row r="7" spans="1:37" x14ac:dyDescent="0.2">
      <c r="B7" s="26"/>
      <c r="D7" s="26" t="s">
        <v>13</v>
      </c>
      <c r="E7" s="24"/>
      <c r="F7" s="24"/>
      <c r="G7" s="24"/>
      <c r="H7" s="24"/>
      <c r="I7" s="24"/>
      <c r="J7" s="24"/>
      <c r="K7" s="24"/>
      <c r="L7" s="24"/>
      <c r="M7" s="24"/>
      <c r="N7" s="24"/>
      <c r="O7" s="24"/>
      <c r="P7" s="24"/>
      <c r="Q7" s="24"/>
      <c r="R7" s="24"/>
      <c r="S7" s="24"/>
      <c r="T7" s="27"/>
      <c r="U7" s="25">
        <f t="shared" ref="U7:AJ7" si="1">$B$4</f>
        <v>1.0000000000000002</v>
      </c>
      <c r="V7" s="25">
        <f t="shared" si="1"/>
        <v>1.0000000000000002</v>
      </c>
      <c r="W7" s="25">
        <f t="shared" si="1"/>
        <v>1.0000000000000002</v>
      </c>
      <c r="X7" s="25">
        <f t="shared" si="1"/>
        <v>1.0000000000000002</v>
      </c>
      <c r="Y7" s="25">
        <f t="shared" si="1"/>
        <v>1.0000000000000002</v>
      </c>
      <c r="Z7" s="25">
        <f t="shared" si="1"/>
        <v>1.0000000000000002</v>
      </c>
      <c r="AA7" s="25">
        <f t="shared" si="1"/>
        <v>1.0000000000000002</v>
      </c>
      <c r="AB7" s="25">
        <f t="shared" si="1"/>
        <v>1.0000000000000002</v>
      </c>
      <c r="AC7" s="25">
        <f t="shared" si="1"/>
        <v>1.0000000000000002</v>
      </c>
      <c r="AD7" s="25">
        <f t="shared" si="1"/>
        <v>1.0000000000000002</v>
      </c>
      <c r="AE7" s="25">
        <f t="shared" si="1"/>
        <v>1.0000000000000002</v>
      </c>
      <c r="AF7" s="25">
        <f t="shared" si="1"/>
        <v>1.0000000000000002</v>
      </c>
      <c r="AG7" s="25">
        <f t="shared" si="1"/>
        <v>1.0000000000000002</v>
      </c>
      <c r="AH7" s="25">
        <f t="shared" si="1"/>
        <v>1.0000000000000002</v>
      </c>
      <c r="AI7" s="25">
        <f t="shared" si="1"/>
        <v>1.0000000000000002</v>
      </c>
      <c r="AJ7" s="25">
        <f t="shared" si="1"/>
        <v>1.0000000000000002</v>
      </c>
      <c r="AK7" s="26" t="s">
        <v>13</v>
      </c>
    </row>
    <row r="8" spans="1:37" x14ac:dyDescent="0.2">
      <c r="D8" s="28" t="s">
        <v>14</v>
      </c>
      <c r="E8" s="24">
        <v>0</v>
      </c>
      <c r="F8" s="24">
        <v>0</v>
      </c>
      <c r="G8" s="24">
        <v>0</v>
      </c>
      <c r="H8" s="24">
        <v>0</v>
      </c>
      <c r="I8" s="24">
        <v>0</v>
      </c>
      <c r="J8" s="24">
        <v>0</v>
      </c>
      <c r="K8" s="24">
        <v>0</v>
      </c>
      <c r="L8" s="24">
        <v>0</v>
      </c>
      <c r="M8" s="24">
        <v>0</v>
      </c>
      <c r="N8" s="24">
        <v>0</v>
      </c>
      <c r="O8" s="24">
        <v>0</v>
      </c>
      <c r="P8" s="24">
        <v>0</v>
      </c>
      <c r="Q8" s="24">
        <v>0</v>
      </c>
      <c r="R8" s="24">
        <v>0</v>
      </c>
      <c r="S8" s="24">
        <v>0</v>
      </c>
      <c r="T8" s="27">
        <v>0</v>
      </c>
      <c r="U8" s="25">
        <f>$B$6</f>
        <v>0.11656955822676086</v>
      </c>
      <c r="V8" s="25">
        <f t="shared" ref="V8:AJ8" si="2">$B$6</f>
        <v>0.11656955822676086</v>
      </c>
      <c r="W8" s="25">
        <f t="shared" si="2"/>
        <v>0.11656955822676086</v>
      </c>
      <c r="X8" s="25">
        <f t="shared" si="2"/>
        <v>0.11656955822676086</v>
      </c>
      <c r="Y8" s="25">
        <f t="shared" si="2"/>
        <v>0.11656955822676086</v>
      </c>
      <c r="Z8" s="25">
        <f t="shared" si="2"/>
        <v>0.11656955822676086</v>
      </c>
      <c r="AA8" s="25">
        <f t="shared" si="2"/>
        <v>0.11656955822676086</v>
      </c>
      <c r="AB8" s="25">
        <f t="shared" si="2"/>
        <v>0.11656955822676086</v>
      </c>
      <c r="AC8" s="25">
        <f t="shared" si="2"/>
        <v>0.11656955822676086</v>
      </c>
      <c r="AD8" s="25">
        <f t="shared" si="2"/>
        <v>0.11656955822676086</v>
      </c>
      <c r="AE8" s="25">
        <f t="shared" si="2"/>
        <v>0.11656955822676086</v>
      </c>
      <c r="AF8" s="25">
        <f t="shared" si="2"/>
        <v>0.11656955822676086</v>
      </c>
      <c r="AG8" s="25">
        <f t="shared" si="2"/>
        <v>0.11656955822676086</v>
      </c>
      <c r="AH8" s="25">
        <f t="shared" si="2"/>
        <v>0.11656955822676086</v>
      </c>
      <c r="AI8" s="25">
        <f t="shared" si="2"/>
        <v>0.11656955822676086</v>
      </c>
      <c r="AJ8" s="25">
        <f t="shared" si="2"/>
        <v>0.11656955822676086</v>
      </c>
      <c r="AK8" s="28" t="s">
        <v>14</v>
      </c>
    </row>
    <row r="9" spans="1:37" x14ac:dyDescent="0.2">
      <c r="D9" s="28" t="s">
        <v>15</v>
      </c>
      <c r="E9" s="29">
        <f>$B$3-E8</f>
        <v>0</v>
      </c>
      <c r="F9" s="29">
        <f>$B$3-F8</f>
        <v>0</v>
      </c>
      <c r="G9" s="29">
        <f t="shared" ref="G9:R9" si="3">$B$3-G8</f>
        <v>0</v>
      </c>
      <c r="H9" s="29">
        <f t="shared" si="3"/>
        <v>0</v>
      </c>
      <c r="I9" s="29">
        <f t="shared" si="3"/>
        <v>0</v>
      </c>
      <c r="J9" s="29">
        <f t="shared" si="3"/>
        <v>0</v>
      </c>
      <c r="K9" s="29">
        <f t="shared" si="3"/>
        <v>0</v>
      </c>
      <c r="L9" s="29">
        <f t="shared" si="3"/>
        <v>0</v>
      </c>
      <c r="M9" s="29">
        <f t="shared" si="3"/>
        <v>0</v>
      </c>
      <c r="N9" s="29">
        <f t="shared" si="3"/>
        <v>0</v>
      </c>
      <c r="O9" s="29">
        <f t="shared" si="3"/>
        <v>0</v>
      </c>
      <c r="P9" s="29">
        <f t="shared" si="3"/>
        <v>0</v>
      </c>
      <c r="Q9" s="29">
        <f t="shared" si="3"/>
        <v>0</v>
      </c>
      <c r="R9" s="29">
        <f t="shared" si="3"/>
        <v>0</v>
      </c>
      <c r="S9" s="29">
        <f>$B$3-S8</f>
        <v>0</v>
      </c>
      <c r="T9" s="29">
        <f>$B$3-T8</f>
        <v>0</v>
      </c>
      <c r="U9" s="25">
        <f>$B$5-U8</f>
        <v>3.0118952793642642</v>
      </c>
      <c r="V9" s="25">
        <f>$B$5-V8</f>
        <v>3.0118952793642642</v>
      </c>
      <c r="W9" s="25">
        <f t="shared" ref="W9:AH9" si="4">$B$5-W8</f>
        <v>3.0118952793642642</v>
      </c>
      <c r="X9" s="25">
        <f t="shared" si="4"/>
        <v>3.0118952793642642</v>
      </c>
      <c r="Y9" s="25">
        <f t="shared" si="4"/>
        <v>3.0118952793642642</v>
      </c>
      <c r="Z9" s="25">
        <f t="shared" si="4"/>
        <v>3.0118952793642642</v>
      </c>
      <c r="AA9" s="25">
        <f t="shared" si="4"/>
        <v>3.0118952793642642</v>
      </c>
      <c r="AB9" s="25">
        <f t="shared" si="4"/>
        <v>3.0118952793642642</v>
      </c>
      <c r="AC9" s="25">
        <f t="shared" si="4"/>
        <v>3.0118952793642642</v>
      </c>
      <c r="AD9" s="25">
        <f t="shared" si="4"/>
        <v>3.0118952793642642</v>
      </c>
      <c r="AE9" s="25">
        <f t="shared" si="4"/>
        <v>3.0118952793642642</v>
      </c>
      <c r="AF9" s="25">
        <f t="shared" si="4"/>
        <v>3.0118952793642642</v>
      </c>
      <c r="AG9" s="25">
        <f t="shared" si="4"/>
        <v>3.0118952793642642</v>
      </c>
      <c r="AH9" s="25">
        <f t="shared" si="4"/>
        <v>3.0118952793642642</v>
      </c>
      <c r="AI9" s="25">
        <f>$B$5-AI8</f>
        <v>3.0118952793642642</v>
      </c>
      <c r="AJ9" s="25">
        <f>$B$5-AJ8</f>
        <v>3.0118952793642642</v>
      </c>
      <c r="AK9" s="28" t="s">
        <v>15</v>
      </c>
    </row>
    <row r="10" spans="1:37" x14ac:dyDescent="0.2">
      <c r="D10" s="28" t="s">
        <v>16</v>
      </c>
      <c r="E10" s="27">
        <f>2.5-E9</f>
        <v>2.5</v>
      </c>
      <c r="F10" s="27">
        <f>2.5-F9</f>
        <v>2.5</v>
      </c>
      <c r="G10" s="27">
        <f t="shared" ref="G10:R10" si="5">2.5-G9</f>
        <v>2.5</v>
      </c>
      <c r="H10" s="27">
        <f t="shared" si="5"/>
        <v>2.5</v>
      </c>
      <c r="I10" s="27">
        <f t="shared" si="5"/>
        <v>2.5</v>
      </c>
      <c r="J10" s="27">
        <f t="shared" si="5"/>
        <v>2.5</v>
      </c>
      <c r="K10" s="27">
        <f t="shared" si="5"/>
        <v>2.5</v>
      </c>
      <c r="L10" s="27">
        <f t="shared" si="5"/>
        <v>2.5</v>
      </c>
      <c r="M10" s="27">
        <f t="shared" si="5"/>
        <v>2.5</v>
      </c>
      <c r="N10" s="27">
        <f t="shared" si="5"/>
        <v>2.5</v>
      </c>
      <c r="O10" s="27">
        <f t="shared" si="5"/>
        <v>2.5</v>
      </c>
      <c r="P10" s="27">
        <f t="shared" si="5"/>
        <v>2.5</v>
      </c>
      <c r="Q10" s="27">
        <f t="shared" si="5"/>
        <v>2.5</v>
      </c>
      <c r="R10" s="27">
        <f t="shared" si="5"/>
        <v>2.5</v>
      </c>
      <c r="S10" s="27">
        <f>2.5-S9</f>
        <v>2.5</v>
      </c>
      <c r="T10" s="27">
        <f>2.5-T9</f>
        <v>2.5</v>
      </c>
      <c r="U10" s="25">
        <f>2.5-U9</f>
        <v>-0.51189527936426416</v>
      </c>
      <c r="V10" s="25">
        <f>2.5-V9</f>
        <v>-0.51189527936426416</v>
      </c>
      <c r="W10" s="25">
        <f t="shared" ref="W10:AH10" si="6">2.5-W9</f>
        <v>-0.51189527936426416</v>
      </c>
      <c r="X10" s="25">
        <f t="shared" si="6"/>
        <v>-0.51189527936426416</v>
      </c>
      <c r="Y10" s="25">
        <f t="shared" si="6"/>
        <v>-0.51189527936426416</v>
      </c>
      <c r="Z10" s="25">
        <f t="shared" si="6"/>
        <v>-0.51189527936426416</v>
      </c>
      <c r="AA10" s="25">
        <f t="shared" si="6"/>
        <v>-0.51189527936426416</v>
      </c>
      <c r="AB10" s="25">
        <f t="shared" si="6"/>
        <v>-0.51189527936426416</v>
      </c>
      <c r="AC10" s="25">
        <f t="shared" si="6"/>
        <v>-0.51189527936426416</v>
      </c>
      <c r="AD10" s="25">
        <f t="shared" si="6"/>
        <v>-0.51189527936426416</v>
      </c>
      <c r="AE10" s="25">
        <f t="shared" si="6"/>
        <v>-0.51189527936426416</v>
      </c>
      <c r="AF10" s="25">
        <f t="shared" si="6"/>
        <v>-0.51189527936426416</v>
      </c>
      <c r="AG10" s="25">
        <f t="shared" si="6"/>
        <v>-0.51189527936426416</v>
      </c>
      <c r="AH10" s="25">
        <f t="shared" si="6"/>
        <v>-0.51189527936426416</v>
      </c>
      <c r="AI10" s="25">
        <f>2.5-AI9</f>
        <v>-0.51189527936426416</v>
      </c>
      <c r="AJ10" s="25">
        <f>2.5-AJ9</f>
        <v>-0.51189527936426416</v>
      </c>
      <c r="AK10" s="28" t="s">
        <v>16</v>
      </c>
    </row>
    <row r="17" spans="2:20" x14ac:dyDescent="0.2">
      <c r="C17" s="23"/>
      <c r="D17" s="23"/>
    </row>
    <row r="18" spans="2:20" x14ac:dyDescent="0.2">
      <c r="B18" s="30"/>
    </row>
    <row r="19" spans="2:20" x14ac:dyDescent="0.2">
      <c r="B19" s="30"/>
    </row>
    <row r="20" spans="2:20" x14ac:dyDescent="0.2">
      <c r="B20" s="31"/>
    </row>
    <row r="21" spans="2:20" x14ac:dyDescent="0.2">
      <c r="B21" s="30"/>
    </row>
    <row r="22" spans="2:20" x14ac:dyDescent="0.2">
      <c r="B22" s="30"/>
      <c r="T22" s="23"/>
    </row>
    <row r="23" spans="2:20" x14ac:dyDescent="0.2">
      <c r="B23" s="31"/>
      <c r="T23" s="23"/>
    </row>
    <row r="24" spans="2:20" x14ac:dyDescent="0.2">
      <c r="T24" s="23"/>
    </row>
  </sheetData>
  <pageMargins left="0.7" right="0.7" top="0.75" bottom="0.75" header="0.3" footer="0.3"/>
  <pageSetup paperSize="9" orientation="portrait" horizontalDpi="300" verticalDpi="300" r:id="rId1"/>
  <headerFooter>
    <oddFooter>&amp;C&amp;1#&amp;"Arial"&amp;10&amp;K000000Internal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2:K24"/>
  <sheetViews>
    <sheetView topLeftCell="A16" zoomScale="70" zoomScaleNormal="70" workbookViewId="0">
      <selection activeCell="N34" sqref="N34"/>
    </sheetView>
  </sheetViews>
  <sheetFormatPr defaultColWidth="11.42578125" defaultRowHeight="12.75" x14ac:dyDescent="0.2"/>
  <cols>
    <col min="1" max="1" width="18.85546875" style="17" customWidth="1"/>
    <col min="2" max="2" width="7.28515625" style="17" bestFit="1" customWidth="1"/>
    <col min="3" max="3" width="10.5703125" style="17" customWidth="1"/>
    <col min="4" max="4" width="13.7109375" style="17" bestFit="1" customWidth="1"/>
    <col min="5" max="5" width="12" style="17" bestFit="1" customWidth="1"/>
    <col min="6" max="6" width="14.85546875" style="17" customWidth="1"/>
    <col min="7" max="8" width="11.42578125" style="17"/>
    <col min="9" max="9" width="13.5703125" style="17" bestFit="1" customWidth="1"/>
    <col min="10" max="256" width="11.42578125" style="17"/>
    <col min="257" max="257" width="18.7109375" style="17" customWidth="1"/>
    <col min="258" max="258" width="13.7109375" style="17" bestFit="1" customWidth="1"/>
    <col min="259" max="259" width="17.28515625" style="17" customWidth="1"/>
    <col min="260" max="260" width="11" style="17" customWidth="1"/>
    <col min="261" max="261" width="12" style="17" bestFit="1" customWidth="1"/>
    <col min="262" max="262" width="14.85546875" style="17" customWidth="1"/>
    <col min="263" max="512" width="11.42578125" style="17"/>
    <col min="513" max="513" width="18.7109375" style="17" customWidth="1"/>
    <col min="514" max="514" width="13.7109375" style="17" bestFit="1" customWidth="1"/>
    <col min="515" max="515" width="17.28515625" style="17" customWidth="1"/>
    <col min="516" max="516" width="11" style="17" customWidth="1"/>
    <col min="517" max="517" width="12" style="17" bestFit="1" customWidth="1"/>
    <col min="518" max="518" width="14.85546875" style="17" customWidth="1"/>
    <col min="519" max="768" width="11.42578125" style="17"/>
    <col min="769" max="769" width="18.7109375" style="17" customWidth="1"/>
    <col min="770" max="770" width="13.7109375" style="17" bestFit="1" customWidth="1"/>
    <col min="771" max="771" width="17.28515625" style="17" customWidth="1"/>
    <col min="772" max="772" width="11" style="17" customWidth="1"/>
    <col min="773" max="773" width="12" style="17" bestFit="1" customWidth="1"/>
    <col min="774" max="774" width="14.85546875" style="17" customWidth="1"/>
    <col min="775" max="1024" width="11.42578125" style="17"/>
    <col min="1025" max="1025" width="18.7109375" style="17" customWidth="1"/>
    <col min="1026" max="1026" width="13.7109375" style="17" bestFit="1" customWidth="1"/>
    <col min="1027" max="1027" width="17.28515625" style="17" customWidth="1"/>
    <col min="1028" max="1028" width="11" style="17" customWidth="1"/>
    <col min="1029" max="1029" width="12" style="17" bestFit="1" customWidth="1"/>
    <col min="1030" max="1030" width="14.85546875" style="17" customWidth="1"/>
    <col min="1031" max="1280" width="11.42578125" style="17"/>
    <col min="1281" max="1281" width="18.7109375" style="17" customWidth="1"/>
    <col min="1282" max="1282" width="13.7109375" style="17" bestFit="1" customWidth="1"/>
    <col min="1283" max="1283" width="17.28515625" style="17" customWidth="1"/>
    <col min="1284" max="1284" width="11" style="17" customWidth="1"/>
    <col min="1285" max="1285" width="12" style="17" bestFit="1" customWidth="1"/>
    <col min="1286" max="1286" width="14.85546875" style="17" customWidth="1"/>
    <col min="1287" max="1536" width="11.42578125" style="17"/>
    <col min="1537" max="1537" width="18.7109375" style="17" customWidth="1"/>
    <col min="1538" max="1538" width="13.7109375" style="17" bestFit="1" customWidth="1"/>
    <col min="1539" max="1539" width="17.28515625" style="17" customWidth="1"/>
    <col min="1540" max="1540" width="11" style="17" customWidth="1"/>
    <col min="1541" max="1541" width="12" style="17" bestFit="1" customWidth="1"/>
    <col min="1542" max="1542" width="14.85546875" style="17" customWidth="1"/>
    <col min="1543" max="1792" width="11.42578125" style="17"/>
    <col min="1793" max="1793" width="18.7109375" style="17" customWidth="1"/>
    <col min="1794" max="1794" width="13.7109375" style="17" bestFit="1" customWidth="1"/>
    <col min="1795" max="1795" width="17.28515625" style="17" customWidth="1"/>
    <col min="1796" max="1796" width="11" style="17" customWidth="1"/>
    <col min="1797" max="1797" width="12" style="17" bestFit="1" customWidth="1"/>
    <col min="1798" max="1798" width="14.85546875" style="17" customWidth="1"/>
    <col min="1799" max="2048" width="11.42578125" style="17"/>
    <col min="2049" max="2049" width="18.7109375" style="17" customWidth="1"/>
    <col min="2050" max="2050" width="13.7109375" style="17" bestFit="1" customWidth="1"/>
    <col min="2051" max="2051" width="17.28515625" style="17" customWidth="1"/>
    <col min="2052" max="2052" width="11" style="17" customWidth="1"/>
    <col min="2053" max="2053" width="12" style="17" bestFit="1" customWidth="1"/>
    <col min="2054" max="2054" width="14.85546875" style="17" customWidth="1"/>
    <col min="2055" max="2304" width="11.42578125" style="17"/>
    <col min="2305" max="2305" width="18.7109375" style="17" customWidth="1"/>
    <col min="2306" max="2306" width="13.7109375" style="17" bestFit="1" customWidth="1"/>
    <col min="2307" max="2307" width="17.28515625" style="17" customWidth="1"/>
    <col min="2308" max="2308" width="11" style="17" customWidth="1"/>
    <col min="2309" max="2309" width="12" style="17" bestFit="1" customWidth="1"/>
    <col min="2310" max="2310" width="14.85546875" style="17" customWidth="1"/>
    <col min="2311" max="2560" width="11.42578125" style="17"/>
    <col min="2561" max="2561" width="18.7109375" style="17" customWidth="1"/>
    <col min="2562" max="2562" width="13.7109375" style="17" bestFit="1" customWidth="1"/>
    <col min="2563" max="2563" width="17.28515625" style="17" customWidth="1"/>
    <col min="2564" max="2564" width="11" style="17" customWidth="1"/>
    <col min="2565" max="2565" width="12" style="17" bestFit="1" customWidth="1"/>
    <col min="2566" max="2566" width="14.85546875" style="17" customWidth="1"/>
    <col min="2567" max="2816" width="11.42578125" style="17"/>
    <col min="2817" max="2817" width="18.7109375" style="17" customWidth="1"/>
    <col min="2818" max="2818" width="13.7109375" style="17" bestFit="1" customWidth="1"/>
    <col min="2819" max="2819" width="17.28515625" style="17" customWidth="1"/>
    <col min="2820" max="2820" width="11" style="17" customWidth="1"/>
    <col min="2821" max="2821" width="12" style="17" bestFit="1" customWidth="1"/>
    <col min="2822" max="2822" width="14.85546875" style="17" customWidth="1"/>
    <col min="2823" max="3072" width="11.42578125" style="17"/>
    <col min="3073" max="3073" width="18.7109375" style="17" customWidth="1"/>
    <col min="3074" max="3074" width="13.7109375" style="17" bestFit="1" customWidth="1"/>
    <col min="3075" max="3075" width="17.28515625" style="17" customWidth="1"/>
    <col min="3076" max="3076" width="11" style="17" customWidth="1"/>
    <col min="3077" max="3077" width="12" style="17" bestFit="1" customWidth="1"/>
    <col min="3078" max="3078" width="14.85546875" style="17" customWidth="1"/>
    <col min="3079" max="3328" width="11.42578125" style="17"/>
    <col min="3329" max="3329" width="18.7109375" style="17" customWidth="1"/>
    <col min="3330" max="3330" width="13.7109375" style="17" bestFit="1" customWidth="1"/>
    <col min="3331" max="3331" width="17.28515625" style="17" customWidth="1"/>
    <col min="3332" max="3332" width="11" style="17" customWidth="1"/>
    <col min="3333" max="3333" width="12" style="17" bestFit="1" customWidth="1"/>
    <col min="3334" max="3334" width="14.85546875" style="17" customWidth="1"/>
    <col min="3335" max="3584" width="11.42578125" style="17"/>
    <col min="3585" max="3585" width="18.7109375" style="17" customWidth="1"/>
    <col min="3586" max="3586" width="13.7109375" style="17" bestFit="1" customWidth="1"/>
    <col min="3587" max="3587" width="17.28515625" style="17" customWidth="1"/>
    <col min="3588" max="3588" width="11" style="17" customWidth="1"/>
    <col min="3589" max="3589" width="12" style="17" bestFit="1" customWidth="1"/>
    <col min="3590" max="3590" width="14.85546875" style="17" customWidth="1"/>
    <col min="3591" max="3840" width="11.42578125" style="17"/>
    <col min="3841" max="3841" width="18.7109375" style="17" customWidth="1"/>
    <col min="3842" max="3842" width="13.7109375" style="17" bestFit="1" customWidth="1"/>
    <col min="3843" max="3843" width="17.28515625" style="17" customWidth="1"/>
    <col min="3844" max="3844" width="11" style="17" customWidth="1"/>
    <col min="3845" max="3845" width="12" style="17" bestFit="1" customWidth="1"/>
    <col min="3846" max="3846" width="14.85546875" style="17" customWidth="1"/>
    <col min="3847" max="4096" width="11.42578125" style="17"/>
    <col min="4097" max="4097" width="18.7109375" style="17" customWidth="1"/>
    <col min="4098" max="4098" width="13.7109375" style="17" bestFit="1" customWidth="1"/>
    <col min="4099" max="4099" width="17.28515625" style="17" customWidth="1"/>
    <col min="4100" max="4100" width="11" style="17" customWidth="1"/>
    <col min="4101" max="4101" width="12" style="17" bestFit="1" customWidth="1"/>
    <col min="4102" max="4102" width="14.85546875" style="17" customWidth="1"/>
    <col min="4103" max="4352" width="11.42578125" style="17"/>
    <col min="4353" max="4353" width="18.7109375" style="17" customWidth="1"/>
    <col min="4354" max="4354" width="13.7109375" style="17" bestFit="1" customWidth="1"/>
    <col min="4355" max="4355" width="17.28515625" style="17" customWidth="1"/>
    <col min="4356" max="4356" width="11" style="17" customWidth="1"/>
    <col min="4357" max="4357" width="12" style="17" bestFit="1" customWidth="1"/>
    <col min="4358" max="4358" width="14.85546875" style="17" customWidth="1"/>
    <col min="4359" max="4608" width="11.42578125" style="17"/>
    <col min="4609" max="4609" width="18.7109375" style="17" customWidth="1"/>
    <col min="4610" max="4610" width="13.7109375" style="17" bestFit="1" customWidth="1"/>
    <col min="4611" max="4611" width="17.28515625" style="17" customWidth="1"/>
    <col min="4612" max="4612" width="11" style="17" customWidth="1"/>
    <col min="4613" max="4613" width="12" style="17" bestFit="1" customWidth="1"/>
    <col min="4614" max="4614" width="14.85546875" style="17" customWidth="1"/>
    <col min="4615" max="4864" width="11.42578125" style="17"/>
    <col min="4865" max="4865" width="18.7109375" style="17" customWidth="1"/>
    <col min="4866" max="4866" width="13.7109375" style="17" bestFit="1" customWidth="1"/>
    <col min="4867" max="4867" width="17.28515625" style="17" customWidth="1"/>
    <col min="4868" max="4868" width="11" style="17" customWidth="1"/>
    <col min="4869" max="4869" width="12" style="17" bestFit="1" customWidth="1"/>
    <col min="4870" max="4870" width="14.85546875" style="17" customWidth="1"/>
    <col min="4871" max="5120" width="11.42578125" style="17"/>
    <col min="5121" max="5121" width="18.7109375" style="17" customWidth="1"/>
    <col min="5122" max="5122" width="13.7109375" style="17" bestFit="1" customWidth="1"/>
    <col min="5123" max="5123" width="17.28515625" style="17" customWidth="1"/>
    <col min="5124" max="5124" width="11" style="17" customWidth="1"/>
    <col min="5125" max="5125" width="12" style="17" bestFit="1" customWidth="1"/>
    <col min="5126" max="5126" width="14.85546875" style="17" customWidth="1"/>
    <col min="5127" max="5376" width="11.42578125" style="17"/>
    <col min="5377" max="5377" width="18.7109375" style="17" customWidth="1"/>
    <col min="5378" max="5378" width="13.7109375" style="17" bestFit="1" customWidth="1"/>
    <col min="5379" max="5379" width="17.28515625" style="17" customWidth="1"/>
    <col min="5380" max="5380" width="11" style="17" customWidth="1"/>
    <col min="5381" max="5381" width="12" style="17" bestFit="1" customWidth="1"/>
    <col min="5382" max="5382" width="14.85546875" style="17" customWidth="1"/>
    <col min="5383" max="5632" width="11.42578125" style="17"/>
    <col min="5633" max="5633" width="18.7109375" style="17" customWidth="1"/>
    <col min="5634" max="5634" width="13.7109375" style="17" bestFit="1" customWidth="1"/>
    <col min="5635" max="5635" width="17.28515625" style="17" customWidth="1"/>
    <col min="5636" max="5636" width="11" style="17" customWidth="1"/>
    <col min="5637" max="5637" width="12" style="17" bestFit="1" customWidth="1"/>
    <col min="5638" max="5638" width="14.85546875" style="17" customWidth="1"/>
    <col min="5639" max="5888" width="11.42578125" style="17"/>
    <col min="5889" max="5889" width="18.7109375" style="17" customWidth="1"/>
    <col min="5890" max="5890" width="13.7109375" style="17" bestFit="1" customWidth="1"/>
    <col min="5891" max="5891" width="17.28515625" style="17" customWidth="1"/>
    <col min="5892" max="5892" width="11" style="17" customWidth="1"/>
    <col min="5893" max="5893" width="12" style="17" bestFit="1" customWidth="1"/>
    <col min="5894" max="5894" width="14.85546875" style="17" customWidth="1"/>
    <col min="5895" max="6144" width="11.42578125" style="17"/>
    <col min="6145" max="6145" width="18.7109375" style="17" customWidth="1"/>
    <col min="6146" max="6146" width="13.7109375" style="17" bestFit="1" customWidth="1"/>
    <col min="6147" max="6147" width="17.28515625" style="17" customWidth="1"/>
    <col min="6148" max="6148" width="11" style="17" customWidth="1"/>
    <col min="6149" max="6149" width="12" style="17" bestFit="1" customWidth="1"/>
    <col min="6150" max="6150" width="14.85546875" style="17" customWidth="1"/>
    <col min="6151" max="6400" width="11.42578125" style="17"/>
    <col min="6401" max="6401" width="18.7109375" style="17" customWidth="1"/>
    <col min="6402" max="6402" width="13.7109375" style="17" bestFit="1" customWidth="1"/>
    <col min="6403" max="6403" width="17.28515625" style="17" customWidth="1"/>
    <col min="6404" max="6404" width="11" style="17" customWidth="1"/>
    <col min="6405" max="6405" width="12" style="17" bestFit="1" customWidth="1"/>
    <col min="6406" max="6406" width="14.85546875" style="17" customWidth="1"/>
    <col min="6407" max="6656" width="11.42578125" style="17"/>
    <col min="6657" max="6657" width="18.7109375" style="17" customWidth="1"/>
    <col min="6658" max="6658" width="13.7109375" style="17" bestFit="1" customWidth="1"/>
    <col min="6659" max="6659" width="17.28515625" style="17" customWidth="1"/>
    <col min="6660" max="6660" width="11" style="17" customWidth="1"/>
    <col min="6661" max="6661" width="12" style="17" bestFit="1" customWidth="1"/>
    <col min="6662" max="6662" width="14.85546875" style="17" customWidth="1"/>
    <col min="6663" max="6912" width="11.42578125" style="17"/>
    <col min="6913" max="6913" width="18.7109375" style="17" customWidth="1"/>
    <col min="6914" max="6914" width="13.7109375" style="17" bestFit="1" customWidth="1"/>
    <col min="6915" max="6915" width="17.28515625" style="17" customWidth="1"/>
    <col min="6916" max="6916" width="11" style="17" customWidth="1"/>
    <col min="6917" max="6917" width="12" style="17" bestFit="1" customWidth="1"/>
    <col min="6918" max="6918" width="14.85546875" style="17" customWidth="1"/>
    <col min="6919" max="7168" width="11.42578125" style="17"/>
    <col min="7169" max="7169" width="18.7109375" style="17" customWidth="1"/>
    <col min="7170" max="7170" width="13.7109375" style="17" bestFit="1" customWidth="1"/>
    <col min="7171" max="7171" width="17.28515625" style="17" customWidth="1"/>
    <col min="7172" max="7172" width="11" style="17" customWidth="1"/>
    <col min="7173" max="7173" width="12" style="17" bestFit="1" customWidth="1"/>
    <col min="7174" max="7174" width="14.85546875" style="17" customWidth="1"/>
    <col min="7175" max="7424" width="11.42578125" style="17"/>
    <col min="7425" max="7425" width="18.7109375" style="17" customWidth="1"/>
    <col min="7426" max="7426" width="13.7109375" style="17" bestFit="1" customWidth="1"/>
    <col min="7427" max="7427" width="17.28515625" style="17" customWidth="1"/>
    <col min="7428" max="7428" width="11" style="17" customWidth="1"/>
    <col min="7429" max="7429" width="12" style="17" bestFit="1" customWidth="1"/>
    <col min="7430" max="7430" width="14.85546875" style="17" customWidth="1"/>
    <col min="7431" max="7680" width="11.42578125" style="17"/>
    <col min="7681" max="7681" width="18.7109375" style="17" customWidth="1"/>
    <col min="7682" max="7682" width="13.7109375" style="17" bestFit="1" customWidth="1"/>
    <col min="7683" max="7683" width="17.28515625" style="17" customWidth="1"/>
    <col min="7684" max="7684" width="11" style="17" customWidth="1"/>
    <col min="7685" max="7685" width="12" style="17" bestFit="1" customWidth="1"/>
    <col min="7686" max="7686" width="14.85546875" style="17" customWidth="1"/>
    <col min="7687" max="7936" width="11.42578125" style="17"/>
    <col min="7937" max="7937" width="18.7109375" style="17" customWidth="1"/>
    <col min="7938" max="7938" width="13.7109375" style="17" bestFit="1" customWidth="1"/>
    <col min="7939" max="7939" width="17.28515625" style="17" customWidth="1"/>
    <col min="7940" max="7940" width="11" style="17" customWidth="1"/>
    <col min="7941" max="7941" width="12" style="17" bestFit="1" customWidth="1"/>
    <col min="7942" max="7942" width="14.85546875" style="17" customWidth="1"/>
    <col min="7943" max="8192" width="11.42578125" style="17"/>
    <col min="8193" max="8193" width="18.7109375" style="17" customWidth="1"/>
    <col min="8194" max="8194" width="13.7109375" style="17" bestFit="1" customWidth="1"/>
    <col min="8195" max="8195" width="17.28515625" style="17" customWidth="1"/>
    <col min="8196" max="8196" width="11" style="17" customWidth="1"/>
    <col min="8197" max="8197" width="12" style="17" bestFit="1" customWidth="1"/>
    <col min="8198" max="8198" width="14.85546875" style="17" customWidth="1"/>
    <col min="8199" max="8448" width="11.42578125" style="17"/>
    <col min="8449" max="8449" width="18.7109375" style="17" customWidth="1"/>
    <col min="8450" max="8450" width="13.7109375" style="17" bestFit="1" customWidth="1"/>
    <col min="8451" max="8451" width="17.28515625" style="17" customWidth="1"/>
    <col min="8452" max="8452" width="11" style="17" customWidth="1"/>
    <col min="8453" max="8453" width="12" style="17" bestFit="1" customWidth="1"/>
    <col min="8454" max="8454" width="14.85546875" style="17" customWidth="1"/>
    <col min="8455" max="8704" width="11.42578125" style="17"/>
    <col min="8705" max="8705" width="18.7109375" style="17" customWidth="1"/>
    <col min="8706" max="8706" width="13.7109375" style="17" bestFit="1" customWidth="1"/>
    <col min="8707" max="8707" width="17.28515625" style="17" customWidth="1"/>
    <col min="8708" max="8708" width="11" style="17" customWidth="1"/>
    <col min="8709" max="8709" width="12" style="17" bestFit="1" customWidth="1"/>
    <col min="8710" max="8710" width="14.85546875" style="17" customWidth="1"/>
    <col min="8711" max="8960" width="11.42578125" style="17"/>
    <col min="8961" max="8961" width="18.7109375" style="17" customWidth="1"/>
    <col min="8962" max="8962" width="13.7109375" style="17" bestFit="1" customWidth="1"/>
    <col min="8963" max="8963" width="17.28515625" style="17" customWidth="1"/>
    <col min="8964" max="8964" width="11" style="17" customWidth="1"/>
    <col min="8965" max="8965" width="12" style="17" bestFit="1" customWidth="1"/>
    <col min="8966" max="8966" width="14.85546875" style="17" customWidth="1"/>
    <col min="8967" max="9216" width="11.42578125" style="17"/>
    <col min="9217" max="9217" width="18.7109375" style="17" customWidth="1"/>
    <col min="9218" max="9218" width="13.7109375" style="17" bestFit="1" customWidth="1"/>
    <col min="9219" max="9219" width="17.28515625" style="17" customWidth="1"/>
    <col min="9220" max="9220" width="11" style="17" customWidth="1"/>
    <col min="9221" max="9221" width="12" style="17" bestFit="1" customWidth="1"/>
    <col min="9222" max="9222" width="14.85546875" style="17" customWidth="1"/>
    <col min="9223" max="9472" width="11.42578125" style="17"/>
    <col min="9473" max="9473" width="18.7109375" style="17" customWidth="1"/>
    <col min="9474" max="9474" width="13.7109375" style="17" bestFit="1" customWidth="1"/>
    <col min="9475" max="9475" width="17.28515625" style="17" customWidth="1"/>
    <col min="9476" max="9476" width="11" style="17" customWidth="1"/>
    <col min="9477" max="9477" width="12" style="17" bestFit="1" customWidth="1"/>
    <col min="9478" max="9478" width="14.85546875" style="17" customWidth="1"/>
    <col min="9479" max="9728" width="11.42578125" style="17"/>
    <col min="9729" max="9729" width="18.7109375" style="17" customWidth="1"/>
    <col min="9730" max="9730" width="13.7109375" style="17" bestFit="1" customWidth="1"/>
    <col min="9731" max="9731" width="17.28515625" style="17" customWidth="1"/>
    <col min="9732" max="9732" width="11" style="17" customWidth="1"/>
    <col min="9733" max="9733" width="12" style="17" bestFit="1" customWidth="1"/>
    <col min="9734" max="9734" width="14.85546875" style="17" customWidth="1"/>
    <col min="9735" max="9984" width="11.42578125" style="17"/>
    <col min="9985" max="9985" width="18.7109375" style="17" customWidth="1"/>
    <col min="9986" max="9986" width="13.7109375" style="17" bestFit="1" customWidth="1"/>
    <col min="9987" max="9987" width="17.28515625" style="17" customWidth="1"/>
    <col min="9988" max="9988" width="11" style="17" customWidth="1"/>
    <col min="9989" max="9989" width="12" style="17" bestFit="1" customWidth="1"/>
    <col min="9990" max="9990" width="14.85546875" style="17" customWidth="1"/>
    <col min="9991" max="10240" width="11.42578125" style="17"/>
    <col min="10241" max="10241" width="18.7109375" style="17" customWidth="1"/>
    <col min="10242" max="10242" width="13.7109375" style="17" bestFit="1" customWidth="1"/>
    <col min="10243" max="10243" width="17.28515625" style="17" customWidth="1"/>
    <col min="10244" max="10244" width="11" style="17" customWidth="1"/>
    <col min="10245" max="10245" width="12" style="17" bestFit="1" customWidth="1"/>
    <col min="10246" max="10246" width="14.85546875" style="17" customWidth="1"/>
    <col min="10247" max="10496" width="11.42578125" style="17"/>
    <col min="10497" max="10497" width="18.7109375" style="17" customWidth="1"/>
    <col min="10498" max="10498" width="13.7109375" style="17" bestFit="1" customWidth="1"/>
    <col min="10499" max="10499" width="17.28515625" style="17" customWidth="1"/>
    <col min="10500" max="10500" width="11" style="17" customWidth="1"/>
    <col min="10501" max="10501" width="12" style="17" bestFit="1" customWidth="1"/>
    <col min="10502" max="10502" width="14.85546875" style="17" customWidth="1"/>
    <col min="10503" max="10752" width="11.42578125" style="17"/>
    <col min="10753" max="10753" width="18.7109375" style="17" customWidth="1"/>
    <col min="10754" max="10754" width="13.7109375" style="17" bestFit="1" customWidth="1"/>
    <col min="10755" max="10755" width="17.28515625" style="17" customWidth="1"/>
    <col min="10756" max="10756" width="11" style="17" customWidth="1"/>
    <col min="10757" max="10757" width="12" style="17" bestFit="1" customWidth="1"/>
    <col min="10758" max="10758" width="14.85546875" style="17" customWidth="1"/>
    <col min="10759" max="11008" width="11.42578125" style="17"/>
    <col min="11009" max="11009" width="18.7109375" style="17" customWidth="1"/>
    <col min="11010" max="11010" width="13.7109375" style="17" bestFit="1" customWidth="1"/>
    <col min="11011" max="11011" width="17.28515625" style="17" customWidth="1"/>
    <col min="11012" max="11012" width="11" style="17" customWidth="1"/>
    <col min="11013" max="11013" width="12" style="17" bestFit="1" customWidth="1"/>
    <col min="11014" max="11014" width="14.85546875" style="17" customWidth="1"/>
    <col min="11015" max="11264" width="11.42578125" style="17"/>
    <col min="11265" max="11265" width="18.7109375" style="17" customWidth="1"/>
    <col min="11266" max="11266" width="13.7109375" style="17" bestFit="1" customWidth="1"/>
    <col min="11267" max="11267" width="17.28515625" style="17" customWidth="1"/>
    <col min="11268" max="11268" width="11" style="17" customWidth="1"/>
    <col min="11269" max="11269" width="12" style="17" bestFit="1" customWidth="1"/>
    <col min="11270" max="11270" width="14.85546875" style="17" customWidth="1"/>
    <col min="11271" max="11520" width="11.42578125" style="17"/>
    <col min="11521" max="11521" width="18.7109375" style="17" customWidth="1"/>
    <col min="11522" max="11522" width="13.7109375" style="17" bestFit="1" customWidth="1"/>
    <col min="11523" max="11523" width="17.28515625" style="17" customWidth="1"/>
    <col min="11524" max="11524" width="11" style="17" customWidth="1"/>
    <col min="11525" max="11525" width="12" style="17" bestFit="1" customWidth="1"/>
    <col min="11526" max="11526" width="14.85546875" style="17" customWidth="1"/>
    <col min="11527" max="11776" width="11.42578125" style="17"/>
    <col min="11777" max="11777" width="18.7109375" style="17" customWidth="1"/>
    <col min="11778" max="11778" width="13.7109375" style="17" bestFit="1" customWidth="1"/>
    <col min="11779" max="11779" width="17.28515625" style="17" customWidth="1"/>
    <col min="11780" max="11780" width="11" style="17" customWidth="1"/>
    <col min="11781" max="11781" width="12" style="17" bestFit="1" customWidth="1"/>
    <col min="11782" max="11782" width="14.85546875" style="17" customWidth="1"/>
    <col min="11783" max="12032" width="11.42578125" style="17"/>
    <col min="12033" max="12033" width="18.7109375" style="17" customWidth="1"/>
    <col min="12034" max="12034" width="13.7109375" style="17" bestFit="1" customWidth="1"/>
    <col min="12035" max="12035" width="17.28515625" style="17" customWidth="1"/>
    <col min="12036" max="12036" width="11" style="17" customWidth="1"/>
    <col min="12037" max="12037" width="12" style="17" bestFit="1" customWidth="1"/>
    <col min="12038" max="12038" width="14.85546875" style="17" customWidth="1"/>
    <col min="12039" max="12288" width="11.42578125" style="17"/>
    <col min="12289" max="12289" width="18.7109375" style="17" customWidth="1"/>
    <col min="12290" max="12290" width="13.7109375" style="17" bestFit="1" customWidth="1"/>
    <col min="12291" max="12291" width="17.28515625" style="17" customWidth="1"/>
    <col min="12292" max="12292" width="11" style="17" customWidth="1"/>
    <col min="12293" max="12293" width="12" style="17" bestFit="1" customWidth="1"/>
    <col min="12294" max="12294" width="14.85546875" style="17" customWidth="1"/>
    <col min="12295" max="12544" width="11.42578125" style="17"/>
    <col min="12545" max="12545" width="18.7109375" style="17" customWidth="1"/>
    <col min="12546" max="12546" width="13.7109375" style="17" bestFit="1" customWidth="1"/>
    <col min="12547" max="12547" width="17.28515625" style="17" customWidth="1"/>
    <col min="12548" max="12548" width="11" style="17" customWidth="1"/>
    <col min="12549" max="12549" width="12" style="17" bestFit="1" customWidth="1"/>
    <col min="12550" max="12550" width="14.85546875" style="17" customWidth="1"/>
    <col min="12551" max="12800" width="11.42578125" style="17"/>
    <col min="12801" max="12801" width="18.7109375" style="17" customWidth="1"/>
    <col min="12802" max="12802" width="13.7109375" style="17" bestFit="1" customWidth="1"/>
    <col min="12803" max="12803" width="17.28515625" style="17" customWidth="1"/>
    <col min="12804" max="12804" width="11" style="17" customWidth="1"/>
    <col min="12805" max="12805" width="12" style="17" bestFit="1" customWidth="1"/>
    <col min="12806" max="12806" width="14.85546875" style="17" customWidth="1"/>
    <col min="12807" max="13056" width="11.42578125" style="17"/>
    <col min="13057" max="13057" width="18.7109375" style="17" customWidth="1"/>
    <col min="13058" max="13058" width="13.7109375" style="17" bestFit="1" customWidth="1"/>
    <col min="13059" max="13059" width="17.28515625" style="17" customWidth="1"/>
    <col min="13060" max="13060" width="11" style="17" customWidth="1"/>
    <col min="13061" max="13061" width="12" style="17" bestFit="1" customWidth="1"/>
    <col min="13062" max="13062" width="14.85546875" style="17" customWidth="1"/>
    <col min="13063" max="13312" width="11.42578125" style="17"/>
    <col min="13313" max="13313" width="18.7109375" style="17" customWidth="1"/>
    <col min="13314" max="13314" width="13.7109375" style="17" bestFit="1" customWidth="1"/>
    <col min="13315" max="13315" width="17.28515625" style="17" customWidth="1"/>
    <col min="13316" max="13316" width="11" style="17" customWidth="1"/>
    <col min="13317" max="13317" width="12" style="17" bestFit="1" customWidth="1"/>
    <col min="13318" max="13318" width="14.85546875" style="17" customWidth="1"/>
    <col min="13319" max="13568" width="11.42578125" style="17"/>
    <col min="13569" max="13569" width="18.7109375" style="17" customWidth="1"/>
    <col min="13570" max="13570" width="13.7109375" style="17" bestFit="1" customWidth="1"/>
    <col min="13571" max="13571" width="17.28515625" style="17" customWidth="1"/>
    <col min="13572" max="13572" width="11" style="17" customWidth="1"/>
    <col min="13573" max="13573" width="12" style="17" bestFit="1" customWidth="1"/>
    <col min="13574" max="13574" width="14.85546875" style="17" customWidth="1"/>
    <col min="13575" max="13824" width="11.42578125" style="17"/>
    <col min="13825" max="13825" width="18.7109375" style="17" customWidth="1"/>
    <col min="13826" max="13826" width="13.7109375" style="17" bestFit="1" customWidth="1"/>
    <col min="13827" max="13827" width="17.28515625" style="17" customWidth="1"/>
    <col min="13828" max="13828" width="11" style="17" customWidth="1"/>
    <col min="13829" max="13829" width="12" style="17" bestFit="1" customWidth="1"/>
    <col min="13830" max="13830" width="14.85546875" style="17" customWidth="1"/>
    <col min="13831" max="14080" width="11.42578125" style="17"/>
    <col min="14081" max="14081" width="18.7109375" style="17" customWidth="1"/>
    <col min="14082" max="14082" width="13.7109375" style="17" bestFit="1" customWidth="1"/>
    <col min="14083" max="14083" width="17.28515625" style="17" customWidth="1"/>
    <col min="14084" max="14084" width="11" style="17" customWidth="1"/>
    <col min="14085" max="14085" width="12" style="17" bestFit="1" customWidth="1"/>
    <col min="14086" max="14086" width="14.85546875" style="17" customWidth="1"/>
    <col min="14087" max="14336" width="11.42578125" style="17"/>
    <col min="14337" max="14337" width="18.7109375" style="17" customWidth="1"/>
    <col min="14338" max="14338" width="13.7109375" style="17" bestFit="1" customWidth="1"/>
    <col min="14339" max="14339" width="17.28515625" style="17" customWidth="1"/>
    <col min="14340" max="14340" width="11" style="17" customWidth="1"/>
    <col min="14341" max="14341" width="12" style="17" bestFit="1" customWidth="1"/>
    <col min="14342" max="14342" width="14.85546875" style="17" customWidth="1"/>
    <col min="14343" max="14592" width="11.42578125" style="17"/>
    <col min="14593" max="14593" width="18.7109375" style="17" customWidth="1"/>
    <col min="14594" max="14594" width="13.7109375" style="17" bestFit="1" customWidth="1"/>
    <col min="14595" max="14595" width="17.28515625" style="17" customWidth="1"/>
    <col min="14596" max="14596" width="11" style="17" customWidth="1"/>
    <col min="14597" max="14597" width="12" style="17" bestFit="1" customWidth="1"/>
    <col min="14598" max="14598" width="14.85546875" style="17" customWidth="1"/>
    <col min="14599" max="14848" width="11.42578125" style="17"/>
    <col min="14849" max="14849" width="18.7109375" style="17" customWidth="1"/>
    <col min="14850" max="14850" width="13.7109375" style="17" bestFit="1" customWidth="1"/>
    <col min="14851" max="14851" width="17.28515625" style="17" customWidth="1"/>
    <col min="14852" max="14852" width="11" style="17" customWidth="1"/>
    <col min="14853" max="14853" width="12" style="17" bestFit="1" customWidth="1"/>
    <col min="14854" max="14854" width="14.85546875" style="17" customWidth="1"/>
    <col min="14855" max="15104" width="11.42578125" style="17"/>
    <col min="15105" max="15105" width="18.7109375" style="17" customWidth="1"/>
    <col min="15106" max="15106" width="13.7109375" style="17" bestFit="1" customWidth="1"/>
    <col min="15107" max="15107" width="17.28515625" style="17" customWidth="1"/>
    <col min="15108" max="15108" width="11" style="17" customWidth="1"/>
    <col min="15109" max="15109" width="12" style="17" bestFit="1" customWidth="1"/>
    <col min="15110" max="15110" width="14.85546875" style="17" customWidth="1"/>
    <col min="15111" max="15360" width="11.42578125" style="17"/>
    <col min="15361" max="15361" width="18.7109375" style="17" customWidth="1"/>
    <col min="15362" max="15362" width="13.7109375" style="17" bestFit="1" customWidth="1"/>
    <col min="15363" max="15363" width="17.28515625" style="17" customWidth="1"/>
    <col min="15364" max="15364" width="11" style="17" customWidth="1"/>
    <col min="15365" max="15365" width="12" style="17" bestFit="1" customWidth="1"/>
    <col min="15366" max="15366" width="14.85546875" style="17" customWidth="1"/>
    <col min="15367" max="15616" width="11.42578125" style="17"/>
    <col min="15617" max="15617" width="18.7109375" style="17" customWidth="1"/>
    <col min="15618" max="15618" width="13.7109375" style="17" bestFit="1" customWidth="1"/>
    <col min="15619" max="15619" width="17.28515625" style="17" customWidth="1"/>
    <col min="15620" max="15620" width="11" style="17" customWidth="1"/>
    <col min="15621" max="15621" width="12" style="17" bestFit="1" customWidth="1"/>
    <col min="15622" max="15622" width="14.85546875" style="17" customWidth="1"/>
    <col min="15623" max="15872" width="11.42578125" style="17"/>
    <col min="15873" max="15873" width="18.7109375" style="17" customWidth="1"/>
    <col min="15874" max="15874" width="13.7109375" style="17" bestFit="1" customWidth="1"/>
    <col min="15875" max="15875" width="17.28515625" style="17" customWidth="1"/>
    <col min="15876" max="15876" width="11" style="17" customWidth="1"/>
    <col min="15877" max="15877" width="12" style="17" bestFit="1" customWidth="1"/>
    <col min="15878" max="15878" width="14.85546875" style="17" customWidth="1"/>
    <col min="15879" max="16128" width="11.42578125" style="17"/>
    <col min="16129" max="16129" width="18.7109375" style="17" customWidth="1"/>
    <col min="16130" max="16130" width="13.7109375" style="17" bestFit="1" customWidth="1"/>
    <col min="16131" max="16131" width="17.28515625" style="17" customWidth="1"/>
    <col min="16132" max="16132" width="11" style="17" customWidth="1"/>
    <col min="16133" max="16133" width="12" style="17" bestFit="1" customWidth="1"/>
    <col min="16134" max="16134" width="14.85546875" style="17" customWidth="1"/>
    <col min="16135" max="16384" width="11.42578125" style="17"/>
  </cols>
  <sheetData>
    <row r="2" spans="1:11" x14ac:dyDescent="0.2">
      <c r="A2" s="17" t="s">
        <v>70</v>
      </c>
      <c r="B2" s="66">
        <f>'pooled normalised values'!B75</f>
        <v>0.15229055770800312</v>
      </c>
      <c r="D2" s="17" t="s">
        <v>9</v>
      </c>
      <c r="E2" s="18"/>
      <c r="F2" s="19" t="str">
        <f>'pooled normalised values'!J74</f>
        <v>estradiol 68ng/L</v>
      </c>
      <c r="G2" s="18"/>
      <c r="H2" s="20"/>
      <c r="I2" s="19" t="str">
        <f>'pooled normalised values'!R74</f>
        <v>estradiol-34ng/L + Testostérone</v>
      </c>
      <c r="J2" s="20"/>
      <c r="K2" s="17" t="s">
        <v>9</v>
      </c>
    </row>
    <row r="3" spans="1:11" x14ac:dyDescent="0.2">
      <c r="A3" s="17" t="s">
        <v>71</v>
      </c>
      <c r="B3" s="66">
        <f>'summary results'!E6</f>
        <v>0</v>
      </c>
      <c r="D3" s="21" t="s">
        <v>10</v>
      </c>
      <c r="E3" s="22"/>
      <c r="F3" s="19">
        <f>HLOOKUP(F2,'pooled normalised values'!B74:AK83,2,FALSE)</f>
        <v>0.18326514742027913</v>
      </c>
      <c r="G3" s="22"/>
      <c r="H3" s="20"/>
      <c r="I3" s="19">
        <f>HLOOKUP(I2,'pooled normalised values'!N74:BA83,2,FALSE)</f>
        <v>1.5395657185150233</v>
      </c>
      <c r="J3" s="20"/>
      <c r="K3" s="21" t="s">
        <v>10</v>
      </c>
    </row>
    <row r="4" spans="1:11" x14ac:dyDescent="0.2">
      <c r="A4" s="17" t="s">
        <v>72</v>
      </c>
      <c r="B4" s="66">
        <f>'pooled normalised values'!O75</f>
        <v>1.0000000000000002</v>
      </c>
      <c r="D4" s="21" t="s">
        <v>2</v>
      </c>
      <c r="E4" s="22"/>
      <c r="F4" s="19">
        <f>HLOOKUP(F2,'pooled normalised values'!B74:AK83,3,FALSE)</f>
        <v>2.1724082432133082E-2</v>
      </c>
      <c r="G4" s="22"/>
      <c r="H4" s="20"/>
      <c r="I4" s="19">
        <f>HLOOKUP(I2,'pooled normalised values'!N74:BA83,3,FALSE)</f>
        <v>0.2409828392874637</v>
      </c>
      <c r="J4" s="20"/>
      <c r="K4" s="21" t="s">
        <v>2</v>
      </c>
    </row>
    <row r="5" spans="1:11" x14ac:dyDescent="0.2">
      <c r="A5" s="17" t="s">
        <v>73</v>
      </c>
      <c r="B5" s="66">
        <f>'pooled normalised values'!P75</f>
        <v>3.1284648375910251</v>
      </c>
      <c r="D5" s="23" t="s">
        <v>11</v>
      </c>
      <c r="E5" s="22"/>
      <c r="F5" s="19" t="str">
        <f>HLOOKUP(F2,'pooled normalised values'!B74:AK83,10,FALSE)</f>
        <v>NS</v>
      </c>
      <c r="G5" s="22"/>
      <c r="H5" s="20"/>
      <c r="I5" s="19" t="str">
        <f>HLOOKUP(I2,'pooled normalised values'!N74:BA83,10,FALSE)</f>
        <v>NS</v>
      </c>
      <c r="J5" s="20"/>
      <c r="K5" s="23" t="s">
        <v>11</v>
      </c>
    </row>
    <row r="6" spans="1:11" x14ac:dyDescent="0.2">
      <c r="A6" s="17" t="s">
        <v>74</v>
      </c>
      <c r="B6" s="66">
        <f>'pooled normalised values'!Q75</f>
        <v>0.11656955822676086</v>
      </c>
      <c r="D6" s="21" t="s">
        <v>12</v>
      </c>
      <c r="E6" s="24">
        <f>$B$2</f>
        <v>0.15229055770800312</v>
      </c>
      <c r="F6" s="24">
        <f>$B$2</f>
        <v>0.15229055770800312</v>
      </c>
      <c r="G6" s="24">
        <f>$B$2</f>
        <v>0.15229055770800312</v>
      </c>
      <c r="H6" s="25"/>
      <c r="I6" s="25"/>
      <c r="J6" s="25"/>
      <c r="K6" s="21" t="s">
        <v>12</v>
      </c>
    </row>
    <row r="7" spans="1:11" x14ac:dyDescent="0.2">
      <c r="B7" s="26"/>
      <c r="D7" s="26" t="s">
        <v>13</v>
      </c>
      <c r="E7" s="24"/>
      <c r="F7" s="24"/>
      <c r="G7" s="27"/>
      <c r="H7" s="25">
        <f t="shared" ref="H7:J7" si="0">$B$4</f>
        <v>1.0000000000000002</v>
      </c>
      <c r="I7" s="25">
        <f t="shared" si="0"/>
        <v>1.0000000000000002</v>
      </c>
      <c r="J7" s="25">
        <f t="shared" si="0"/>
        <v>1.0000000000000002</v>
      </c>
      <c r="K7" s="26" t="s">
        <v>13</v>
      </c>
    </row>
    <row r="8" spans="1:11" x14ac:dyDescent="0.2">
      <c r="D8" s="28" t="s">
        <v>14</v>
      </c>
      <c r="E8" s="24">
        <v>0</v>
      </c>
      <c r="F8" s="24">
        <v>0</v>
      </c>
      <c r="G8" s="27">
        <v>0</v>
      </c>
      <c r="H8" s="25">
        <f>$B$6</f>
        <v>0.11656955822676086</v>
      </c>
      <c r="I8" s="25">
        <f t="shared" ref="I8:J8" si="1">$B$6</f>
        <v>0.11656955822676086</v>
      </c>
      <c r="J8" s="25">
        <f t="shared" si="1"/>
        <v>0.11656955822676086</v>
      </c>
      <c r="K8" s="28" t="s">
        <v>14</v>
      </c>
    </row>
    <row r="9" spans="1:11" x14ac:dyDescent="0.2">
      <c r="D9" s="28" t="s">
        <v>15</v>
      </c>
      <c r="E9" s="29">
        <f>$B$3-E8</f>
        <v>0</v>
      </c>
      <c r="F9" s="29">
        <f>$B$3-F8</f>
        <v>0</v>
      </c>
      <c r="G9" s="29">
        <f>$B$3-G8</f>
        <v>0</v>
      </c>
      <c r="H9" s="25">
        <f>$B$5-H8</f>
        <v>3.0118952793642642</v>
      </c>
      <c r="I9" s="25">
        <f>$B$5-I8</f>
        <v>3.0118952793642642</v>
      </c>
      <c r="J9" s="25">
        <f>$B$5-J8</f>
        <v>3.0118952793642642</v>
      </c>
      <c r="K9" s="28" t="s">
        <v>15</v>
      </c>
    </row>
    <row r="10" spans="1:11" x14ac:dyDescent="0.2">
      <c r="D10" s="28" t="s">
        <v>16</v>
      </c>
      <c r="E10" s="27">
        <f t="shared" ref="E10:J10" si="2">2.5-E9</f>
        <v>2.5</v>
      </c>
      <c r="F10" s="27">
        <f t="shared" si="2"/>
        <v>2.5</v>
      </c>
      <c r="G10" s="27">
        <f t="shared" si="2"/>
        <v>2.5</v>
      </c>
      <c r="H10" s="25">
        <f t="shared" si="2"/>
        <v>-0.51189527936426416</v>
      </c>
      <c r="I10" s="25">
        <f t="shared" si="2"/>
        <v>-0.51189527936426416</v>
      </c>
      <c r="J10" s="25">
        <f t="shared" si="2"/>
        <v>-0.51189527936426416</v>
      </c>
      <c r="K10" s="28" t="s">
        <v>16</v>
      </c>
    </row>
    <row r="17" spans="2:7" x14ac:dyDescent="0.2">
      <c r="C17" s="23"/>
      <c r="D17" s="23"/>
    </row>
    <row r="18" spans="2:7" x14ac:dyDescent="0.2">
      <c r="B18" s="30"/>
    </row>
    <row r="19" spans="2:7" x14ac:dyDescent="0.2">
      <c r="B19" s="30"/>
    </row>
    <row r="20" spans="2:7" x14ac:dyDescent="0.2">
      <c r="B20" s="31"/>
    </row>
    <row r="21" spans="2:7" x14ac:dyDescent="0.2">
      <c r="B21" s="30"/>
    </row>
    <row r="22" spans="2:7" x14ac:dyDescent="0.2">
      <c r="B22" s="30"/>
      <c r="G22" s="23"/>
    </row>
    <row r="23" spans="2:7" x14ac:dyDescent="0.2">
      <c r="B23" s="31"/>
      <c r="G23" s="23"/>
    </row>
    <row r="24" spans="2:7" x14ac:dyDescent="0.2">
      <c r="G24" s="23"/>
    </row>
  </sheetData>
  <pageMargins left="0.7" right="0.7" top="0.75" bottom="0.75" header="0.3" footer="0.3"/>
  <pageSetup paperSize="9" orientation="portrait" horizontalDpi="300" verticalDpi="300" r:id="rId1"/>
  <headerFooter>
    <oddFooter>&amp;C&amp;1#&amp;"Arial"&amp;10&amp;K000000Internal</oddFooter>
  </headerFooter>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000-000001000000}">
          <x14:formula1>
            <xm:f>'pooled normalised values'!$R$74:$AK$74</xm:f>
          </x14:formula1>
          <xm:sqref>I2</xm:sqref>
        </x14:dataValidation>
        <x14:dataValidation type="list" allowBlank="1" showInputMessage="1" showErrorMessage="1" xr:uid="{00000000-0002-0000-1000-000000000000}">
          <x14:formula1>
            <xm:f>'pooled normalised values'!$J$74:$M$74</xm:f>
          </x14:formula1>
          <xm:sqref>F2</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15"/>
  <sheetViews>
    <sheetView showGridLines="0" topLeftCell="N1" zoomScale="85" zoomScaleNormal="85" workbookViewId="0">
      <selection activeCell="U3" sqref="U3"/>
    </sheetView>
  </sheetViews>
  <sheetFormatPr defaultColWidth="11.42578125" defaultRowHeight="15" x14ac:dyDescent="0.25"/>
  <cols>
    <col min="1" max="1" width="11.42578125" style="1"/>
    <col min="3" max="3" width="15.28515625" customWidth="1"/>
    <col min="4" max="4" width="13.7109375" customWidth="1"/>
    <col min="5" max="5" width="18.28515625" customWidth="1"/>
    <col min="6" max="6" width="14" customWidth="1"/>
    <col min="7" max="7" width="14.42578125" customWidth="1"/>
    <col min="8" max="8" width="14.28515625" customWidth="1"/>
    <col min="9" max="9" width="17" customWidth="1"/>
    <col min="10" max="10" width="12.5703125" customWidth="1"/>
    <col min="11" max="11" width="13.140625" customWidth="1"/>
    <col min="12" max="12" width="15.7109375" customWidth="1"/>
    <col min="13" max="14" width="16.140625" customWidth="1"/>
    <col min="17" max="23" width="9.7109375" customWidth="1"/>
  </cols>
  <sheetData>
    <row r="1" spans="1:23" ht="45.75" thickBot="1" x14ac:dyDescent="0.3">
      <c r="A1" s="150" t="s">
        <v>102</v>
      </c>
      <c r="B1" s="150" t="s">
        <v>103</v>
      </c>
      <c r="C1" s="147" t="s">
        <v>86</v>
      </c>
      <c r="D1" s="147" t="s">
        <v>87</v>
      </c>
      <c r="E1" s="148" t="s">
        <v>88</v>
      </c>
      <c r="F1" s="148" t="s">
        <v>89</v>
      </c>
      <c r="G1" s="147" t="s">
        <v>90</v>
      </c>
      <c r="H1" s="147" t="s">
        <v>91</v>
      </c>
      <c r="I1" s="147" t="s">
        <v>92</v>
      </c>
      <c r="J1" s="147" t="s">
        <v>93</v>
      </c>
      <c r="K1" s="147" t="s">
        <v>94</v>
      </c>
      <c r="L1" s="147" t="s">
        <v>95</v>
      </c>
      <c r="M1" s="147" t="s">
        <v>96</v>
      </c>
      <c r="N1" s="147" t="s">
        <v>97</v>
      </c>
      <c r="Q1" s="242" t="s">
        <v>99</v>
      </c>
      <c r="R1" s="242"/>
      <c r="S1" s="242"/>
      <c r="U1" s="242" t="s">
        <v>98</v>
      </c>
      <c r="V1" s="242"/>
      <c r="W1" s="242"/>
    </row>
    <row r="2" spans="1:23" x14ac:dyDescent="0.25">
      <c r="A2" s="1" t="str">
        <f>Q6</f>
        <v xml:space="preserve"> </v>
      </c>
      <c r="B2" t="str">
        <f t="shared" ref="B2:B3" si="0">U6</f>
        <v>0-00 + Testostérone</v>
      </c>
      <c r="D2" t="str">
        <f>CONCATENATE(VLOOKUP(Tableau3[[#This Row],[Nom ND]],liste_groupe[],3,FALSE),VLOOKUP(Tableau3[[#This Row],[Nom ND]],liste_groupe[],4,FALSE))</f>
        <v/>
      </c>
      <c r="E2" t="e">
        <f>HLOOKUP(Tableau3[[#This Row],[Nom ND]],'pooled normalised values'!$B$74:$AK$83,4,FALSE)</f>
        <v>#N/A</v>
      </c>
      <c r="F2" s="1" t="e">
        <f>HLOOKUP(Tableau3[[#This Row],[Nom ND]],'pooled normalised values'!$B$74:$AK$83,8,FALSE)</f>
        <v>#N/A</v>
      </c>
      <c r="G2" t="e">
        <f>VLOOKUP(Tableau3[[#This Row],[Nom ND]],'summary results'!$A$6:$N$26,9,FALSE)</f>
        <v>#N/A</v>
      </c>
      <c r="H2" s="1" t="e">
        <f>VLOOKUP(Tableau3[[#This Row],[Nom ND]],'summary results'!$A$6:$N$26,11,FALSE)</f>
        <v>#N/A</v>
      </c>
      <c r="I2" s="1" t="e">
        <f>HLOOKUP(Tableau3[[#This Row],[Nom D]],'pooled normalised values'!$B$74:$AK$83,4,FALSE)</f>
        <v>#DIV/0!</v>
      </c>
      <c r="J2" s="1" t="e">
        <f ca="1">HLOOKUP(Tableau3[[#This Row],[Nom D]],'pooled normalised values'!$B$74:$AK$83,8,FALSE)</f>
        <v>#NAME?</v>
      </c>
      <c r="K2" s="1" t="e">
        <f ca="1">VLOOKUP(Tableau3[[#This Row],[Nom D]],'summary results'!$A$29:$N$51,9,FALSE)</f>
        <v>#NAME?</v>
      </c>
      <c r="L2" s="1" t="e">
        <f ca="1">VLOOKUP(Tableau3[[#This Row],[Nom D]],'summary results'!$A$29:$N$51,11,FALSE)</f>
        <v>#NAME?</v>
      </c>
      <c r="M2" t="e">
        <f>'summary results'!$G$30</f>
        <v>#NUM!</v>
      </c>
      <c r="N2" t="e">
        <f>'summary results'!$G$31</f>
        <v>#NUM!</v>
      </c>
      <c r="Q2" s="122" t="s">
        <v>7</v>
      </c>
      <c r="R2" s="1" t="s">
        <v>131</v>
      </c>
      <c r="U2" s="122" t="s">
        <v>7</v>
      </c>
      <c r="V2" s="1" t="s">
        <v>131</v>
      </c>
    </row>
    <row r="3" spans="1:23" x14ac:dyDescent="0.25">
      <c r="A3" s="1" t="str">
        <f>Q7</f>
        <v>17ß-estradiol 34ng/L</v>
      </c>
      <c r="B3" t="str">
        <f t="shared" si="0"/>
        <v>17ß estradiol-34ng/L + Testostérone</v>
      </c>
      <c r="D3" t="e">
        <f>CONCATENATE(VLOOKUP(Tableau3[[#This Row],[Nom ND]],liste_groupe[],3,FALSE),VLOOKUP(Tableau3[[#This Row],[Nom ND]],liste_groupe[],4,FALSE))</f>
        <v>#N/A</v>
      </c>
      <c r="E3" t="e">
        <f>HLOOKUP(Tableau3[[#This Row],[Nom ND]],'pooled normalised values'!$B$74:$AK$83,4,FALSE)</f>
        <v>#N/A</v>
      </c>
      <c r="F3" t="e">
        <f>HLOOKUP(Tableau3[[#This Row],[Nom ND]],'pooled normalised values'!$B$74:$AK$83,8,FALSE)</f>
        <v>#N/A</v>
      </c>
      <c r="G3" t="e">
        <f>VLOOKUP(Tableau3[[#This Row],[Nom ND]],'summary results'!$A$6:$N$26,9,FALSE)</f>
        <v>#N/A</v>
      </c>
      <c r="H3" t="e">
        <f>VLOOKUP(Tableau3[[#This Row],[Nom ND]],'summary results'!$A$6:$N$26,11,FALSE)</f>
        <v>#N/A</v>
      </c>
      <c r="I3" t="e">
        <f>HLOOKUP(Tableau3[[#This Row],[Nom D]],'pooled normalised values'!$B$74:$AK$83,4,FALSE)</f>
        <v>#N/A</v>
      </c>
      <c r="J3" t="e">
        <f>HLOOKUP(Tableau3[[#This Row],[Nom D]],'pooled normalised values'!$B$74:$AK$83,8,FALSE)</f>
        <v>#N/A</v>
      </c>
      <c r="K3" t="e">
        <f>VLOOKUP(Tableau3[[#This Row],[Nom D]],'summary results'!$A$29:$N$51,9,FALSE)</f>
        <v>#N/A</v>
      </c>
      <c r="L3" t="e">
        <f>VLOOKUP(Tableau3[[#This Row],[Nom D]],'summary results'!$A$29:$N$51,11,FALSE)</f>
        <v>#N/A</v>
      </c>
      <c r="M3" s="1" t="e">
        <f>'summary results'!$G$30</f>
        <v>#NUM!</v>
      </c>
      <c r="N3" s="1" t="e">
        <f>'summary results'!$G$31</f>
        <v>#NUM!</v>
      </c>
      <c r="Q3" s="122" t="s">
        <v>78</v>
      </c>
      <c r="R3" s="1" t="s">
        <v>106</v>
      </c>
      <c r="U3" s="122" t="s">
        <v>78</v>
      </c>
      <c r="V3" s="1" t="s">
        <v>50</v>
      </c>
    </row>
    <row r="4" spans="1:23" x14ac:dyDescent="0.25">
      <c r="A4" s="1" t="str">
        <f t="shared" ref="A4:A15" si="1">Q8</f>
        <v>17ß-estradiol 68ng/L</v>
      </c>
      <c r="B4" s="44" t="str">
        <f t="shared" ref="B4:B15" si="2">U8</f>
        <v>17ß estradiol-68ng/L + Testostérone</v>
      </c>
      <c r="D4" s="44" t="e">
        <f>CONCATENATE(VLOOKUP(Tableau3[[#This Row],[Nom ND]],liste_groupe[],3,FALSE),VLOOKUP(Tableau3[[#This Row],[Nom ND]],liste_groupe[],4,FALSE))</f>
        <v>#N/A</v>
      </c>
      <c r="E4" s="44" t="e">
        <f>HLOOKUP(Tableau3[[#This Row],[Nom ND]],'pooled normalised values'!$B$74:$AK$83,4,FALSE)</f>
        <v>#N/A</v>
      </c>
      <c r="F4" s="44" t="e">
        <f>HLOOKUP(Tableau3[[#This Row],[Nom ND]],'pooled normalised values'!$B$74:$AK$83,8,FALSE)</f>
        <v>#N/A</v>
      </c>
      <c r="G4" s="44" t="e">
        <f>VLOOKUP(Tableau3[[#This Row],[Nom ND]],'summary results'!$A$6:$N$26,9,FALSE)</f>
        <v>#N/A</v>
      </c>
      <c r="H4" s="44" t="e">
        <f>VLOOKUP(Tableau3[[#This Row],[Nom ND]],'summary results'!$A$6:$N$26,11,FALSE)</f>
        <v>#N/A</v>
      </c>
      <c r="I4" s="44" t="e">
        <f>HLOOKUP(Tableau3[[#This Row],[Nom D]],'pooled normalised values'!$B$74:$AK$83,4,FALSE)</f>
        <v>#N/A</v>
      </c>
      <c r="J4" s="44" t="e">
        <f>HLOOKUP(Tableau3[[#This Row],[Nom D]],'pooled normalised values'!$B$74:$AK$83,8,FALSE)</f>
        <v>#N/A</v>
      </c>
      <c r="K4" s="44" t="e">
        <f>VLOOKUP(Tableau3[[#This Row],[Nom D]],'summary results'!$A$29:$N$51,9,FALSE)</f>
        <v>#N/A</v>
      </c>
      <c r="L4" s="44" t="e">
        <f>VLOOKUP(Tableau3[[#This Row],[Nom D]],'summary results'!$A$29:$N$51,11,FALSE)</f>
        <v>#N/A</v>
      </c>
      <c r="M4" t="e">
        <f>'summary results'!$G$30</f>
        <v>#NUM!</v>
      </c>
      <c r="N4" t="e">
        <f>'summary results'!$G$31</f>
        <v>#NUM!</v>
      </c>
    </row>
    <row r="5" spans="1:23" x14ac:dyDescent="0.25">
      <c r="A5" s="1" t="str">
        <f t="shared" si="1"/>
        <v>17ß-estradiol 135ng/L</v>
      </c>
      <c r="B5" s="44" t="str">
        <f t="shared" si="2"/>
        <v>17ß estradiol-135ng/L + Testostérone</v>
      </c>
      <c r="D5" s="44" t="e">
        <f>CONCATENATE(VLOOKUP(Tableau3[[#This Row],[Nom ND]],liste_groupe[],3,FALSE),VLOOKUP(Tableau3[[#This Row],[Nom ND]],liste_groupe[],4,FALSE))</f>
        <v>#N/A</v>
      </c>
      <c r="E5" s="44" t="e">
        <f>HLOOKUP(Tableau3[[#This Row],[Nom ND]],'pooled normalised values'!$B$74:$AK$83,4,FALSE)</f>
        <v>#N/A</v>
      </c>
      <c r="F5" s="44" t="e">
        <f>HLOOKUP(Tableau3[[#This Row],[Nom ND]],'pooled normalised values'!$B$74:$AK$83,8,FALSE)</f>
        <v>#N/A</v>
      </c>
      <c r="G5" s="44" t="e">
        <f>VLOOKUP(Tableau3[[#This Row],[Nom ND]],'summary results'!$A$6:$N$26,9,FALSE)</f>
        <v>#N/A</v>
      </c>
      <c r="H5" s="44" t="e">
        <f>VLOOKUP(Tableau3[[#This Row],[Nom ND]],'summary results'!$A$6:$N$26,11,FALSE)</f>
        <v>#N/A</v>
      </c>
      <c r="I5" s="44" t="e">
        <f>HLOOKUP(Tableau3[[#This Row],[Nom D]],'pooled normalised values'!$B$74:$AK$83,4,FALSE)</f>
        <v>#N/A</v>
      </c>
      <c r="J5" s="44" t="e">
        <f>HLOOKUP(Tableau3[[#This Row],[Nom D]],'pooled normalised values'!$B$74:$AK$83,8,FALSE)</f>
        <v>#N/A</v>
      </c>
      <c r="K5" s="44" t="e">
        <f>VLOOKUP(Tableau3[[#This Row],[Nom D]],'summary results'!$A$29:$N$51,9,FALSE)</f>
        <v>#N/A</v>
      </c>
      <c r="L5" s="44" t="e">
        <f>VLOOKUP(Tableau3[[#This Row],[Nom D]],'summary results'!$A$29:$N$51,11,FALSE)</f>
        <v>#N/A</v>
      </c>
      <c r="M5" t="e">
        <f>'summary results'!$G$30</f>
        <v>#NUM!</v>
      </c>
      <c r="N5" t="e">
        <f>'summary results'!$G$31</f>
        <v>#NUM!</v>
      </c>
      <c r="Q5" s="122" t="s">
        <v>100</v>
      </c>
      <c r="U5" s="122" t="s">
        <v>100</v>
      </c>
    </row>
    <row r="6" spans="1:23" x14ac:dyDescent="0.25">
      <c r="A6" s="1" t="str">
        <f t="shared" si="1"/>
        <v>17ß-estradiol 270ng/L</v>
      </c>
      <c r="B6" s="44" t="str">
        <f t="shared" si="2"/>
        <v>17ß estradiol-270ng/L + Testostérone</v>
      </c>
      <c r="D6" s="44" t="e">
        <f>CONCATENATE(VLOOKUP(Tableau3[[#This Row],[Nom ND]],liste_groupe[],3,FALSE),VLOOKUP(Tableau3[[#This Row],[Nom ND]],liste_groupe[],4,FALSE))</f>
        <v>#N/A</v>
      </c>
      <c r="E6" s="44" t="e">
        <f>HLOOKUP(Tableau3[[#This Row],[Nom ND]],'pooled normalised values'!$B$74:$AK$83,4,FALSE)</f>
        <v>#N/A</v>
      </c>
      <c r="F6" s="44" t="e">
        <f>HLOOKUP(Tableau3[[#This Row],[Nom ND]],'pooled normalised values'!$B$74:$AK$83,8,FALSE)</f>
        <v>#N/A</v>
      </c>
      <c r="G6" s="44" t="e">
        <f>VLOOKUP(Tableau3[[#This Row],[Nom ND]],'summary results'!$A$6:$N$26,9,FALSE)</f>
        <v>#N/A</v>
      </c>
      <c r="H6" s="44" t="e">
        <f>VLOOKUP(Tableau3[[#This Row],[Nom ND]],'summary results'!$A$6:$N$26,11,FALSE)</f>
        <v>#N/A</v>
      </c>
      <c r="I6" s="44" t="e">
        <f>HLOOKUP(Tableau3[[#This Row],[Nom D]],'pooled normalised values'!$B$74:$AK$83,4,FALSE)</f>
        <v>#N/A</v>
      </c>
      <c r="J6" s="44" t="e">
        <f>HLOOKUP(Tableau3[[#This Row],[Nom D]],'pooled normalised values'!$B$74:$AK$83,8,FALSE)</f>
        <v>#N/A</v>
      </c>
      <c r="K6" s="44" t="e">
        <f>VLOOKUP(Tableau3[[#This Row],[Nom D]],'summary results'!$A$29:$N$51,9,FALSE)</f>
        <v>#N/A</v>
      </c>
      <c r="L6" s="44" t="e">
        <f>VLOOKUP(Tableau3[[#This Row],[Nom D]],'summary results'!$A$29:$N$51,11,FALSE)</f>
        <v>#N/A</v>
      </c>
      <c r="M6" t="e">
        <f>'summary results'!$G$30</f>
        <v>#NUM!</v>
      </c>
      <c r="N6" t="e">
        <f>'summary results'!$G$31</f>
        <v>#NUM!</v>
      </c>
      <c r="Q6" s="149" t="s">
        <v>112</v>
      </c>
      <c r="U6" s="149" t="s">
        <v>101</v>
      </c>
    </row>
    <row r="7" spans="1:23" x14ac:dyDescent="0.25">
      <c r="A7" s="1" t="str">
        <f t="shared" si="1"/>
        <v>17ß-estradiol 540ng/L</v>
      </c>
      <c r="B7" s="44" t="str">
        <f t="shared" si="2"/>
        <v>17ß estradiol-540ng/L + Testostérone</v>
      </c>
      <c r="D7" s="44" t="e">
        <f>CONCATENATE(VLOOKUP(Tableau3[[#This Row],[Nom ND]],liste_groupe[],3,FALSE),VLOOKUP(Tableau3[[#This Row],[Nom ND]],liste_groupe[],4,FALSE))</f>
        <v>#N/A</v>
      </c>
      <c r="E7" s="44" t="e">
        <f>HLOOKUP(Tableau3[[#This Row],[Nom ND]],'pooled normalised values'!$B$74:$AK$83,4,FALSE)</f>
        <v>#N/A</v>
      </c>
      <c r="F7" s="44" t="e">
        <f>HLOOKUP(Tableau3[[#This Row],[Nom ND]],'pooled normalised values'!$B$74:$AK$83,8,FALSE)</f>
        <v>#N/A</v>
      </c>
      <c r="G7" s="44" t="e">
        <f>VLOOKUP(Tableau3[[#This Row],[Nom ND]],'summary results'!$A$6:$N$26,9,FALSE)</f>
        <v>#N/A</v>
      </c>
      <c r="H7" s="44" t="e">
        <f>VLOOKUP(Tableau3[[#This Row],[Nom ND]],'summary results'!$A$6:$N$26,11,FALSE)</f>
        <v>#N/A</v>
      </c>
      <c r="I7" s="44" t="e">
        <f>HLOOKUP(Tableau3[[#This Row],[Nom D]],'pooled normalised values'!$B$74:$AK$83,4,FALSE)</f>
        <v>#N/A</v>
      </c>
      <c r="J7" s="44" t="e">
        <f>HLOOKUP(Tableau3[[#This Row],[Nom D]],'pooled normalised values'!$B$74:$AK$83,8,FALSE)</f>
        <v>#N/A</v>
      </c>
      <c r="K7" s="44" t="e">
        <f>VLOOKUP(Tableau3[[#This Row],[Nom D]],'summary results'!$A$29:$N$51,9,FALSE)</f>
        <v>#N/A</v>
      </c>
      <c r="L7" s="44" t="e">
        <f>VLOOKUP(Tableau3[[#This Row],[Nom D]],'summary results'!$A$29:$N$51,11,FALSE)</f>
        <v>#N/A</v>
      </c>
      <c r="M7" t="e">
        <f>'summary results'!$G$30</f>
        <v>#NUM!</v>
      </c>
      <c r="N7" t="e">
        <f>'summary results'!$G$31</f>
        <v>#NUM!</v>
      </c>
      <c r="Q7" s="149" t="s">
        <v>1706</v>
      </c>
      <c r="U7" s="149" t="s">
        <v>3056</v>
      </c>
    </row>
    <row r="8" spans="1:23" x14ac:dyDescent="0.25">
      <c r="A8" s="1">
        <f t="shared" si="1"/>
        <v>0</v>
      </c>
      <c r="B8" s="44">
        <f t="shared" si="2"/>
        <v>0</v>
      </c>
      <c r="D8" s="44" t="e">
        <f>CONCATENATE(VLOOKUP(Tableau3[[#This Row],[Nom ND]],liste_groupe[],3,FALSE),VLOOKUP(Tableau3[[#This Row],[Nom ND]],liste_groupe[],4,FALSE))</f>
        <v>#N/A</v>
      </c>
      <c r="E8" s="151" t="e">
        <f>HLOOKUP(Tableau3[[#This Row],[Nom ND]],'pooled normalised values'!$B$74:$AK$83,4,FALSE)</f>
        <v>#N/A</v>
      </c>
      <c r="F8" s="44" t="e">
        <f>HLOOKUP(Tableau3[[#This Row],[Nom ND]],'pooled normalised values'!$B$74:$AK$83,8,FALSE)</f>
        <v>#N/A</v>
      </c>
      <c r="G8" s="44" t="e">
        <f>VLOOKUP(Tableau3[[#This Row],[Nom ND]],'summary results'!$A$6:$N$26,9,FALSE)</f>
        <v>#N/A</v>
      </c>
      <c r="H8" s="44" t="e">
        <f>VLOOKUP(Tableau3[[#This Row],[Nom ND]],'summary results'!$A$6:$N$26,11,FALSE)</f>
        <v>#N/A</v>
      </c>
      <c r="I8" s="44" t="e">
        <f>HLOOKUP(Tableau3[[#This Row],[Nom D]],'pooled normalised values'!$B$74:$AK$83,4,FALSE)</f>
        <v>#N/A</v>
      </c>
      <c r="J8" s="44" t="e">
        <f>HLOOKUP(Tableau3[[#This Row],[Nom D]],'pooled normalised values'!$B$74:$AK$83,8,FALSE)</f>
        <v>#N/A</v>
      </c>
      <c r="K8" s="44" t="e">
        <f>VLOOKUP(Tableau3[[#This Row],[Nom D]],'summary results'!$A$29:$N$51,9,FALSE)</f>
        <v>#N/A</v>
      </c>
      <c r="L8" s="44" t="e">
        <f>VLOOKUP(Tableau3[[#This Row],[Nom D]],'summary results'!$A$29:$N$51,11,FALSE)</f>
        <v>#N/A</v>
      </c>
      <c r="M8" t="e">
        <f>'summary results'!$G$30</f>
        <v>#NUM!</v>
      </c>
      <c r="N8" t="e">
        <f>'summary results'!$G$31</f>
        <v>#NUM!</v>
      </c>
      <c r="Q8" s="149" t="s">
        <v>1707</v>
      </c>
      <c r="U8" s="149" t="s">
        <v>3057</v>
      </c>
    </row>
    <row r="9" spans="1:23" x14ac:dyDescent="0.25">
      <c r="A9" s="1">
        <f t="shared" si="1"/>
        <v>0</v>
      </c>
      <c r="B9" s="44">
        <f t="shared" si="2"/>
        <v>0</v>
      </c>
      <c r="D9" s="44" t="e">
        <f>CONCATENATE(VLOOKUP(Tableau3[[#This Row],[Nom ND]],liste_groupe[],3,FALSE),VLOOKUP(Tableau3[[#This Row],[Nom ND]],liste_groupe[],4,FALSE))</f>
        <v>#N/A</v>
      </c>
      <c r="E9" s="44" t="e">
        <f>HLOOKUP(Tableau3[[#This Row],[Nom ND]],'pooled normalised values'!$B$74:$AK$83,4,FALSE)</f>
        <v>#N/A</v>
      </c>
      <c r="F9" s="44" t="e">
        <f>HLOOKUP(Tableau3[[#This Row],[Nom ND]],'pooled normalised values'!$B$74:$AK$83,8,FALSE)</f>
        <v>#N/A</v>
      </c>
      <c r="G9" s="44" t="e">
        <f>VLOOKUP(Tableau3[[#This Row],[Nom ND]],'summary results'!$A$6:$N$26,9,FALSE)</f>
        <v>#N/A</v>
      </c>
      <c r="H9" s="44" t="e">
        <f>VLOOKUP(Tableau3[[#This Row],[Nom ND]],'summary results'!$A$6:$N$26,11,FALSE)</f>
        <v>#N/A</v>
      </c>
      <c r="I9" s="44" t="e">
        <f>HLOOKUP(Tableau3[[#This Row],[Nom D]],'pooled normalised values'!$B$74:$AK$83,4,FALSE)</f>
        <v>#N/A</v>
      </c>
      <c r="J9" s="44" t="e">
        <f>HLOOKUP(Tableau3[[#This Row],[Nom D]],'pooled normalised values'!$B$74:$AK$83,8,FALSE)</f>
        <v>#N/A</v>
      </c>
      <c r="K9" s="44" t="e">
        <f>VLOOKUP(Tableau3[[#This Row],[Nom D]],'summary results'!$A$29:$N$51,9,FALSE)</f>
        <v>#N/A</v>
      </c>
      <c r="L9" s="44" t="e">
        <f>VLOOKUP(Tableau3[[#This Row],[Nom D]],'summary results'!$A$29:$N$51,11,FALSE)</f>
        <v>#N/A</v>
      </c>
      <c r="M9" t="e">
        <f>'summary results'!$G$30</f>
        <v>#NUM!</v>
      </c>
      <c r="N9" t="e">
        <f>'summary results'!$G$31</f>
        <v>#NUM!</v>
      </c>
      <c r="Q9" s="149" t="s">
        <v>1708</v>
      </c>
      <c r="U9" s="149" t="s">
        <v>3058</v>
      </c>
    </row>
    <row r="10" spans="1:23" x14ac:dyDescent="0.25">
      <c r="A10" s="1">
        <f t="shared" si="1"/>
        <v>0</v>
      </c>
      <c r="B10" s="44">
        <f t="shared" si="2"/>
        <v>0</v>
      </c>
      <c r="D10" s="44" t="e">
        <f>CONCATENATE(VLOOKUP(Tableau3[[#This Row],[Nom ND]],liste_groupe[],3,FALSE),VLOOKUP(Tableau3[[#This Row],[Nom ND]],liste_groupe[],4,FALSE))</f>
        <v>#N/A</v>
      </c>
      <c r="E10" s="44" t="e">
        <f>HLOOKUP(Tableau3[[#This Row],[Nom ND]],'pooled normalised values'!$B$74:$AK$83,4,FALSE)</f>
        <v>#N/A</v>
      </c>
      <c r="F10" s="44" t="e">
        <f>HLOOKUP(Tableau3[[#This Row],[Nom ND]],'pooled normalised values'!$B$74:$AK$83,8,FALSE)</f>
        <v>#N/A</v>
      </c>
      <c r="G10" s="44" t="e">
        <f>VLOOKUP(Tableau3[[#This Row],[Nom ND]],'summary results'!$A$6:$N$26,9,FALSE)</f>
        <v>#N/A</v>
      </c>
      <c r="H10" s="44" t="e">
        <f>VLOOKUP(Tableau3[[#This Row],[Nom ND]],'summary results'!$A$6:$N$26,11,FALSE)</f>
        <v>#N/A</v>
      </c>
      <c r="I10" s="44" t="e">
        <f>HLOOKUP(Tableau3[[#This Row],[Nom D]],'pooled normalised values'!$B$74:$AK$83,4,FALSE)</f>
        <v>#N/A</v>
      </c>
      <c r="J10" s="44" t="e">
        <f>HLOOKUP(Tableau3[[#This Row],[Nom D]],'pooled normalised values'!$B$74:$AK$83,8,FALSE)</f>
        <v>#N/A</v>
      </c>
      <c r="K10" s="44" t="e">
        <f>VLOOKUP(Tableau3[[#This Row],[Nom D]],'summary results'!$A$29:$N$51,9,FALSE)</f>
        <v>#N/A</v>
      </c>
      <c r="L10" s="44" t="e">
        <f>VLOOKUP(Tableau3[[#This Row],[Nom D]],'summary results'!$A$29:$N$51,11,FALSE)</f>
        <v>#N/A</v>
      </c>
      <c r="M10" t="e">
        <f>'summary results'!$G$30</f>
        <v>#NUM!</v>
      </c>
      <c r="N10" t="e">
        <f>'summary results'!$G$31</f>
        <v>#NUM!</v>
      </c>
      <c r="Q10" s="149" t="s">
        <v>1709</v>
      </c>
      <c r="U10" s="149" t="s">
        <v>3059</v>
      </c>
    </row>
    <row r="11" spans="1:23" x14ac:dyDescent="0.25">
      <c r="A11" s="1">
        <f t="shared" si="1"/>
        <v>0</v>
      </c>
      <c r="B11" s="44">
        <f t="shared" si="2"/>
        <v>0</v>
      </c>
      <c r="D11" s="44" t="e">
        <f>CONCATENATE(VLOOKUP(Tableau3[[#This Row],[Nom ND]],liste_groupe[],3,FALSE),VLOOKUP(Tableau3[[#This Row],[Nom ND]],liste_groupe[],4,FALSE))</f>
        <v>#N/A</v>
      </c>
      <c r="E11" s="44" t="e">
        <f>HLOOKUP(Tableau3[[#This Row],[Nom ND]],'pooled normalised values'!$B$74:$AK$83,4,FALSE)</f>
        <v>#N/A</v>
      </c>
      <c r="F11" s="44" t="e">
        <f>HLOOKUP(Tableau3[[#This Row],[Nom ND]],'pooled normalised values'!$B$74:$AK$83,8,FALSE)</f>
        <v>#N/A</v>
      </c>
      <c r="G11" s="44" t="e">
        <f>VLOOKUP(Tableau3[[#This Row],[Nom ND]],'summary results'!$A$6:$N$26,9,FALSE)</f>
        <v>#N/A</v>
      </c>
      <c r="H11" s="44" t="e">
        <f>VLOOKUP(Tableau3[[#This Row],[Nom ND]],'summary results'!$A$6:$N$26,11,FALSE)</f>
        <v>#N/A</v>
      </c>
      <c r="I11" s="44" t="e">
        <f>HLOOKUP(Tableau3[[#This Row],[Nom D]],'pooled normalised values'!$B$74:$AK$83,4,FALSE)</f>
        <v>#N/A</v>
      </c>
      <c r="J11" s="44" t="e">
        <f>HLOOKUP(Tableau3[[#This Row],[Nom D]],'pooled normalised values'!$B$74:$AK$83,8,FALSE)</f>
        <v>#N/A</v>
      </c>
      <c r="K11" s="44" t="e">
        <f>VLOOKUP(Tableau3[[#This Row],[Nom D]],'summary results'!$A$29:$N$51,9,FALSE)</f>
        <v>#N/A</v>
      </c>
      <c r="L11" s="44" t="e">
        <f>VLOOKUP(Tableau3[[#This Row],[Nom D]],'summary results'!$A$29:$N$51,11,FALSE)</f>
        <v>#N/A</v>
      </c>
      <c r="M11" t="e">
        <f>'summary results'!$G$30</f>
        <v>#NUM!</v>
      </c>
      <c r="N11" t="e">
        <f>'summary results'!$G$31</f>
        <v>#NUM!</v>
      </c>
      <c r="Q11" s="149" t="s">
        <v>1710</v>
      </c>
      <c r="U11" s="149" t="s">
        <v>3060</v>
      </c>
    </row>
    <row r="12" spans="1:23" x14ac:dyDescent="0.25">
      <c r="A12" s="1">
        <f t="shared" si="1"/>
        <v>0</v>
      </c>
      <c r="B12" s="44">
        <f t="shared" si="2"/>
        <v>0</v>
      </c>
      <c r="D12" s="44" t="e">
        <f>CONCATENATE(VLOOKUP(Tableau3[[#This Row],[Nom ND]],liste_groupe[],3,FALSE),VLOOKUP(Tableau3[[#This Row],[Nom ND]],liste_groupe[],4,FALSE))</f>
        <v>#N/A</v>
      </c>
      <c r="E12" s="44" t="e">
        <f>HLOOKUP(Tableau3[[#This Row],[Nom ND]],'pooled normalised values'!$B$74:$AK$83,4,FALSE)</f>
        <v>#N/A</v>
      </c>
      <c r="F12" s="44" t="e">
        <f>HLOOKUP(Tableau3[[#This Row],[Nom ND]],'pooled normalised values'!$B$74:$AK$83,8,FALSE)</f>
        <v>#N/A</v>
      </c>
      <c r="G12" s="44" t="e">
        <f>VLOOKUP(Tableau3[[#This Row],[Nom ND]],'summary results'!$A$6:$N$26,9,FALSE)</f>
        <v>#N/A</v>
      </c>
      <c r="H12" s="44" t="e">
        <f>VLOOKUP(Tableau3[[#This Row],[Nom ND]],'summary results'!$A$6:$N$26,11,FALSE)</f>
        <v>#N/A</v>
      </c>
      <c r="I12" s="44" t="e">
        <f>HLOOKUP(Tableau3[[#This Row],[Nom D]],'pooled normalised values'!$B$74:$AK$83,4,FALSE)</f>
        <v>#N/A</v>
      </c>
      <c r="J12" s="44" t="e">
        <f>HLOOKUP(Tableau3[[#This Row],[Nom D]],'pooled normalised values'!$B$74:$AK$83,8,FALSE)</f>
        <v>#N/A</v>
      </c>
      <c r="K12" s="44" t="e">
        <f>VLOOKUP(Tableau3[[#This Row],[Nom D]],'summary results'!$A$29:$N$51,9,FALSE)</f>
        <v>#N/A</v>
      </c>
      <c r="L12" s="44" t="e">
        <f>VLOOKUP(Tableau3[[#This Row],[Nom D]],'summary results'!$A$29:$N$51,11,FALSE)</f>
        <v>#N/A</v>
      </c>
      <c r="M12" t="e">
        <f>'summary results'!$G$30</f>
        <v>#NUM!</v>
      </c>
      <c r="N12" t="e">
        <f>'summary results'!$G$31</f>
        <v>#NUM!</v>
      </c>
    </row>
    <row r="13" spans="1:23" x14ac:dyDescent="0.25">
      <c r="A13" s="1">
        <f t="shared" si="1"/>
        <v>0</v>
      </c>
      <c r="B13" s="44">
        <f t="shared" si="2"/>
        <v>0</v>
      </c>
      <c r="D13" s="44" t="e">
        <f>CONCATENATE(VLOOKUP(Tableau3[[#This Row],[Nom ND]],liste_groupe[],3,FALSE),VLOOKUP(Tableau3[[#This Row],[Nom ND]],liste_groupe[],4,FALSE))</f>
        <v>#N/A</v>
      </c>
      <c r="E13" s="44" t="e">
        <f>HLOOKUP(Tableau3[[#This Row],[Nom ND]],'pooled normalised values'!$B$74:$AK$83,4,FALSE)</f>
        <v>#N/A</v>
      </c>
      <c r="F13" s="44" t="e">
        <f>HLOOKUP(Tableau3[[#This Row],[Nom ND]],'pooled normalised values'!$B$74:$AK$83,8,FALSE)</f>
        <v>#N/A</v>
      </c>
      <c r="G13" s="44" t="e">
        <f>VLOOKUP(Tableau3[[#This Row],[Nom ND]],'summary results'!$A$6:$N$26,9,FALSE)</f>
        <v>#N/A</v>
      </c>
      <c r="H13" s="44" t="e">
        <f>VLOOKUP(Tableau3[[#This Row],[Nom ND]],'summary results'!$A$6:$N$26,11,FALSE)</f>
        <v>#N/A</v>
      </c>
      <c r="I13" s="44" t="e">
        <f>HLOOKUP(Tableau3[[#This Row],[Nom D]],'pooled normalised values'!$B$74:$AK$83,4,FALSE)</f>
        <v>#N/A</v>
      </c>
      <c r="J13" s="44" t="e">
        <f>HLOOKUP(Tableau3[[#This Row],[Nom D]],'pooled normalised values'!$B$74:$AK$83,8,FALSE)</f>
        <v>#N/A</v>
      </c>
      <c r="K13" s="44" t="e">
        <f>VLOOKUP(Tableau3[[#This Row],[Nom D]],'summary results'!$A$29:$N$51,9,FALSE)</f>
        <v>#N/A</v>
      </c>
      <c r="L13" s="44" t="e">
        <f>VLOOKUP(Tableau3[[#This Row],[Nom D]],'summary results'!$A$29:$N$51,11,FALSE)</f>
        <v>#N/A</v>
      </c>
      <c r="M13" t="e">
        <f>'summary results'!$G$30</f>
        <v>#NUM!</v>
      </c>
      <c r="N13" t="e">
        <f>'summary results'!$G$31</f>
        <v>#NUM!</v>
      </c>
    </row>
    <row r="14" spans="1:23" x14ac:dyDescent="0.25">
      <c r="A14" s="1">
        <f t="shared" si="1"/>
        <v>0</v>
      </c>
      <c r="B14" s="44">
        <f t="shared" si="2"/>
        <v>0</v>
      </c>
      <c r="D14" s="44" t="e">
        <f>CONCATENATE(VLOOKUP(Tableau3[[#This Row],[Nom ND]],liste_groupe[],3,FALSE),VLOOKUP(Tableau3[[#This Row],[Nom ND]],liste_groupe[],4,FALSE))</f>
        <v>#N/A</v>
      </c>
      <c r="E14" s="44" t="e">
        <f>HLOOKUP(Tableau3[[#This Row],[Nom ND]],'pooled normalised values'!$B$74:$AK$83,4,FALSE)</f>
        <v>#N/A</v>
      </c>
      <c r="F14" s="44" t="e">
        <f>HLOOKUP(Tableau3[[#This Row],[Nom ND]],'pooled normalised values'!$B$74:$AK$83,8,FALSE)</f>
        <v>#N/A</v>
      </c>
      <c r="G14" s="44" t="e">
        <f>VLOOKUP(Tableau3[[#This Row],[Nom ND]],'summary results'!$A$6:$N$26,9,FALSE)</f>
        <v>#N/A</v>
      </c>
      <c r="H14" s="44" t="e">
        <f>VLOOKUP(Tableau3[[#This Row],[Nom ND]],'summary results'!$A$6:$N$26,11,FALSE)</f>
        <v>#N/A</v>
      </c>
      <c r="I14" s="44" t="e">
        <f>HLOOKUP(Tableau3[[#This Row],[Nom D]],'pooled normalised values'!$B$74:$AK$83,4,FALSE)</f>
        <v>#N/A</v>
      </c>
      <c r="J14" s="44" t="e">
        <f>HLOOKUP(Tableau3[[#This Row],[Nom D]],'pooled normalised values'!$B$74:$AK$83,8,FALSE)</f>
        <v>#N/A</v>
      </c>
      <c r="K14" s="44" t="e">
        <f>VLOOKUP(Tableau3[[#This Row],[Nom D]],'summary results'!$A$29:$N$51,9,FALSE)</f>
        <v>#N/A</v>
      </c>
      <c r="L14" s="44" t="e">
        <f>VLOOKUP(Tableau3[[#This Row],[Nom D]],'summary results'!$A$29:$N$51,11,FALSE)</f>
        <v>#N/A</v>
      </c>
      <c r="M14" t="e">
        <f>'summary results'!$G$30</f>
        <v>#NUM!</v>
      </c>
      <c r="N14" t="e">
        <f>'summary results'!$G$31</f>
        <v>#NUM!</v>
      </c>
    </row>
    <row r="15" spans="1:23" x14ac:dyDescent="0.25">
      <c r="A15" s="1">
        <f t="shared" si="1"/>
        <v>0</v>
      </c>
      <c r="B15" s="44">
        <f t="shared" si="2"/>
        <v>0</v>
      </c>
      <c r="D15" s="44" t="e">
        <f>CONCATENATE(VLOOKUP(Tableau3[[#This Row],[Nom ND]],liste_groupe[],3,FALSE),VLOOKUP(Tableau3[[#This Row],[Nom ND]],liste_groupe[],4,FALSE))</f>
        <v>#N/A</v>
      </c>
      <c r="E15" s="44" t="e">
        <f>HLOOKUP(Tableau3[[#This Row],[Nom ND]],'pooled normalised values'!$B$74:$AK$83,4,FALSE)</f>
        <v>#N/A</v>
      </c>
      <c r="F15" s="44" t="e">
        <f>HLOOKUP(Tableau3[[#This Row],[Nom ND]],'pooled normalised values'!$B$74:$AK$83,8,FALSE)</f>
        <v>#N/A</v>
      </c>
      <c r="G15" s="44" t="e">
        <f>VLOOKUP(Tableau3[[#This Row],[Nom ND]],'summary results'!$A$6:$N$26,9,FALSE)</f>
        <v>#N/A</v>
      </c>
      <c r="H15" s="44" t="e">
        <f>VLOOKUP(Tableau3[[#This Row],[Nom ND]],'summary results'!$A$6:$N$26,11,FALSE)</f>
        <v>#N/A</v>
      </c>
      <c r="I15" s="44" t="e">
        <f>HLOOKUP(Tableau3[[#This Row],[Nom D]],'pooled normalised values'!$B$74:$AK$83,4,FALSE)</f>
        <v>#N/A</v>
      </c>
      <c r="J15" s="44" t="e">
        <f>HLOOKUP(Tableau3[[#This Row],[Nom D]],'pooled normalised values'!$B$74:$AK$83,8,FALSE)</f>
        <v>#N/A</v>
      </c>
      <c r="K15" s="44" t="e">
        <f>VLOOKUP(Tableau3[[#This Row],[Nom D]],'summary results'!$A$29:$N$51,9,FALSE)</f>
        <v>#N/A</v>
      </c>
      <c r="L15" s="44" t="e">
        <f>VLOOKUP(Tableau3[[#This Row],[Nom D]],'summary results'!$A$29:$N$51,11,FALSE)</f>
        <v>#N/A</v>
      </c>
      <c r="M15" t="e">
        <f>'summary results'!$G$30</f>
        <v>#NUM!</v>
      </c>
      <c r="N15" t="e">
        <f>'summary results'!$G$31</f>
        <v>#NUM!</v>
      </c>
    </row>
  </sheetData>
  <mergeCells count="2">
    <mergeCell ref="Q1:S1"/>
    <mergeCell ref="U1:W1"/>
  </mergeCells>
  <pageMargins left="0.7" right="0.7" top="0.75" bottom="0.75" header="0.3" footer="0.3"/>
  <pageSetup paperSize="9" orientation="portrait" horizontalDpi="300" verticalDpi="300" r:id="rId3"/>
  <headerFooter>
    <oddFooter>&amp;C&amp;1#&amp;"Arial"&amp;10&amp;K000000Internal</oddFooter>
  </headerFooter>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76C436BD700BD428C1C0C71E54D8B5E" ma:contentTypeVersion="18" ma:contentTypeDescription="Create a new document." ma:contentTypeScope="" ma:versionID="782111b43a65dadfbc410eb6ccb7aa06">
  <xsd:schema xmlns:xsd="http://www.w3.org/2001/XMLSchema" xmlns:xs="http://www.w3.org/2001/XMLSchema" xmlns:p="http://schemas.microsoft.com/office/2006/metadata/properties" xmlns:ns2="cc801401-75a6-4297-ad63-d4d786ff6e7c" xmlns:ns3="508cc0b8-c8e1-4e41-95d2-be8416ed53ba" targetNamespace="http://schemas.microsoft.com/office/2006/metadata/properties" ma:root="true" ma:fieldsID="7f493af8791a6264672b29a70f2a6765" ns2:_="" ns3:_="">
    <xsd:import namespace="cc801401-75a6-4297-ad63-d4d786ff6e7c"/>
    <xsd:import namespace="508cc0b8-c8e1-4e41-95d2-be8416ed53ba"/>
    <xsd:element name="properties">
      <xsd:complexType>
        <xsd:sequence>
          <xsd:element name="documentManagement">
            <xsd:complexType>
              <xsd:all>
                <xsd:element ref="ns2:SharedWithUsers" minOccurs="0"/>
                <xsd:element ref="ns2:SharedWithDetails" minOccurs="0"/>
                <xsd:element ref="ns2:LastSharedByUser" minOccurs="0"/>
                <xsd:element ref="ns2:LastSharedByTime" minOccurs="0"/>
                <xsd:element ref="ns3:MediaServiceMetadata" minOccurs="0"/>
                <xsd:element ref="ns3:MediaServiceFastMetadata"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LengthInSeconds" minOccurs="0"/>
                <xsd:element ref="ns3:lcf76f155ced4ddcb4097134ff3c332f" minOccurs="0"/>
                <xsd:element ref="ns2: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801401-75a6-4297-ad63-d4d786ff6e7c"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LastSharedByUser" ma:index="10" nillable="true" ma:displayName="Last Shared By User" ma:description="" ma:internalName="LastSharedByUser" ma:readOnly="true">
      <xsd:simpleType>
        <xsd:restriction base="dms:Note">
          <xsd:maxLength value="255"/>
        </xsd:restriction>
      </xsd:simpleType>
    </xsd:element>
    <xsd:element name="LastSharedByTime" ma:index="11" nillable="true" ma:displayName="Last Shared By Time" ma:description="" ma:internalName="LastSharedByTime" ma:readOnly="true">
      <xsd:simpleType>
        <xsd:restriction base="dms:DateTime"/>
      </xsd:simpleType>
    </xsd:element>
    <xsd:element name="TaxCatchAll" ma:index="25" nillable="true" ma:displayName="Taxonomy Catch All Column" ma:hidden="true" ma:list="2e281972-ae1b-43a4-854f-cb1565a95e46" ma:internalName="TaxCatchAll" ma:showField="CatchAllData" ma:web="cc801401-75a6-4297-ad63-d4d786ff6e7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08cc0b8-c8e1-4e41-95d2-be8416ed53ba" elementFormDefault="qualified">
    <xsd:import namespace="http://schemas.microsoft.com/office/2006/documentManagement/types"/>
    <xsd:import namespace="http://schemas.microsoft.com/office/infopath/2007/PartnerControls"/>
    <xsd:element name="MediaServiceMetadata" ma:index="12" nillable="true" ma:displayName="MediaServiceMetadata" ma:description="" ma:hidden="true" ma:internalName="MediaServiceMetadata" ma:readOnly="true">
      <xsd:simpleType>
        <xsd:restriction base="dms:Note"/>
      </xsd:simpleType>
    </xsd:element>
    <xsd:element name="MediaServiceFastMetadata" ma:index="13" nillable="true" ma:displayName="MediaServiceFastMetadata" ma:description="" ma:hidden="true" ma:internalName="MediaServiceFastMetadata" ma:readOnly="true">
      <xsd:simpleType>
        <xsd:restriction base="dms:Note"/>
      </xsd:simpleType>
    </xsd:element>
    <xsd:element name="MediaServiceDateTaken" ma:index="14" nillable="true" ma:displayName="MediaServiceDateTaken" ma:description="" ma:hidden="true" ma:internalName="MediaServiceDateTaken" ma:readOnly="true">
      <xsd:simpleType>
        <xsd:restriction base="dms:Text"/>
      </xsd:simpleType>
    </xsd:element>
    <xsd:element name="MediaServiceAutoTags" ma:index="15" nillable="true" ma:displayName="MediaServiceAutoTags" ma:description="" ma:internalName="MediaServiceAutoTags" ma:readOnly="true">
      <xsd:simpleType>
        <xsd:restriction base="dms:Text"/>
      </xsd:simpleType>
    </xsd:element>
    <xsd:element name="MediaServiceLocation" ma:index="16" nillable="true" ma:displayName="MediaServiceLocation" ma:internalName="MediaServiceLocation" ma:readOnly="true">
      <xsd:simpleType>
        <xsd:restriction base="dms:Text"/>
      </xsd:simpleType>
    </xsd:element>
    <xsd:element name="MediaServiceOCR" ma:index="17" nillable="true" ma:displayName="MediaServiceOCR"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LengthInSeconds" ma:index="22"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04f2cd92-8d93-4e4c-83d3-86703d91558f"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342F474-9B49-417C-889A-36EB3941BEA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c801401-75a6-4297-ad63-d4d786ff6e7c"/>
    <ds:schemaRef ds:uri="508cc0b8-c8e1-4e41-95d2-be8416ed53b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2BC2D7D-7418-43ED-84C2-5E88D452EB3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14</vt:i4>
      </vt:variant>
      <vt:variant>
        <vt:lpstr>Charts</vt:lpstr>
      </vt:variant>
      <vt:variant>
        <vt:i4>4</vt:i4>
      </vt:variant>
      <vt:variant>
        <vt:lpstr>Named Ranges</vt:lpstr>
      </vt:variant>
      <vt:variant>
        <vt:i4>1</vt:i4>
      </vt:variant>
    </vt:vector>
  </HeadingPairs>
  <TitlesOfParts>
    <vt:vector size="19" baseType="lpstr">
      <vt:lpstr>Page de garde</vt:lpstr>
      <vt:lpstr>Feuil1</vt:lpstr>
      <vt:lpstr>Raw data R1</vt:lpstr>
      <vt:lpstr>R1</vt:lpstr>
      <vt:lpstr>Raw data R2</vt:lpstr>
      <vt:lpstr>R2</vt:lpstr>
      <vt:lpstr>Raw data R3</vt:lpstr>
      <vt:lpstr>R3</vt:lpstr>
      <vt:lpstr>pooled normalised values</vt:lpstr>
      <vt:lpstr>summary results</vt:lpstr>
      <vt:lpstr>Notice</vt:lpstr>
      <vt:lpstr>Graph format rapport CHG</vt:lpstr>
      <vt:lpstr>Graph format rapport CHG 1éch</vt:lpstr>
      <vt:lpstr>Récap</vt:lpstr>
      <vt:lpstr>Graph R1</vt:lpstr>
      <vt:lpstr>Graph R2</vt:lpstr>
      <vt:lpstr>Graph R3</vt:lpstr>
      <vt:lpstr>pooled normalised graphe</vt:lpstr>
      <vt:lpstr>'Page de garde'!Print_Area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2023-01-11T15:43:13Z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6530cf4-8573-4c29-a912-bbcdac835909_Enabled">
    <vt:lpwstr>true</vt:lpwstr>
  </property>
  <property fmtid="{D5CDD505-2E9C-101B-9397-08002B2CF9AE}" pid="3" name="MSIP_Label_06530cf4-8573-4c29-a912-bbcdac835909_SetDate">
    <vt:lpwstr>2023-01-11T15:43:12Z</vt:lpwstr>
  </property>
  <property fmtid="{D5CDD505-2E9C-101B-9397-08002B2CF9AE}" pid="4" name="MSIP_Label_06530cf4-8573-4c29-a912-bbcdac835909_Method">
    <vt:lpwstr>Standard</vt:lpwstr>
  </property>
  <property fmtid="{D5CDD505-2E9C-101B-9397-08002B2CF9AE}" pid="5" name="MSIP_Label_06530cf4-8573-4c29-a912-bbcdac835909_Name">
    <vt:lpwstr>06530cf4-8573-4c29-a912-bbcdac835909</vt:lpwstr>
  </property>
  <property fmtid="{D5CDD505-2E9C-101B-9397-08002B2CF9AE}" pid="6" name="MSIP_Label_06530cf4-8573-4c29-a912-bbcdac835909_SiteId">
    <vt:lpwstr>ecaa386b-c8df-4ce0-ad01-740cbdb5ba55</vt:lpwstr>
  </property>
  <property fmtid="{D5CDD505-2E9C-101B-9397-08002B2CF9AE}" pid="7" name="MSIP_Label_06530cf4-8573-4c29-a912-bbcdac835909_ActionId">
    <vt:lpwstr>71cc4c92-4eb7-464f-8649-9a3cddfe63f4</vt:lpwstr>
  </property>
  <property fmtid="{D5CDD505-2E9C-101B-9397-08002B2CF9AE}" pid="8" name="MSIP_Label_06530cf4-8573-4c29-a912-bbcdac835909_ContentBits">
    <vt:lpwstr>2</vt:lpwstr>
  </property>
</Properties>
</file>