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6.xml" ContentType="application/vnd.openxmlformats-officedocument.drawingml.chartshapes+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2.xml" ContentType="application/vnd.openxmlformats-officedocument.drawingml.chartshapes+xml"/>
  <Override PartName="/xl/drawings/drawing11.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2.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3.xml" ContentType="application/vnd.openxmlformats-officedocument.spreadsheetml.chartsheet+xml"/>
  <Override PartName="/xl/worksheets/sheet10.xml" ContentType="application/vnd.openxmlformats-officedocument.spreadsheetml.worksheet+xml"/>
  <Override PartName="/xl/chartsheets/sheet4.xml" ContentType="application/vnd.openxmlformats-officedocument.spreadsheetml.chart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xl/tables/table5.xml" ContentType="application/vnd.openxmlformats-officedocument.spreadsheetml.table+xml"/>
  <Override PartName="/docProps/app.xml" ContentType="application/vnd.openxmlformats-officedocument.extended-properties+xml"/>
  <Override PartName="/xl/comments1.xml" ContentType="application/vnd.openxmlformats-officedocument.spreadsheetml.comments+xml"/>
  <Override PartName="/xl/tables/table7.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filterPrivacy="1" hidePivotFieldList="1" defaultThemeVersion="124226"/>
  <xr:revisionPtr revIDLastSave="0" documentId="13_ncr:1_{56A12FC5-D388-41C0-BB43-EC45B85B9005}" xr6:coauthVersionLast="47" xr6:coauthVersionMax="47" xr10:uidLastSave="{00000000-0000-0000-0000-000000000000}"/>
  <bookViews>
    <workbookView xWindow="-110" yWindow="-110" windowWidth="19420" windowHeight="10420" firstSheet="9" activeTab="12" xr2:uid="{00000000-000D-0000-FFFF-FFFF00000000}"/>
  </bookViews>
  <sheets>
    <sheet name="Page de garde" sheetId="10" r:id="rId1"/>
    <sheet name="Feuil1" sheetId="39" r:id="rId2"/>
    <sheet name="Raw data R1" sheetId="35" r:id="rId3"/>
    <sheet name="R1" sheetId="1" r:id="rId4"/>
    <sheet name="Graph R1" sheetId="8" r:id="rId5"/>
    <sheet name="Feuil2" sheetId="40" r:id="rId6"/>
    <sheet name="Raw data R2" sheetId="36" r:id="rId7"/>
    <sheet name="R2" sheetId="23" r:id="rId8"/>
    <sheet name="Graph R2" sheetId="19" r:id="rId9"/>
    <sheet name="Raw data R3" sheetId="37" r:id="rId10"/>
    <sheet name="R3" sheetId="33" r:id="rId11"/>
    <sheet name="Graph R3" sheetId="34" r:id="rId12"/>
    <sheet name="pooled normalised values" sheetId="4" r:id="rId13"/>
    <sheet name="pooled normalised graphe" sheetId="5" r:id="rId14"/>
    <sheet name="summary results" sheetId="22" r:id="rId15"/>
    <sheet name="Notice" sheetId="38" r:id="rId16"/>
    <sheet name="Graph format rapport CHG" sheetId="12" r:id="rId17"/>
    <sheet name="Graph format rapport CHG 1éch" sheetId="27" r:id="rId18"/>
    <sheet name="Récap" sheetId="28" r:id="rId19"/>
  </sheets>
  <externalReferences>
    <externalReference r:id="rId20"/>
  </externalReferences>
  <definedNames>
    <definedName name="_xlnm.Print_Area" localSheetId="0">'Page de garde'!$A$1:$I$52</definedName>
  </definedNames>
  <calcPr calcId="181029"/>
  <pivotCaches>
    <pivotCache cacheId="20" r:id="rId21"/>
    <pivotCache cacheId="21" r:id="rId22"/>
    <pivotCache cacheId="22" r:id="rId23"/>
    <pivotCache cacheId="23" r:id="rId24"/>
  </pivotCaches>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V94" i="4" l="1"/>
  <c r="U94" i="4"/>
  <c r="T94" i="4"/>
  <c r="S94" i="4"/>
  <c r="R94" i="4"/>
  <c r="Q94" i="4"/>
  <c r="P94" i="4"/>
  <c r="O94" i="4"/>
  <c r="N94" i="4"/>
  <c r="M94" i="4"/>
  <c r="L94" i="4"/>
  <c r="K94" i="4"/>
  <c r="J94" i="4"/>
  <c r="I94" i="4"/>
  <c r="H94" i="4"/>
  <c r="G94" i="4"/>
  <c r="F94" i="4"/>
  <c r="E94" i="4"/>
  <c r="D94" i="4"/>
  <c r="C94" i="4"/>
  <c r="B94" i="4"/>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7" i="22"/>
  <c r="A8" i="22"/>
  <c r="A9" i="22"/>
  <c r="A10" i="22"/>
  <c r="A11" i="22"/>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U32" i="33"/>
  <c r="U42" i="4" s="1"/>
  <c r="P31" i="33"/>
  <c r="P41" i="4" s="1"/>
  <c r="S29" i="33"/>
  <c r="S39" i="4" s="1"/>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B35" i="33" s="1"/>
  <c r="B45" i="4" s="1"/>
  <c r="L23" i="33"/>
  <c r="J23" i="33"/>
  <c r="I23" i="33"/>
  <c r="H23" i="33"/>
  <c r="G23" i="33"/>
  <c r="F23" i="33"/>
  <c r="E23" i="33"/>
  <c r="D23" i="33"/>
  <c r="C23" i="33"/>
  <c r="B23" i="33"/>
  <c r="A22" i="33"/>
  <c r="H22" i="33"/>
  <c r="G45" i="33"/>
  <c r="F27" i="33"/>
  <c r="F52" i="33" s="1"/>
  <c r="E45" i="33"/>
  <c r="D22" i="33"/>
  <c r="C45" i="33"/>
  <c r="B45" i="33"/>
  <c r="F33" i="33" l="1"/>
  <c r="F43" i="4" s="1"/>
  <c r="E30" i="33"/>
  <c r="E40" i="4" s="1"/>
  <c r="G31" i="33"/>
  <c r="G41" i="4" s="1"/>
  <c r="M35" i="33"/>
  <c r="M45" i="4" s="1"/>
  <c r="O30" i="33"/>
  <c r="O40" i="4" s="1"/>
  <c r="P29" i="33"/>
  <c r="P39" i="4" s="1"/>
  <c r="T28" i="33"/>
  <c r="T38" i="4" s="1"/>
  <c r="R31" i="33"/>
  <c r="R41" i="4" s="1"/>
  <c r="S30" i="33"/>
  <c r="S40" i="4" s="1"/>
  <c r="V31" i="33"/>
  <c r="V41" i="4" s="1"/>
  <c r="S33" i="33"/>
  <c r="S43" i="4" s="1"/>
  <c r="P35" i="33"/>
  <c r="P45" i="4" s="1"/>
  <c r="T29" i="33"/>
  <c r="T39" i="4" s="1"/>
  <c r="S32" i="33"/>
  <c r="S42" i="4" s="1"/>
  <c r="P34" i="33"/>
  <c r="P44" i="4" s="1"/>
  <c r="T35" i="33"/>
  <c r="T45" i="4" s="1"/>
  <c r="P28" i="33"/>
  <c r="T34" i="33"/>
  <c r="T44" i="4" s="1"/>
  <c r="Q28" i="33"/>
  <c r="U28" i="33"/>
  <c r="U38" i="4" s="1"/>
  <c r="Q29" i="33"/>
  <c r="Q39" i="4" s="1"/>
  <c r="U29" i="33"/>
  <c r="U39" i="4" s="1"/>
  <c r="P30" i="33"/>
  <c r="T30" i="33"/>
  <c r="M31" i="33"/>
  <c r="M41" i="4" s="1"/>
  <c r="S31" i="33"/>
  <c r="S41" i="4" s="1"/>
  <c r="P32" i="33"/>
  <c r="P42" i="4" s="1"/>
  <c r="T32" i="33"/>
  <c r="T42" i="4" s="1"/>
  <c r="P33" i="33"/>
  <c r="P43" i="4" s="1"/>
  <c r="T33" i="33"/>
  <c r="T43" i="4" s="1"/>
  <c r="Q34" i="33"/>
  <c r="Q44" i="4" s="1"/>
  <c r="U34" i="33"/>
  <c r="U44" i="4" s="1"/>
  <c r="Q35" i="33"/>
  <c r="Q45" i="4" s="1"/>
  <c r="U35" i="33"/>
  <c r="U45" i="4" s="1"/>
  <c r="R28" i="33"/>
  <c r="V28" i="33"/>
  <c r="V38" i="4" s="1"/>
  <c r="R29" i="33"/>
  <c r="R39" i="4" s="1"/>
  <c r="V29" i="33"/>
  <c r="V39" i="4" s="1"/>
  <c r="Q30" i="33"/>
  <c r="Q40" i="4" s="1"/>
  <c r="U30" i="33"/>
  <c r="U40" i="4" s="1"/>
  <c r="T31" i="33"/>
  <c r="T41" i="4" s="1"/>
  <c r="Q32" i="33"/>
  <c r="Q42" i="4" s="1"/>
  <c r="Q33" i="33"/>
  <c r="Q43" i="4" s="1"/>
  <c r="U33" i="33"/>
  <c r="U43" i="4" s="1"/>
  <c r="R34" i="33"/>
  <c r="R44" i="4" s="1"/>
  <c r="V34" i="33"/>
  <c r="V44" i="4" s="1"/>
  <c r="R35" i="33"/>
  <c r="R45" i="4" s="1"/>
  <c r="V35" i="33"/>
  <c r="V45" i="4" s="1"/>
  <c r="S28" i="33"/>
  <c r="S38" i="4" s="1"/>
  <c r="R30" i="33"/>
  <c r="R40" i="4" s="1"/>
  <c r="V30" i="33"/>
  <c r="V40" i="4" s="1"/>
  <c r="Q31" i="33"/>
  <c r="Q41" i="4" s="1"/>
  <c r="U31" i="33"/>
  <c r="U41" i="4" s="1"/>
  <c r="R32" i="33"/>
  <c r="R42" i="4" s="1"/>
  <c r="V32" i="33"/>
  <c r="V42" i="4" s="1"/>
  <c r="R33" i="33"/>
  <c r="R43" i="4" s="1"/>
  <c r="V33" i="33"/>
  <c r="V43" i="4" s="1"/>
  <c r="S34" i="33"/>
  <c r="S44" i="4" s="1"/>
  <c r="S35" i="33"/>
  <c r="S45" i="4" s="1"/>
  <c r="O28" i="33"/>
  <c r="O38" i="4" s="1"/>
  <c r="O29" i="33"/>
  <c r="O39" i="4" s="1"/>
  <c r="O36" i="33"/>
  <c r="O46" i="4" s="1"/>
  <c r="O37" i="33"/>
  <c r="O47" i="4" s="1"/>
  <c r="O38" i="33"/>
  <c r="O48" i="4" s="1"/>
  <c r="O39" i="33"/>
  <c r="O49" i="4" s="1"/>
  <c r="O40" i="33"/>
  <c r="O50" i="4" s="1"/>
  <c r="O41" i="33"/>
  <c r="O51" i="4" s="1"/>
  <c r="O42" i="33"/>
  <c r="O52" i="4" s="1"/>
  <c r="O43" i="33"/>
  <c r="O53" i="4" s="1"/>
  <c r="E31" i="33"/>
  <c r="E41" i="4" s="1"/>
  <c r="O31" i="33"/>
  <c r="O32" i="33"/>
  <c r="O42" i="4" s="1"/>
  <c r="I28" i="33"/>
  <c r="I29" i="33"/>
  <c r="I39" i="4" s="1"/>
  <c r="I30" i="33"/>
  <c r="I40" i="4" s="1"/>
  <c r="O33" i="33"/>
  <c r="O43" i="4" s="1"/>
  <c r="O34" i="33"/>
  <c r="O44" i="4" s="1"/>
  <c r="E28" i="33"/>
  <c r="E29" i="33"/>
  <c r="E39" i="4" s="1"/>
  <c r="M28" i="33"/>
  <c r="M38" i="4" s="1"/>
  <c r="B29" i="33"/>
  <c r="B39" i="4" s="1"/>
  <c r="M29" i="33"/>
  <c r="M39" i="4" s="1"/>
  <c r="B30" i="33"/>
  <c r="B40" i="4" s="1"/>
  <c r="M30" i="33"/>
  <c r="M40" i="4" s="1"/>
  <c r="B31" i="33"/>
  <c r="B41" i="4" s="1"/>
  <c r="I31" i="33"/>
  <c r="I41" i="4" s="1"/>
  <c r="O35" i="33"/>
  <c r="O45" i="4" s="1"/>
  <c r="B28" i="33"/>
  <c r="B38" i="4" s="1"/>
  <c r="J28" i="33"/>
  <c r="J38" i="4" s="1"/>
  <c r="J29" i="33"/>
  <c r="J39" i="4" s="1"/>
  <c r="F30" i="33"/>
  <c r="F40" i="4" s="1"/>
  <c r="J31" i="33"/>
  <c r="J41" i="4" s="1"/>
  <c r="J32" i="33"/>
  <c r="J42" i="4" s="1"/>
  <c r="J33" i="33"/>
  <c r="J43" i="4" s="1"/>
  <c r="J34" i="33"/>
  <c r="J44" i="4" s="1"/>
  <c r="G35" i="33"/>
  <c r="G45" i="4" s="1"/>
  <c r="C28" i="33"/>
  <c r="C38" i="4" s="1"/>
  <c r="G28" i="33"/>
  <c r="G38" i="4" s="1"/>
  <c r="K28" i="33"/>
  <c r="C29" i="33"/>
  <c r="C39" i="4" s="1"/>
  <c r="G29" i="33"/>
  <c r="G39" i="4" s="1"/>
  <c r="K29" i="33"/>
  <c r="K39" i="4" s="1"/>
  <c r="C30" i="33"/>
  <c r="C40" i="4" s="1"/>
  <c r="G30" i="33"/>
  <c r="G40" i="4" s="1"/>
  <c r="K30" i="33"/>
  <c r="K40" i="4" s="1"/>
  <c r="C31" i="33"/>
  <c r="C41" i="4" s="1"/>
  <c r="K31" i="33"/>
  <c r="K41" i="4" s="1"/>
  <c r="C32" i="33"/>
  <c r="C42" i="4" s="1"/>
  <c r="G32" i="33"/>
  <c r="G42" i="4" s="1"/>
  <c r="K32" i="33"/>
  <c r="K42" i="4" s="1"/>
  <c r="C33" i="33"/>
  <c r="C43" i="4" s="1"/>
  <c r="G33" i="33"/>
  <c r="G43" i="4" s="1"/>
  <c r="K33" i="33"/>
  <c r="K43" i="4" s="1"/>
  <c r="C34" i="33"/>
  <c r="C44" i="4" s="1"/>
  <c r="G34" i="33"/>
  <c r="G44" i="4" s="1"/>
  <c r="K34" i="33"/>
  <c r="K44" i="4" s="1"/>
  <c r="D35" i="33"/>
  <c r="D45" i="4" s="1"/>
  <c r="H35" i="33"/>
  <c r="H45" i="4" s="1"/>
  <c r="L35" i="33"/>
  <c r="L45" i="4" s="1"/>
  <c r="F28" i="33"/>
  <c r="F38" i="4" s="1"/>
  <c r="F29" i="33"/>
  <c r="F39" i="4" s="1"/>
  <c r="J30" i="33"/>
  <c r="J40" i="4" s="1"/>
  <c r="F31" i="33"/>
  <c r="F41" i="4" s="1"/>
  <c r="F32" i="33"/>
  <c r="F42" i="4" s="1"/>
  <c r="F34" i="33"/>
  <c r="F44" i="4" s="1"/>
  <c r="C35" i="33"/>
  <c r="C45" i="4" s="1"/>
  <c r="K35" i="33"/>
  <c r="K45" i="4" s="1"/>
  <c r="D28" i="33"/>
  <c r="D38" i="4" s="1"/>
  <c r="H28" i="33"/>
  <c r="H38" i="4" s="1"/>
  <c r="L28" i="33"/>
  <c r="D29" i="33"/>
  <c r="D39" i="4" s="1"/>
  <c r="H29" i="33"/>
  <c r="H39" i="4" s="1"/>
  <c r="L29" i="33"/>
  <c r="L39" i="4" s="1"/>
  <c r="D30" i="33"/>
  <c r="D40" i="4" s="1"/>
  <c r="H30" i="33"/>
  <c r="H40" i="4" s="1"/>
  <c r="L30" i="33"/>
  <c r="L40" i="4" s="1"/>
  <c r="D31" i="33"/>
  <c r="D41" i="4" s="1"/>
  <c r="H31" i="33"/>
  <c r="H41" i="4" s="1"/>
  <c r="L31" i="33"/>
  <c r="L41" i="4" s="1"/>
  <c r="D32" i="33"/>
  <c r="D42" i="4" s="1"/>
  <c r="H32" i="33"/>
  <c r="H42" i="4" s="1"/>
  <c r="L32" i="33"/>
  <c r="L42" i="4" s="1"/>
  <c r="D33" i="33"/>
  <c r="D43" i="4" s="1"/>
  <c r="H33" i="33"/>
  <c r="H43" i="4" s="1"/>
  <c r="L33" i="33"/>
  <c r="L43" i="4" s="1"/>
  <c r="D34" i="33"/>
  <c r="D44" i="4" s="1"/>
  <c r="H34" i="33"/>
  <c r="H44" i="4" s="1"/>
  <c r="L34" i="33"/>
  <c r="L44" i="4" s="1"/>
  <c r="E35" i="33"/>
  <c r="E45" i="4" s="1"/>
  <c r="I35" i="33"/>
  <c r="I45" i="4" s="1"/>
  <c r="B32" i="33"/>
  <c r="B42" i="4" s="1"/>
  <c r="E32" i="33"/>
  <c r="I32" i="33"/>
  <c r="M32" i="33"/>
  <c r="B33" i="33"/>
  <c r="B43" i="4" s="1"/>
  <c r="E33" i="33"/>
  <c r="E43" i="4" s="1"/>
  <c r="I33" i="33"/>
  <c r="I43" i="4" s="1"/>
  <c r="M33" i="33"/>
  <c r="M43" i="4" s="1"/>
  <c r="B34" i="33"/>
  <c r="B44" i="4" s="1"/>
  <c r="E34" i="33"/>
  <c r="E44" i="4" s="1"/>
  <c r="I34" i="33"/>
  <c r="I44" i="4" s="1"/>
  <c r="M34" i="33"/>
  <c r="M44" i="4" s="1"/>
  <c r="F35" i="33"/>
  <c r="F45" i="4" s="1"/>
  <c r="J35" i="33"/>
  <c r="J45" i="4" s="1"/>
  <c r="I38" i="4"/>
  <c r="E38" i="4"/>
  <c r="R38" i="4"/>
  <c r="B22" i="33"/>
  <c r="E22" i="33"/>
  <c r="I45" i="33"/>
  <c r="I52" i="33"/>
  <c r="I27" i="33"/>
  <c r="P38" i="4"/>
  <c r="B27" i="33"/>
  <c r="B52" i="33" s="1"/>
  <c r="Q38" i="4"/>
  <c r="D27" i="33"/>
  <c r="D52" i="33" s="1"/>
  <c r="I22" i="33"/>
  <c r="E27" i="33"/>
  <c r="E52" i="33" s="1"/>
  <c r="D45" i="33"/>
  <c r="F22" i="33"/>
  <c r="F45" i="33"/>
  <c r="G22" i="33"/>
  <c r="G27" i="33"/>
  <c r="G52" i="33" s="1"/>
  <c r="C22" i="33"/>
  <c r="C27" i="33"/>
  <c r="C52" i="33" s="1"/>
  <c r="H27" i="33"/>
  <c r="H52" i="33" s="1"/>
  <c r="H45" i="33"/>
  <c r="J56" i="33"/>
  <c r="V56" i="33"/>
  <c r="O56" i="33"/>
  <c r="D56" i="33"/>
  <c r="I56" i="33"/>
  <c r="L56" i="33"/>
  <c r="Q56" i="33"/>
  <c r="G56" i="33"/>
  <c r="F56" i="33"/>
  <c r="K56" i="33"/>
  <c r="H56" i="33"/>
  <c r="P56" i="33"/>
  <c r="U56" i="33"/>
  <c r="T56" i="33"/>
  <c r="E56" i="33"/>
  <c r="C56" i="33"/>
  <c r="R56" i="33"/>
  <c r="M56" i="33"/>
  <c r="B56" i="33"/>
  <c r="S56" i="33"/>
  <c r="B46" i="33" l="1"/>
  <c r="S47" i="33"/>
  <c r="S48" i="33" s="1"/>
  <c r="S54" i="33" s="1"/>
  <c r="U47" i="33"/>
  <c r="U48" i="33" s="1"/>
  <c r="U54" i="33" s="1"/>
  <c r="J46" i="33"/>
  <c r="J53" i="33" s="1"/>
  <c r="V46" i="33"/>
  <c r="V53" i="33" s="1"/>
  <c r="E47" i="33"/>
  <c r="E48" i="33" s="1"/>
  <c r="E54" i="33" s="1"/>
  <c r="T46" i="33"/>
  <c r="T53" i="33" s="1"/>
  <c r="R46" i="33"/>
  <c r="R53" i="33" s="1"/>
  <c r="R55" i="33" s="1"/>
  <c r="D47" i="33"/>
  <c r="P47" i="33"/>
  <c r="P48" i="33" s="1"/>
  <c r="P54" i="33" s="1"/>
  <c r="M47" i="33"/>
  <c r="M48" i="33" s="1"/>
  <c r="M54" i="33" s="1"/>
  <c r="G46" i="33"/>
  <c r="G53" i="33" s="1"/>
  <c r="L47" i="33"/>
  <c r="P46" i="33"/>
  <c r="P53" i="33" s="1"/>
  <c r="S57" i="33"/>
  <c r="V57" i="33"/>
  <c r="T57" i="33"/>
  <c r="U57" i="33"/>
  <c r="R57" i="33"/>
  <c r="P57" i="33"/>
  <c r="Q57" i="33"/>
  <c r="V47" i="33"/>
  <c r="V48" i="33" s="1"/>
  <c r="V54" i="33" s="1"/>
  <c r="I46" i="33"/>
  <c r="I53" i="33" s="1"/>
  <c r="D46" i="33"/>
  <c r="D53" i="33" s="1"/>
  <c r="O46" i="33"/>
  <c r="O53" i="33" s="1"/>
  <c r="O55" i="33" s="1"/>
  <c r="T40" i="4"/>
  <c r="R47" i="33"/>
  <c r="R48" i="33" s="1"/>
  <c r="R54" i="33" s="1"/>
  <c r="Q46" i="33"/>
  <c r="Q53" i="33" s="1"/>
  <c r="U46" i="33"/>
  <c r="U53" i="33" s="1"/>
  <c r="U55" i="33" s="1"/>
  <c r="S46" i="33"/>
  <c r="S53" i="33" s="1"/>
  <c r="J47" i="33"/>
  <c r="J48" i="33" s="1"/>
  <c r="J54" i="33" s="1"/>
  <c r="Q47" i="33"/>
  <c r="Q48" i="33" s="1"/>
  <c r="Q54" i="33" s="1"/>
  <c r="T47" i="33"/>
  <c r="T48" i="33" s="1"/>
  <c r="T54" i="33" s="1"/>
  <c r="P40" i="4"/>
  <c r="C46" i="33"/>
  <c r="C53" i="33" s="1"/>
  <c r="M46" i="33"/>
  <c r="M53" i="33" s="1"/>
  <c r="L46" i="33"/>
  <c r="L53" i="33" s="1"/>
  <c r="G47" i="33"/>
  <c r="G48" i="33" s="1"/>
  <c r="G54" i="33" s="1"/>
  <c r="F46" i="33"/>
  <c r="F53" i="33" s="1"/>
  <c r="I47" i="33"/>
  <c r="I48" i="33" s="1"/>
  <c r="I54" i="33" s="1"/>
  <c r="O57" i="33"/>
  <c r="P59" i="33" s="1"/>
  <c r="B47" i="33"/>
  <c r="B48" i="33" s="1"/>
  <c r="B54" i="33" s="1"/>
  <c r="H47" i="33"/>
  <c r="H48" i="33" s="1"/>
  <c r="H54" i="33" s="1"/>
  <c r="O47" i="33"/>
  <c r="O48" i="33" s="1"/>
  <c r="O54" i="33" s="1"/>
  <c r="L38" i="4"/>
  <c r="C47" i="33"/>
  <c r="C48" i="33" s="1"/>
  <c r="C54" i="33" s="1"/>
  <c r="E46" i="33"/>
  <c r="E53" i="33" s="1"/>
  <c r="H46" i="33"/>
  <c r="H53" i="33" s="1"/>
  <c r="F47" i="33"/>
  <c r="F48" i="33" s="1"/>
  <c r="F54" i="33" s="1"/>
  <c r="O41" i="4"/>
  <c r="K57" i="33"/>
  <c r="M57" i="33"/>
  <c r="L57" i="33"/>
  <c r="G57" i="33"/>
  <c r="I57" i="33"/>
  <c r="H57" i="33"/>
  <c r="C57" i="33"/>
  <c r="J57" i="33"/>
  <c r="E57" i="33"/>
  <c r="D57" i="33"/>
  <c r="F57" i="33"/>
  <c r="B57" i="33"/>
  <c r="K46" i="33"/>
  <c r="K53" i="33" s="1"/>
  <c r="M42" i="4"/>
  <c r="D48" i="33"/>
  <c r="D54" i="33" s="1"/>
  <c r="K38" i="4"/>
  <c r="I42" i="4"/>
  <c r="L48" i="33"/>
  <c r="L54" i="33" s="1"/>
  <c r="K47" i="33"/>
  <c r="K48" i="33" s="1"/>
  <c r="K54" i="33" s="1"/>
  <c r="E42" i="4"/>
  <c r="B53" i="33"/>
  <c r="V55" i="33" l="1"/>
  <c r="S55" i="33"/>
  <c r="P55" i="33"/>
  <c r="M55" i="33"/>
  <c r="R59" i="33"/>
  <c r="R60" i="33" s="1"/>
  <c r="R61" i="33" s="1"/>
  <c r="T59" i="33"/>
  <c r="T60" i="33" s="1"/>
  <c r="T61" i="33" s="1"/>
  <c r="V59" i="33"/>
  <c r="T55" i="33"/>
  <c r="Q55" i="33"/>
  <c r="Q59" i="33"/>
  <c r="M59" i="33"/>
  <c r="S59" i="33"/>
  <c r="U59" i="33"/>
  <c r="U60" i="33" s="1"/>
  <c r="U61" i="33" s="1"/>
  <c r="K59" i="33"/>
  <c r="K60" i="33" s="1"/>
  <c r="K61" i="33" s="1"/>
  <c r="B64" i="33"/>
  <c r="F59" i="33"/>
  <c r="B65" i="33"/>
  <c r="I59" i="33"/>
  <c r="E59" i="33"/>
  <c r="H59" i="33"/>
  <c r="H60" i="33" s="1"/>
  <c r="H61" i="33" s="1"/>
  <c r="J59" i="33"/>
  <c r="J60" i="33" s="1"/>
  <c r="J61" i="33" s="1"/>
  <c r="L59" i="33"/>
  <c r="L60" i="33" s="1"/>
  <c r="L61" i="33" s="1"/>
  <c r="D59" i="33"/>
  <c r="D60" i="33" s="1"/>
  <c r="D61" i="33" s="1"/>
  <c r="O59" i="33"/>
  <c r="O60" i="33" s="1"/>
  <c r="O61" i="33" s="1"/>
  <c r="C59" i="33"/>
  <c r="C60" i="33" s="1"/>
  <c r="C61" i="33" s="1"/>
  <c r="G59" i="33"/>
  <c r="G60" i="33" s="1"/>
  <c r="G61" i="33" s="1"/>
  <c r="V60" i="33"/>
  <c r="V61" i="33" s="1"/>
  <c r="P60" i="33"/>
  <c r="P61" i="33" s="1"/>
  <c r="M60" i="33"/>
  <c r="M61" i="33" s="1"/>
  <c r="I60" i="33"/>
  <c r="I61" i="33" s="1"/>
  <c r="F60" i="33"/>
  <c r="F61" i="33" s="1"/>
  <c r="D55" i="33"/>
  <c r="B55" i="33"/>
  <c r="K55" i="33"/>
  <c r="L55" i="33"/>
  <c r="G55" i="33"/>
  <c r="F55" i="33"/>
  <c r="C55" i="33"/>
  <c r="J55" i="33"/>
  <c r="H55" i="33"/>
  <c r="I55" i="33"/>
  <c r="E55" i="33"/>
  <c r="S60" i="33"/>
  <c r="Q60" i="33"/>
  <c r="E60" i="33"/>
  <c r="Q61" i="33" l="1"/>
  <c r="E61" i="33"/>
  <c r="S61" i="33"/>
  <c r="M4" i="33"/>
  <c r="L4" i="33" l="1"/>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28" i="23"/>
  <c r="Q28" i="23"/>
  <c r="R28" i="23"/>
  <c r="S28" i="23"/>
  <c r="U28" i="23"/>
  <c r="U22" i="4" s="1"/>
  <c r="V28" i="23"/>
  <c r="R29" i="23"/>
  <c r="R23" i="4" s="1"/>
  <c r="V29" i="23"/>
  <c r="V23" i="4" s="1"/>
  <c r="P30" i="23"/>
  <c r="P24" i="4" s="1"/>
  <c r="T30" i="23"/>
  <c r="T24" i="4" s="1"/>
  <c r="Q31" i="23"/>
  <c r="Q25" i="4" s="1"/>
  <c r="U31" i="23"/>
  <c r="U25" i="4" s="1"/>
  <c r="Q32" i="23"/>
  <c r="Q26" i="4" s="1"/>
  <c r="U32" i="23"/>
  <c r="U26" i="4" s="1"/>
  <c r="P33" i="23"/>
  <c r="P27" i="4" s="1"/>
  <c r="T33" i="23"/>
  <c r="R34" i="23"/>
  <c r="R28" i="4" s="1"/>
  <c r="V34" i="23"/>
  <c r="V28" i="4" s="1"/>
  <c r="Q35" i="23"/>
  <c r="Q29" i="4" s="1"/>
  <c r="U35" i="23"/>
  <c r="V35" i="23"/>
  <c r="V29" i="4" s="1"/>
  <c r="P36" i="23"/>
  <c r="P30" i="4" s="1"/>
  <c r="Q36" i="23"/>
  <c r="Q30" i="4" s="1"/>
  <c r="R36" i="23"/>
  <c r="R30" i="4" s="1"/>
  <c r="S36" i="23"/>
  <c r="T36" i="23"/>
  <c r="T30" i="4" s="1"/>
  <c r="U36" i="23"/>
  <c r="U30" i="4" s="1"/>
  <c r="V36" i="23"/>
  <c r="V30" i="4" s="1"/>
  <c r="P37" i="23"/>
  <c r="P31" i="4" s="1"/>
  <c r="Q37" i="23"/>
  <c r="Q31" i="4" s="1"/>
  <c r="R37" i="23"/>
  <c r="R31" i="4" s="1"/>
  <c r="S37" i="23"/>
  <c r="S31" i="4" s="1"/>
  <c r="T37" i="23"/>
  <c r="T31" i="4" s="1"/>
  <c r="U37" i="23"/>
  <c r="U31" i="4" s="1"/>
  <c r="V37" i="23"/>
  <c r="V31" i="4" s="1"/>
  <c r="P38" i="23"/>
  <c r="P32" i="4" s="1"/>
  <c r="Q38" i="23"/>
  <c r="Q32" i="4" s="1"/>
  <c r="R38" i="23"/>
  <c r="R32" i="4" s="1"/>
  <c r="S38" i="23"/>
  <c r="T38" i="23"/>
  <c r="T32" i="4" s="1"/>
  <c r="U38" i="23"/>
  <c r="U32" i="4" s="1"/>
  <c r="V38" i="23"/>
  <c r="V32" i="4" s="1"/>
  <c r="P39" i="23"/>
  <c r="P33" i="4" s="1"/>
  <c r="Q39" i="23"/>
  <c r="Q33" i="4" s="1"/>
  <c r="R39" i="23"/>
  <c r="R33" i="4" s="1"/>
  <c r="S39" i="23"/>
  <c r="S33" i="4" s="1"/>
  <c r="T39" i="23"/>
  <c r="T33" i="4" s="1"/>
  <c r="U39" i="23"/>
  <c r="V39" i="23"/>
  <c r="V33" i="4" s="1"/>
  <c r="P40" i="23"/>
  <c r="P34" i="4" s="1"/>
  <c r="Q40" i="23"/>
  <c r="Q34" i="4" s="1"/>
  <c r="R40" i="23"/>
  <c r="R34" i="4" s="1"/>
  <c r="S40" i="23"/>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T42" i="23"/>
  <c r="T36" i="4" s="1"/>
  <c r="U42" i="23"/>
  <c r="U36" i="4" s="1"/>
  <c r="V42" i="23"/>
  <c r="V36" i="4" s="1"/>
  <c r="P43" i="23"/>
  <c r="Q43" i="23"/>
  <c r="R43" i="23"/>
  <c r="S43" i="23"/>
  <c r="T43" i="23"/>
  <c r="U43" i="23"/>
  <c r="V43" i="23"/>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U37" i="4"/>
  <c r="Q37" i="4"/>
  <c r="I43" i="23"/>
  <c r="H43" i="23"/>
  <c r="G43" i="23"/>
  <c r="F43" i="23"/>
  <c r="E43" i="23"/>
  <c r="D43" i="23"/>
  <c r="C43" i="23"/>
  <c r="B43" i="23"/>
  <c r="S36" i="4"/>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S34" i="4"/>
  <c r="I40" i="23"/>
  <c r="I34" i="4" s="1"/>
  <c r="H40" i="23"/>
  <c r="H34" i="4" s="1"/>
  <c r="G40" i="23"/>
  <c r="G34" i="4" s="1"/>
  <c r="F40" i="23"/>
  <c r="F34" i="4" s="1"/>
  <c r="E40" i="23"/>
  <c r="E34" i="4" s="1"/>
  <c r="D40" i="23"/>
  <c r="D34" i="4" s="1"/>
  <c r="C40" i="23"/>
  <c r="C34" i="4" s="1"/>
  <c r="B40" i="23"/>
  <c r="B34" i="4" s="1"/>
  <c r="U33" i="4"/>
  <c r="I39" i="23"/>
  <c r="I33" i="4" s="1"/>
  <c r="H39" i="23"/>
  <c r="H33" i="4" s="1"/>
  <c r="G39" i="23"/>
  <c r="G33" i="4" s="1"/>
  <c r="F39" i="23"/>
  <c r="F33" i="4" s="1"/>
  <c r="E39" i="23"/>
  <c r="E33" i="4" s="1"/>
  <c r="D39" i="23"/>
  <c r="D33" i="4" s="1"/>
  <c r="C39" i="23"/>
  <c r="C33" i="4" s="1"/>
  <c r="B39" i="23"/>
  <c r="B33" i="4" s="1"/>
  <c r="S32" i="4"/>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S30" i="4"/>
  <c r="I36" i="23"/>
  <c r="I30" i="4" s="1"/>
  <c r="H36" i="23"/>
  <c r="H30" i="4" s="1"/>
  <c r="G36" i="23"/>
  <c r="G30" i="4" s="1"/>
  <c r="F36" i="23"/>
  <c r="F30" i="4" s="1"/>
  <c r="E36" i="23"/>
  <c r="E30" i="4" s="1"/>
  <c r="D36" i="23"/>
  <c r="D30" i="4" s="1"/>
  <c r="C36" i="23"/>
  <c r="C30" i="4" s="1"/>
  <c r="B36" i="23"/>
  <c r="B30" i="4" s="1"/>
  <c r="S22" i="4"/>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J42" i="23"/>
  <c r="J36" i="4" s="1"/>
  <c r="J38" i="23"/>
  <c r="J32" i="4" s="1"/>
  <c r="J41" i="23"/>
  <c r="J35" i="4" s="1"/>
  <c r="J37" i="23"/>
  <c r="J31" i="4" s="1"/>
  <c r="J43" i="23"/>
  <c r="J39" i="23"/>
  <c r="J33" i="4" s="1"/>
  <c r="P22" i="23"/>
  <c r="S23" i="1"/>
  <c r="T23" i="1"/>
  <c r="U23" i="1"/>
  <c r="V23" i="1"/>
  <c r="S24" i="1"/>
  <c r="T24" i="1"/>
  <c r="U24" i="1"/>
  <c r="V24" i="1"/>
  <c r="L23" i="1"/>
  <c r="M23" i="1"/>
  <c r="L24" i="1"/>
  <c r="M24" i="1"/>
  <c r="O9" i="12"/>
  <c r="O10" i="12" s="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P28" i="1"/>
  <c r="Q33" i="1"/>
  <c r="Q11"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O41" i="23" l="1"/>
  <c r="O35" i="4" s="1"/>
  <c r="G29" i="23"/>
  <c r="G23" i="4" s="1"/>
  <c r="H29" i="23"/>
  <c r="H23" i="4" s="1"/>
  <c r="G34" i="23"/>
  <c r="G28" i="4" s="1"/>
  <c r="J29" i="23"/>
  <c r="J23" i="4" s="1"/>
  <c r="L30" i="23"/>
  <c r="L24" i="4" s="1"/>
  <c r="M28" i="23"/>
  <c r="T35" i="23"/>
  <c r="T29" i="4" s="1"/>
  <c r="P35" i="23"/>
  <c r="P29" i="4" s="1"/>
  <c r="U34" i="23"/>
  <c r="U28" i="4" s="1"/>
  <c r="Q34" i="23"/>
  <c r="Q28" i="4" s="1"/>
  <c r="S33" i="23"/>
  <c r="S27" i="4" s="1"/>
  <c r="T32" i="23"/>
  <c r="T26" i="4" s="1"/>
  <c r="P32" i="23"/>
  <c r="P26" i="4" s="1"/>
  <c r="T31" i="23"/>
  <c r="T25" i="4" s="1"/>
  <c r="P31" i="23"/>
  <c r="P25" i="4" s="1"/>
  <c r="S30" i="23"/>
  <c r="S24" i="4" s="1"/>
  <c r="U29" i="23"/>
  <c r="Q29" i="23"/>
  <c r="T28" i="23"/>
  <c r="S35" i="23"/>
  <c r="S29" i="4" s="1"/>
  <c r="T34" i="23"/>
  <c r="T28" i="4" s="1"/>
  <c r="P34" i="23"/>
  <c r="P28" i="4" s="1"/>
  <c r="V33" i="23"/>
  <c r="V27" i="4" s="1"/>
  <c r="R33" i="23"/>
  <c r="R27" i="4" s="1"/>
  <c r="S32" i="23"/>
  <c r="S26" i="4" s="1"/>
  <c r="S31" i="23"/>
  <c r="S25" i="4" s="1"/>
  <c r="V30" i="23"/>
  <c r="R30" i="23"/>
  <c r="T29" i="23"/>
  <c r="T23" i="4" s="1"/>
  <c r="P29" i="23"/>
  <c r="R35" i="23"/>
  <c r="R29" i="4" s="1"/>
  <c r="S34" i="23"/>
  <c r="S28" i="4" s="1"/>
  <c r="U33" i="23"/>
  <c r="U27" i="4" s="1"/>
  <c r="Q33" i="23"/>
  <c r="Q27" i="4" s="1"/>
  <c r="V32" i="23"/>
  <c r="V26" i="4" s="1"/>
  <c r="R32" i="23"/>
  <c r="R26" i="4" s="1"/>
  <c r="V31" i="23"/>
  <c r="V25" i="4" s="1"/>
  <c r="R31" i="23"/>
  <c r="R25" i="4" s="1"/>
  <c r="U30" i="23"/>
  <c r="U24" i="4" s="1"/>
  <c r="Q30" i="23"/>
  <c r="Q24" i="4" s="1"/>
  <c r="S29" i="23"/>
  <c r="J34" i="23"/>
  <c r="J28" i="4" s="1"/>
  <c r="J32" i="23"/>
  <c r="J26" i="4" s="1"/>
  <c r="L34" i="23"/>
  <c r="L28" i="4" s="1"/>
  <c r="O42" i="23"/>
  <c r="O36" i="4" s="1"/>
  <c r="I30" i="23"/>
  <c r="I24" i="4" s="1"/>
  <c r="J31" i="23"/>
  <c r="J25" i="4" s="1"/>
  <c r="J35" i="23"/>
  <c r="J29" i="4" s="1"/>
  <c r="J33" i="23"/>
  <c r="J27" i="4" s="1"/>
  <c r="I32" i="23"/>
  <c r="I26" i="4" s="1"/>
  <c r="E34" i="23"/>
  <c r="E28" i="4" s="1"/>
  <c r="H30" i="23"/>
  <c r="H24" i="4" s="1"/>
  <c r="H34" i="23"/>
  <c r="H28" i="4" s="1"/>
  <c r="K28" i="23"/>
  <c r="K22" i="4" s="1"/>
  <c r="O40" i="23"/>
  <c r="O34" i="4" s="1"/>
  <c r="I31" i="23"/>
  <c r="I25" i="4" s="1"/>
  <c r="J28" i="23"/>
  <c r="J22" i="4" s="1"/>
  <c r="O36" i="23"/>
  <c r="O30" i="4" s="1"/>
  <c r="H32" i="23"/>
  <c r="H26" i="4" s="1"/>
  <c r="I29" i="23"/>
  <c r="I23" i="4" s="1"/>
  <c r="I33" i="23"/>
  <c r="I27" i="4" s="1"/>
  <c r="O33" i="23"/>
  <c r="O27" i="4" s="1"/>
  <c r="I35" i="23"/>
  <c r="I29" i="4" s="1"/>
  <c r="H28" i="23"/>
  <c r="H22" i="4" s="1"/>
  <c r="I28" i="23"/>
  <c r="I22" i="4" s="1"/>
  <c r="D33" i="23"/>
  <c r="D27" i="4" s="1"/>
  <c r="H35" i="23"/>
  <c r="H29" i="4" s="1"/>
  <c r="J30" i="23"/>
  <c r="J24" i="4" s="1"/>
  <c r="F34" i="23"/>
  <c r="F28" i="4" s="1"/>
  <c r="F28" i="23"/>
  <c r="G31" i="23"/>
  <c r="G25" i="4" s="1"/>
  <c r="C35" i="23"/>
  <c r="C29" i="4" s="1"/>
  <c r="K31" i="23"/>
  <c r="K25" i="4" s="1"/>
  <c r="M30" i="23"/>
  <c r="M24" i="4" s="1"/>
  <c r="O43" i="23"/>
  <c r="O37" i="4" s="1"/>
  <c r="O39" i="23"/>
  <c r="O33" i="4" s="1"/>
  <c r="K33" i="23"/>
  <c r="K27" i="4" s="1"/>
  <c r="O29" i="23"/>
  <c r="O23" i="4" s="1"/>
  <c r="H31" i="23"/>
  <c r="F31" i="23"/>
  <c r="F25" i="4" s="1"/>
  <c r="H33" i="23"/>
  <c r="H27" i="4" s="1"/>
  <c r="I34" i="23"/>
  <c r="E33" i="23"/>
  <c r="E27" i="4" s="1"/>
  <c r="E30" i="23"/>
  <c r="E24" i="4" s="1"/>
  <c r="L29" i="23"/>
  <c r="L23" i="4" s="1"/>
  <c r="M35" i="23"/>
  <c r="M29" i="4" s="1"/>
  <c r="O35" i="23"/>
  <c r="O29" i="4" s="1"/>
  <c r="L35" i="23"/>
  <c r="L29" i="4" s="1"/>
  <c r="K34" i="23"/>
  <c r="K28" i="4" s="1"/>
  <c r="M32" i="23"/>
  <c r="M26" i="4" s="1"/>
  <c r="K29" i="23"/>
  <c r="K35" i="23"/>
  <c r="K29" i="4" s="1"/>
  <c r="M33" i="23"/>
  <c r="M27" i="4" s="1"/>
  <c r="L32" i="23"/>
  <c r="L26" i="4" s="1"/>
  <c r="M31" i="23"/>
  <c r="M25" i="4" s="1"/>
  <c r="K30" i="23"/>
  <c r="K24" i="4" s="1"/>
  <c r="M34" i="23"/>
  <c r="M28" i="4" s="1"/>
  <c r="L33" i="23"/>
  <c r="L27" i="4" s="1"/>
  <c r="K32" i="23"/>
  <c r="K26" i="4" s="1"/>
  <c r="L31" i="23"/>
  <c r="L25" i="4" s="1"/>
  <c r="M29" i="23"/>
  <c r="L28" i="23"/>
  <c r="L22" i="4" s="1"/>
  <c r="D35" i="23"/>
  <c r="D29" i="4" s="1"/>
  <c r="D32" i="23"/>
  <c r="D26" i="4" s="1"/>
  <c r="E28" i="23"/>
  <c r="E22" i="4" s="1"/>
  <c r="F35" i="23"/>
  <c r="F29" i="4" s="1"/>
  <c r="F30" i="23"/>
  <c r="F24" i="4" s="1"/>
  <c r="D30" i="23"/>
  <c r="D24" i="4" s="1"/>
  <c r="F32" i="23"/>
  <c r="F26" i="4" s="1"/>
  <c r="G35" i="23"/>
  <c r="G29" i="4" s="1"/>
  <c r="C28" i="23"/>
  <c r="C22" i="4" s="1"/>
  <c r="G32" i="23"/>
  <c r="G26" i="4" s="1"/>
  <c r="G33" i="23"/>
  <c r="G27" i="4" s="1"/>
  <c r="C30" i="23"/>
  <c r="C24" i="4" s="1"/>
  <c r="D28" i="23"/>
  <c r="D22" i="4" s="1"/>
  <c r="C33" i="23"/>
  <c r="C27" i="4" s="1"/>
  <c r="E29" i="23"/>
  <c r="E23" i="4" s="1"/>
  <c r="D34" i="23"/>
  <c r="D28" i="4" s="1"/>
  <c r="D31" i="23"/>
  <c r="D25" i="4" s="1"/>
  <c r="E32" i="23"/>
  <c r="E26" i="4" s="1"/>
  <c r="C32" i="23"/>
  <c r="C26" i="4" s="1"/>
  <c r="G28" i="23"/>
  <c r="F33" i="23"/>
  <c r="F27" i="4" s="1"/>
  <c r="E35" i="23"/>
  <c r="E29" i="4" s="1"/>
  <c r="D29" i="23"/>
  <c r="D23" i="4" s="1"/>
  <c r="G30" i="23"/>
  <c r="G24" i="4" s="1"/>
  <c r="C34" i="23"/>
  <c r="C28" i="4" s="1"/>
  <c r="C29" i="23"/>
  <c r="C23" i="4" s="1"/>
  <c r="E31" i="23"/>
  <c r="E25" i="4" s="1"/>
  <c r="C31" i="23"/>
  <c r="C25" i="4" s="1"/>
  <c r="F29" i="23"/>
  <c r="R33" i="1"/>
  <c r="R11" i="4" s="1"/>
  <c r="T35" i="1"/>
  <c r="T13" i="4" s="1"/>
  <c r="V34" i="1"/>
  <c r="V12" i="4" s="1"/>
  <c r="S33" i="1"/>
  <c r="S11" i="4" s="1"/>
  <c r="V32" i="1"/>
  <c r="V10" i="4" s="1"/>
  <c r="T31" i="1"/>
  <c r="T9" i="4" s="1"/>
  <c r="S30" i="1"/>
  <c r="S8" i="4" s="1"/>
  <c r="U29" i="1"/>
  <c r="U7" i="4" s="1"/>
  <c r="U28" i="1"/>
  <c r="O43" i="1"/>
  <c r="Q28" i="1"/>
  <c r="Q6" i="4" s="1"/>
  <c r="O32" i="1"/>
  <c r="O10" i="4" s="1"/>
  <c r="S35" i="1"/>
  <c r="S13" i="4" s="1"/>
  <c r="U34" i="1"/>
  <c r="U12" i="4" s="1"/>
  <c r="V33" i="1"/>
  <c r="V11" i="4" s="1"/>
  <c r="U32" i="1"/>
  <c r="U10" i="4" s="1"/>
  <c r="S31" i="1"/>
  <c r="S9" i="4" s="1"/>
  <c r="V30" i="1"/>
  <c r="V8" i="4" s="1"/>
  <c r="T29" i="1"/>
  <c r="T7" i="4" s="1"/>
  <c r="T28" i="1"/>
  <c r="P33" i="1"/>
  <c r="P11" i="4" s="1"/>
  <c r="Q34" i="1"/>
  <c r="Q12" i="4" s="1"/>
  <c r="V35" i="1"/>
  <c r="V13" i="4" s="1"/>
  <c r="T34" i="1"/>
  <c r="T12" i="4" s="1"/>
  <c r="U33" i="1"/>
  <c r="U11" i="4" s="1"/>
  <c r="T32" i="1"/>
  <c r="T10" i="4" s="1"/>
  <c r="V31" i="1"/>
  <c r="V9" i="4" s="1"/>
  <c r="U30" i="1"/>
  <c r="U8" i="4" s="1"/>
  <c r="S29" i="1"/>
  <c r="S7" i="4" s="1"/>
  <c r="S28" i="1"/>
  <c r="Q35" i="1"/>
  <c r="Q13" i="4" s="1"/>
  <c r="P30" i="1"/>
  <c r="P8" i="4" s="1"/>
  <c r="Q31" i="1"/>
  <c r="Q9" i="4" s="1"/>
  <c r="U35" i="1"/>
  <c r="U13" i="4" s="1"/>
  <c r="S34" i="1"/>
  <c r="S12" i="4" s="1"/>
  <c r="T33" i="1"/>
  <c r="T11" i="4" s="1"/>
  <c r="S32" i="1"/>
  <c r="S10" i="4" s="1"/>
  <c r="U31" i="1"/>
  <c r="U9" i="4" s="1"/>
  <c r="T30" i="1"/>
  <c r="T8" i="4" s="1"/>
  <c r="V29" i="1"/>
  <c r="V7" i="4" s="1"/>
  <c r="V28" i="1"/>
  <c r="O38" i="1"/>
  <c r="O16" i="4" s="1"/>
  <c r="O41" i="1"/>
  <c r="O19" i="4" s="1"/>
  <c r="O40" i="1"/>
  <c r="O18" i="4" s="1"/>
  <c r="F29" i="1"/>
  <c r="F7" i="4" s="1"/>
  <c r="E29" i="1"/>
  <c r="E7" i="4" s="1"/>
  <c r="E30" i="1"/>
  <c r="E8" i="4" s="1"/>
  <c r="E35" i="1"/>
  <c r="E13" i="4" s="1"/>
  <c r="E33" i="1"/>
  <c r="E11" i="4" s="1"/>
  <c r="G35" i="1"/>
  <c r="G13" i="4" s="1"/>
  <c r="O42" i="1"/>
  <c r="O20" i="4" s="1"/>
  <c r="O39" i="1"/>
  <c r="O17" i="4" s="1"/>
  <c r="I34" i="1"/>
  <c r="I12" i="4" s="1"/>
  <c r="H30" i="1"/>
  <c r="H8" i="4" s="1"/>
  <c r="G30" i="1"/>
  <c r="G8" i="4" s="1"/>
  <c r="F30" i="1"/>
  <c r="I30" i="1"/>
  <c r="I8" i="4" s="1"/>
  <c r="G29" i="1"/>
  <c r="G7" i="4" s="1"/>
  <c r="J34" i="1"/>
  <c r="J12" i="4" s="1"/>
  <c r="I33" i="1"/>
  <c r="I11" i="4" s="1"/>
  <c r="H35" i="1"/>
  <c r="H13" i="4" s="1"/>
  <c r="M28" i="1"/>
  <c r="M6" i="4" s="1"/>
  <c r="G34" i="1"/>
  <c r="G12" i="4" s="1"/>
  <c r="F34" i="1"/>
  <c r="F12" i="4" s="1"/>
  <c r="I29" i="1"/>
  <c r="H33" i="1"/>
  <c r="H11" i="4" s="1"/>
  <c r="H31" i="1"/>
  <c r="P34" i="1"/>
  <c r="P12" i="4" s="1"/>
  <c r="F33" i="1"/>
  <c r="F11" i="4" s="1"/>
  <c r="C35" i="1"/>
  <c r="C13" i="4" s="1"/>
  <c r="H32" i="1"/>
  <c r="H10" i="4" s="1"/>
  <c r="F35" i="1"/>
  <c r="F13" i="4" s="1"/>
  <c r="D33" i="1"/>
  <c r="D11" i="4" s="1"/>
  <c r="D35" i="1"/>
  <c r="D13" i="4" s="1"/>
  <c r="H34" i="1"/>
  <c r="H12" i="4" s="1"/>
  <c r="J33" i="1"/>
  <c r="J11" i="4" s="1"/>
  <c r="E32" i="1"/>
  <c r="E10" i="4" s="1"/>
  <c r="F32" i="1"/>
  <c r="F10" i="4" s="1"/>
  <c r="J29" i="1"/>
  <c r="J7" i="4" s="1"/>
  <c r="J28" i="1"/>
  <c r="J6" i="4" s="1"/>
  <c r="M34" i="1"/>
  <c r="M12" i="4" s="1"/>
  <c r="L33" i="1"/>
  <c r="L11" i="4" s="1"/>
  <c r="K30" i="1"/>
  <c r="K8" i="4" s="1"/>
  <c r="J32" i="1"/>
  <c r="M35" i="1"/>
  <c r="M13" i="4" s="1"/>
  <c r="L34" i="1"/>
  <c r="L12" i="4" s="1"/>
  <c r="K33" i="1"/>
  <c r="K11" i="4" s="1"/>
  <c r="M32" i="1"/>
  <c r="M10" i="4" s="1"/>
  <c r="M31" i="1"/>
  <c r="M9" i="4" s="1"/>
  <c r="M29" i="1"/>
  <c r="L28" i="1"/>
  <c r="L6" i="4" s="1"/>
  <c r="J35" i="1"/>
  <c r="J13" i="4" s="1"/>
  <c r="J31" i="1"/>
  <c r="J9" i="4" s="1"/>
  <c r="L35" i="1"/>
  <c r="L13" i="4" s="1"/>
  <c r="K34" i="1"/>
  <c r="K12" i="4" s="1"/>
  <c r="L32" i="1"/>
  <c r="L10" i="4" s="1"/>
  <c r="L31" i="1"/>
  <c r="L9" i="4" s="1"/>
  <c r="M30" i="1"/>
  <c r="M8" i="4" s="1"/>
  <c r="L29" i="1"/>
  <c r="L7" i="4" s="1"/>
  <c r="K28" i="1"/>
  <c r="C33" i="1"/>
  <c r="C11" i="4" s="1"/>
  <c r="J30" i="1"/>
  <c r="K35" i="1"/>
  <c r="K13" i="4" s="1"/>
  <c r="M33" i="1"/>
  <c r="M11" i="4" s="1"/>
  <c r="K32" i="1"/>
  <c r="K10" i="4" s="1"/>
  <c r="K31" i="1"/>
  <c r="K9" i="4" s="1"/>
  <c r="L30" i="1"/>
  <c r="L8" i="4" s="1"/>
  <c r="K29" i="1"/>
  <c r="K7" i="4" s="1"/>
  <c r="B33" i="1"/>
  <c r="B11" i="4" s="1"/>
  <c r="T6" i="4"/>
  <c r="M22" i="4"/>
  <c r="P6" i="4"/>
  <c r="S6" i="4"/>
  <c r="Q22" i="4"/>
  <c r="U6" i="4"/>
  <c r="P22"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B28" i="23"/>
  <c r="B30" i="23"/>
  <c r="B24" i="4" s="1"/>
  <c r="B34" i="23"/>
  <c r="B28" i="4" s="1"/>
  <c r="B35" i="23"/>
  <c r="O28" i="23"/>
  <c r="B31" i="23"/>
  <c r="B25" i="4" s="1"/>
  <c r="B29" i="23"/>
  <c r="B23" i="4" s="1"/>
  <c r="Q32" i="1"/>
  <c r="P32" i="1"/>
  <c r="P10" i="4" s="1"/>
  <c r="D4" i="4"/>
  <c r="O29" i="1"/>
  <c r="O7" i="4" s="1"/>
  <c r="B27" i="23"/>
  <c r="B52" i="23" s="1"/>
  <c r="K45" i="23"/>
  <c r="E27" i="23"/>
  <c r="E52" i="23" s="1"/>
  <c r="Q30" i="1"/>
  <c r="Q8" i="4" s="1"/>
  <c r="B29" i="1"/>
  <c r="B7" i="4" s="1"/>
  <c r="P35" i="1"/>
  <c r="P13" i="4" s="1"/>
  <c r="P31" i="1"/>
  <c r="P9" i="4" s="1"/>
  <c r="H22" i="23"/>
  <c r="P37" i="1"/>
  <c r="F22" i="23"/>
  <c r="O36" i="1"/>
  <c r="H45" i="23"/>
  <c r="R31" i="1"/>
  <c r="R9" i="4" s="1"/>
  <c r="R22" i="4"/>
  <c r="V22" i="4"/>
  <c r="U29" i="4"/>
  <c r="T27" i="4"/>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B32" i="1"/>
  <c r="D28" i="1"/>
  <c r="C32" i="1"/>
  <c r="B28" i="1"/>
  <c r="D32" i="1"/>
  <c r="B30" i="1"/>
  <c r="B8" i="4" s="1"/>
  <c r="C28" i="1"/>
  <c r="D31" i="1"/>
  <c r="D9" i="4" s="1"/>
  <c r="O28" i="1"/>
  <c r="C30" i="1"/>
  <c r="C8" i="4" s="1"/>
  <c r="C31" i="1"/>
  <c r="C9" i="4" s="1"/>
  <c r="D29" i="1"/>
  <c r="D7" i="4" s="1"/>
  <c r="D30" i="1"/>
  <c r="T46" i="1"/>
  <c r="T53" i="1" s="1"/>
  <c r="V6" i="4"/>
  <c r="G21" i="4"/>
  <c r="I21" i="4"/>
  <c r="F21" i="4"/>
  <c r="H21" i="4"/>
  <c r="E21" i="4"/>
  <c r="L52" i="23"/>
  <c r="D17" i="4"/>
  <c r="F8" i="4"/>
  <c r="H9" i="4"/>
  <c r="J10" i="4"/>
  <c r="C4" i="4"/>
  <c r="A47" i="22"/>
  <c r="G27" i="23"/>
  <c r="G52" i="23" s="1"/>
  <c r="A50" i="22"/>
  <c r="H50" i="22" s="1"/>
  <c r="K27" i="23"/>
  <c r="L22" i="1"/>
  <c r="I7" i="4"/>
  <c r="D27" i="1"/>
  <c r="D52" i="1" s="1"/>
  <c r="D45" i="1"/>
  <c r="D22" i="23"/>
  <c r="D45" i="23"/>
  <c r="D27" i="23"/>
  <c r="D52"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M56" i="23"/>
  <c r="C56" i="1"/>
  <c r="T56" i="23"/>
  <c r="R56" i="1"/>
  <c r="T56" i="1"/>
  <c r="J56" i="23"/>
  <c r="J56" i="1"/>
  <c r="I56" i="1"/>
  <c r="L56" i="1"/>
  <c r="D56" i="23"/>
  <c r="O56" i="23"/>
  <c r="K56" i="23"/>
  <c r="G56" i="1"/>
  <c r="B56" i="23"/>
  <c r="L56" i="23"/>
  <c r="H56" i="1"/>
  <c r="S56" i="23"/>
  <c r="F56" i="1"/>
  <c r="K56" i="1"/>
  <c r="Q56" i="23"/>
  <c r="R56" i="23"/>
  <c r="U56" i="1"/>
  <c r="L78" i="4"/>
  <c r="S56" i="1"/>
  <c r="V56" i="23"/>
  <c r="E56" i="1"/>
  <c r="F56" i="23"/>
  <c r="D56" i="1"/>
  <c r="I56" i="23"/>
  <c r="O56" i="1"/>
  <c r="P56" i="23"/>
  <c r="M56" i="1"/>
  <c r="Q56" i="1"/>
  <c r="P56" i="1"/>
  <c r="C56" i="23"/>
  <c r="U56" i="23"/>
  <c r="V56" i="1"/>
  <c r="B56" i="1"/>
  <c r="E56" i="23"/>
  <c r="H56" i="23"/>
  <c r="G56" i="23"/>
  <c r="P46" i="23" l="1"/>
  <c r="P53" i="23" s="1"/>
  <c r="S46" i="1"/>
  <c r="S53" i="1" s="1"/>
  <c r="F47" i="23"/>
  <c r="F48" i="23" s="1"/>
  <c r="F54" i="23" s="1"/>
  <c r="J46" i="23"/>
  <c r="J53" i="23" s="1"/>
  <c r="H46" i="23"/>
  <c r="H53" i="23" s="1"/>
  <c r="S47" i="23"/>
  <c r="S48" i="23" s="1"/>
  <c r="S54" i="23" s="1"/>
  <c r="E46" i="23"/>
  <c r="E53" i="23" s="1"/>
  <c r="Q46" i="23"/>
  <c r="Q53" i="23" s="1"/>
  <c r="R47" i="23"/>
  <c r="R48" i="23" s="1"/>
  <c r="R54" i="23" s="1"/>
  <c r="U47" i="23"/>
  <c r="U48" i="23" s="1"/>
  <c r="U54" i="23" s="1"/>
  <c r="P47" i="23"/>
  <c r="P48" i="23" s="1"/>
  <c r="P54" i="23" s="1"/>
  <c r="V47" i="23"/>
  <c r="V48" i="23" s="1"/>
  <c r="V54" i="23" s="1"/>
  <c r="U46" i="23"/>
  <c r="U53" i="23" s="1"/>
  <c r="S46" i="23"/>
  <c r="S53" i="23" s="1"/>
  <c r="J47" i="23"/>
  <c r="J48" i="23" s="1"/>
  <c r="J54" i="23" s="1"/>
  <c r="Q47" i="23"/>
  <c r="Q48" i="23" s="1"/>
  <c r="Q54" i="23" s="1"/>
  <c r="F22" i="4"/>
  <c r="T47" i="23"/>
  <c r="T48" i="23" s="1"/>
  <c r="T54" i="23" s="1"/>
  <c r="V46" i="23"/>
  <c r="V53" i="23" s="1"/>
  <c r="T46" i="23"/>
  <c r="T53" i="23" s="1"/>
  <c r="P23" i="4"/>
  <c r="R46" i="23"/>
  <c r="R53" i="23" s="1"/>
  <c r="V46" i="1"/>
  <c r="V53" i="1" s="1"/>
  <c r="S47" i="1"/>
  <c r="S48" i="1" s="1"/>
  <c r="S54" i="1" s="1"/>
  <c r="U47" i="1"/>
  <c r="U48" i="1" s="1"/>
  <c r="U54" i="1" s="1"/>
  <c r="V47" i="1"/>
  <c r="V48" i="1" s="1"/>
  <c r="V54" i="1" s="1"/>
  <c r="T47" i="1"/>
  <c r="T48" i="1" s="1"/>
  <c r="T54" i="1" s="1"/>
  <c r="U46" i="1"/>
  <c r="U53" i="1" s="1"/>
  <c r="F46" i="1"/>
  <c r="F53" i="1" s="1"/>
  <c r="P57" i="23"/>
  <c r="Q57" i="23"/>
  <c r="S57" i="23"/>
  <c r="U57" i="23"/>
  <c r="R57" i="23"/>
  <c r="V57" i="23"/>
  <c r="T57" i="23"/>
  <c r="Q23" i="4"/>
  <c r="M47" i="23"/>
  <c r="M48" i="23" s="1"/>
  <c r="M54" i="23" s="1"/>
  <c r="S23" i="4"/>
  <c r="S63" i="4" s="1"/>
  <c r="S64" i="4" s="1"/>
  <c r="U23" i="4"/>
  <c r="U63" i="4" s="1"/>
  <c r="U64" i="4" s="1"/>
  <c r="R24" i="4"/>
  <c r="V24" i="4"/>
  <c r="V57" i="4" s="1"/>
  <c r="V58" i="4" s="1"/>
  <c r="V76" i="4" s="1"/>
  <c r="T22" i="4"/>
  <c r="J57" i="23"/>
  <c r="I46" i="23"/>
  <c r="I53" i="23" s="1"/>
  <c r="M46" i="23"/>
  <c r="M53" i="23" s="1"/>
  <c r="F46" i="23"/>
  <c r="F53" i="23" s="1"/>
  <c r="C47" i="23"/>
  <c r="C48" i="23" s="1"/>
  <c r="C54" i="23" s="1"/>
  <c r="C46" i="23"/>
  <c r="C53" i="23" s="1"/>
  <c r="E47" i="23"/>
  <c r="E48" i="23" s="1"/>
  <c r="E54" i="23" s="1"/>
  <c r="H47" i="23"/>
  <c r="H48" i="23" s="1"/>
  <c r="H54" i="23" s="1"/>
  <c r="L46" i="23"/>
  <c r="L53" i="23" s="1"/>
  <c r="I47" i="23"/>
  <c r="I48" i="23" s="1"/>
  <c r="I54" i="23" s="1"/>
  <c r="H57" i="23"/>
  <c r="I57" i="23"/>
  <c r="D46" i="23"/>
  <c r="D53" i="23" s="1"/>
  <c r="L47" i="23"/>
  <c r="L48" i="23" s="1"/>
  <c r="L54" i="23" s="1"/>
  <c r="D47" i="23"/>
  <c r="D48" i="23" s="1"/>
  <c r="D54" i="23" s="1"/>
  <c r="H25" i="4"/>
  <c r="K46" i="23"/>
  <c r="K53" i="23" s="1"/>
  <c r="I28" i="4"/>
  <c r="K47" i="23"/>
  <c r="K48" i="23" s="1"/>
  <c r="K54" i="23" s="1"/>
  <c r="K57" i="23"/>
  <c r="L57" i="23"/>
  <c r="M57" i="23"/>
  <c r="K23" i="4"/>
  <c r="M23" i="4"/>
  <c r="G57" i="23"/>
  <c r="E57" i="23"/>
  <c r="F57" i="23"/>
  <c r="D57" i="23"/>
  <c r="C57" i="23"/>
  <c r="G46" i="23"/>
  <c r="G53" i="23" s="1"/>
  <c r="G47" i="23"/>
  <c r="G48" i="23" s="1"/>
  <c r="G54" i="23" s="1"/>
  <c r="G22" i="4"/>
  <c r="F23" i="4"/>
  <c r="T57" i="1"/>
  <c r="S57" i="1"/>
  <c r="V57" i="1"/>
  <c r="U57" i="1"/>
  <c r="L46" i="1"/>
  <c r="L53" i="1" s="1"/>
  <c r="J47" i="1"/>
  <c r="J48" i="1" s="1"/>
  <c r="J54" i="1" s="1"/>
  <c r="M47" i="1"/>
  <c r="M48" i="1" s="1"/>
  <c r="M54" i="1" s="1"/>
  <c r="L47" i="1"/>
  <c r="L48" i="1" s="1"/>
  <c r="L54" i="1" s="1"/>
  <c r="K46" i="1"/>
  <c r="K53" i="1" s="1"/>
  <c r="J46" i="1"/>
  <c r="J53" i="1" s="1"/>
  <c r="K47" i="1"/>
  <c r="K48" i="1" s="1"/>
  <c r="K54" i="1" s="1"/>
  <c r="M46" i="1"/>
  <c r="M53" i="1" s="1"/>
  <c r="K57" i="1"/>
  <c r="L57" i="1"/>
  <c r="J57" i="1"/>
  <c r="M57" i="1"/>
  <c r="L63" i="4"/>
  <c r="L64" i="4" s="1"/>
  <c r="P47" i="1"/>
  <c r="P48" i="1" s="1"/>
  <c r="P54" i="1" s="1"/>
  <c r="K6" i="4"/>
  <c r="J8" i="4"/>
  <c r="J63" i="4" s="1"/>
  <c r="J64" i="4" s="1"/>
  <c r="M7" i="4"/>
  <c r="D6" i="4"/>
  <c r="R6" i="4"/>
  <c r="C6" i="4"/>
  <c r="B22" i="4"/>
  <c r="I6" i="4"/>
  <c r="P7" i="4"/>
  <c r="E6" i="4"/>
  <c r="H6" i="4"/>
  <c r="F6" i="4"/>
  <c r="O6" i="4"/>
  <c r="B6" i="4"/>
  <c r="G6" i="4"/>
  <c r="Q7" i="4"/>
  <c r="T63" i="4"/>
  <c r="T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T57" i="4"/>
  <c r="T58" i="4" s="1"/>
  <c r="T76" i="4" s="1"/>
  <c r="H57" i="1"/>
  <c r="G57" i="1"/>
  <c r="F57" i="1"/>
  <c r="I57" i="1"/>
  <c r="E57" i="1"/>
  <c r="H7" i="4"/>
  <c r="G46" i="1"/>
  <c r="G53" i="1" s="1"/>
  <c r="H46" i="1"/>
  <c r="H53" i="1" s="1"/>
  <c r="H47" i="1"/>
  <c r="H48" i="1" s="1"/>
  <c r="H54" i="1" s="1"/>
  <c r="G11" i="4"/>
  <c r="F9" i="4"/>
  <c r="I13" i="4"/>
  <c r="E12" i="4"/>
  <c r="I55" i="4"/>
  <c r="I62" i="4"/>
  <c r="V56" i="4"/>
  <c r="V75" i="4" s="1"/>
  <c r="L56" i="4"/>
  <c r="L75" i="4" s="1"/>
  <c r="O55" i="4"/>
  <c r="O62" i="4"/>
  <c r="F55" i="4"/>
  <c r="F62" i="4"/>
  <c r="M55" i="4"/>
  <c r="M62" i="4"/>
  <c r="J55" i="4"/>
  <c r="J62" i="4"/>
  <c r="L57" i="4"/>
  <c r="L58" i="4" s="1"/>
  <c r="L76" i="4" s="1"/>
  <c r="P55" i="4"/>
  <c r="P62" i="4"/>
  <c r="G55" i="4"/>
  <c r="G62" i="4"/>
  <c r="H74" i="4"/>
  <c r="H62" i="4"/>
  <c r="U22" i="33"/>
  <c r="U45" i="33"/>
  <c r="U27" i="33"/>
  <c r="U52" i="33" s="1"/>
  <c r="R45" i="33"/>
  <c r="R27" i="33"/>
  <c r="R52" i="33" s="1"/>
  <c r="R22" i="33"/>
  <c r="T56" i="4"/>
  <c r="T75" i="4" s="1"/>
  <c r="C74" i="4"/>
  <c r="C62" i="4"/>
  <c r="D55" i="4"/>
  <c r="D62" i="4"/>
  <c r="S27" i="33"/>
  <c r="S52" i="33" s="1"/>
  <c r="S22" i="33"/>
  <c r="S45" i="33"/>
  <c r="A36" i="22"/>
  <c r="H36" i="22" s="1"/>
  <c r="V4" i="33"/>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L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G78" i="4"/>
  <c r="Q78" i="4"/>
  <c r="U78" i="4"/>
  <c r="J78" i="4"/>
  <c r="B78" i="4"/>
  <c r="O78" i="4"/>
  <c r="F78" i="4"/>
  <c r="R78" i="4"/>
  <c r="T78" i="4"/>
  <c r="D78" i="4"/>
  <c r="M78" i="4"/>
  <c r="C78" i="4"/>
  <c r="S78" i="4"/>
  <c r="P78" i="4"/>
  <c r="K78" i="4"/>
  <c r="V78" i="4"/>
  <c r="H78" i="4"/>
  <c r="I78" i="4"/>
  <c r="E78" i="4"/>
  <c r="U57" i="4" l="1"/>
  <c r="U58" i="4" s="1"/>
  <c r="U76" i="4" s="1"/>
  <c r="V63" i="4"/>
  <c r="V64" i="4" s="1"/>
  <c r="U56" i="4"/>
  <c r="U75" i="4" s="1"/>
  <c r="S57" i="4"/>
  <c r="S58" i="4" s="1"/>
  <c r="S76" i="4" s="1"/>
  <c r="C63" i="4"/>
  <c r="C64" i="4" s="1"/>
  <c r="S56" i="4"/>
  <c r="S75" i="4" s="1"/>
  <c r="K56" i="4"/>
  <c r="K75" i="4" s="1"/>
  <c r="F63" i="4"/>
  <c r="F64" i="4" s="1"/>
  <c r="U79" i="4"/>
  <c r="T79" i="4"/>
  <c r="S79" i="4"/>
  <c r="V79" i="4"/>
  <c r="K57" i="4"/>
  <c r="K58" i="4" s="1"/>
  <c r="K76" i="4" s="1"/>
  <c r="F55" i="23"/>
  <c r="M56" i="4"/>
  <c r="M75" i="4" s="1"/>
  <c r="C55" i="23"/>
  <c r="M57" i="4"/>
  <c r="M58" i="4" s="1"/>
  <c r="M76" i="4" s="1"/>
  <c r="R63" i="4"/>
  <c r="R64" i="4" s="1"/>
  <c r="J56" i="4"/>
  <c r="J75" i="4" s="1"/>
  <c r="J57" i="4"/>
  <c r="J58" i="4" s="1"/>
  <c r="J76" i="4" s="1"/>
  <c r="H56" i="4"/>
  <c r="H75" i="4" s="1"/>
  <c r="I57" i="4"/>
  <c r="I58" i="4" s="1"/>
  <c r="I76" i="4" s="1"/>
  <c r="K79" i="4"/>
  <c r="M79" i="4"/>
  <c r="J79" i="4"/>
  <c r="V4" i="4"/>
  <c r="V55" i="4" s="1"/>
  <c r="K63" i="4"/>
  <c r="K64" i="4" s="1"/>
  <c r="M63" i="4"/>
  <c r="M64" i="4" s="1"/>
  <c r="G55" i="1"/>
  <c r="I63" i="4"/>
  <c r="I64" i="4" s="1"/>
  <c r="P55" i="23"/>
  <c r="V55" i="23"/>
  <c r="Q55" i="23"/>
  <c r="U55" i="23"/>
  <c r="T55" i="1"/>
  <c r="R55" i="23"/>
  <c r="T55" i="23"/>
  <c r="V55" i="1"/>
  <c r="R55" i="1"/>
  <c r="P55" i="1"/>
  <c r="S55" i="1"/>
  <c r="U55" i="1"/>
  <c r="Q55" i="1"/>
  <c r="S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H3" i="12" s="1"/>
  <c r="J4" i="12"/>
  <c r="M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V45" i="33"/>
  <c r="V27" i="33"/>
  <c r="V52" i="33" s="1"/>
  <c r="V22" i="33"/>
  <c r="D57" i="4"/>
  <c r="D58" i="4" s="1"/>
  <c r="D76" i="4" s="1"/>
  <c r="O57" i="4"/>
  <c r="O58" i="4" s="1"/>
  <c r="C57" i="4"/>
  <c r="C58" i="4" s="1"/>
  <c r="C76" i="4" s="1"/>
  <c r="Q2" i="12"/>
  <c r="Q4" i="12" s="1"/>
  <c r="P2" i="12"/>
  <c r="P4" i="12" s="1"/>
  <c r="Q56" i="4"/>
  <c r="Q75" i="4" s="1"/>
  <c r="O56" i="4"/>
  <c r="O75" i="4" s="1"/>
  <c r="T77" i="4" s="1"/>
  <c r="C56" i="4"/>
  <c r="C75" i="4" s="1"/>
  <c r="R2" i="12"/>
  <c r="R4" i="12" s="1"/>
  <c r="P56" i="4"/>
  <c r="R57" i="4"/>
  <c r="R58" i="4" s="1"/>
  <c r="R76" i="4" s="1"/>
  <c r="Q57" i="4"/>
  <c r="Q58" i="4" s="1"/>
  <c r="Q76" i="4" s="1"/>
  <c r="Q79" i="4"/>
  <c r="P79" i="4"/>
  <c r="R79" i="4"/>
  <c r="U4" i="4"/>
  <c r="F2" i="27"/>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R59" i="23"/>
  <c r="R60" i="23" s="1"/>
  <c r="O79" i="4"/>
  <c r="B79" i="4"/>
  <c r="B64" i="23"/>
  <c r="L59" i="23"/>
  <c r="L60" i="23" s="1"/>
  <c r="F59" i="23"/>
  <c r="F60" i="23" s="1"/>
  <c r="Q59" i="23"/>
  <c r="Q60" i="23" s="1"/>
  <c r="V59" i="23"/>
  <c r="V60" i="23" s="1"/>
  <c r="P59" i="23"/>
  <c r="P60" i="23" s="1"/>
  <c r="T59" i="23"/>
  <c r="U59" i="23"/>
  <c r="U60" i="23" s="1"/>
  <c r="S59" i="23"/>
  <c r="S60" i="23" s="1"/>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E59" i="23"/>
  <c r="E60" i="23" s="1"/>
  <c r="J59" i="23"/>
  <c r="J60" i="23" s="1"/>
  <c r="K59" i="23"/>
  <c r="K60" i="23" s="1"/>
  <c r="D59" i="23"/>
  <c r="D60" i="23" s="1"/>
  <c r="I59" i="23"/>
  <c r="I60" i="23" s="1"/>
  <c r="O59" i="23"/>
  <c r="O60" i="23" s="1"/>
  <c r="G59" i="23"/>
  <c r="H59" i="23"/>
  <c r="H60" i="23" s="1"/>
  <c r="M59" i="23"/>
  <c r="M60" i="23" s="1"/>
  <c r="O76" i="4"/>
  <c r="C55" i="1"/>
  <c r="H55" i="1"/>
  <c r="F55" i="1"/>
  <c r="I55" i="1"/>
  <c r="L55" i="1"/>
  <c r="J55" i="1"/>
  <c r="D55" i="1"/>
  <c r="K55" i="1"/>
  <c r="E55" i="1"/>
  <c r="O59" i="1"/>
  <c r="J59" i="1"/>
  <c r="J60" i="1" s="1"/>
  <c r="F59" i="1"/>
  <c r="F60" i="1" s="1"/>
  <c r="M59" i="1"/>
  <c r="I59" i="1"/>
  <c r="E59" i="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T27" i="23"/>
  <c r="T52" i="23" s="1"/>
  <c r="T45" i="23"/>
  <c r="T22" i="23"/>
  <c r="J3" i="12"/>
  <c r="T27" i="1"/>
  <c r="T52" i="1" s="1"/>
  <c r="T45" i="1"/>
  <c r="T4" i="4"/>
  <c r="T62" i="4" s="1"/>
  <c r="T22" i="1"/>
  <c r="O60" i="1"/>
  <c r="T60" i="23"/>
  <c r="I60" i="1"/>
  <c r="G60" i="23"/>
  <c r="C60" i="23"/>
  <c r="M60" i="1"/>
  <c r="E60" i="1"/>
  <c r="V62" i="4" l="1"/>
  <c r="V74" i="4"/>
  <c r="Z2" i="12" s="1"/>
  <c r="AH2" i="12"/>
  <c r="I3" i="12"/>
  <c r="F3" i="12"/>
  <c r="F4" i="12"/>
  <c r="H4" i="12"/>
  <c r="G3" i="12"/>
  <c r="J80" i="4"/>
  <c r="I4" i="12"/>
  <c r="G4" i="12"/>
  <c r="F4" i="27"/>
  <c r="AA2" i="12"/>
  <c r="P75" i="4"/>
  <c r="B5" i="27" s="1"/>
  <c r="O81" i="4"/>
  <c r="O82" i="4" s="1"/>
  <c r="AE2" i="12"/>
  <c r="U74" i="4"/>
  <c r="Y2" i="12" s="1"/>
  <c r="U62" i="4"/>
  <c r="B6" i="12"/>
  <c r="B6" i="27"/>
  <c r="R61" i="23"/>
  <c r="U55" i="4"/>
  <c r="F3" i="27"/>
  <c r="V77" i="4"/>
  <c r="U77" i="4"/>
  <c r="O77" i="4"/>
  <c r="S77" i="4"/>
  <c r="Q77" i="4"/>
  <c r="R77" i="4"/>
  <c r="P81" i="4"/>
  <c r="Q81" i="4"/>
  <c r="B86" i="4"/>
  <c r="B87" i="4"/>
  <c r="B75" i="4"/>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AD4" i="12" s="1"/>
  <c r="P3" i="12"/>
  <c r="Q3" i="12"/>
  <c r="K2" i="12"/>
  <c r="K4" i="12" s="1"/>
  <c r="B4" i="27"/>
  <c r="B4" i="12"/>
  <c r="O61" i="1"/>
  <c r="Q61" i="1"/>
  <c r="P61" i="1"/>
  <c r="C61" i="1"/>
  <c r="R61" i="1"/>
  <c r="AB2" i="12"/>
  <c r="AB4" i="12" s="1"/>
  <c r="AF2" i="12"/>
  <c r="T55" i="4"/>
  <c r="T74" i="4"/>
  <c r="P82" i="4"/>
  <c r="Q82" i="4"/>
  <c r="B5" i="12" l="1"/>
  <c r="P77" i="4"/>
  <c r="AE4" i="12"/>
  <c r="Z4" i="12"/>
  <c r="W4" i="12"/>
  <c r="AG4" i="12"/>
  <c r="AC4" i="12"/>
  <c r="AH4" i="12"/>
  <c r="AF4" i="12"/>
  <c r="Y4" i="12"/>
  <c r="AA4" i="12"/>
  <c r="K77" i="4"/>
  <c r="J77" i="4"/>
  <c r="G77" i="4"/>
  <c r="F77" i="4"/>
  <c r="L77" i="4"/>
  <c r="B77" i="4"/>
  <c r="B2" i="27"/>
  <c r="G6" i="27" s="1"/>
  <c r="M77" i="4"/>
  <c r="I77" i="4"/>
  <c r="I3" i="28" s="1"/>
  <c r="B2" i="12"/>
  <c r="E6" i="12" s="1"/>
  <c r="H77" i="4"/>
  <c r="D77" i="4"/>
  <c r="C77" i="4"/>
  <c r="E77" i="4"/>
  <c r="AG8" i="12"/>
  <c r="U8" i="12"/>
  <c r="AJ8" i="12"/>
  <c r="AB8" i="12"/>
  <c r="Z8" i="12"/>
  <c r="AC8" i="12"/>
  <c r="V8" i="12"/>
  <c r="X8" i="12"/>
  <c r="AH8" i="12"/>
  <c r="AD8" i="12"/>
  <c r="AI8" i="12"/>
  <c r="W8" i="12"/>
  <c r="Y8" i="12"/>
  <c r="AE8" i="12"/>
  <c r="AA8" i="12"/>
  <c r="AF8" i="12"/>
  <c r="H8" i="27"/>
  <c r="H9" i="27" s="1"/>
  <c r="H10" i="27" s="1"/>
  <c r="J8" i="27"/>
  <c r="J9" i="27" s="1"/>
  <c r="J10" i="27" s="1"/>
  <c r="I8" i="27"/>
  <c r="I9" i="27" s="1"/>
  <c r="I10" i="27" s="1"/>
  <c r="Q5" i="12"/>
  <c r="R5" i="12"/>
  <c r="P83" i="4"/>
  <c r="S5" i="12"/>
  <c r="Q83" i="4"/>
  <c r="P5" i="12"/>
  <c r="O83" i="4"/>
  <c r="O61" i="23"/>
  <c r="AG3" i="12"/>
  <c r="AD3" i="12"/>
  <c r="AE3" i="12"/>
  <c r="AC3" i="12"/>
  <c r="W3" i="12"/>
  <c r="Y3" i="12"/>
  <c r="I2" i="27"/>
  <c r="I4" i="27" s="1"/>
  <c r="V2" i="12"/>
  <c r="V4" i="12" s="1"/>
  <c r="J2" i="28"/>
  <c r="K3" i="12"/>
  <c r="F2" i="28"/>
  <c r="J3" i="28"/>
  <c r="F3" i="28"/>
  <c r="Z3" i="12"/>
  <c r="AA3" i="12"/>
  <c r="AH3" i="12"/>
  <c r="I2" i="28"/>
  <c r="E3" i="28"/>
  <c r="AH7" i="12"/>
  <c r="AD7" i="12"/>
  <c r="AC7" i="12"/>
  <c r="V7" i="12"/>
  <c r="AI7" i="12"/>
  <c r="AG7" i="12"/>
  <c r="W7" i="12"/>
  <c r="X7" i="12"/>
  <c r="Y7" i="12"/>
  <c r="U7" i="12"/>
  <c r="AA7" i="12"/>
  <c r="AE7" i="12"/>
  <c r="Z7" i="12"/>
  <c r="AF7" i="12"/>
  <c r="AB7" i="12"/>
  <c r="AJ7" i="12"/>
  <c r="I7" i="27"/>
  <c r="H7" i="27"/>
  <c r="J7" i="27"/>
  <c r="AF3" i="12"/>
  <c r="F15" i="28"/>
  <c r="F8" i="28"/>
  <c r="AB3" i="12"/>
  <c r="F9" i="28"/>
  <c r="F13" i="28"/>
  <c r="J13" i="28"/>
  <c r="F5" i="28"/>
  <c r="F4" i="28"/>
  <c r="J11" i="28"/>
  <c r="J9" i="28"/>
  <c r="F14" i="28"/>
  <c r="F12" i="28"/>
  <c r="J6" i="28"/>
  <c r="J7" i="28"/>
  <c r="F11" i="28"/>
  <c r="F6" i="28"/>
  <c r="J14" i="28"/>
  <c r="J5" i="28"/>
  <c r="J8" i="28"/>
  <c r="F10" i="28"/>
  <c r="J10" i="28"/>
  <c r="J4" i="28"/>
  <c r="J12" i="28"/>
  <c r="F7" i="28"/>
  <c r="J15" i="28"/>
  <c r="AI2" i="12"/>
  <c r="AI4" i="12" s="1"/>
  <c r="X2" i="12"/>
  <c r="X4" i="12" s="1"/>
  <c r="E13" i="28" l="1"/>
  <c r="I15" i="28"/>
  <c r="I10" i="28"/>
  <c r="E8" i="28"/>
  <c r="I14" i="28"/>
  <c r="E11" i="28"/>
  <c r="E7" i="28"/>
  <c r="I12" i="28"/>
  <c r="I4" i="28"/>
  <c r="E6" i="28"/>
  <c r="E15" i="28"/>
  <c r="I11" i="28"/>
  <c r="I7" i="28"/>
  <c r="E12" i="28"/>
  <c r="I6" i="28"/>
  <c r="E4" i="28"/>
  <c r="E9" i="28"/>
  <c r="I5" i="28"/>
  <c r="I9" i="28"/>
  <c r="I13" i="28"/>
  <c r="I8" i="28"/>
  <c r="E5" i="28"/>
  <c r="E10" i="28"/>
  <c r="E14" i="28"/>
  <c r="AF9" i="12"/>
  <c r="AF10" i="12" s="1"/>
  <c r="W9" i="12"/>
  <c r="W10" i="12" s="1"/>
  <c r="X9" i="12"/>
  <c r="X10" i="12" s="1"/>
  <c r="AB9" i="12"/>
  <c r="AB10" i="12" s="1"/>
  <c r="AA9" i="12"/>
  <c r="AA10" i="12" s="1"/>
  <c r="AI9" i="12"/>
  <c r="AI10" i="12" s="1"/>
  <c r="V9" i="12"/>
  <c r="V10" i="12" s="1"/>
  <c r="AJ9" i="12"/>
  <c r="AJ10" i="12" s="1"/>
  <c r="AE9" i="12"/>
  <c r="AE10" i="12" s="1"/>
  <c r="AD9" i="12"/>
  <c r="AD10" i="12" s="1"/>
  <c r="AC9" i="12"/>
  <c r="AC10" i="12" s="1"/>
  <c r="U9" i="12"/>
  <c r="U10" i="12" s="1"/>
  <c r="Y9" i="12"/>
  <c r="Y10" i="12" s="1"/>
  <c r="AH9" i="12"/>
  <c r="AH10" i="12" s="1"/>
  <c r="Z9" i="12"/>
  <c r="Z10" i="12" s="1"/>
  <c r="AG9" i="12"/>
  <c r="AG10" i="12" s="1"/>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F12" i="22"/>
  <c r="G12" i="22" s="1"/>
  <c r="F16" i="22"/>
  <c r="G16" i="22" s="1"/>
  <c r="F22" i="22"/>
  <c r="I22" i="22" s="1"/>
  <c r="J5" i="12"/>
  <c r="F15" i="22"/>
  <c r="K15" i="22" s="1"/>
  <c r="M15" i="22" s="1"/>
  <c r="L5" i="12"/>
  <c r="F21" i="22"/>
  <c r="G21" i="22" s="1"/>
  <c r="F5" i="12"/>
  <c r="F24" i="22"/>
  <c r="G24" i="22" s="1"/>
  <c r="F10" i="22"/>
  <c r="F11" i="22"/>
  <c r="F13" i="22"/>
  <c r="I13" i="22" s="1"/>
  <c r="F14" i="22"/>
  <c r="I14" i="22" s="1"/>
  <c r="F18" i="22"/>
  <c r="G18" i="22" s="1"/>
  <c r="F8" i="22"/>
  <c r="G8" i="22" s="1"/>
  <c r="F5" i="27"/>
  <c r="F25" i="22"/>
  <c r="K25" i="22" s="1"/>
  <c r="M25" i="22" s="1"/>
  <c r="G5" i="12"/>
  <c r="H5" i="12"/>
  <c r="F17" i="22"/>
  <c r="K17" i="22" s="1"/>
  <c r="M17" i="22" s="1"/>
  <c r="K5" i="12"/>
  <c r="G51" i="22"/>
  <c r="J51" i="22" s="1"/>
  <c r="G44" i="22"/>
  <c r="J44" i="22" s="1"/>
  <c r="G38" i="22"/>
  <c r="J38" i="22" s="1"/>
  <c r="G33" i="22"/>
  <c r="J33" i="22" s="1"/>
  <c r="G46" i="22"/>
  <c r="J46" i="22" s="1"/>
  <c r="G37" i="22"/>
  <c r="J37" i="22" s="1"/>
  <c r="G40" i="22"/>
  <c r="J40" i="22" s="1"/>
  <c r="G41" i="22"/>
  <c r="J41" i="22" s="1"/>
  <c r="G50" i="22"/>
  <c r="J50" i="22" s="1"/>
  <c r="G35" i="22"/>
  <c r="J35" i="22" s="1"/>
  <c r="G42" i="22"/>
  <c r="J42" i="22" s="1"/>
  <c r="G47" i="22"/>
  <c r="J47" i="22" s="1"/>
  <c r="G49" i="22"/>
  <c r="J49" i="22" s="1"/>
  <c r="G34" i="22"/>
  <c r="J34" i="22" s="1"/>
  <c r="G39" i="22"/>
  <c r="J39" i="22" s="1"/>
  <c r="G32" i="22"/>
  <c r="J32" i="22" s="1"/>
  <c r="G45" i="22"/>
  <c r="J45" i="22" s="1"/>
  <c r="G36" i="22"/>
  <c r="J36" i="22" s="1"/>
  <c r="G48" i="22"/>
  <c r="J48" i="22" s="1"/>
  <c r="G43" i="22"/>
  <c r="J43" i="22" s="1"/>
  <c r="L3" i="28"/>
  <c r="I12" i="22" l="1"/>
  <c r="G13" i="22"/>
  <c r="K26" i="22"/>
  <c r="M26" i="22" s="1"/>
  <c r="I39" i="22"/>
  <c r="M39" i="22" s="1"/>
  <c r="I49" i="22"/>
  <c r="M49" i="22" s="1"/>
  <c r="I51" i="22"/>
  <c r="M51" i="22" s="1"/>
  <c r="I37" i="22"/>
  <c r="M37" i="22" s="1"/>
  <c r="I44" i="22"/>
  <c r="K39" i="22"/>
  <c r="N39" i="22" s="1"/>
  <c r="I38" i="22"/>
  <c r="I15" i="22"/>
  <c r="G15" i="22"/>
  <c r="K12" i="22"/>
  <c r="M12" i="22" s="1"/>
  <c r="K19" i="22"/>
  <c r="M19" i="22" s="1"/>
  <c r="K18" i="22"/>
  <c r="M18" i="22" s="1"/>
  <c r="K24" i="22"/>
  <c r="M24" i="22" s="1"/>
  <c r="G25" i="22"/>
  <c r="K14" i="22"/>
  <c r="M14" i="22" s="1"/>
  <c r="I36" i="22"/>
  <c r="I35" i="22"/>
  <c r="I48" i="22"/>
  <c r="I50" i="22"/>
  <c r="M50" i="22" s="1"/>
  <c r="G14" i="22"/>
  <c r="I41" i="22"/>
  <c r="I40" i="22"/>
  <c r="I43" i="22"/>
  <c r="I32" i="22"/>
  <c r="K16" i="22"/>
  <c r="M16" i="22" s="1"/>
  <c r="I19" i="22"/>
  <c r="I42" i="22"/>
  <c r="I18" i="22"/>
  <c r="I33" i="22"/>
  <c r="I45" i="22"/>
  <c r="I34" i="22"/>
  <c r="I47" i="22"/>
  <c r="I46" i="22"/>
  <c r="G10" i="22"/>
  <c r="I10" i="22" s="1"/>
  <c r="K10" i="22" s="1"/>
  <c r="I25" i="22"/>
  <c r="I24" i="22"/>
  <c r="G9" i="22"/>
  <c r="I9" i="22" s="1"/>
  <c r="K9" i="22" s="1"/>
  <c r="M9" i="22" s="1"/>
  <c r="I7" i="22"/>
  <c r="G3" i="28" s="1"/>
  <c r="G22" i="22"/>
  <c r="K21" i="22"/>
  <c r="M21" i="22" s="1"/>
  <c r="G11" i="22"/>
  <c r="I11" i="22" s="1"/>
  <c r="K11" i="22" s="1"/>
  <c r="M11" i="22" s="1"/>
  <c r="I17" i="22"/>
  <c r="I26" i="22"/>
  <c r="G17" i="22"/>
  <c r="K13" i="22"/>
  <c r="M13" i="22" s="1"/>
  <c r="I16" i="22"/>
  <c r="G20" i="22"/>
  <c r="K23" i="22"/>
  <c r="M23" i="22" s="1"/>
  <c r="I21" i="22"/>
  <c r="K22" i="22"/>
  <c r="M22" i="22" s="1"/>
  <c r="I8" i="22"/>
  <c r="K8" i="22" s="1"/>
  <c r="M8" i="22" s="1"/>
  <c r="I23" i="22"/>
  <c r="K20" i="22"/>
  <c r="M20" i="22" s="1"/>
  <c r="H3" i="28"/>
  <c r="N15" i="22"/>
  <c r="N25" i="22"/>
  <c r="N17" i="22"/>
  <c r="N26" i="22"/>
  <c r="K3" i="28"/>
  <c r="K2" i="28" l="1"/>
  <c r="M10" i="22"/>
  <c r="N10" i="22"/>
  <c r="K51" i="22"/>
  <c r="N51" i="22" s="1"/>
  <c r="G7" i="28"/>
  <c r="G11" i="28"/>
  <c r="G8" i="28"/>
  <c r="K7" i="22"/>
  <c r="H5" i="28" s="1"/>
  <c r="G15" i="28"/>
  <c r="G14" i="28"/>
  <c r="G6" i="28"/>
  <c r="K49" i="22"/>
  <c r="N49" i="22" s="1"/>
  <c r="H14" i="28"/>
  <c r="G10" i="28"/>
  <c r="G12" i="28"/>
  <c r="G13" i="28"/>
  <c r="K37" i="22"/>
  <c r="N37" i="22" s="1"/>
  <c r="H4" i="28"/>
  <c r="H13" i="28"/>
  <c r="G5" i="28"/>
  <c r="G9" i="28"/>
  <c r="G4" i="28"/>
  <c r="K50" i="22"/>
  <c r="N50" i="22" s="1"/>
  <c r="M44" i="22"/>
  <c r="K44" i="22"/>
  <c r="N44" i="22" s="1"/>
  <c r="M38" i="22"/>
  <c r="K38" i="22"/>
  <c r="N38" i="22" s="1"/>
  <c r="N19" i="22"/>
  <c r="N18" i="22"/>
  <c r="N12" i="22"/>
  <c r="N24" i="22"/>
  <c r="K36" i="22"/>
  <c r="N36" i="22" s="1"/>
  <c r="N14" i="22"/>
  <c r="K35" i="22"/>
  <c r="N35" i="22" s="1"/>
  <c r="M41" i="22"/>
  <c r="K41" i="22"/>
  <c r="N41" i="22" s="1"/>
  <c r="G2" i="28"/>
  <c r="H2" i="28"/>
  <c r="N16" i="22"/>
  <c r="M40" i="22"/>
  <c r="K40" i="22"/>
  <c r="N40" i="22" s="1"/>
  <c r="M48" i="22"/>
  <c r="K48" i="22"/>
  <c r="N48" i="22" s="1"/>
  <c r="M46" i="22"/>
  <c r="K46" i="22"/>
  <c r="N46" i="22" s="1"/>
  <c r="K33" i="22"/>
  <c r="N33" i="22" s="1"/>
  <c r="K34" i="22"/>
  <c r="N34" i="22" s="1"/>
  <c r="K32" i="22"/>
  <c r="M32" i="22" s="1"/>
  <c r="M47" i="22"/>
  <c r="K47" i="22"/>
  <c r="N47" i="22" s="1"/>
  <c r="M45" i="22"/>
  <c r="K45" i="22"/>
  <c r="N45" i="22" s="1"/>
  <c r="M42" i="22"/>
  <c r="K42" i="22"/>
  <c r="N42" i="22" s="1"/>
  <c r="M43" i="22"/>
  <c r="K43" i="22"/>
  <c r="N43" i="22" s="1"/>
  <c r="N20" i="22"/>
  <c r="N13" i="22"/>
  <c r="N8" i="22"/>
  <c r="N21" i="22"/>
  <c r="N11" i="22"/>
  <c r="N9" i="22"/>
  <c r="N23" i="22"/>
  <c r="N22" i="22"/>
  <c r="N7" i="22" l="1"/>
  <c r="H12" i="28"/>
  <c r="M7" i="22"/>
  <c r="H15" i="28"/>
  <c r="H8" i="28"/>
  <c r="H10" i="28"/>
  <c r="H9" i="28"/>
  <c r="H7" i="28"/>
  <c r="H6" i="28"/>
  <c r="H11" i="28"/>
  <c r="M33" i="22"/>
  <c r="M35" i="22"/>
  <c r="M34" i="22"/>
  <c r="M36" i="22"/>
  <c r="L2" i="28"/>
  <c r="N3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<sst xmlns="http://schemas.openxmlformats.org/spreadsheetml/2006/main" count="8072" uniqueCount="4708">
  <si>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</si>
  <si>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</si>
  <si>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</si>
  <si>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</si>
  <si>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</si>
  <si>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</si>
  <si>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</si>
  <si>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</si>
  <si>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</si>
  <si>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</si>
  <si>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</si>
  <si>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</si>
  <si>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</si>
  <si>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</si>
  <si>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</si>
  <si>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</si>
  <si>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</si>
  <si>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</si>
  <si>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</si>
  <si>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</si>
  <si>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</si>
  <si>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</si>
  <si>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</si>
  <si>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</si>
  <si>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</si>
  <si>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</si>
  <si>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</si>
  <si>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</si>
  <si>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</si>
  <si>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</si>
  <si>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</si>
  <si>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</si>
  <si>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</si>
  <si>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</si>
  <si>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</si>
  <si>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</si>
  <si>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</si>
  <si>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</si>
  <si>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</si>
  <si>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</si>
  <si>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</si>
  <si>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</si>
  <si>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</si>
  <si>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</si>
  <si>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</si>
  <si>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</si>
  <si>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</si>
  <si>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</si>
  <si>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</si>
  <si>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</si>
  <si>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</si>
  <si>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</si>
  <si>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</si>
  <si>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</si>
  <si>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</si>
  <si>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</si>
  <si>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</si>
  <si>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</si>
  <si>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</si>
  <si>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</si>
  <si>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</si>
  <si>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</si>
  <si>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</si>
  <si>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</si>
  <si>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</si>
  <si>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</si>
  <si>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</si>
  <si>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</si>
  <si>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</si>
  <si>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</si>
  <si>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</si>
  <si>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</si>
  <si>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</si>
  <si>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</si>
  <si>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</si>
  <si>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</si>
  <si>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</si>
  <si>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</si>
  <si>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</si>
  <si>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</si>
  <si>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</si>
  <si>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</si>
  <si>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</si>
  <si>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</si>
  <si>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</si>
  <si>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</si>
  <si>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</si>
  <si>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</si>
  <si>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</si>
  <si>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</si>
  <si>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</si>
  <si>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</si>
  <si>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</si>
  <si>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</si>
  <si>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</si>
  <si>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</si>
  <si>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</si>
  <si>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</si>
  <si>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</si>
  <si>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</si>
  <si>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</si>
  <si>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</si>
  <si>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</si>
  <si>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</si>
  <si>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</si>
  <si>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</si>
  <si>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</si>
  <si>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</si>
  <si>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</si>
  <si>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</si>
  <si>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</si>
  <si>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</si>
  <si>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</si>
  <si>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</si>
  <si>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</si>
  <si>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</si>
  <si>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</si>
  <si>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</si>
  <si>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</si>
  <si>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</si>
  <si>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</si>
  <si>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</si>
  <si>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</si>
  <si>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</si>
  <si>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</si>
  <si>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</si>
  <si>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</si>
  <si>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</si>
  <si>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</si>
  <si>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</si>
  <si>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</si>
  <si>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</si>
  <si>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</si>
  <si>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</si>
  <si>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</si>
  <si>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</si>
  <si>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</si>
  <si>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</si>
  <si>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</si>
  <si>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</si>
  <si>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</si>
  <si>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</si>
  <si>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</si>
  <si>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</si>
  <si>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</si>
  <si>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</si>
  <si>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</si>
  <si>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</si>
  <si>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</si>
  <si>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</si>
  <si>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</si>
  <si>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</si>
  <si>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</si>
  <si>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</si>
  <si>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</si>
  <si>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</si>
  <si>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</si>
  <si>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</si>
  <si>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</si>
  <si>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</si>
  <si>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</si>
  <si>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</si>
  <si>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</si>
  <si>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</si>
  <si>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</si>
  <si>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</si>
  <si>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ns</t>
  </si>
  <si>
    <t>&gt;0,99</t>
  </si>
  <si>
    <t>***</t>
  </si>
  <si>
    <t>&lt;0,001</t>
  </si>
  <si>
    <t>Kruskal-Wallis</t>
  </si>
  <si>
    <t xml:space="preserve">file name </t>
  </si>
  <si>
    <t xml:space="preserve">C:\Users\andre\Desktop\REACTIV CEFAS\Cromolyn\Cromolyn/20201202_Cefas_Test8_Run2/Plate 1/@1/A10_01.tif </t>
  </si>
  <si>
    <t xml:space="preserve"> 973.3453 </t>
  </si>
  <si>
    <t xml:space="preserve"> 32.9778 </t>
  </si>
  <si>
    <t xml:space="preserve">C:\Users\andre\Desktop\REACTIV CEFAS\Cromolyn\Cromolyn/20201202_Cefas_Test8_Run2/Plate 1/@1/A10_02.tif </t>
  </si>
  <si>
    <t xml:space="preserve">C:\Users\andre\Desktop\REACTIV CEFAS\Cromolyn\Cromolyn/20201202_Cefas_Test8_Run2/Plate 1/@1/A10_03.tif </t>
  </si>
  <si>
    <t xml:space="preserve"> 692.1566 </t>
  </si>
  <si>
    <t xml:space="preserve"> 32.1562 </t>
  </si>
  <si>
    <t xml:space="preserve">C:\Users\andre\Desktop\REACTIV CEFAS\Cromolyn\Cromolyn/20201202_Cefas_Test8_Run2/Plate 1/@1/B10_01.tif </t>
  </si>
  <si>
    <t xml:space="preserve"> 21.6299 </t>
  </si>
  <si>
    <t xml:space="preserve">C:\Users\andre\Desktop\REACTIV CEFAS\Cromolyn\Cromolyn/20201202_Cefas_Test8_Run2/Plate 1/@1/B10_02.tif </t>
  </si>
  <si>
    <t xml:space="preserve">C:\Users\andre\Desktop\REACTIV CEFAS\Cromolyn\Cromolyn/20201202_Cefas_Test8_Run2/Plate 1/@1/B10_03.tif </t>
  </si>
  <si>
    <t xml:space="preserve"> 735.4164 </t>
  </si>
  <si>
    <t xml:space="preserve"> 32.5588 </t>
  </si>
  <si>
    <t xml:space="preserve">C:\Users\andre\Desktop\REACTIV CEFAS\Cromolyn\Cromolyn/20201202_Cefas_Test8_Run2/Plate 1/@1/C10_01.tif </t>
  </si>
  <si>
    <t xml:space="preserve"> 7419.0539 </t>
  </si>
  <si>
    <t xml:space="preserve"> 38.7172 </t>
  </si>
  <si>
    <t xml:space="preserve">C:\Users\andre\Desktop\REACTIV CEFAS\Cromolyn\Cromolyn/20201202_Cefas_Test8_Run2/Plate 1/@1/C10_02.tif </t>
  </si>
  <si>
    <t xml:space="preserve"> 7116.2353 </t>
  </si>
  <si>
    <t xml:space="preserve"> 38.459 </t>
  </si>
  <si>
    <t xml:space="preserve">C:\Users\andre\Desktop\REACTIV CEFAS\Cromolyn\Cromolyn/20201202_Cefas_Test8_Run2/Plate 1/@1/C10_03.tif </t>
  </si>
  <si>
    <t xml:space="preserve"> 7830.0219 </t>
  </si>
  <si>
    <t xml:space="preserve"> 41.3785 </t>
  </si>
  <si>
    <t>C:\Users\andre\Desktop\REACTIV CEFAS\Cromolyn\Cromolyn/20201202_Cefas_Test8_Run2/Plate 1/@1/D10_01- exclu.tif</t>
  </si>
  <si>
    <t>C:\Users\andre\Desktop\REACTIV CEFAS\Cromolyn\Cromolyn/20201202_Cefas_Test8_Run2/Plate 1/@1/D10_02- exclu.tif</t>
  </si>
  <si>
    <t>C:\Users\andre\Desktop\REACTIV CEFAS\Cromolyn\Cromolyn/20201202_Cefas_Test8_Run2/Plate 1/@1/D10_03- exclu.tif</t>
  </si>
  <si>
    <t xml:space="preserve">C:\Users\andre\Desktop\REACTIV CEFAS\Cromolyn\Cromolyn/20201202_Cefas_Test8_Run2/Plate 1/@1/E10_01.tif </t>
  </si>
  <si>
    <t xml:space="preserve"> 9733.4526 </t>
  </si>
  <si>
    <t xml:space="preserve"> 39.3111 </t>
  </si>
  <si>
    <t xml:space="preserve">C:\Users\andre\Desktop\REACTIV CEFAS\Cromolyn\Cromolyn/20201202_Cefas_Test8_Run2/Plate 1/@1/E10_02.tif </t>
  </si>
  <si>
    <t xml:space="preserve"> 4196.1996 </t>
  </si>
  <si>
    <t xml:space="preserve"> 37.0361 </t>
  </si>
  <si>
    <t xml:space="preserve">C:\Users\andre\Desktop\REACTIV CEFAS\Cromolyn\Cromolyn/20201202_Cefas_Test8_Run2/Plate 1/@1/E10_03.tif </t>
  </si>
  <si>
    <t xml:space="preserve"> 4715.317 </t>
  </si>
  <si>
    <t xml:space="preserve"> 37.4404 </t>
  </si>
  <si>
    <t xml:space="preserve">C:\Users\andre\Desktop\REACTIV CEFAS\Cromolyn\Cromolyn/20201202_Cefas_Test8_Run2/Plate 1/@1/F10_01.tif </t>
  </si>
  <si>
    <t xml:space="preserve"> 7181.125 </t>
  </si>
  <si>
    <t xml:space="preserve"> 34.3373 </t>
  </si>
  <si>
    <t xml:space="preserve">C:\Users\andre\Desktop\REACTIV CEFAS\Cromolyn\Cromolyn/20201202_Cefas_Test8_Run2/Plate 1/@1/F10_02.tif </t>
  </si>
  <si>
    <t xml:space="preserve"> 5256.0644 </t>
  </si>
  <si>
    <t xml:space="preserve"> 33.2305 </t>
  </si>
  <si>
    <t xml:space="preserve">C:\Users\andre\Desktop\REACTIV CEFAS\Cromolyn\Cromolyn/20201202_Cefas_Test8_Run2/Plate 1/@1/F10_03.tif </t>
  </si>
  <si>
    <t xml:space="preserve"> 32.6074 </t>
  </si>
  <si>
    <t>C:\Users\andre\Desktop\REACTIV CEFAS\Cromolyn\Cromolyn/20201202_Cefas_Test8_Run2/Plate 1/@1/G10_01- exclu.tif</t>
  </si>
  <si>
    <t>C:\Users\andre\Desktop\REACTIV CEFAS\Cromolyn\Cromolyn/20201202_Cefas_Test8_Run2/Plate 1/@1/G10_02- exclu.tif</t>
  </si>
  <si>
    <t xml:space="preserve">C:\Users\andre\Desktop\REACTIV CEFAS\Cromolyn\Cromolyn/20201202_Cefas_Test8_Run2/Plate 1/@1/G10_03.tif </t>
  </si>
  <si>
    <t xml:space="preserve"> 4888.3562 </t>
  </si>
  <si>
    <t xml:space="preserve"> 36.6549 </t>
  </si>
  <si>
    <t xml:space="preserve">C:\Users\andre\Desktop\REACTIV CEFAS\Cromolyn\Cromolyn/20201202_Cefas_Test8_Run2/Plate 1/@1/H10_01.tif </t>
  </si>
  <si>
    <t xml:space="preserve"> 34.5722 </t>
  </si>
  <si>
    <t xml:space="preserve">C:\Users\andre\Desktop\REACTIV CEFAS\Cromolyn\Cromolyn/20201202_Cefas_Test8_Run2/Plate 1/@1/H10_02.tif </t>
  </si>
  <si>
    <t xml:space="preserve"> 129.7794 </t>
  </si>
  <si>
    <t xml:space="preserve"> 30.8333 </t>
  </si>
  <si>
    <t xml:space="preserve">C:\Users\andre\Desktop\REACTIV CEFAS\Cromolyn\Cromolyn/20201202_Cefas_Test8_Run2/Plate 1/@1/H10_03.tif </t>
  </si>
  <si>
    <t xml:space="preserve"> 5169.5448 </t>
  </si>
  <si>
    <t xml:space="preserve"> 37.9665 </t>
  </si>
  <si>
    <t xml:space="preserve">group </t>
  </si>
  <si>
    <t xml:space="preserve"> mean of mean fluo </t>
  </si>
  <si>
    <t xml:space="preserve"> SD mean fluo </t>
  </si>
  <si>
    <t xml:space="preserve"> mean of total fluo </t>
  </si>
  <si>
    <t xml:space="preserve"> SD total fluo </t>
  </si>
  <si>
    <t xml:space="preserve">C:\Users\andre\Desktop\REACTIV CEFAS\Cromolyn\Cromolyn/20201202_Cefas_Test8_Run2/Plate 1/@1/ </t>
  </si>
  <si>
    <t xml:space="preserve"> 34.8344 </t>
  </si>
  <si>
    <t xml:space="preserve"> 12.1031 </t>
  </si>
  <si>
    <t xml:space="preserve"> 241722.167 </t>
  </si>
  <si>
    <t xml:space="preserve"> 223737.12 </t>
  </si>
  <si>
    <t xml:space="preserve">C:\Users\andre\Desktop\REACTIV CEFAS\Cromolyn\Cromolyn/20201202_Cefas_Test8_Run2/Plate 1/@13/A8_01.tif </t>
  </si>
  <si>
    <t xml:space="preserve"> 49381.0494 </t>
  </si>
  <si>
    <t xml:space="preserve"> 42.7175 </t>
  </si>
  <si>
    <t xml:space="preserve">C:\Users\andre\Desktop\REACTIV CEFAS\Cromolyn\Cromolyn/20201202_Cefas_Test8_Run2/Plate 1/@13/A8_02.tif </t>
  </si>
  <si>
    <t xml:space="preserve"> 46828.7219 </t>
  </si>
  <si>
    <t xml:space="preserve"> 43.0273 </t>
  </si>
  <si>
    <t xml:space="preserve">C:\Users\andre\Desktop\REACTIV CEFAS\Cromolyn\Cromolyn/20201202_Cefas_Test8_Run2/Plate 1/@13/A8_03.tif </t>
  </si>
  <si>
    <t xml:space="preserve"> 47239.6899 </t>
  </si>
  <si>
    <t xml:space="preserve"> 42.7958 </t>
  </si>
  <si>
    <t xml:space="preserve">C:\Users\andre\Desktop\REACTIV CEFAS\Cromolyn\Cromolyn/20201202_Cefas_Test8_Run2/Plate 1/@13/B8_01.tif </t>
  </si>
  <si>
    <t xml:space="preserve"> 28097.2331 </t>
  </si>
  <si>
    <t xml:space="preserve"> 36.0085 </t>
  </si>
  <si>
    <t xml:space="preserve">C:\Users\andre\Desktop\REACTIV CEFAS\Cromolyn\Cromolyn/20201202_Cefas_Test8_Run2/Plate 1/@13/B8_02.tif </t>
  </si>
  <si>
    <t xml:space="preserve"> 28594.7207 </t>
  </si>
  <si>
    <t xml:space="preserve"> 36.7057 </t>
  </si>
  <si>
    <t>C:\Users\andre\Desktop\REACTIV CEFAS\Cromolyn\Cromolyn/20201202_Cefas_Test8_Run2/Plate 1/@13/B8_03- exclu.tif</t>
  </si>
  <si>
    <t xml:space="preserve">C:\Users\andre\Desktop\REACTIV CEFAS\Cromolyn\Cromolyn/20201202_Cefas_Test8_Run2/Plate 1/@13/C8_01.tif </t>
  </si>
  <si>
    <t xml:space="preserve"> 43.2598 </t>
  </si>
  <si>
    <t xml:space="preserve">C:\Users\andre\Desktop\REACTIV CEFAS\Cromolyn\Cromolyn/20201202_Cefas_Test8_Run2/Plate 1/@13/C8_02.tif </t>
  </si>
  <si>
    <t xml:space="preserve"> 108.1495 </t>
  </si>
  <si>
    <t xml:space="preserve">C:\Users\andre\Desktop\REACTIV CEFAS\Cromolyn\Cromolyn/20201202_Cefas_Test8_Run2/Plate 1/@13/C8_03.tif </t>
  </si>
  <si>
    <t xml:space="preserve"> 2400.9183 </t>
  </si>
  <si>
    <t xml:space="preserve"> 34.6847 </t>
  </si>
  <si>
    <t xml:space="preserve">C:\Users\andre\Desktop\REACTIV CEFAS\Cromolyn\Cromolyn/20201202_Cefas_Test8_Run2/Plate 1/@13/D8_01.tif </t>
  </si>
  <si>
    <t xml:space="preserve"> 71465.1719 </t>
  </si>
  <si>
    <t xml:space="preserve"> 43.8172 </t>
  </si>
  <si>
    <t xml:space="preserve">C:\Users\andre\Desktop\REACTIV CEFAS\Cromolyn\Cromolyn/20201202_Cefas_Test8_Run2/Plate 1/@13/D8_02.tif </t>
  </si>
  <si>
    <t xml:space="preserve"> 58746.7938 </t>
  </si>
  <si>
    <t xml:space="preserve"> 40.4334 </t>
  </si>
  <si>
    <t xml:space="preserve">C:\Users\andre\Desktop\REACTIV CEFAS\Cromolyn\Cromolyn/20201202_Cefas_Test8_Run2/Plate 1/@13/D8_03.tif </t>
  </si>
  <si>
    <t xml:space="preserve"> 62921.3635 </t>
  </si>
  <si>
    <t xml:space="preserve"> 45.3606 </t>
  </si>
  <si>
    <t xml:space="preserve">C:\Users\andre\Desktop\REACTIV CEFAS\Cromolyn\Cromolyn/20201202_Cefas_Test8_Run2/Plate 1/@13/E8_01.tif </t>
  </si>
  <si>
    <t xml:space="preserve"> 6856.6766 </t>
  </si>
  <si>
    <t xml:space="preserve"> 33.3849 </t>
  </si>
  <si>
    <t xml:space="preserve">C:\Users\andre\Desktop\REACTIV CEFAS\Cromolyn\Cromolyn/20201202_Cefas_Test8_Run2/Plate 1/@13/E8_02.tif </t>
  </si>
  <si>
    <t xml:space="preserve"> 12999.5667 </t>
  </si>
  <si>
    <t xml:space="preserve"> 33.3677 </t>
  </si>
  <si>
    <t>C:\Users\andre\Desktop\REACTIV CEFAS\Cromolyn\Cromolyn/20201202_Cefas_Test8_Run2/Plate 1/@13/E8_03- exclu.tif</t>
  </si>
  <si>
    <t xml:space="preserve">C:\Users\andre\Desktop\REACTIV CEFAS\Cromolyn\Cromolyn/20201202_Cefas_Test8_Run2/Plate 1/@13/F8_01.tif </t>
  </si>
  <si>
    <t xml:space="preserve"> 6791.7869 </t>
  </si>
  <si>
    <t xml:space="preserve"> 35.1115 </t>
  </si>
  <si>
    <t xml:space="preserve">C:\Users\andre\Desktop\REACTIV CEFAS\Cromolyn\Cromolyn/20201202_Cefas_Test8_Run2/Plate 1/@13/F8_02.tif </t>
  </si>
  <si>
    <t xml:space="preserve"> 12804.8976 </t>
  </si>
  <si>
    <t xml:space="preserve"> 35.6284 </t>
  </si>
  <si>
    <t xml:space="preserve">C:\Users\andre\Desktop\REACTIV CEFAS\Cromolyn\Cromolyn/20201202_Cefas_Test8_Run2/Plate 1/@13/F8_03.tif </t>
  </si>
  <si>
    <t xml:space="preserve"> 12134.3709 </t>
  </si>
  <si>
    <t xml:space="preserve"> 32.4367 </t>
  </si>
  <si>
    <t xml:space="preserve">C:\Users\andre\Desktop\REACTIV CEFAS\Cromolyn\Cromolyn/20201202_Cefas_Test8_Run2/Plate 1/@13/G8_01.tif </t>
  </si>
  <si>
    <t xml:space="preserve"> 11961.3317 </t>
  </si>
  <si>
    <t xml:space="preserve"> 31.6691 </t>
  </si>
  <si>
    <t>C:\Users\andre\Desktop\REACTIV CEFAS\Cromolyn\Cromolyn/20201202_Cefas_Test8_Run2/Plate 1/@13/G8_02- exclu.tif</t>
  </si>
  <si>
    <t>C:\Users\andre\Desktop\REACTIV CEFAS\Cromolyn\Cromolyn/20201202_Cefas_Test8_Run2/Plate 1/@13/G8_03- exclu.tif</t>
  </si>
  <si>
    <t xml:space="preserve">C:\Users\andre\Desktop\REACTIV CEFAS\Cromolyn\Cromolyn/20201202_Cefas_Test8_Run2/Plate 1/@13/H8_01.tif </t>
  </si>
  <si>
    <t xml:space="preserve"> 45509.2983 </t>
  </si>
  <si>
    <t xml:space="preserve"> 38.4178 </t>
  </si>
  <si>
    <t xml:space="preserve">C:\Users\andre\Desktop\REACTIV CEFAS\Cromolyn\Cromolyn/20201202_Cefas_Test8_Run2/Plate 1/@13/H8_02.tif </t>
  </si>
  <si>
    <t xml:space="preserve"> 40296.4937 </t>
  </si>
  <si>
    <t xml:space="preserve"> 37.9549 </t>
  </si>
  <si>
    <t xml:space="preserve">C:\Users\andre\Desktop\REACTIV CEFAS\Cromolyn\Cromolyn/20201202_Cefas_Test8_Run2/Plate 1/@13/H8_03.tif </t>
  </si>
  <si>
    <t xml:space="preserve"> 44752.252 </t>
  </si>
  <si>
    <t xml:space="preserve"> 38.9502 </t>
  </si>
  <si>
    <t xml:space="preserve">C:\Users\andre\Desktop\REACTIV CEFAS\Cromolyn\Cromolyn/20201202_Cefas_Test8_Run2/Plate 1/@13/ </t>
  </si>
  <si>
    <t xml:space="preserve"> 37.6569 </t>
  </si>
  <si>
    <t xml:space="preserve"> 4.0828 </t>
  </si>
  <si>
    <t xml:space="preserve"> 1079453.42 </t>
  </si>
  <si>
    <t xml:space="preserve"> 953487.599 </t>
  </si>
  <si>
    <t xml:space="preserve">C:\Users\andre\Desktop\REACTIV CEFAS\Cromolyn\Cromolyn/20201202_Cefas_Test8_Run2/Plate 1/@14/A9_01.tif </t>
  </si>
  <si>
    <t xml:space="preserve"> 40815.6112 </t>
  </si>
  <si>
    <t xml:space="preserve"> 37.2353 </t>
  </si>
  <si>
    <t xml:space="preserve">C:\Users\andre\Desktop\REACTIV CEFAS\Cromolyn\Cromolyn/20201202_Cefas_Test8_Run2/Plate 1/@14/A9_02.tif </t>
  </si>
  <si>
    <t xml:space="preserve"> 54031.4768 </t>
  </si>
  <si>
    <t xml:space="preserve"> 42.4992 </t>
  </si>
  <si>
    <t xml:space="preserve">C:\Users\andre\Desktop\REACTIV CEFAS\Cromolyn\Cromolyn/20201202_Cefas_Test8_Run2/Plate 1/@14/A9_03.tif </t>
  </si>
  <si>
    <t xml:space="preserve"> 51306.1101 </t>
  </si>
  <si>
    <t xml:space="preserve"> 42.3187 </t>
  </si>
  <si>
    <t xml:space="preserve">C:\Users\andre\Desktop\REACTIV CEFAS\Cromolyn\Cromolyn/20201202_Cefas_Test8_Run2/Plate 1/@14/B9_01.tif </t>
  </si>
  <si>
    <t xml:space="preserve"> 50051.5762 </t>
  </si>
  <si>
    <t xml:space="preserve"> 37.4166 </t>
  </si>
  <si>
    <t xml:space="preserve">C:\Users\andre\Desktop\REACTIV CEFAS\Cromolyn\Cromolyn/20201202_Cefas_Test8_Run2/Plate 1/@14/B9_02.tif </t>
  </si>
  <si>
    <t xml:space="preserve"> 38782.4011 </t>
  </si>
  <si>
    <t xml:space="preserve"> 35.6665 </t>
  </si>
  <si>
    <t xml:space="preserve">C:\Users\andre\Desktop\REACTIV CEFAS\Cromolyn\Cromolyn/20201202_Cefas_Test8_Run2/Plate 1/@14/B9_03.tif </t>
  </si>
  <si>
    <t xml:space="preserve"> 32379.9523 </t>
  </si>
  <si>
    <t xml:space="preserve"> 34.8437 </t>
  </si>
  <si>
    <t xml:space="preserve">C:\Users\andre\Desktop\REACTIV CEFAS\Cromolyn\Cromolyn/20201202_Cefas_Test8_Run2/Plate 1/@14/C9_01.tif </t>
  </si>
  <si>
    <t xml:space="preserve"> 30281.8525 </t>
  </si>
  <si>
    <t xml:space="preserve"> 37.925 </t>
  </si>
  <si>
    <t>C:\Users\andre\Desktop\REACTIV CEFAS\Cromolyn\Cromolyn/20201202_Cefas_Test8_Run2/Plate 1/@14/C9_02- exclu.tif</t>
  </si>
  <si>
    <t>C:\Users\andre\Desktop\REACTIV CEFAS\Cromolyn\Cromolyn/20201202_Cefas_Test8_Run2/Plate 1/@14/C9_03- exclu.tif</t>
  </si>
  <si>
    <t xml:space="preserve">C:\Users\andre\Desktop\REACTIV CEFAS\Cromolyn\Cromolyn/20201202_Cefas_Test8_Run2/Plate 1/@14/D9_01.tif </t>
  </si>
  <si>
    <t xml:space="preserve"> 45249.7396 </t>
  </si>
  <si>
    <t xml:space="preserve"> 34.9221 </t>
  </si>
  <si>
    <t xml:space="preserve">C:\Users\andre\Desktop\REACTIV CEFAS\Cromolyn\Cromolyn/20201202_Cefas_Test8_Run2/Plate 1/@14/D9_02.tif </t>
  </si>
  <si>
    <t xml:space="preserve"> 53123.0212 </t>
  </si>
  <si>
    <t xml:space="preserve"> 38.658 </t>
  </si>
  <si>
    <t xml:space="preserve">C:\Users\andre\Desktop\REACTIV CEFAS\Cromolyn\Cromolyn/20201202_Cefas_Test8_Run2/Plate 1/@14/D9_03.tif </t>
  </si>
  <si>
    <t xml:space="preserve"> 41745.6966 </t>
  </si>
  <si>
    <t xml:space="preserve"> 35.2922 </t>
  </si>
  <si>
    <t xml:space="preserve">C:\Users\andre\Desktop\REACTIV CEFAS\Cromolyn\Cromolyn/20201202_Cefas_Test8_Run2/Plate 1/@14/E9_01.tif </t>
  </si>
  <si>
    <t xml:space="preserve"> 14665.0686 </t>
  </si>
  <si>
    <t xml:space="preserve"> 32.9484 </t>
  </si>
  <si>
    <t xml:space="preserve">C:\Users\andre\Desktop\REACTIV CEFAS\Cromolyn\Cromolyn/20201202_Cefas_Test8_Run2/Plate 1/@14/E9_02.tif </t>
  </si>
  <si>
    <t xml:space="preserve"> 26669.6601 </t>
  </si>
  <si>
    <t xml:space="preserve"> 34.4704 </t>
  </si>
  <si>
    <t xml:space="preserve">C:\Users\andre\Desktop\REACTIV CEFAS\Cromolyn\Cromolyn/20201202_Cefas_Test8_Run2/Plate 1/@14/E9_03.tif </t>
  </si>
  <si>
    <t xml:space="preserve"> 19964.3927 </t>
  </si>
  <si>
    <t xml:space="preserve"> 33.3608 </t>
  </si>
  <si>
    <t xml:space="preserve">C:\Users\andre\Desktop\REACTIV CEFAS\Cromolyn\Cromolyn/20201202_Cefas_Test8_Run2/Plate 1/@14/F9_01.tif </t>
  </si>
  <si>
    <t xml:space="preserve"> 43281.4192 </t>
  </si>
  <si>
    <t xml:space="preserve"> 40.1344 </t>
  </si>
  <si>
    <t xml:space="preserve">C:\Users\andre\Desktop\REACTIV CEFAS\Cromolyn\Cromolyn/20201202_Cefas_Test8_Run2/Plate 1/@14/F9_02.tif </t>
  </si>
  <si>
    <t xml:space="preserve"> 47672.2878 </t>
  </si>
  <si>
    <t xml:space="preserve"> 41.4723 </t>
  </si>
  <si>
    <t xml:space="preserve">C:\Users\andre\Desktop\REACTIV CEFAS\Cromolyn\Cromolyn/20201202_Cefas_Test8_Run2/Plate 1/@14/F9_03.tif </t>
  </si>
  <si>
    <t xml:space="preserve"> 43216.5295 </t>
  </si>
  <si>
    <t xml:space="preserve"> 37.7492 </t>
  </si>
  <si>
    <t>C:\Users\andre\Desktop\REACTIV CEFAS\Cromolyn\Cromolyn/20201202_Cefas_Test8_Run2/Plate 1/@14/G9_01- exclu.tif</t>
  </si>
  <si>
    <t xml:space="preserve">C:\Users\andre\Desktop\REACTIV CEFAS\Cromolyn\Cromolyn/20201202_Cefas_Test8_Run2/Plate 1/@14/G9_02.tif </t>
  </si>
  <si>
    <t xml:space="preserve"> 9884.8618 </t>
  </si>
  <si>
    <t xml:space="preserve"> 37.8512 </t>
  </si>
  <si>
    <t xml:space="preserve">C:\Users\andre\Desktop\REACTIV CEFAS\Cromolyn\Cromolyn/20201202_Cefas_Test8_Run2/Plate 1/@14/G9_03.tif </t>
  </si>
  <si>
    <t xml:space="preserve"> 19380.3856 </t>
  </si>
  <si>
    <t xml:space="preserve"> 34.3605 </t>
  </si>
  <si>
    <t>C:\Users\andre\Desktop\REACTIV CEFAS\Cromolyn\Cromolyn/20201202_Cefas_Test8_Run2/Plate 1/@14/H9_01- exclu.tif</t>
  </si>
  <si>
    <t>C:\Users\andre\Desktop\REACTIV CEFAS\Cromolyn\Cromolyn/20201202_Cefas_Test8_Run2/Plate 1/@14/H9_02- exclu.tif</t>
  </si>
  <si>
    <t>C:\Users\andre\Desktop\REACTIV CEFAS\Cromolyn\Cromolyn/20201202_Cefas_Test8_Run2/Plate 1/@14/H9_03- exclu.tif</t>
  </si>
  <si>
    <t xml:space="preserve">C:\Users\andre\Desktop\REACTIV CEFAS\Cromolyn\Cromolyn/20201202_Cefas_Test8_Run2/Plate 1/@14/ </t>
  </si>
  <si>
    <t xml:space="preserve"> 34.107 </t>
  </si>
  <si>
    <t xml:space="preserve"> 10.8395 </t>
  </si>
  <si>
    <t xml:space="preserve"> 1184338.71 </t>
  </si>
  <si>
    <t xml:space="preserve"> 693196.339 </t>
  </si>
  <si>
    <t xml:space="preserve">C:\Users\andre\Desktop\REACTIV CEFAS\Cromolyn\Cromolyn/20201202_Cefas_Test8_Run2/Plate 1/@15/A11_01.tif </t>
  </si>
  <si>
    <t xml:space="preserve"> 58054.6372 </t>
  </si>
  <si>
    <t xml:space="preserve"> 47.8651 </t>
  </si>
  <si>
    <t xml:space="preserve">C:\Users\andre\Desktop\REACTIV CEFAS\Cromolyn\Cromolyn/20201202_Cefas_Test8_Run2/Plate 1/@15/A11_02.tif </t>
  </si>
  <si>
    <t xml:space="preserve"> 62964.6233 </t>
  </si>
  <si>
    <t xml:space="preserve"> 46.3689 </t>
  </si>
  <si>
    <t xml:space="preserve">C:\Users\andre\Desktop\REACTIV CEFAS\Cromolyn\Cromolyn/20201202_Cefas_Test8_Run2/Plate 1/@15/A11_03.tif </t>
  </si>
  <si>
    <t xml:space="preserve"> 63591.8902 </t>
  </si>
  <si>
    <t xml:space="preserve"> 48.1891 </t>
  </si>
  <si>
    <t xml:space="preserve">C:\Users\andre\Desktop\REACTIV CEFAS\Cromolyn\Cromolyn/20201202_Cefas_Test8_Run2/Plate 1/@15/B11_01.tif </t>
  </si>
  <si>
    <t xml:space="preserve"> 100838.569 </t>
  </si>
  <si>
    <t xml:space="preserve"> 53.0547 </t>
  </si>
  <si>
    <t xml:space="preserve">C:\Users\andre\Desktop\REACTIV CEFAS\Cromolyn\Cromolyn/20201202_Cefas_Test8_Run2/Plate 1/@15/B11_02.tif </t>
  </si>
  <si>
    <t xml:space="preserve"> 110550.391 </t>
  </si>
  <si>
    <t xml:space="preserve"> 57.7235 </t>
  </si>
  <si>
    <t xml:space="preserve">C:\Users\andre\Desktop\REACTIV CEFAS\Cromolyn\Cromolyn/20201202_Cefas_Test8_Run2/Plate 1/@15/B11_03.tif </t>
  </si>
  <si>
    <t xml:space="preserve"> 103347.637 </t>
  </si>
  <si>
    <t xml:space="preserve"> 54.7323 </t>
  </si>
  <si>
    <t xml:space="preserve">C:\Users\andre\Desktop\REACTIV CEFAS\Cromolyn\Cromolyn/20201202_Cefas_Test8_Run2/Plate 1/@15/C11_01.tif </t>
  </si>
  <si>
    <t xml:space="preserve"> 73433.4923 </t>
  </si>
  <si>
    <t xml:space="preserve"> 54.2695 </t>
  </si>
  <si>
    <t xml:space="preserve">C:\Users\andre\Desktop\REACTIV CEFAS\Cromolyn\Cromolyn/20201202_Cefas_Test8_Run2/Plate 1/@15/C11_02.tif </t>
  </si>
  <si>
    <t xml:space="preserve"> 76483.3074 </t>
  </si>
  <si>
    <t xml:space="preserve"> 55.3657 </t>
  </si>
  <si>
    <t xml:space="preserve">C:\Users\andre\Desktop\REACTIV CEFAS\Cromolyn\Cromolyn/20201202_Cefas_Test8_Run2/Plate 1/@15/C11_03.tif </t>
  </si>
  <si>
    <t xml:space="preserve"> 76677.9765 </t>
  </si>
  <si>
    <t xml:space="preserve"> 57.1772 </t>
  </si>
  <si>
    <t xml:space="preserve">C:\Users\andre\Desktop\REACTIV CEFAS\Cromolyn\Cromolyn/20201202_Cefas_Test8_Run2/Plate 1/@15/D11_01.tif </t>
  </si>
  <si>
    <t xml:space="preserve"> 42783.9316 </t>
  </si>
  <si>
    <t xml:space="preserve"> 45.5308 </t>
  </si>
  <si>
    <t xml:space="preserve">C:\Users\andre\Desktop\REACTIV CEFAS\Cromolyn\Cromolyn/20201202_Cefas_Test8_Run2/Plate 1/@15/D11_02.tif </t>
  </si>
  <si>
    <t xml:space="preserve"> 44168.2448 </t>
  </si>
  <si>
    <t xml:space="preserve"> 45.0147 </t>
  </si>
  <si>
    <t xml:space="preserve">C:\Users\andre\Desktop\REACTIV CEFAS\Cromolyn\Cromolyn/20201202_Cefas_Test8_Run2/Plate 1/@15/D11_03.tif </t>
  </si>
  <si>
    <t xml:space="preserve"> 44622.4726 </t>
  </si>
  <si>
    <t xml:space="preserve"> 45.1949 </t>
  </si>
  <si>
    <t xml:space="preserve">C:\Users\andre\Desktop\REACTIV CEFAS\Cromolyn\Cromolyn/20201202_Cefas_Test8_Run2/Plate 1/@15/E11_01.tif </t>
  </si>
  <si>
    <t xml:space="preserve"> 40058.5649 </t>
  </si>
  <si>
    <t xml:space="preserve"> 42.5918 </t>
  </si>
  <si>
    <t xml:space="preserve">C:\Users\andre\Desktop\REACTIV CEFAS\Cromolyn\Cromolyn/20201202_Cefas_Test8_Run2/Plate 1/@15/E11_02.tif </t>
  </si>
  <si>
    <t xml:space="preserve"> 39258.2588 </t>
  </si>
  <si>
    <t xml:space="preserve"> 42.3989 </t>
  </si>
  <si>
    <t xml:space="preserve">C:\Users\andre\Desktop\REACTIV CEFAS\Cromolyn\Cromolyn/20201202_Cefas_Test8_Run2/Plate 1/@15/E11_03.tif </t>
  </si>
  <si>
    <t xml:space="preserve"> 39539.4474 </t>
  </si>
  <si>
    <t xml:space="preserve"> 41.1931 </t>
  </si>
  <si>
    <t xml:space="preserve">C:\Users\andre\Desktop\REACTIV CEFAS\Cromolyn\Cromolyn/20201202_Cefas_Test8_Run2/Plate 1/@15/F11_01.tif </t>
  </si>
  <si>
    <t xml:space="preserve"> 85027.1158 </t>
  </si>
  <si>
    <t xml:space="preserve"> 56.8148 </t>
  </si>
  <si>
    <t xml:space="preserve">C:\Users\andre\Desktop\REACTIV CEFAS\Cromolyn\Cromolyn/20201202_Cefas_Test8_Run2/Plate 1/@15/F11_02.tif </t>
  </si>
  <si>
    <t xml:space="preserve"> 88271.6 </t>
  </si>
  <si>
    <t xml:space="preserve"> 55.5624 </t>
  </si>
  <si>
    <t xml:space="preserve">C:\Users\andre\Desktop\REACTIV CEFAS\Cromolyn\Cromolyn/20201202_Cefas_Test8_Run2/Plate 1/@15/F11_03.tif </t>
  </si>
  <si>
    <t xml:space="preserve"> 89828.9524 </t>
  </si>
  <si>
    <t xml:space="preserve"> 55.9042 </t>
  </si>
  <si>
    <t xml:space="preserve">C:\Users\andre\Desktop\REACTIV CEFAS\Cromolyn\Cromolyn/20201202_Cefas_Test8_Run2/Plate 1/@15/G11_01.tif </t>
  </si>
  <si>
    <t xml:space="preserve"> 89850.5823 </t>
  </si>
  <si>
    <t xml:space="preserve"> 49.0207 </t>
  </si>
  <si>
    <t xml:space="preserve">C:\Users\andre\Desktop\REACTIV CEFAS\Cromolyn\Cromolyn/20201202_Cefas_Test8_Run2/Plate 1/@15/G11_02.tif </t>
  </si>
  <si>
    <t xml:space="preserve"> 87817.3722 </t>
  </si>
  <si>
    <t xml:space="preserve"> 53.6456 </t>
  </si>
  <si>
    <t xml:space="preserve">C:\Users\andre\Desktop\REACTIV CEFAS\Cromolyn\Cromolyn/20201202_Cefas_Test8_Run2/Plate 1/@15/G11_03.tif </t>
  </si>
  <si>
    <t xml:space="preserve"> 87709.2227 </t>
  </si>
  <si>
    <t xml:space="preserve"> 52.9285 </t>
  </si>
  <si>
    <t xml:space="preserve">C:\Users\andre\Desktop\REACTIV CEFAS\Cromolyn\Cromolyn/20201202_Cefas_Test8_Run2/Plate 1/@15/H11_01.tif </t>
  </si>
  <si>
    <t xml:space="preserve"> 70729.7554 </t>
  </si>
  <si>
    <t xml:space="preserve"> 48.7682 </t>
  </si>
  <si>
    <t xml:space="preserve">C:\Users\andre\Desktop\REACTIV CEFAS\Cromolyn\Cromolyn/20201202_Cefas_Test8_Run2/Plate 1/@15/H11_02.tif </t>
  </si>
  <si>
    <t xml:space="preserve"> 71032.574 </t>
  </si>
  <si>
    <t xml:space="preserve"> 49.3681 </t>
  </si>
  <si>
    <t xml:space="preserve">C:\Users\andre\Desktop\REACTIV CEFAS\Cromolyn\Cromolyn/20201202_Cefas_Test8_Run2/Plate 1/@15/H11_03.tif </t>
  </si>
  <si>
    <t xml:space="preserve"> 74320.3179 </t>
  </si>
  <si>
    <t xml:space="preserve"> 52.0731 </t>
  </si>
  <si>
    <t xml:space="preserve">C:\Users\andre\Desktop\REACTIV CEFAS\Cromolyn\Cromolyn/20201202_Cefas_Test8_Run2/Plate 1/@15/ </t>
  </si>
  <si>
    <t xml:space="preserve"> 50.4482 </t>
  </si>
  <si>
    <t xml:space="preserve"> 5.131 </t>
  </si>
  <si>
    <t xml:space="preserve"> 3710340.83 </t>
  </si>
  <si>
    <t xml:space="preserve"> 1393906.14 </t>
  </si>
  <si>
    <t xml:space="preserve">C:\Users\andre\Desktop\REACTIV CEFAS\Cromolyn\Cromolyn/20201202_Cefas_Test8_Run2/Plate 1/@16/A12_01.tif </t>
  </si>
  <si>
    <t xml:space="preserve"> 5840.0715 </t>
  </si>
  <si>
    <t xml:space="preserve"> 34.2037 </t>
  </si>
  <si>
    <t xml:space="preserve">C:\Users\andre\Desktop\REACTIV CEFAS\Cromolyn\Cromolyn/20201202_Cefas_Test8_Run2/Plate 1/@16/A12_02.tif </t>
  </si>
  <si>
    <t xml:space="preserve"> 1860.1709 </t>
  </si>
  <si>
    <t xml:space="preserve"> 33.0581 </t>
  </si>
  <si>
    <t xml:space="preserve">C:\Users\andre\Desktop\REACTIV CEFAS\Cromolyn\Cromolyn/20201202_Cefas_Test8_Run2/Plate 1/@16/A12_03.tif </t>
  </si>
  <si>
    <t xml:space="preserve"> 3568.9326 </t>
  </si>
  <si>
    <t xml:space="preserve"> 34.8848 </t>
  </si>
  <si>
    <t xml:space="preserve">C:\Users\andre\Desktop\REACTIV CEFAS\Cromolyn\Cromolyn/20201202_Cefas_Test8_Run2/Plate 1/@16/B12_01.tif </t>
  </si>
  <si>
    <t xml:space="preserve"> 12718.378 </t>
  </si>
  <si>
    <t xml:space="preserve"> 39.2432 </t>
  </si>
  <si>
    <t xml:space="preserve">C:\Users\andre\Desktop\REACTIV CEFAS\Cromolyn\Cromolyn/20201202_Cefas_Test8_Run2/Plate 1/@16/B12_02.tif </t>
  </si>
  <si>
    <t xml:space="preserve"> 10057.901 </t>
  </si>
  <si>
    <t xml:space="preserve"> 36.5312 </t>
  </si>
  <si>
    <t xml:space="preserve">C:\Users\andre\Desktop\REACTIV CEFAS\Cromolyn\Cromolyn/20201202_Cefas_Test8_Run2/Plate 1/@16/B12_03.tif </t>
  </si>
  <si>
    <t xml:space="preserve"> 38.2691 </t>
  </si>
  <si>
    <t xml:space="preserve">C:\Users\andre\Desktop\REACTIV CEFAS\Cromolyn\Cromolyn/20201202_Cefas_Test8_Run2/Plate 1/@16/C12_01.tif </t>
  </si>
  <si>
    <t xml:space="preserve"> 2098.0998 </t>
  </si>
  <si>
    <t xml:space="preserve"> 31.7423 </t>
  </si>
  <si>
    <t xml:space="preserve">C:\Users\andre\Desktop\REACTIV CEFAS\Cromolyn\Cromolyn/20201202_Cefas_Test8_Run2/Plate 1/@16/C12_02.tif </t>
  </si>
  <si>
    <t xml:space="preserve"> 5407.4737 </t>
  </si>
  <si>
    <t xml:space="preserve"> 35.956 </t>
  </si>
  <si>
    <t xml:space="preserve">C:\Users\andre\Desktop\REACTIV CEFAS\Cromolyn\Cromolyn/20201202_Cefas_Test8_Run2/Plate 1/@16/C12_03.tif </t>
  </si>
  <si>
    <t xml:space="preserve"> 1146.3844 </t>
  </si>
  <si>
    <t xml:space="preserve"> 31.8679 </t>
  </si>
  <si>
    <t>C:\Users\andre\Desktop\REACTIV CEFAS\Cromolyn\Cromolyn/20201202_Cefas_Test8_Run2/Plate 1/@16/D12_01- exclu.tif</t>
  </si>
  <si>
    <t>C:\Users\andre\Desktop\REACTIV CEFAS\Cromolyn\Cromolyn/20201202_Cefas_Test8_Run2/Plate 1/@16/D12_02- exclu.tif</t>
  </si>
  <si>
    <t xml:space="preserve">C:\Users\andre\Desktop\REACTIV CEFAS\Cromolyn\Cromolyn/20201202_Cefas_Test8_Run2/Plate 1/@16/D12_03.tif </t>
  </si>
  <si>
    <t xml:space="preserve"> 10187.6804 </t>
  </si>
  <si>
    <t xml:space="preserve"> 42.0594 </t>
  </si>
  <si>
    <t xml:space="preserve">C:\Users\andre\Desktop\REACTIV CEFAS\Cromolyn\Cromolyn/20201202_Cefas_Test8_Run2/Plate 1/@16/E12_01.tif </t>
  </si>
  <si>
    <t xml:space="preserve"> 410.968 </t>
  </si>
  <si>
    <t xml:space="preserve"> 31.4211 </t>
  </si>
  <si>
    <t xml:space="preserve">C:\Users\andre\Desktop\REACTIV CEFAS\Cromolyn\Cromolyn/20201202_Cefas_Test8_Run2/Plate 1/@16/E12_02.tif </t>
  </si>
  <si>
    <t xml:space="preserve"> 4845.0964 </t>
  </si>
  <si>
    <t xml:space="preserve"> 38.0759 </t>
  </si>
  <si>
    <t xml:space="preserve">C:\Users\andre\Desktop\REACTIV CEFAS\Cromolyn\Cromolyn/20201202_Cefas_Test8_Run2/Plate 1/@16/E12_03.tif </t>
  </si>
  <si>
    <t xml:space="preserve"> 2920.0358 </t>
  </si>
  <si>
    <t xml:space="preserve"> 37.0667 </t>
  </si>
  <si>
    <t xml:space="preserve">C:\Users\andre\Desktop\REACTIV CEFAS\Cromolyn\Cromolyn/20201202_Cefas_Test8_Run2/Plate 1/@16/F12_01.tif </t>
  </si>
  <si>
    <t xml:space="preserve"> 3677.0821 </t>
  </si>
  <si>
    <t xml:space="preserve"> 33.7235 </t>
  </si>
  <si>
    <t xml:space="preserve">C:\Users\andre\Desktop\REACTIV CEFAS\Cromolyn\Cromolyn/20201202_Cefas_Test8_Run2/Plate 1/@16/F12_02.tif </t>
  </si>
  <si>
    <t xml:space="preserve"> 7289.2745 </t>
  </si>
  <si>
    <t xml:space="preserve"> 40.6202 </t>
  </si>
  <si>
    <t xml:space="preserve">C:\Users\andre\Desktop\REACTIV CEFAS\Cromolyn\Cromolyn/20201202_Cefas_Test8_Run2/Plate 1/@16/F12_03.tif </t>
  </si>
  <si>
    <t xml:space="preserve"> 4044.7903 </t>
  </si>
  <si>
    <t xml:space="preserve"> 36.8235 </t>
  </si>
  <si>
    <t xml:space="preserve">C:\Users\andre\Desktop\REACTIV CEFAS\Cromolyn\Cromolyn/20201202_Cefas_Test8_Run2/Plate 1/@16/G12_01.tif </t>
  </si>
  <si>
    <t xml:space="preserve"> 151.4093 </t>
  </si>
  <si>
    <t xml:space="preserve"> 31.7143 </t>
  </si>
  <si>
    <t xml:space="preserve">C:\Users\andre\Desktop\REACTIV CEFAS\Cromolyn\Cromolyn/20201202_Cefas_Test8_Run2/Plate 1/@16/G12_02.tif </t>
  </si>
  <si>
    <t xml:space="preserve"> 30.5 </t>
  </si>
  <si>
    <t xml:space="preserve">C:\Users\andre\Desktop\REACTIV CEFAS\Cromolyn\Cromolyn/20201202_Cefas_Test8_Run2/Plate 1/@16/G12_03.tif </t>
  </si>
  <si>
    <t xml:space="preserve"> 497.4876 </t>
  </si>
  <si>
    <t xml:space="preserve"> 31.5217 </t>
  </si>
  <si>
    <t xml:space="preserve">C:\Users\andre\Desktop\REACTIV CEFAS\Cromolyn\Cromolyn/20201202_Cefas_Test8_Run2/Plate 1/@16/H12_01.tif </t>
  </si>
  <si>
    <t xml:space="preserve"> 1103.1246 </t>
  </si>
  <si>
    <t xml:space="preserve"> 34.4118 </t>
  </si>
  <si>
    <t xml:space="preserve">C:\Users\andre\Desktop\REACTIV CEFAS\Cromolyn\Cromolyn/20201202_Cefas_Test8_Run2/Plate 1/@16/H12_02.tif </t>
  </si>
  <si>
    <t xml:space="preserve"> 86.5196 </t>
  </si>
  <si>
    <t xml:space="preserve">C:\Users\andre\Desktop\REACTIV CEFAS\Cromolyn\Cromolyn/20201202_Cefas_Test8_Run2/Plate 1/@16/H12_03.tif </t>
  </si>
  <si>
    <t xml:space="preserve">C:\Users\andre\Desktop\REACTIV CEFAS\Cromolyn\Cromolyn/20201202_Cefas_Test8_Run2/Plate 1/@16/ </t>
  </si>
  <si>
    <t xml:space="preserve"> 34.9354 </t>
  </si>
  <si>
    <t xml:space="preserve"> 9.4692 </t>
  </si>
  <si>
    <t xml:space="preserve"> 213086.875 </t>
  </si>
  <si>
    <t xml:space="preserve"> 259945.568 </t>
  </si>
  <si>
    <t xml:space="preserve">C:\Users\andre\Desktop\REACTIV CEFAS\Cromolyn\Cromolyn/20201202_Cefas_Test8_Run2/Plate 1/@2/A2_01.tif </t>
  </si>
  <si>
    <t xml:space="preserve"> 3504.0429 </t>
  </si>
  <si>
    <t xml:space="preserve"> 33.8457 </t>
  </si>
  <si>
    <t xml:space="preserve">C:\Users\andre\Desktop\REACTIV CEFAS\Cromolyn\Cromolyn/20201202_Cefas_Test8_Run2/Plate 1/@2/A2_02.tif </t>
  </si>
  <si>
    <t xml:space="preserve"> 3114.7048 </t>
  </si>
  <si>
    <t xml:space="preserve"> 33.9236 </t>
  </si>
  <si>
    <t xml:space="preserve">C:\Users\andre\Desktop\REACTIV CEFAS\Cromolyn\Cromolyn/20201202_Cefas_Test8_Run2/Plate 1/@2/A2_03.tif </t>
  </si>
  <si>
    <t xml:space="preserve"> 1773.6514 </t>
  </si>
  <si>
    <t xml:space="preserve"> 33.3537 </t>
  </si>
  <si>
    <t xml:space="preserve">C:\Users\andre\Desktop\REACTIV CEFAS\Cromolyn\Cromolyn/20201202_Cefas_Test8_Run2/Plate 1/@2/B2_01.tif </t>
  </si>
  <si>
    <t xml:space="preserve"> 2811.8863 </t>
  </si>
  <si>
    <t xml:space="preserve"> 34.4308 </t>
  </si>
  <si>
    <t xml:space="preserve">C:\Users\andre\Desktop\REACTIV CEFAS\Cromolyn\Cromolyn/20201202_Cefas_Test8_Run2/Plate 1/@2/B2_02.tif </t>
  </si>
  <si>
    <t xml:space="preserve">C:\Users\andre\Desktop\REACTIV CEFAS\Cromolyn\Cromolyn/20201202_Cefas_Test8_Run2/Plate 1/@2/B2_03.tif </t>
  </si>
  <si>
    <t xml:space="preserve"> 7354.1642 </t>
  </si>
  <si>
    <t xml:space="preserve"> 38.0853 </t>
  </si>
  <si>
    <t xml:space="preserve">C:\Users\andre\Desktop\REACTIV CEFAS\Cromolyn\Cromolyn/20201202_Cefas_Test8_Run2/Plate 1/@2/C2_01.tif </t>
  </si>
  <si>
    <t xml:space="preserve"> 27707.895 </t>
  </si>
  <si>
    <t xml:space="preserve"> 34.2045 </t>
  </si>
  <si>
    <t xml:space="preserve">C:\Users\andre\Desktop\REACTIV CEFAS\Cromolyn\Cromolyn/20201202_Cefas_Test8_Run2/Plate 1/@2/C2_02.tif </t>
  </si>
  <si>
    <t xml:space="preserve"> 17758.1435 </t>
  </si>
  <si>
    <t xml:space="preserve"> 33.7942 </t>
  </si>
  <si>
    <t xml:space="preserve">C:\Users\andre\Desktop\REACTIV CEFAS\Cromolyn\Cromolyn/20201202_Cefas_Test8_Run2/Plate 1/@2/C2_03.tif </t>
  </si>
  <si>
    <t xml:space="preserve"> 20937.738 </t>
  </si>
  <si>
    <t xml:space="preserve"> 34.3089 </t>
  </si>
  <si>
    <t xml:space="preserve">C:\Users\andre\Desktop\REACTIV CEFAS\Cromolyn\Cromolyn/20201202_Cefas_Test8_Run2/Plate 1/@2/D2_01.tif </t>
  </si>
  <si>
    <t xml:space="preserve"> 865.1958 </t>
  </si>
  <si>
    <t xml:space="preserve"> 31.95 </t>
  </si>
  <si>
    <t xml:space="preserve">C:\Users\andre\Desktop\REACTIV CEFAS\Cromolyn\Cromolyn/20201202_Cefas_Test8_Run2/Plate 1/@2/D2_02.tif </t>
  </si>
  <si>
    <t xml:space="preserve"> 34.6835 </t>
  </si>
  <si>
    <t xml:space="preserve">C:\Users\andre\Desktop\REACTIV CEFAS\Cromolyn\Cromolyn/20201202_Cefas_Test8_Run2/Plate 1/@2/D2_03.tif </t>
  </si>
  <si>
    <t xml:space="preserve"> 1319.4236 </t>
  </si>
  <si>
    <t xml:space="preserve"> 32.4918 </t>
  </si>
  <si>
    <t xml:space="preserve">C:\Users\andre\Desktop\REACTIV CEFAS\Cromolyn\Cromolyn/20201202_Cefas_Test8_Run2/Plate 1/@2/E2_01.tif </t>
  </si>
  <si>
    <t xml:space="preserve"> 4023.1604 </t>
  </si>
  <si>
    <t xml:space="preserve"> 34.6344 </t>
  </si>
  <si>
    <t xml:space="preserve">C:\Users\andre\Desktop\REACTIV CEFAS\Cromolyn\Cromolyn/20201202_Cefas_Test8_Run2/Plate 1/@2/E2_02.tif </t>
  </si>
  <si>
    <t xml:space="preserve"> 3049.8151 </t>
  </si>
  <si>
    <t xml:space="preserve"> 36.305 </t>
  </si>
  <si>
    <t xml:space="preserve">C:\Users\andre\Desktop\REACTIV CEFAS\Cromolyn\Cromolyn/20201202_Cefas_Test8_Run2/Plate 1/@2/E2_03.tif </t>
  </si>
  <si>
    <t xml:space="preserve"> 2876.776 </t>
  </si>
  <si>
    <t xml:space="preserve"> 35.7293 </t>
  </si>
  <si>
    <t xml:space="preserve">C:\Users\andre\Desktop\REACTIV CEFAS\Cromolyn\Cromolyn/20201202_Cefas_Test8_Run2/Plate 1/@2/F2_01.tif </t>
  </si>
  <si>
    <t xml:space="preserve"> 33.3308 </t>
  </si>
  <si>
    <t xml:space="preserve">C:\Users\andre\Desktop\REACTIV CEFAS\Cromolyn\Cromolyn/20201202_Cefas_Test8_Run2/Plate 1/@2/F2_02.tif </t>
  </si>
  <si>
    <t xml:space="preserve"> 3222.8543 </t>
  </si>
  <si>
    <t xml:space="preserve"> 32.9195 </t>
  </si>
  <si>
    <t xml:space="preserve">C:\Users\andre\Desktop\REACTIV CEFAS\Cromolyn\Cromolyn/20201202_Cefas_Test8_Run2/Plate 1/@2/F2_03.tif </t>
  </si>
  <si>
    <t xml:space="preserve"> 1470.8328 </t>
  </si>
  <si>
    <t xml:space="preserve"> 32.7353 </t>
  </si>
  <si>
    <t xml:space="preserve">C:\Users\andre\Desktop\REACTIV CEFAS\Cromolyn\Cromolyn/20201202_Cefas_Test8_Run2/Plate 1/@2/G2_01.tif </t>
  </si>
  <si>
    <t xml:space="preserve"> 38.9525 </t>
  </si>
  <si>
    <t xml:space="preserve">C:\Users\andre\Desktop\REACTIV CEFAS\Cromolyn\Cromolyn/20201202_Cefas_Test8_Run2/Plate 1/@2/G2_02.tif </t>
  </si>
  <si>
    <t xml:space="preserve"> 5775.1819 </t>
  </si>
  <si>
    <t xml:space="preserve"> 34.8165 </t>
  </si>
  <si>
    <t xml:space="preserve">C:\Users\andre\Desktop\REACTIV CEFAS\Cromolyn\Cromolyn/20201202_Cefas_Test8_Run2/Plate 1/@2/G2_03.tif </t>
  </si>
  <si>
    <t xml:space="preserve"> 2746.9966 </t>
  </si>
  <si>
    <t xml:space="preserve"> 34.7087 </t>
  </si>
  <si>
    <t xml:space="preserve">C:\Users\andre\Desktop\REACTIV CEFAS\Cromolyn\Cromolyn/20201202_Cefas_Test8_Run2/Plate 1/@2/H2_01.tif </t>
  </si>
  <si>
    <t xml:space="preserve"> 37.4463 </t>
  </si>
  <si>
    <t xml:space="preserve">C:\Users\andre\Desktop\REACTIV CEFAS\Cromolyn\Cromolyn/20201202_Cefas_Test8_Run2/Plate 1/@2/H2_02.tif </t>
  </si>
  <si>
    <t xml:space="preserve"> 3287.744 </t>
  </si>
  <si>
    <t xml:space="preserve"> 37.9276 </t>
  </si>
  <si>
    <t xml:space="preserve">C:\Users\andre\Desktop\REACTIV CEFAS\Cromolyn\Cromolyn/20201202_Cefas_Test8_Run2/Plate 1/@2/H2_03.tif </t>
  </si>
  <si>
    <t xml:space="preserve"> 1254.5339 </t>
  </si>
  <si>
    <t xml:space="preserve"> 31.9655 </t>
  </si>
  <si>
    <t xml:space="preserve">C:\Users\andre\Desktop\REACTIV CEFAS\Cromolyn\Cromolyn/20201202_Cefas_Test8_Run2/Plate 1/@2/ </t>
  </si>
  <si>
    <t xml:space="preserve"> 34.4393 </t>
  </si>
  <si>
    <t xml:space="preserve"> 2.1354 </t>
  </si>
  <si>
    <t xml:space="preserve"> 196056.958 </t>
  </si>
  <si>
    <t xml:space="preserve"> 232984.333 </t>
  </si>
  <si>
    <t>C:\Users\andre\Desktop\REACTIV CEFAS\Cromolyn\Cromolyn/20201202_Cefas_Test8_Run2/Plate 1/@3/A3_01- exclu.tif</t>
  </si>
  <si>
    <t>C:\Users\andre\Desktop\REACTIV CEFAS\Cromolyn\Cromolyn/20201202_Cefas_Test8_Run2/Plate 1/@3/A3_02- exclu.tif</t>
  </si>
  <si>
    <t>C:\Users\andre\Desktop\REACTIV CEFAS\Cromolyn\Cromolyn/20201202_Cefas_Test8_Run2/Plate 1/@3/A3_03- exclu.tif</t>
  </si>
  <si>
    <t xml:space="preserve">C:\Users\andre\Desktop\REACTIV CEFAS\Cromolyn\Cromolyn/20201202_Cefas_Test8_Run2/Plate 1/@3/B3_01.tif </t>
  </si>
  <si>
    <t xml:space="preserve"> 1427.573 </t>
  </si>
  <si>
    <t xml:space="preserve"> 33.0303 </t>
  </si>
  <si>
    <t xml:space="preserve">C:\Users\andre\Desktop\REACTIV CEFAS\Cromolyn\Cromolyn/20201202_Cefas_Test8_Run2/Plate 1/@3/B3_02.tif </t>
  </si>
  <si>
    <t xml:space="preserve"> 33.5354 </t>
  </si>
  <si>
    <t xml:space="preserve">C:\Users\andre\Desktop\REACTIV CEFAS\Cromolyn\Cromolyn/20201202_Cefas_Test8_Run2/Plate 1/@3/B3_03.tif </t>
  </si>
  <si>
    <t xml:space="preserve"> 4066.4202 </t>
  </si>
  <si>
    <t xml:space="preserve"> 36.1915 </t>
  </si>
  <si>
    <t xml:space="preserve">C:\Users\andre\Desktop\REACTIV CEFAS\Cromolyn\Cromolyn/20201202_Cefas_Test8_Run2/Plate 1/@3/C3_01.tif </t>
  </si>
  <si>
    <t xml:space="preserve"> 1384.3133 </t>
  </si>
  <si>
    <t xml:space="preserve"> 33.3125 </t>
  </si>
  <si>
    <t xml:space="preserve">C:\Users\andre\Desktop\REACTIV CEFAS\Cromolyn\Cromolyn/20201202_Cefas_Test8_Run2/Plate 1/@3/C3_02.tif </t>
  </si>
  <si>
    <t xml:space="preserve">C:\Users\andre\Desktop\REACTIV CEFAS\Cromolyn\Cromolyn/20201202_Cefas_Test8_Run2/Plate 1/@3/C3_03.tif </t>
  </si>
  <si>
    <t xml:space="preserve"> 4217.8295 </t>
  </si>
  <si>
    <t xml:space="preserve"> 36.5077 </t>
  </si>
  <si>
    <t xml:space="preserve">C:\Users\andre\Desktop\REACTIV CEFAS\Cromolyn\Cromolyn/20201202_Cefas_Test8_Run2/Plate 1/@3/D3_01.tif </t>
  </si>
  <si>
    <t xml:space="preserve"> 7246.0147 </t>
  </si>
  <si>
    <t xml:space="preserve"> 32.9403 </t>
  </si>
  <si>
    <t xml:space="preserve">C:\Users\andre\Desktop\REACTIV CEFAS\Cromolyn\Cromolyn/20201202_Cefas_Test8_Run2/Plate 1/@3/D3_02.tif </t>
  </si>
  <si>
    <t xml:space="preserve"> 15249.0757 </t>
  </si>
  <si>
    <t xml:space="preserve"> 32.0241 </t>
  </si>
  <si>
    <t xml:space="preserve">C:\Users\andre\Desktop\REACTIV CEFAS\Cromolyn\Cromolyn/20201202_Cefas_Test8_Run2/Plate 1/@3/D3_03.tif </t>
  </si>
  <si>
    <t xml:space="preserve"> 11420.5844 </t>
  </si>
  <si>
    <t xml:space="preserve"> 34.8693 </t>
  </si>
  <si>
    <t>C:\Users\andre\Desktop\REACTIV CEFAS\Cromolyn\Cromolyn/20201202_Cefas_Test8_Run2/Plate 1/@3/E3_01- exclu.tif</t>
  </si>
  <si>
    <t>C:\Users\andre\Desktop\REACTIV CEFAS\Cromolyn\Cromolyn/20201202_Cefas_Test8_Run2/Plate 1/@3/E3_02- exclu.tif</t>
  </si>
  <si>
    <t>C:\Users\andre\Desktop\REACTIV CEFAS\Cromolyn\Cromolyn/20201202_Cefas_Test8_Run2/Plate 1/@3/E3_03- exclu.tif</t>
  </si>
  <si>
    <t xml:space="preserve">C:\Users\andre\Desktop\REACTIV CEFAS\Cromolyn\Cromolyn/20201202_Cefas_Test8_Run2/Plate 1/@3/F3_01.tif </t>
  </si>
  <si>
    <t xml:space="preserve"> 951.7154 </t>
  </si>
  <si>
    <t xml:space="preserve"> 31.8864 </t>
  </si>
  <si>
    <t xml:space="preserve">C:\Users\andre\Desktop\REACTIV CEFAS\Cromolyn\Cromolyn/20201202_Cefas_Test8_Run2/Plate 1/@3/F3_02.tif </t>
  </si>
  <si>
    <t xml:space="preserve"> 194.6691 </t>
  </si>
  <si>
    <t xml:space="preserve">C:\Users\andre\Desktop\REACTIV CEFAS\Cromolyn\Cromolyn/20201202_Cefas_Test8_Run2/Plate 1/@3/F3_03.tif </t>
  </si>
  <si>
    <t xml:space="preserve"> 886.8257 </t>
  </si>
  <si>
    <t xml:space="preserve"> 31.4146 </t>
  </si>
  <si>
    <t xml:space="preserve">C:\Users\andre\Desktop\REACTIV CEFAS\Cromolyn\Cromolyn/20201202_Cefas_Test8_Run2/Plate 1/@3/G3_01.tif </t>
  </si>
  <si>
    <t xml:space="preserve">C:\Users\andre\Desktop\REACTIV CEFAS\Cromolyn\Cromolyn/20201202_Cefas_Test8_Run2/Plate 1/@3/G3_02.tif </t>
  </si>
  <si>
    <t xml:space="preserve"> 10036.2711 </t>
  </si>
  <si>
    <t xml:space="preserve"> 39.6379 </t>
  </si>
  <si>
    <t>C:\Users\andre\Desktop\REACTIV CEFAS\Cromolyn\Cromolyn/20201202_Cefas_Test8_Run2/Plate 1/@3/G3_03- exclu.tif</t>
  </si>
  <si>
    <t xml:space="preserve">C:\Users\andre\Desktop\REACTIV CEFAS\Cromolyn\Cromolyn/20201202_Cefas_Test8_Run2/Plate 1/@3/H3_01.tif </t>
  </si>
  <si>
    <t xml:space="preserve"> 2638.8471 </t>
  </si>
  <si>
    <t xml:space="preserve"> 31.1967 </t>
  </si>
  <si>
    <t>C:\Users\andre\Desktop\REACTIV CEFAS\Cromolyn\Cromolyn/20201202_Cefas_Test8_Run2/Plate 1/@3/H3_02- exclu.tif</t>
  </si>
  <si>
    <t xml:space="preserve">C:\Users\andre\Desktop\REACTIV CEFAS\Cromolyn\Cromolyn/20201202_Cefas_Test8_Run2/Plate 1/@3/H3_03.tif </t>
  </si>
  <si>
    <t xml:space="preserve"> 605.637 </t>
  </si>
  <si>
    <t xml:space="preserve"> 31.4643 </t>
  </si>
  <si>
    <t xml:space="preserve">C:\Users\andre\Desktop\REACTIV CEFAS\Cromolyn\Cromolyn/20201202_Cefas_Test8_Run2/Plate 1/@3/ </t>
  </si>
  <si>
    <t xml:space="preserve"> 27.0137 </t>
  </si>
  <si>
    <t xml:space="preserve"> 16.6686 </t>
  </si>
  <si>
    <t xml:space="preserve"> 167286.5 </t>
  </si>
  <si>
    <t xml:space="preserve"> 194947.832 </t>
  </si>
  <si>
    <t xml:space="preserve">C:\Users\andre\Desktop\REACTIV CEFAS\Cromolyn\Cromolyn/20201202_Cefas_Test8_Run2/Plate 1/@4/A4_01.tif </t>
  </si>
  <si>
    <t xml:space="preserve"> 11074.506 </t>
  </si>
  <si>
    <t xml:space="preserve"> 38.916 </t>
  </si>
  <si>
    <t xml:space="preserve">C:\Users\andre\Desktop\REACTIV CEFAS\Cromolyn\Cromolyn/20201202_Cefas_Test8_Run2/Plate 1/@4/A4_02.tif </t>
  </si>
  <si>
    <t xml:space="preserve"> 32.2713 </t>
  </si>
  <si>
    <t xml:space="preserve">C:\Users\andre\Desktop\REACTIV CEFAS\Cromolyn\Cromolyn/20201202_Cefas_Test8_Run2/Plate 1/@4/A4_03.tif </t>
  </si>
  <si>
    <t xml:space="preserve"> 36.8706 </t>
  </si>
  <si>
    <t xml:space="preserve">C:\Users\andre\Desktop\REACTIV CEFAS\Cromolyn\Cromolyn/20201202_Cefas_Test8_Run2/Plate 1/@4/B4_01.tif </t>
  </si>
  <si>
    <t xml:space="preserve"> 64089.3778 </t>
  </si>
  <si>
    <t xml:space="preserve"> 38.5251 </t>
  </si>
  <si>
    <t>C:\Users\andre\Desktop\REACTIV CEFAS\Cromolyn\Cromolyn/20201202_Cefas_Test8_Run2/Plate 1/@4/B4_02- exclu.tif</t>
  </si>
  <si>
    <t xml:space="preserve">C:\Users\andre\Desktop\REACTIV CEFAS\Cromolyn\Cromolyn/20201202_Cefas_Test8_Run2/Plate 1/@4/B4_03.tif </t>
  </si>
  <si>
    <t xml:space="preserve"> 36.7334 </t>
  </si>
  <si>
    <t xml:space="preserve">C:\Users\andre\Desktop\REACTIV CEFAS\Cromolyn\Cromolyn/20201202_Cefas_Test8_Run2/Plate 1/@4/C4_01.tif </t>
  </si>
  <si>
    <t xml:space="preserve"> 37852.3156 </t>
  </si>
  <si>
    <t xml:space="preserve"> 34.012 </t>
  </si>
  <si>
    <t xml:space="preserve">C:\Users\andre\Desktop\REACTIV CEFAS\Cromolyn\Cromolyn/20201202_Cefas_Test8_Run2/Plate 1/@4/C4_02.tif </t>
  </si>
  <si>
    <t xml:space="preserve"> 54053.1067 </t>
  </si>
  <si>
    <t xml:space="preserve"> 37.1072 </t>
  </si>
  <si>
    <t xml:space="preserve">C:\Users\andre\Desktop\REACTIV CEFAS\Cromolyn\Cromolyn/20201202_Cefas_Test8_Run2/Plate 1/@4/C4_03.tif </t>
  </si>
  <si>
    <t xml:space="preserve"> 44514.3231 </t>
  </si>
  <si>
    <t xml:space="preserve"> 35.3134 </t>
  </si>
  <si>
    <t xml:space="preserve">C:\Users\andre\Desktop\REACTIV CEFAS\Cromolyn\Cromolyn/20201202_Cefas_Test8_Run2/Plate 1/@4/D4_01.tif </t>
  </si>
  <si>
    <t xml:space="preserve"> 43173.2697 </t>
  </si>
  <si>
    <t xml:space="preserve"> 39.3086 </t>
  </si>
  <si>
    <t xml:space="preserve">C:\Users\andre\Desktop\REACTIV CEFAS\Cromolyn\Cromolyn/20201202_Cefas_Test8_Run2/Plate 1/@4/D4_02.tif </t>
  </si>
  <si>
    <t xml:space="preserve"> 36554.5219 </t>
  </si>
  <si>
    <t xml:space="preserve"> 35.8373 </t>
  </si>
  <si>
    <t xml:space="preserve">C:\Users\andre\Desktop\REACTIV CEFAS\Cromolyn\Cromolyn/20201202_Cefas_Test8_Run2/Plate 1/@4/D4_03.tif </t>
  </si>
  <si>
    <t xml:space="preserve"> 31904.0946 </t>
  </si>
  <si>
    <t xml:space="preserve"> 34.8563 </t>
  </si>
  <si>
    <t>C:\Users\andre\Desktop\REACTIV CEFAS\Cromolyn\Cromolyn/20201202_Cefas_Test8_Run2/Plate 1/@4/E4_01- exclu.tif</t>
  </si>
  <si>
    <t>C:\Users\andre\Desktop\REACTIV CEFAS\Cromolyn\Cromolyn/20201202_Cefas_Test8_Run2/Plate 1/@4/E4_02- exclu.tif</t>
  </si>
  <si>
    <t>C:\Users\andre\Desktop\REACTIV CEFAS\Cromolyn\Cromolyn/20201202_Cefas_Test8_Run2/Plate 1/@4/E4_03- exclu.tif</t>
  </si>
  <si>
    <t xml:space="preserve">C:\Users\andre\Desktop\REACTIV CEFAS\Cromolyn\Cromolyn/20201202_Cefas_Test8_Run2/Plate 1/@4/F4_01.tif </t>
  </si>
  <si>
    <t xml:space="preserve"> 50808.6225 </t>
  </si>
  <si>
    <t xml:space="preserve"> 35.5539 </t>
  </si>
  <si>
    <t xml:space="preserve">C:\Users\andre\Desktop\REACTIV CEFAS\Cromolyn\Cromolyn/20201202_Cefas_Test8_Run2/Plate 1/@4/F4_02.tif </t>
  </si>
  <si>
    <t xml:space="preserve"> 48861.932 </t>
  </si>
  <si>
    <t xml:space="preserve"> 35.7242 </t>
  </si>
  <si>
    <t xml:space="preserve">C:\Users\andre\Desktop\REACTIV CEFAS\Cromolyn\Cromolyn/20201202_Cefas_Test8_Run2/Plate 1/@4/F4_03.tif </t>
  </si>
  <si>
    <t xml:space="preserve"> 46958.5012 </t>
  </si>
  <si>
    <t xml:space="preserve"> 34.8669 </t>
  </si>
  <si>
    <t xml:space="preserve">C:\Users\andre\Desktop\REACTIV CEFAS\Cromolyn\Cromolyn/20201202_Cefas_Test8_Run2/Plate 1/@4/G4_01.tif </t>
  </si>
  <si>
    <t xml:space="preserve"> 10317.4597 </t>
  </si>
  <si>
    <t xml:space="preserve"> 34.2872 </t>
  </si>
  <si>
    <t xml:space="preserve">C:\Users\andre\Desktop\REACTIV CEFAS\Cromolyn\Cromolyn/20201202_Cefas_Test8_Run2/Plate 1/@4/G4_02.tif </t>
  </si>
  <si>
    <t xml:space="preserve"> 17001.0972 </t>
  </si>
  <si>
    <t xml:space="preserve"> 35.6018 </t>
  </si>
  <si>
    <t xml:space="preserve">C:\Users\andre\Desktop\REACTIV CEFAS\Cromolyn\Cromolyn/20201202_Cefas_Test8_Run2/Plate 1/@4/G4_03.tif </t>
  </si>
  <si>
    <t xml:space="preserve"> 14556.9191 </t>
  </si>
  <si>
    <t xml:space="preserve"> 35.2288 </t>
  </si>
  <si>
    <t>C:\Users\andre\Desktop\REACTIV CEFAS\Cromolyn\Cromolyn/20201202_Cefas_Test8_Run2/Plate 1/@4/H4_01- exclu.tif</t>
  </si>
  <si>
    <t>C:\Users\andre\Desktop\REACTIV CEFAS\Cromolyn\Cromolyn/20201202_Cefas_Test8_Run2/Plate 1/@4/H4_02- exclu.tif</t>
  </si>
  <si>
    <t>C:\Users\andre\Desktop\REACTIV CEFAS\Cromolyn\Cromolyn/20201202_Cefas_Test8_Run2/Plate 1/@4/H4_03- exclu.tif</t>
  </si>
  <si>
    <t xml:space="preserve">C:\Users\andre\Desktop\REACTIV CEFAS\Cromolyn\Cromolyn/20201202_Cefas_Test8_Run2/Plate 1/@4/ </t>
  </si>
  <si>
    <t xml:space="preserve"> 31.0104 </t>
  </si>
  <si>
    <t xml:space="preserve"> 12.1722 </t>
  </si>
  <si>
    <t xml:space="preserve"> 934927.083 </t>
  </si>
  <si>
    <t xml:space="preserve"> 807607.877 </t>
  </si>
  <si>
    <t xml:space="preserve">C:\Users\andre\Desktop\REACTIV CEFAS\Cromolyn\Cromolyn/20201202_Cefas_Test8_Run2/Plate 1/@5/A5_01.tif </t>
  </si>
  <si>
    <t xml:space="preserve"> 39561.0773 </t>
  </si>
  <si>
    <t xml:space="preserve"> 36.9371 </t>
  </si>
  <si>
    <t xml:space="preserve">C:\Users\andre\Desktop\REACTIV CEFAS\Cromolyn\Cromolyn/20201202_Cefas_Test8_Run2/Plate 1/@5/A5_02.tif </t>
  </si>
  <si>
    <t xml:space="preserve"> 42264.8141 </t>
  </si>
  <si>
    <t xml:space="preserve"> 37.0942 </t>
  </si>
  <si>
    <t xml:space="preserve">C:\Users\andre\Desktop\REACTIV CEFAS\Cromolyn\Cromolyn/20201202_Cefas_Test8_Run2/Plate 1/@5/A5_03.tif </t>
  </si>
  <si>
    <t xml:space="preserve"> 34456.4221 </t>
  </si>
  <si>
    <t xml:space="preserve"> 34.5016 </t>
  </si>
  <si>
    <t xml:space="preserve">C:\Users\andre\Desktop\REACTIV CEFAS\Cromolyn\Cromolyn/20201202_Cefas_Test8_Run2/Plate 1/@5/B5_01.tif </t>
  </si>
  <si>
    <t xml:space="preserve"> 61558.6801 </t>
  </si>
  <si>
    <t xml:space="preserve"> 40.4874 </t>
  </si>
  <si>
    <t xml:space="preserve">C:\Users\andre\Desktop\REACTIV CEFAS\Cromolyn\Cromolyn/20201202_Cefas_Test8_Run2/Plate 1/@5/B5_02.tif </t>
  </si>
  <si>
    <t xml:space="preserve"> 63094.4026 </t>
  </si>
  <si>
    <t xml:space="preserve"> 40.2873 </t>
  </si>
  <si>
    <t xml:space="preserve">C:\Users\andre\Desktop\REACTIV CEFAS\Cromolyn\Cromolyn/20201202_Cefas_Test8_Run2/Plate 1/@5/B5_03.tif </t>
  </si>
  <si>
    <t xml:space="preserve"> 49575.7185 </t>
  </si>
  <si>
    <t xml:space="preserve"> 37.6976 </t>
  </si>
  <si>
    <t xml:space="preserve">C:\Users\andre\Desktop\REACTIV CEFAS\Cromolyn\Cromolyn/20201202_Cefas_Test8_Run2/Plate 1/@5/C5_01.tif </t>
  </si>
  <si>
    <t xml:space="preserve"> 44773.8819 </t>
  </si>
  <si>
    <t xml:space="preserve"> 40.5493 </t>
  </si>
  <si>
    <t xml:space="preserve">C:\Users\andre\Desktop\REACTIV CEFAS\Cromolyn\Cromolyn/20201202_Cefas_Test8_Run2/Plate 1/@5/C5_02.tif </t>
  </si>
  <si>
    <t xml:space="preserve"> 45422.7787 </t>
  </si>
  <si>
    <t xml:space="preserve"> 38.7295 </t>
  </si>
  <si>
    <t xml:space="preserve">C:\Users\andre\Desktop\REACTIV CEFAS\Cromolyn\Cromolyn/20201202_Cefas_Test8_Run2/Plate 1/@5/C5_03.tif </t>
  </si>
  <si>
    <t xml:space="preserve"> 47304.5796 </t>
  </si>
  <si>
    <t xml:space="preserve"> 40.7124 </t>
  </si>
  <si>
    <t xml:space="preserve">C:\Users\andre\Desktop\REACTIV CEFAS\Cromolyn\Cromolyn/20201202_Cefas_Test8_Run2/Plate 1/@5/D5_01.tif </t>
  </si>
  <si>
    <t xml:space="preserve"> 51544.0389 </t>
  </si>
  <si>
    <t xml:space="preserve"> 39.7499 </t>
  </si>
  <si>
    <t xml:space="preserve">C:\Users\andre\Desktop\REACTIV CEFAS\Cromolyn\Cromolyn/20201202_Cefas_Test8_Run2/Plate 1/@5/D5_02.tif </t>
  </si>
  <si>
    <t xml:space="preserve"> 50570.6936 </t>
  </si>
  <si>
    <t xml:space="preserve"> 39.2258 </t>
  </si>
  <si>
    <t xml:space="preserve">C:\Users\andre\Desktop\REACTIV CEFAS\Cromolyn\Cromolyn/20201202_Cefas_Test8_Run2/Plate 1/@5/D5_03.tif </t>
  </si>
  <si>
    <t xml:space="preserve"> 47542.5084 </t>
  </si>
  <si>
    <t xml:space="preserve"> 37.0273 </t>
  </si>
  <si>
    <t xml:space="preserve">C:\Users\andre\Desktop\REACTIV CEFAS\Cromolyn\Cromolyn/20201202_Cefas_Test8_Run2/Plate 1/@5/E5_01.tif </t>
  </si>
  <si>
    <t xml:space="preserve"> 44644.1025 </t>
  </si>
  <si>
    <t xml:space="preserve"> 41.6928 </t>
  </si>
  <si>
    <t xml:space="preserve">C:\Users\andre\Desktop\REACTIV CEFAS\Cromolyn\Cromolyn/20201202_Cefas_Test8_Run2/Plate 1/@5/E5_02.tif </t>
  </si>
  <si>
    <t xml:space="preserve"> 42567.6326 </t>
  </si>
  <si>
    <t xml:space="preserve"> 39.5767 </t>
  </si>
  <si>
    <t xml:space="preserve">C:\Users\andre\Desktop\REACTIV CEFAS\Cromolyn\Cromolyn/20201202_Cefas_Test8_Run2/Plate 1/@5/E5_03.tif </t>
  </si>
  <si>
    <t xml:space="preserve"> 38522.8423 </t>
  </si>
  <si>
    <t xml:space="preserve"> 39.0898 </t>
  </si>
  <si>
    <t xml:space="preserve">C:\Users\andre\Desktop\REACTIV CEFAS\Cromolyn\Cromolyn/20201202_Cefas_Test8_Run2/Plate 1/@5/F5_01.tif </t>
  </si>
  <si>
    <t xml:space="preserve"> 63397.2212 </t>
  </si>
  <si>
    <t xml:space="preserve"> 40.4674 </t>
  </si>
  <si>
    <t xml:space="preserve">C:\Users\andre\Desktop\REACTIV CEFAS\Cromolyn\Cromolyn/20201202_Cefas_Test8_Run2/Plate 1/@5/F5_02.tif </t>
  </si>
  <si>
    <t xml:space="preserve"> 48299.5547 </t>
  </si>
  <si>
    <t xml:space="preserve"> 38.1026 </t>
  </si>
  <si>
    <t xml:space="preserve">C:\Users\andre\Desktop\REACTIV CEFAS\Cromolyn\Cromolyn/20201202_Cefas_Test8_Run2/Plate 1/@5/F5_03.tif </t>
  </si>
  <si>
    <t xml:space="preserve"> 56043.057 </t>
  </si>
  <si>
    <t xml:space="preserve"> 40.6538 </t>
  </si>
  <si>
    <t xml:space="preserve">C:\Users\andre\Desktop\REACTIV CEFAS\Cromolyn\Cromolyn/20201202_Cefas_Test8_Run2/Plate 1/@5/G5_01.tif </t>
  </si>
  <si>
    <t xml:space="preserve"> 54312.6654 </t>
  </si>
  <si>
    <t xml:space="preserve"> 38.233 </t>
  </si>
  <si>
    <t xml:space="preserve">C:\Users\andre\Desktop\REACTIV CEFAS\Cromolyn\Cromolyn/20201202_Cefas_Test8_Run2/Plate 1/@5/G5_02.tif </t>
  </si>
  <si>
    <t xml:space="preserve"> 52625.5336 </t>
  </si>
  <si>
    <t xml:space="preserve"> 37.7493 </t>
  </si>
  <si>
    <t xml:space="preserve">C:\Users\andre\Desktop\REACTIV CEFAS\Cromolyn\Cromolyn/20201202_Cefas_Test8_Run2/Plate 1/@5/G5_03.tif </t>
  </si>
  <si>
    <t xml:space="preserve"> 57189.4414 </t>
  </si>
  <si>
    <t xml:space="preserve"> 41.4107 </t>
  </si>
  <si>
    <t xml:space="preserve">C:\Users\andre\Desktop\REACTIV CEFAS\Cromolyn\Cromolyn/20201202_Cefas_Test8_Run2/Plate 1/@5/H5_01.tif </t>
  </si>
  <si>
    <t xml:space="preserve"> 15076.0366 </t>
  </si>
  <si>
    <t xml:space="preserve"> 34.0416 </t>
  </si>
  <si>
    <t xml:space="preserve">C:\Users\andre\Desktop\REACTIV CEFAS\Cromolyn\Cromolyn/20201202_Cefas_Test8_Run2/Plate 1/@5/H5_02.tif </t>
  </si>
  <si>
    <t xml:space="preserve"> 22062.4925 </t>
  </si>
  <si>
    <t xml:space="preserve"> 37.1657 </t>
  </si>
  <si>
    <t xml:space="preserve">C:\Users\andre\Desktop\REACTIV CEFAS\Cromolyn\Cromolyn/20201202_Cefas_Test8_Run2/Plate 1/@5/H5_03.tif </t>
  </si>
  <si>
    <t xml:space="preserve"> 21218.9266 </t>
  </si>
  <si>
    <t xml:space="preserve"> 36.208 </t>
  </si>
  <si>
    <t xml:space="preserve">C:\Users\andre\Desktop\REACTIV CEFAS\Cromolyn\Cromolyn/20201202_Cefas_Test8_Run2/Plate 1/@5/ </t>
  </si>
  <si>
    <t xml:space="preserve"> 38.6413 </t>
  </si>
  <si>
    <t xml:space="preserve"> 2.059 </t>
  </si>
  <si>
    <t xml:space="preserve"> 1778478.54 </t>
  </si>
  <si>
    <t xml:space="preserve"> 540353.432 </t>
  </si>
  <si>
    <t xml:space="preserve">C:\Users\andre\Desktop\REACTIV CEFAS\Cromolyn\Cromolyn/20201202_Cefas_Test8_Run2/Plate 1/@6/A6_01.tif </t>
  </si>
  <si>
    <t xml:space="preserve"> 58292.566 </t>
  </si>
  <si>
    <t xml:space="preserve"> 49.0059 </t>
  </si>
  <si>
    <t xml:space="preserve">C:\Users\andre\Desktop\REACTIV CEFAS\Cromolyn\Cromolyn/20201202_Cefas_Test8_Run2/Plate 1/@6/A6_02.tif </t>
  </si>
  <si>
    <t xml:space="preserve"> 66706.595 </t>
  </si>
  <si>
    <t xml:space="preserve"> 49.332 </t>
  </si>
  <si>
    <t xml:space="preserve">C:\Users\andre\Desktop\REACTIV CEFAS\Cromolyn\Cromolyn/20201202_Cefas_Test8_Run2/Plate 1/@6/A6_03.tif </t>
  </si>
  <si>
    <t xml:space="preserve"> 74601.5066 </t>
  </si>
  <si>
    <t xml:space="preserve"> 47.8449 </t>
  </si>
  <si>
    <t xml:space="preserve">C:\Users\andre\Desktop\REACTIV CEFAS\Cromolyn\Cromolyn/20201202_Cefas_Test8_Run2/Plate 1/@6/B6_01.tif </t>
  </si>
  <si>
    <t xml:space="preserve"> 35343.2478 </t>
  </si>
  <si>
    <t xml:space="preserve"> 37.7289 </t>
  </si>
  <si>
    <t xml:space="preserve">C:\Users\andre\Desktop\REACTIV CEFAS\Cromolyn\Cromolyn/20201202_Cefas_Test8_Run2/Plate 1/@6/B6_02.tif </t>
  </si>
  <si>
    <t xml:space="preserve"> 33007.2192 </t>
  </si>
  <si>
    <t xml:space="preserve">C:\Users\andre\Desktop\REACTIV CEFAS\Cromolyn\Cromolyn/20201202_Cefas_Test8_Run2/Plate 1/@6/B6_03.tif </t>
  </si>
  <si>
    <t xml:space="preserve"> 37722.5362 </t>
  </si>
  <si>
    <t xml:space="preserve"> 42.3039 </t>
  </si>
  <si>
    <t xml:space="preserve">C:\Users\andre\Desktop\REACTIV CEFAS\Cromolyn\Cromolyn/20201202_Cefas_Test8_Run2/Plate 1/@6/C6_01.tif </t>
  </si>
  <si>
    <t xml:space="preserve"> 87363.1444 </t>
  </si>
  <si>
    <t xml:space="preserve"> 46.5454 </t>
  </si>
  <si>
    <t xml:space="preserve">C:\Users\andre\Desktop\REACTIV CEFAS\Cromolyn\Cromolyn/20201202_Cefas_Test8_Run2/Plate 1/@6/C6_02.tif </t>
  </si>
  <si>
    <t xml:space="preserve"> 90239.9204 </t>
  </si>
  <si>
    <t xml:space="preserve"> 44.5916 </t>
  </si>
  <si>
    <t xml:space="preserve">C:\Users\andre\Desktop\REACTIV CEFAS\Cromolyn\Cromolyn/20201202_Cefas_Test8_Run2/Plate 1/@6/C6_03.tif </t>
  </si>
  <si>
    <t xml:space="preserve"> 78538.1474 </t>
  </si>
  <si>
    <t xml:space="preserve"> 43.4693 </t>
  </si>
  <si>
    <t xml:space="preserve">C:\Users\andre\Desktop\REACTIV CEFAS\Cromolyn\Cromolyn/20201202_Cefas_Test8_Run2/Plate 1/@6/D6_01.tif </t>
  </si>
  <si>
    <t xml:space="preserve"> 76375.1579 </t>
  </si>
  <si>
    <t xml:space="preserve"> 48.9351 </t>
  </si>
  <si>
    <t xml:space="preserve">C:\Users\andre\Desktop\REACTIV CEFAS\Cromolyn\Cromolyn/20201202_Cefas_Test8_Run2/Plate 1/@6/D6_02.tif </t>
  </si>
  <si>
    <t xml:space="preserve"> 74233.7984 </t>
  </si>
  <si>
    <t xml:space="preserve"> 49.9677 </t>
  </si>
  <si>
    <t xml:space="preserve">C:\Users\andre\Desktop\REACTIV CEFAS\Cromolyn\Cromolyn/20201202_Cefas_Test8_Run2/Plate 1/@6/D6_03.tif </t>
  </si>
  <si>
    <t xml:space="preserve"> 75639.7415 </t>
  </si>
  <si>
    <t xml:space="preserve"> 49.5685 </t>
  </si>
  <si>
    <t xml:space="preserve">C:\Users\andre\Desktop\REACTIV CEFAS\Cromolyn\Cromolyn/20201202_Cefas_Test8_Run2/Plate 1/@6/E6_01.tif </t>
  </si>
  <si>
    <t xml:space="preserve"> 75596.4817 </t>
  </si>
  <si>
    <t xml:space="preserve"> 48.0472 </t>
  </si>
  <si>
    <t xml:space="preserve">C:\Users\andre\Desktop\REACTIV CEFAS\Cromolyn\Cromolyn/20201202_Cefas_Test8_Run2/Plate 1/@6/E6_02.tif </t>
  </si>
  <si>
    <t xml:space="preserve"> 73195.5634 </t>
  </si>
  <si>
    <t xml:space="preserve"> 46.781 </t>
  </si>
  <si>
    <t xml:space="preserve">C:\Users\andre\Desktop\REACTIV CEFAS\Cromolyn\Cromolyn/20201202_Cefas_Test8_Run2/Plate 1/@6/E6_03.tif </t>
  </si>
  <si>
    <t xml:space="preserve"> 79662.9019 </t>
  </si>
  <si>
    <t xml:space="preserve"> 48.6891 </t>
  </si>
  <si>
    <t xml:space="preserve">C:\Users\andre\Desktop\REACTIV CEFAS\Cromolyn\Cromolyn/20201202_Cefas_Test8_Run2/Plate 1/@6/F6_01.tif </t>
  </si>
  <si>
    <t xml:space="preserve"> 71140.7234 </t>
  </si>
  <si>
    <t xml:space="preserve"> 48.2299 </t>
  </si>
  <si>
    <t xml:space="preserve">C:\Users\andre\Desktop\REACTIV CEFAS\Cromolyn\Cromolyn/20201202_Cefas_Test8_Run2/Plate 1/@6/F6_02.tif </t>
  </si>
  <si>
    <t xml:space="preserve"> 64413.8262 </t>
  </si>
  <si>
    <t xml:space="preserve"> 47.8556 </t>
  </si>
  <si>
    <t xml:space="preserve">C:\Users\andre\Desktop\REACTIV CEFAS\Cromolyn\Cromolyn/20201202_Cefas_Test8_Run2/Plate 1/@6/F6_03.tif </t>
  </si>
  <si>
    <t xml:space="preserve"> 71789.6203 </t>
  </si>
  <si>
    <t xml:space="preserve"> 46.1392 </t>
  </si>
  <si>
    <t xml:space="preserve">C:\Users\andre\Desktop\REACTIV CEFAS\Cromolyn\Cromolyn/20201202_Cefas_Test8_Run2/Plate 1/@6/G6_01.tif </t>
  </si>
  <si>
    <t xml:space="preserve"> 84724.2973 </t>
  </si>
  <si>
    <t xml:space="preserve"> 42.8478 </t>
  </si>
  <si>
    <t xml:space="preserve">C:\Users\andre\Desktop\REACTIV CEFAS\Cromolyn\Cromolyn/20201202_Cefas_Test8_Run2/Plate 1/@6/G6_02.tif </t>
  </si>
  <si>
    <t xml:space="preserve"> 83404.8737 </t>
  </si>
  <si>
    <t xml:space="preserve"> 44.5309 </t>
  </si>
  <si>
    <t xml:space="preserve">C:\Users\andre\Desktop\REACTIV CEFAS\Cromolyn\Cromolyn/20201202_Cefas_Test8_Run2/Plate 1/@6/G6_03.tif </t>
  </si>
  <si>
    <t xml:space="preserve"> 42.7327 </t>
  </si>
  <si>
    <t xml:space="preserve">C:\Users\andre\Desktop\REACTIV CEFAS\Cromolyn\Cromolyn/20201202_Cefas_Test8_Run2/Plate 1/@6/H6_01.tif </t>
  </si>
  <si>
    <t xml:space="preserve"> 51349.3698 </t>
  </si>
  <si>
    <t xml:space="preserve"> 44.5998 </t>
  </si>
  <si>
    <t xml:space="preserve">C:\Users\andre\Desktop\REACTIV CEFAS\Cromolyn\Cromolyn/20201202_Cefas_Test8_Run2/Plate 1/@6/H6_02.tif </t>
  </si>
  <si>
    <t xml:space="preserve"> 46439.3838 </t>
  </si>
  <si>
    <t xml:space="preserve"> 46.1053 </t>
  </si>
  <si>
    <t xml:space="preserve">C:\Users\andre\Desktop\REACTIV CEFAS\Cromolyn\Cromolyn/20201202_Cefas_Test8_Run2/Plate 1/@6/H6_03.tif </t>
  </si>
  <si>
    <t xml:space="preserve"> 48537.4835 </t>
  </si>
  <si>
    <t xml:space="preserve"> 45.6012 </t>
  </si>
  <si>
    <t xml:space="preserve">C:\Users\andre\Desktop\REACTIV CEFAS\Cromolyn\Cromolyn/20201202_Cefas_Test8_Run2/Plate 1/@6/ </t>
  </si>
  <si>
    <t xml:space="preserve"> 46.0529 </t>
  </si>
  <si>
    <t xml:space="preserve"> 2.9596 </t>
  </si>
  <si>
    <t xml:space="preserve"> 3106882.88 </t>
  </si>
  <si>
    <t xml:space="preserve"> 826029.811 </t>
  </si>
  <si>
    <t xml:space="preserve">C:\Users\andre\Desktop\REACTIV CEFAS\Cromolyn\Cromolyn/20201202_Cefas_Test8_Run2/Plate 1/@7/A7_01.tif </t>
  </si>
  <si>
    <t xml:space="preserve"> 46742.2023 </t>
  </si>
  <si>
    <t xml:space="preserve"> 58.5021 </t>
  </si>
  <si>
    <t xml:space="preserve">C:\Users\andre\Desktop\REACTIV CEFAS\Cromolyn\Cromolyn/20201202_Cefas_Test8_Run2/Plate 1/@7/A7_02.tif </t>
  </si>
  <si>
    <t xml:space="preserve"> 54269.4056 </t>
  </si>
  <si>
    <t xml:space="preserve"> 60.5727 </t>
  </si>
  <si>
    <t xml:space="preserve">C:\Users\andre\Desktop\REACTIV CEFAS\Cromolyn\Cromolyn/20201202_Cefas_Test8_Run2/Plate 1/@7/A7_03.tif </t>
  </si>
  <si>
    <t xml:space="preserve"> 60909.7833 </t>
  </si>
  <si>
    <t xml:space="preserve"> 55.0202 </t>
  </si>
  <si>
    <t xml:space="preserve">C:\Users\andre\Desktop\REACTIV CEFAS\Cromolyn\Cromolyn/20201202_Cefas_Test8_Run2/Plate 1/@7/B7_01.tif </t>
  </si>
  <si>
    <t xml:space="preserve"> 53231.1707 </t>
  </si>
  <si>
    <t xml:space="preserve"> 60.3243 </t>
  </si>
  <si>
    <t>C:\Users\andre\Desktop\REACTIV CEFAS\Cromolyn\Cromolyn/20201202_Cefas_Test8_Run2/Plate 1/@7/B7_02- exclu.tif</t>
  </si>
  <si>
    <t xml:space="preserve">C:\Users\andre\Desktop\REACTIV CEFAS\Cromolyn\Cromolyn/20201202_Cefas_Test8_Run2/Plate 1/@7/B7_03.tif </t>
  </si>
  <si>
    <t xml:space="preserve"> 86606.0981 </t>
  </si>
  <si>
    <t xml:space="preserve"> 62.0649 </t>
  </si>
  <si>
    <t xml:space="preserve">C:\Users\andre\Desktop\REACTIV CEFAS\Cromolyn\Cromolyn/20201202_Cefas_Test8_Run2/Plate 1/@7/C7_01.tif </t>
  </si>
  <si>
    <t xml:space="preserve"> 84270.0695 </t>
  </si>
  <si>
    <t xml:space="preserve"> 61.0898 </t>
  </si>
  <si>
    <t xml:space="preserve">C:\Users\andre\Desktop\REACTIV CEFAS\Cromolyn\Cromolyn/20201202_Cefas_Test8_Run2/Plate 1/@7/C7_02.tif </t>
  </si>
  <si>
    <t xml:space="preserve"> 84897.3364 </t>
  </si>
  <si>
    <t xml:space="preserve"> 56.3699 </t>
  </si>
  <si>
    <t xml:space="preserve">C:\Users\andre\Desktop\REACTIV CEFAS\Cromolyn\Cromolyn/20201202_Cefas_Test8_Run2/Plate 1/@7/C7_03.tif </t>
  </si>
  <si>
    <t xml:space="preserve"> 81804.2615 </t>
  </si>
  <si>
    <t xml:space="preserve"> 64.2644 </t>
  </si>
  <si>
    <t xml:space="preserve">C:\Users\andre\Desktop\REACTIV CEFAS\Cromolyn\Cromolyn/20201202_Cefas_Test8_Run2/Plate 1/@7/D7_01.tif </t>
  </si>
  <si>
    <t xml:space="preserve"> 86260.0198 </t>
  </si>
  <si>
    <t xml:space="preserve"> 62.3608 </t>
  </si>
  <si>
    <t xml:space="preserve">C:\Users\andre\Desktop\REACTIV CEFAS\Cromolyn\Cromolyn/20201202_Cefas_Test8_Run2/Plate 1/@7/D7_02.tif </t>
  </si>
  <si>
    <t xml:space="preserve"> 82712.7171 </t>
  </si>
  <si>
    <t xml:space="preserve"> 57.5544 </t>
  </si>
  <si>
    <t xml:space="preserve">C:\Users\andre\Desktop\REACTIV CEFAS\Cromolyn\Cromolyn/20201202_Cefas_Test8_Run2/Plate 1/@7/D7_03.tif </t>
  </si>
  <si>
    <t xml:space="preserve"> 86389.7991 </t>
  </si>
  <si>
    <t xml:space="preserve"> 61.4394 </t>
  </si>
  <si>
    <t xml:space="preserve">C:\Users\andre\Desktop\REACTIV CEFAS\Cromolyn\Cromolyn/20201202_Cefas_Test8_Run2/Plate 1/@7/E7_01.tif </t>
  </si>
  <si>
    <t xml:space="preserve"> 58487.2351 </t>
  </si>
  <si>
    <t xml:space="preserve"> 56.2703 </t>
  </si>
  <si>
    <t xml:space="preserve">C:\Users\andre\Desktop\REACTIV CEFAS\Cromolyn\Cromolyn/20201202_Cefas_Test8_Run2/Plate 1/@7/E7_02.tif </t>
  </si>
  <si>
    <t xml:space="preserve"> 68328.8371 </t>
  </si>
  <si>
    <t xml:space="preserve"> 56.2858 </t>
  </si>
  <si>
    <t xml:space="preserve">C:\Users\andre\Desktop\REACTIV CEFAS\Cromolyn\Cromolyn/20201202_Cefas_Test8_Run2/Plate 1/@7/E7_03.tif </t>
  </si>
  <si>
    <t xml:space="preserve"> 63353.9614 </t>
  </si>
  <si>
    <t xml:space="preserve"> 54.5002 </t>
  </si>
  <si>
    <t xml:space="preserve">C:\Users\andre\Desktop\REACTIV CEFAS\Cromolyn\Cromolyn/20201202_Cefas_Test8_Run2/Plate 1/@7/F7_01.tif </t>
  </si>
  <si>
    <t xml:space="preserve"> 95236.4261 </t>
  </si>
  <si>
    <t xml:space="preserve"> 54.4708 </t>
  </si>
  <si>
    <t xml:space="preserve">C:\Users\andre\Desktop\REACTIV CEFAS\Cromolyn\Cromolyn/20201202_Cefas_Test8_Run2/Plate 1/@7/F7_02.tif </t>
  </si>
  <si>
    <t xml:space="preserve"> 98394.3907 </t>
  </si>
  <si>
    <t xml:space="preserve"> 52.6098 </t>
  </si>
  <si>
    <t xml:space="preserve">C:\Users\andre\Desktop\REACTIV CEFAS\Cromolyn\Cromolyn/20201202_Cefas_Test8_Run2/Plate 1/@7/F7_03.tif </t>
  </si>
  <si>
    <t xml:space="preserve"> 98632.3195 </t>
  </si>
  <si>
    <t xml:space="preserve"> 55.2838 </t>
  </si>
  <si>
    <t xml:space="preserve">C:\Users\andre\Desktop\REACTIV CEFAS\Cromolyn\Cromolyn/20201202_Cefas_Test8_Run2/Plate 1/@7/G7_01.tif </t>
  </si>
  <si>
    <t xml:space="preserve"> 75618.1116 </t>
  </si>
  <si>
    <t xml:space="preserve"> 60.3132 </t>
  </si>
  <si>
    <t xml:space="preserve">C:\Users\andre\Desktop\REACTIV CEFAS\Cromolyn\Cromolyn/20201202_Cefas_Test8_Run2/Plate 1/@7/G7_02.tif </t>
  </si>
  <si>
    <t xml:space="preserve"> 93808.853 </t>
  </si>
  <si>
    <t xml:space="preserve"> 62.8836 </t>
  </si>
  <si>
    <t xml:space="preserve">C:\Users\andre\Desktop\REACTIV CEFAS\Cromolyn\Cromolyn/20201202_Cefas_Test8_Run2/Plate 1/@7/G7_03.tif </t>
  </si>
  <si>
    <t xml:space="preserve"> 73044.1542 </t>
  </si>
  <si>
    <t xml:space="preserve"> 63.9902 </t>
  </si>
  <si>
    <t>C:\Users\andre\Desktop\REACTIV CEFAS\Cromolyn\Cromolyn/20201202_Cefas_Test8_Run2/Plate 1/@7/H7_01- exclu.tif</t>
  </si>
  <si>
    <t>C:\Users\andre\Desktop\REACTIV CEFAS\Cromolyn\Cromolyn/20201202_Cefas_Test8_Run2/Plate 1/@7/H7_02- exclu.tif</t>
  </si>
  <si>
    <t>C:\Users\andre\Desktop\REACTIV CEFAS\Cromolyn\Cromolyn/20201202_Cefas_Test8_Run2/Plate 1/@7/H7_03- exclu.tif</t>
  </si>
  <si>
    <t xml:space="preserve">C:\Users\andre\Desktop\REACTIV CEFAS\Cromolyn\Cromolyn/20201202_Cefas_Test8_Run2/Plate 1/@7/ </t>
  </si>
  <si>
    <t xml:space="preserve"> 57.7064 </t>
  </si>
  <si>
    <t xml:space="preserve"> 4.2413 </t>
  </si>
  <si>
    <t xml:space="preserve"> 4398670.79 </t>
  </si>
  <si>
    <t xml:space="preserve"> 1107118.27 </t>
  </si>
  <si>
    <t xml:space="preserve">C:\Users\andre\Desktop\REACTIV CEFAS\Cromolyn\Cromolyn/20201202_Cefas_Test8_Run2/Plate 4/@10/A4_01.tif </t>
  </si>
  <si>
    <t>C:\Users\andre\Desktop\REACTIV CEFAS\Cromolyn\Cromolyn/20201202_Cefas_Test8_Run2/Plate 4/@10/A4_02- exclu.tif</t>
  </si>
  <si>
    <t>C:\Users\andre\Desktop\REACTIV CEFAS\Cromolyn\Cromolyn/20201202_Cefas_Test8_Run2/Plate 4/@10/A4_03- exclu.tif</t>
  </si>
  <si>
    <t xml:space="preserve">C:\Users\andre\Desktop\REACTIV CEFAS\Cromolyn\Cromolyn/20201202_Cefas_Test8_Run2/Plate 4/@10/B4_01.tif </t>
  </si>
  <si>
    <t xml:space="preserve"> 324.4484 </t>
  </si>
  <si>
    <t xml:space="preserve"> 31.9333 </t>
  </si>
  <si>
    <t xml:space="preserve">C:\Users\andre\Desktop\REACTIV CEFAS\Cromolyn\Cromolyn/20201202_Cefas_Test8_Run2/Plate 4/@10/B4_02.tif </t>
  </si>
  <si>
    <t xml:space="preserve"> 2184.6194 </t>
  </si>
  <si>
    <t xml:space="preserve"> 35.4257 </t>
  </si>
  <si>
    <t xml:space="preserve">C:\Users\andre\Desktop\REACTIV CEFAS\Cromolyn\Cromolyn/20201202_Cefas_Test8_Run2/Plate 4/@10/B4_03.tif </t>
  </si>
  <si>
    <t xml:space="preserve"> 4347.6088 </t>
  </si>
  <si>
    <t xml:space="preserve"> 36.1542 </t>
  </si>
  <si>
    <t xml:space="preserve">C:\Users\andre\Desktop\REACTIV CEFAS\Cromolyn\Cromolyn/20201202_Cefas_Test8_Run2/Plate 4/@10/C4_01.tif </t>
  </si>
  <si>
    <t xml:space="preserve"> 11831.5524 </t>
  </si>
  <si>
    <t xml:space="preserve"> 43.0676 </t>
  </si>
  <si>
    <t xml:space="preserve">C:\Users\andre\Desktop\REACTIV CEFAS\Cromolyn\Cromolyn/20201202_Cefas_Test8_Run2/Plate 4/@10/C4_02.tif </t>
  </si>
  <si>
    <t xml:space="preserve"> 43.3333 </t>
  </si>
  <si>
    <t xml:space="preserve">C:\Users\andre\Desktop\REACTIV CEFAS\Cromolyn\Cromolyn/20201202_Cefas_Test8_Run2/Plate 4/@10/C4_03.tif </t>
  </si>
  <si>
    <t xml:space="preserve"> 11355.6947 </t>
  </si>
  <si>
    <t xml:space="preserve"> 44.341 </t>
  </si>
  <si>
    <t>C:\Users\andre\Desktop\REACTIV CEFAS\Cromolyn\Cromolyn/20201202_Cefas_Test8_Run2/Plate 4/@10/D4_01- exclu.tif</t>
  </si>
  <si>
    <t xml:space="preserve">C:\Users\andre\Desktop\REACTIV CEFAS\Cromolyn\Cromolyn/20201202_Cefas_Test8_Run2/Plate 4/@10/D4_02.tif </t>
  </si>
  <si>
    <t xml:space="preserve"> 173.0392 </t>
  </si>
  <si>
    <t xml:space="preserve"> 31.125 </t>
  </si>
  <si>
    <t xml:space="preserve">C:\Users\andre\Desktop\REACTIV CEFAS\Cromolyn\Cromolyn/20201202_Cefas_Test8_Run2/Plate 4/@10/D4_03.tif </t>
  </si>
  <si>
    <t xml:space="preserve"> 281.1886 </t>
  </si>
  <si>
    <t xml:space="preserve"> 30.5385 </t>
  </si>
  <si>
    <t xml:space="preserve">C:\Users\andre\Desktop\REACTIV CEFAS\Cromolyn\Cromolyn/20201202_Cefas_Test8_Run2/Plate 4/@10/E4_01.tif </t>
  </si>
  <si>
    <t xml:space="preserve"> 5602.1427 </t>
  </si>
  <si>
    <t xml:space="preserve"> 36.2432 </t>
  </si>
  <si>
    <t xml:space="preserve">C:\Users\andre\Desktop\REACTIV CEFAS\Cromolyn\Cromolyn/20201202_Cefas_Test8_Run2/Plate 4/@10/E4_02.tif </t>
  </si>
  <si>
    <t xml:space="preserve"> 8738.4774 </t>
  </si>
  <si>
    <t xml:space="preserve"> 38.6609 </t>
  </si>
  <si>
    <t xml:space="preserve">C:\Users\andre\Desktop\REACTIV CEFAS\Cromolyn\Cromolyn/20201202_Cefas_Test8_Run2/Plate 4/@10/E4_03.tif </t>
  </si>
  <si>
    <t xml:space="preserve"> 38.1929 </t>
  </si>
  <si>
    <t xml:space="preserve">C:\Users\andre\Desktop\REACTIV CEFAS\Cromolyn\Cromolyn/20201202_Cefas_Test8_Run2/Plate 4/@10/F4_01.tif </t>
  </si>
  <si>
    <t xml:space="preserve"> 9149.4454 </t>
  </si>
  <si>
    <t xml:space="preserve"> 44.7541 </t>
  </si>
  <si>
    <t xml:space="preserve">C:\Users\andre\Desktop\REACTIV CEFAS\Cromolyn\Cromolyn/20201202_Cefas_Test8_Run2/Plate 4/@10/F4_02.tif </t>
  </si>
  <si>
    <t xml:space="preserve"> 7224.3848 </t>
  </si>
  <si>
    <t xml:space="preserve"> 37.1437 </t>
  </si>
  <si>
    <t xml:space="preserve">C:\Users\andre\Desktop\REACTIV CEFAS\Cromolyn\Cromolyn/20201202_Cefas_Test8_Run2/Plate 4/@10/F4_03.tif </t>
  </si>
  <si>
    <t xml:space="preserve"> 32.0802 </t>
  </si>
  <si>
    <t xml:space="preserve">C:\Users\andre\Desktop\REACTIV CEFAS\Cromolyn\Cromolyn/20201202_Cefas_Test8_Run2/Plate 4/@10/G4_01.tif </t>
  </si>
  <si>
    <t xml:space="preserve"> 31.8361 </t>
  </si>
  <si>
    <t xml:space="preserve">C:\Users\andre\Desktop\REACTIV CEFAS\Cromolyn\Cromolyn/20201202_Cefas_Test8_Run2/Plate 4/@10/G4_02.tif </t>
  </si>
  <si>
    <t xml:space="preserve"> 6748.5271 </t>
  </si>
  <si>
    <t xml:space="preserve"> 39.3013 </t>
  </si>
  <si>
    <t xml:space="preserve">C:\Users\andre\Desktop\REACTIV CEFAS\Cromolyn\Cromolyn/20201202_Cefas_Test8_Run2/Plate 4/@10/G4_03.tif </t>
  </si>
  <si>
    <t xml:space="preserve"> 4369.2387 </t>
  </si>
  <si>
    <t xml:space="preserve"> 33.9307 </t>
  </si>
  <si>
    <t xml:space="preserve">C:\Users\andre\Desktop\REACTIV CEFAS\Cromolyn\Cromolyn/20201202_Cefas_Test8_Run2/Plate 4/@10/H4_01.tif </t>
  </si>
  <si>
    <t xml:space="preserve"> 34.8088 </t>
  </si>
  <si>
    <t xml:space="preserve">C:\Users\andre\Desktop\REACTIV CEFAS\Cromolyn\Cromolyn/20201202_Cefas_Test8_Run2/Plate 4/@10/H4_02.tif </t>
  </si>
  <si>
    <t xml:space="preserve"> 3395.8935 </t>
  </si>
  <si>
    <t xml:space="preserve"> 38.6752 </t>
  </si>
  <si>
    <t xml:space="preserve">C:\Users\andre\Desktop\REACTIV CEFAS\Cromolyn\Cromolyn/20201202_Cefas_Test8_Run2/Plate 4/@10/H4_03.tif </t>
  </si>
  <si>
    <t xml:space="preserve"> 6986.456 </t>
  </si>
  <si>
    <t xml:space="preserve"> 37.6037 </t>
  </si>
  <si>
    <t xml:space="preserve">C:\Users\andre\Desktop\REACTIV CEFAS\Cromolyn\Cromolyn/20201202_Cefas_Test8_Run2/Plate 4/@10/ </t>
  </si>
  <si>
    <t xml:space="preserve"> 36.1136 </t>
  </si>
  <si>
    <t xml:space="preserve"> 9.0778 </t>
  </si>
  <si>
    <t xml:space="preserve"> 235958.708 </t>
  </si>
  <si>
    <t xml:space="preserve"> 190749.832 </t>
  </si>
  <si>
    <t>C:\Users\andre\Desktop\REACTIV CEFAS\Cromolyn\Cromolyn/20201202_Cefas_Test8_Run2/Plate 4/@11/A5_01- exclu.tif</t>
  </si>
  <si>
    <t>C:\Users\andre\Desktop\REACTIV CEFAS\Cromolyn\Cromolyn/20201202_Cefas_Test8_Run2/Plate 4/@11/A5_02- exclu.tif</t>
  </si>
  <si>
    <t>C:\Users\andre\Desktop\REACTIV CEFAS\Cromolyn\Cromolyn/20201202_Cefas_Test8_Run2/Plate 4/@11/A5_03- exclu.tif</t>
  </si>
  <si>
    <t xml:space="preserve">C:\Users\andre\Desktop\REACTIV CEFAS\Cromolyn\Cromolyn/20201202_Cefas_Test8_Run2/Plate 4/@11/B5_01.tif </t>
  </si>
  <si>
    <t xml:space="preserve"> 6056.3705 </t>
  </si>
  <si>
    <t xml:space="preserve"> 40.5214 </t>
  </si>
  <si>
    <t xml:space="preserve">C:\Users\andre\Desktop\REACTIV CEFAS\Cromolyn\Cromolyn/20201202_Cefas_Test8_Run2/Plate 4/@11/B5_02.tif </t>
  </si>
  <si>
    <t xml:space="preserve"> 7440.6838 </t>
  </si>
  <si>
    <t xml:space="preserve"> 38.0145 </t>
  </si>
  <si>
    <t xml:space="preserve">C:\Users\andre\Desktop\REACTIV CEFAS\Cromolyn\Cromolyn/20201202_Cefas_Test8_Run2/Plate 4/@11/B5_03.tif </t>
  </si>
  <si>
    <t xml:space="preserve"> 13086.0863 </t>
  </si>
  <si>
    <t xml:space="preserve"> 44.924 </t>
  </si>
  <si>
    <t xml:space="preserve">C:\Users\andre\Desktop\REACTIV CEFAS\Cromolyn\Cromolyn/20201202_Cefas_Test8_Run2/Plate 4/@11/C5_01.tif </t>
  </si>
  <si>
    <t xml:space="preserve">C:\Users\andre\Desktop\REACTIV CEFAS\Cromolyn\Cromolyn/20201202_Cefas_Test8_Run2/Plate 4/@11/C5_02.tif </t>
  </si>
  <si>
    <t xml:space="preserve"> 216.2989 </t>
  </si>
  <si>
    <t xml:space="preserve"> 31.4 </t>
  </si>
  <si>
    <t xml:space="preserve">C:\Users\andre\Desktop\REACTIV CEFAS\Cromolyn\Cromolyn/20201202_Cefas_Test8_Run2/Plate 4/@11/C5_03.tif </t>
  </si>
  <si>
    <t xml:space="preserve">C:\Users\andre\Desktop\REACTIV CEFAS\Cromolyn\Cromolyn/20201202_Cefas_Test8_Run2/Plate 4/@11/D5_01.tif </t>
  </si>
  <si>
    <t xml:space="preserve"> 821.936 </t>
  </si>
  <si>
    <t xml:space="preserve"> 33.1842 </t>
  </si>
  <si>
    <t xml:space="preserve">C:\Users\andre\Desktop\REACTIV CEFAS\Cromolyn\Cromolyn/20201202_Cefas_Test8_Run2/Plate 4/@11/D5_02.tif </t>
  </si>
  <si>
    <t xml:space="preserve"> 32.3913 </t>
  </si>
  <si>
    <t xml:space="preserve">C:\Users\andre\Desktop\REACTIV CEFAS\Cromolyn\Cromolyn/20201202_Cefas_Test8_Run2/Plate 4/@11/D5_03.tif </t>
  </si>
  <si>
    <t xml:space="preserve">C:\Users\andre\Desktop\REACTIV CEFAS\Cromolyn\Cromolyn/20201202_Cefas_Test8_Run2/Plate 4/@11/E5_01.tif </t>
  </si>
  <si>
    <t xml:space="preserve"> 7397.424 </t>
  </si>
  <si>
    <t xml:space="preserve"> 38.538 </t>
  </si>
  <si>
    <t xml:space="preserve">C:\Users\andre\Desktop\REACTIV CEFAS\Cromolyn\Cromolyn/20201202_Cefas_Test8_Run2/Plate 4/@11/E5_02.tif </t>
  </si>
  <si>
    <t xml:space="preserve"> 8154.4703 </t>
  </si>
  <si>
    <t xml:space="preserve"> 41.1883 </t>
  </si>
  <si>
    <t xml:space="preserve">C:\Users\andre\Desktop\REACTIV CEFAS\Cromolyn\Cromolyn/20201202_Cefas_Test8_Run2/Plate 4/@11/E5_03.tif </t>
  </si>
  <si>
    <t xml:space="preserve"> 39.976 </t>
  </si>
  <si>
    <t xml:space="preserve">C:\Users\andre\Desktop\REACTIV CEFAS\Cromolyn\Cromolyn/20201202_Cefas_Test8_Run2/Plate 4/@11/F5_01.tif </t>
  </si>
  <si>
    <t xml:space="preserve"> 8543.8084 </t>
  </si>
  <si>
    <t xml:space="preserve"> 42.4785 </t>
  </si>
  <si>
    <t xml:space="preserve">C:\Users\andre\Desktop\REACTIV CEFAS\Cromolyn\Cromolyn/20201202_Cefas_Test8_Run2/Plate 4/@11/F5_02.tif </t>
  </si>
  <si>
    <t xml:space="preserve"> 5472.3633 </t>
  </si>
  <si>
    <t xml:space="preserve"> 39.2767 </t>
  </si>
  <si>
    <t xml:space="preserve">C:\Users\andre\Desktop\REACTIV CEFAS\Cromolyn\Cromolyn/20201202_Cefas_Test8_Run2/Plate 4/@11/F5_03.tif </t>
  </si>
  <si>
    <t xml:space="preserve"> 43.3588 </t>
  </si>
  <si>
    <t xml:space="preserve">C:\Users\andre\Desktop\REACTIV CEFAS\Cromolyn\Cromolyn/20201202_Cefas_Test8_Run2/Plate 4/@11/G5_01.tif </t>
  </si>
  <si>
    <t xml:space="preserve"> 33.3923 </t>
  </si>
  <si>
    <t xml:space="preserve">C:\Users\andre\Desktop\REACTIV CEFAS\Cromolyn\Cromolyn/20201202_Cefas_Test8_Run2/Plate 4/@11/G5_02.tif </t>
  </si>
  <si>
    <t xml:space="preserve"> 778.6762 </t>
  </si>
  <si>
    <t xml:space="preserve"> 31.3056 </t>
  </si>
  <si>
    <t xml:space="preserve">C:\Users\andre\Desktop\REACTIV CEFAS\Cromolyn\Cromolyn/20201202_Cefas_Test8_Run2/Plate 4/@11/G5_03.tif </t>
  </si>
  <si>
    <t xml:space="preserve"> 3157.9646 </t>
  </si>
  <si>
    <t xml:space="preserve"> 32.7534 </t>
  </si>
  <si>
    <t xml:space="preserve">C:\Users\andre\Desktop\REACTIV CEFAS\Cromolyn\Cromolyn/20201202_Cefas_Test8_Run2/Plate 4/@11/H5_01.tif </t>
  </si>
  <si>
    <t xml:space="preserve"> 2660.477 </t>
  </si>
  <si>
    <t xml:space="preserve"> 34.3333 </t>
  </si>
  <si>
    <t xml:space="preserve">C:\Users\andre\Desktop\REACTIV CEFAS\Cromolyn\Cromolyn/20201202_Cefas_Test8_Run2/Plate 4/@11/H5_02.tif </t>
  </si>
  <si>
    <t xml:space="preserve">C:\Users\andre\Desktop\REACTIV CEFAS\Cromolyn\Cromolyn/20201202_Cefas_Test8_Run2/Plate 4/@11/H5_03.tif </t>
  </si>
  <si>
    <t xml:space="preserve"> 33.8086 </t>
  </si>
  <si>
    <t xml:space="preserve">C:\Users\andre\Desktop\REACTIV CEFAS\Cromolyn\Cromolyn/20201202_Cefas_Test8_Run2/Plate 4/@11/ </t>
  </si>
  <si>
    <t xml:space="preserve"> 32.5762 </t>
  </si>
  <si>
    <t xml:space="preserve"> 13.2394 </t>
  </si>
  <si>
    <t xml:space="preserve"> 186663.25 </t>
  </si>
  <si>
    <t xml:space="preserve"> 169566.262 </t>
  </si>
  <si>
    <t xml:space="preserve">C:\Users\andre\Desktop\REACTIV CEFAS\Cromolyn\Cromolyn/20201202_Cefas_Test8_Run2/Plate 4/@12/A6_01.tif </t>
  </si>
  <si>
    <t xml:space="preserve"> 3979.9006 </t>
  </si>
  <si>
    <t xml:space="preserve"> 36.1957 </t>
  </si>
  <si>
    <t xml:space="preserve">C:\Users\andre\Desktop\REACTIV CEFAS\Cromolyn\Cromolyn/20201202_Cefas_Test8_Run2/Plate 4/@12/A6_02.tif </t>
  </si>
  <si>
    <t xml:space="preserve"> 8219.36 </t>
  </si>
  <si>
    <t xml:space="preserve"> 37.7211 </t>
  </si>
  <si>
    <t xml:space="preserve">C:\Users\andre\Desktop\REACTIV CEFAS\Cromolyn\Cromolyn/20201202_Cefas_Test8_Run2/Plate 4/@12/A6_03.tif </t>
  </si>
  <si>
    <t xml:space="preserve"> 6813.4168 </t>
  </si>
  <si>
    <t xml:space="preserve"> 39.2127 </t>
  </si>
  <si>
    <t xml:space="preserve">C:\Users\andre\Desktop\REACTIV CEFAS\Cromolyn\Cromolyn/20201202_Cefas_Test8_Run2/Plate 4/@12/B6_01.tif </t>
  </si>
  <si>
    <t xml:space="preserve"> 11096.1359 </t>
  </si>
  <si>
    <t xml:space="preserve"> 41.2827 </t>
  </si>
  <si>
    <t xml:space="preserve">C:\Users\andre\Desktop\REACTIV CEFAS\Cromolyn\Cromolyn/20201202_Cefas_Test8_Run2/Plate 4/@12/B6_02.tif </t>
  </si>
  <si>
    <t xml:space="preserve"> 2833.5162 </t>
  </si>
  <si>
    <t xml:space="preserve"> 33.0763 </t>
  </si>
  <si>
    <t xml:space="preserve">C:\Users\andre\Desktop\REACTIV CEFAS\Cromolyn\Cromolyn/20201202_Cefas_Test8_Run2/Plate 4/@12/B6_03.tif </t>
  </si>
  <si>
    <t xml:space="preserve"> 7786.7621 </t>
  </si>
  <si>
    <t xml:space="preserve"> 35.6444 </t>
  </si>
  <si>
    <t xml:space="preserve">C:\Users\andre\Desktop\REACTIV CEFAS\Cromolyn\Cromolyn/20201202_Cefas_Test8_Run2/Plate 4/@12/C6_01.tif </t>
  </si>
  <si>
    <t xml:space="preserve"> 64.8897 </t>
  </si>
  <si>
    <t xml:space="preserve"> 32.6667 </t>
  </si>
  <si>
    <t xml:space="preserve">C:\Users\andre\Desktop\REACTIV CEFAS\Cromolyn\Cromolyn/20201202_Cefas_Test8_Run2/Plate 4/@12/C6_02.tif </t>
  </si>
  <si>
    <t>C:\Users\andre\Desktop\REACTIV CEFAS\Cromolyn\Cromolyn/20201202_Cefas_Test8_Run2/Plate 4/@12/C6_03- exclu.tif</t>
  </si>
  <si>
    <t xml:space="preserve">C:\Users\andre\Desktop\REACTIV CEFAS\Cromolyn\Cromolyn/20201202_Cefas_Test8_Run2/Plate 4/@12/D6_01.tif </t>
  </si>
  <si>
    <t xml:space="preserve"> 11204.2854 </t>
  </si>
  <si>
    <t xml:space="preserve"> 46.5444 </t>
  </si>
  <si>
    <t>C:\Users\andre\Desktop\REACTIV CEFAS\Cromolyn\Cromolyn/20201202_Cefas_Test8_Run2/Plate 4/@12/D6_02- exclu.tif</t>
  </si>
  <si>
    <t>C:\Users\andre\Desktop\REACTIV CEFAS\Cromolyn\Cromolyn/20201202_Cefas_Test8_Run2/Plate 4/@12/D6_03- exclu.tif</t>
  </si>
  <si>
    <t xml:space="preserve">C:\Users\andre\Desktop\REACTIV CEFAS\Cromolyn\Cromolyn/20201202_Cefas_Test8_Run2/Plate 4/@12/E6_01.tif </t>
  </si>
  <si>
    <t xml:space="preserve"> 1795.2813 </t>
  </si>
  <si>
    <t xml:space="preserve"> 35.4819 </t>
  </si>
  <si>
    <t xml:space="preserve">C:\Users\andre\Desktop\REACTIV CEFAS\Cromolyn\Cromolyn/20201202_Cefas_Test8_Run2/Plate 4/@12/E6_02.tif </t>
  </si>
  <si>
    <t xml:space="preserve"> 4996.5057 </t>
  </si>
  <si>
    <t xml:space="preserve"> 41.2641 </t>
  </si>
  <si>
    <t xml:space="preserve">C:\Users\andre\Desktop\REACTIV CEFAS\Cromolyn\Cromolyn/20201202_Cefas_Test8_Run2/Plate 4/@12/E6_03.tif </t>
  </si>
  <si>
    <t xml:space="preserve">C:\Users\andre\Desktop\REACTIV CEFAS\Cromolyn\Cromolyn/20201202_Cefas_Test8_Run2/Plate 4/@12/F6_01.tif </t>
  </si>
  <si>
    <t xml:space="preserve"> 33.9186 </t>
  </si>
  <si>
    <t xml:space="preserve">C:\Users\andre\Desktop\REACTIV CEFAS\Cromolyn\Cromolyn/20201202_Cefas_Test8_Run2/Plate 4/@12/F6_02.tif </t>
  </si>
  <si>
    <t xml:space="preserve"> 5537.253 </t>
  </si>
  <si>
    <t xml:space="preserve"> 36.3281 </t>
  </si>
  <si>
    <t>C:\Users\andre\Desktop\REACTIV CEFAS\Cromolyn\Cromolyn/20201202_Cefas_Test8_Run2/Plate 4/@12/F6_03- exclu.tif</t>
  </si>
  <si>
    <t xml:space="preserve">C:\Users\andre\Desktop\REACTIV CEFAS\Cromolyn\Cromolyn/20201202_Cefas_Test8_Run2/Plate 4/@12/G6_01.tif </t>
  </si>
  <si>
    <t xml:space="preserve">C:\Users\andre\Desktop\REACTIV CEFAS\Cromolyn\Cromolyn/20201202_Cefas_Test8_Run2/Plate 4/@12/G6_02.tif </t>
  </si>
  <si>
    <t xml:space="preserve"> 454.2278 </t>
  </si>
  <si>
    <t xml:space="preserve"> 30.7143 </t>
  </si>
  <si>
    <t xml:space="preserve">C:\Users\andre\Desktop\REACTIV CEFAS\Cromolyn\Cromolyn/20201202_Cefas_Test8_Run2/Plate 4/@12/G6_03.tif </t>
  </si>
  <si>
    <t xml:space="preserve"> 35.3636 </t>
  </si>
  <si>
    <t xml:space="preserve">C:\Users\andre\Desktop\REACTIV CEFAS\Cromolyn\Cromolyn/20201202_Cefas_Test8_Run2/Plate 4/@12/H6_01.tif </t>
  </si>
  <si>
    <t xml:space="preserve">C:\Users\andre\Desktop\REACTIV CEFAS\Cromolyn\Cromolyn/20201202_Cefas_Test8_Run2/Plate 4/@12/H6_02.tif </t>
  </si>
  <si>
    <t xml:space="preserve"> 7072.9755 </t>
  </si>
  <si>
    <t xml:space="preserve"> 43.367 </t>
  </si>
  <si>
    <t xml:space="preserve">C:\Users\andre\Desktop\REACTIV CEFAS\Cromolyn\Cromolyn/20201202_Cefas_Test8_Run2/Plate 4/@12/H6_03.tif </t>
  </si>
  <si>
    <t xml:space="preserve"> 7505.5734 </t>
  </si>
  <si>
    <t xml:space="preserve"> 39.3862 </t>
  </si>
  <si>
    <t xml:space="preserve">C:\Users\andre\Desktop\REACTIV CEFAS\Cromolyn\Cromolyn/20201202_Cefas_Test8_Run2/Plate 4/@12/ </t>
  </si>
  <si>
    <t xml:space="preserve"> 32.9525 </t>
  </si>
  <si>
    <t xml:space="preserve"> 13.7758 </t>
  </si>
  <si>
    <t xml:space="preserve"> 195956.958 </t>
  </si>
  <si>
    <t xml:space="preserve"> 191419.397 </t>
  </si>
  <si>
    <t xml:space="preserve">C:\Users\andre\Desktop\REACTIV CEFAS\Cromolyn\Cromolyn/20201202_Cefas_Test8_Run2/Plate 4/@17/A8_01.tif </t>
  </si>
  <si>
    <t xml:space="preserve"> 30887.4895 </t>
  </si>
  <si>
    <t xml:space="preserve"> 36.8018 </t>
  </si>
  <si>
    <t xml:space="preserve">C:\Users\andre\Desktop\REACTIV CEFAS\Cromolyn\Cromolyn/20201202_Cefas_Test8_Run2/Plate 4/@17/A8_02.tif </t>
  </si>
  <si>
    <t xml:space="preserve"> 47218.06 </t>
  </si>
  <si>
    <t xml:space="preserve"> 38.77 </t>
  </si>
  <si>
    <t xml:space="preserve">C:\Users\andre\Desktop\REACTIV CEFAS\Cromolyn\Cromolyn/20201202_Cefas_Test8_Run2/Plate 4/@17/A8_03.tif </t>
  </si>
  <si>
    <t xml:space="preserve"> 34175.2335 </t>
  </si>
  <si>
    <t xml:space="preserve"> 37.9297 </t>
  </si>
  <si>
    <t xml:space="preserve">C:\Users\andre\Desktop\REACTIV CEFAS\Cromolyn\Cromolyn/20201202_Cefas_Test8_Run2/Plate 4/@17/B8_01.tif </t>
  </si>
  <si>
    <t xml:space="preserve"> 26064.023 </t>
  </si>
  <si>
    <t xml:space="preserve"> 34.0988 </t>
  </si>
  <si>
    <t xml:space="preserve">C:\Users\andre\Desktop\REACTIV CEFAS\Cromolyn\Cromolyn/20201202_Cefas_Test8_Run2/Plate 4/@17/B8_02.tif </t>
  </si>
  <si>
    <t xml:space="preserve"> 33050.479 </t>
  </si>
  <si>
    <t xml:space="preserve"> 34.3645 </t>
  </si>
  <si>
    <t xml:space="preserve">C:\Users\andre\Desktop\REACTIV CEFAS\Cromolyn\Cromolyn/20201202_Cefas_Test8_Run2/Plate 4/@17/B8_03.tif </t>
  </si>
  <si>
    <t xml:space="preserve"> 24268.7418 </t>
  </si>
  <si>
    <t xml:space="preserve"> 33.9831 </t>
  </si>
  <si>
    <t xml:space="preserve">C:\Users\andre\Desktop\REACTIV CEFAS\Cromolyn\Cromolyn/20201202_Cefas_Test8_Run2/Plate 4/@17/C8_01.tif </t>
  </si>
  <si>
    <t xml:space="preserve"> 24225.482 </t>
  </si>
  <si>
    <t xml:space="preserve"> 37.1509 </t>
  </si>
  <si>
    <t xml:space="preserve">C:\Users\andre\Desktop\REACTIV CEFAS\Cromolyn\Cromolyn/20201202_Cefas_Test8_Run2/Plate 4/@17/C8_02.tif </t>
  </si>
  <si>
    <t xml:space="preserve"> 28551.4609 </t>
  </si>
  <si>
    <t xml:space="preserve"> 37.1553 </t>
  </si>
  <si>
    <t>C:\Users\andre\Desktop\REACTIV CEFAS\Cromolyn\Cromolyn/20201202_Cefas_Test8_Run2/Plate 4/@17/C8_03- exclu.tif</t>
  </si>
  <si>
    <t xml:space="preserve">C:\Users\andre\Desktop\REACTIV CEFAS\Cromolyn\Cromolyn/20201202_Cefas_Test8_Run2/Plate 4/@17/D8_01.tif </t>
  </si>
  <si>
    <t xml:space="preserve"> 65538.5807 </t>
  </si>
  <si>
    <t xml:space="preserve"> 44.4835 </t>
  </si>
  <si>
    <t xml:space="preserve">C:\Users\andre\Desktop\REACTIV CEFAS\Cromolyn\Cromolyn/20201202_Cefas_Test8_Run2/Plate 4/@17/D8_02.tif </t>
  </si>
  <si>
    <t xml:space="preserve"> 70080.8586 </t>
  </si>
  <si>
    <t xml:space="preserve"> 45.2037 </t>
  </si>
  <si>
    <t xml:space="preserve">C:\Users\andre\Desktop\REACTIV CEFAS\Cromolyn\Cromolyn/20201202_Cefas_Test8_Run2/Plate 4/@17/D8_03.tif </t>
  </si>
  <si>
    <t xml:space="preserve"> 65105.9828 </t>
  </si>
  <si>
    <t xml:space="preserve"> 42.0352 </t>
  </si>
  <si>
    <t xml:space="preserve">C:\Users\andre\Desktop\REACTIV CEFAS\Cromolyn\Cromolyn/20201202_Cefas_Test8_Run2/Plate 4/@17/E8_01.tif </t>
  </si>
  <si>
    <t xml:space="preserve"> 47196.4301 </t>
  </si>
  <si>
    <t xml:space="preserve"> 42.9184 </t>
  </si>
  <si>
    <t xml:space="preserve">C:\Users\andre\Desktop\REACTIV CEFAS\Cromolyn\Cromolyn/20201202_Cefas_Test8_Run2/Plate 4/@17/E8_02.tif </t>
  </si>
  <si>
    <t xml:space="preserve"> 51587.2987 </t>
  </si>
  <si>
    <t xml:space="preserve"> 41.6063 </t>
  </si>
  <si>
    <t xml:space="preserve">C:\Users\andre\Desktop\REACTIV CEFAS\Cromolyn\Cromolyn/20201202_Cefas_Test8_Run2/Plate 4/@17/E8_03.tif </t>
  </si>
  <si>
    <t xml:space="preserve"> 49424.3092 </t>
  </si>
  <si>
    <t xml:space="preserve"> 41.0372 </t>
  </si>
  <si>
    <t>C:\Users\andre\Desktop\REACTIV CEFAS\Cromolyn\Cromolyn/20201202_Cefas_Test8_Run2/Plate 4/@17/F8_01- exclu.tif</t>
  </si>
  <si>
    <t>C:\Users\andre\Desktop\REACTIV CEFAS\Cromolyn\Cromolyn/20201202_Cefas_Test8_Run2/Plate 4/@17/F8_02- exclu.tif</t>
  </si>
  <si>
    <t>C:\Users\andre\Desktop\REACTIV CEFAS\Cromolyn\Cromolyn/20201202_Cefas_Test8_Run2/Plate 4/@17/F8_03- exclu.tif</t>
  </si>
  <si>
    <t xml:space="preserve">C:\Users\andre\Desktop\REACTIV CEFAS\Cromolyn\Cromolyn/20201202_Cefas_Test8_Run2/Plate 4/@17/G8_01.tif </t>
  </si>
  <si>
    <t xml:space="preserve"> 33742.6356 </t>
  </si>
  <si>
    <t xml:space="preserve"> 37.6051 </t>
  </si>
  <si>
    <t xml:space="preserve">C:\Users\andre\Desktop\REACTIV CEFAS\Cromolyn\Cromolyn/20201202_Cefas_Test8_Run2/Plate 4/@17/G8_02.tif </t>
  </si>
  <si>
    <t xml:space="preserve"> 34413.1624 </t>
  </si>
  <si>
    <t xml:space="preserve"> 38.7121 </t>
  </si>
  <si>
    <t xml:space="preserve">C:\Users\andre\Desktop\REACTIV CEFAS\Cromolyn\Cromolyn/20201202_Cefas_Test8_Run2/Plate 4/@17/G8_03.tif </t>
  </si>
  <si>
    <t xml:space="preserve"> 30649.5607 </t>
  </si>
  <si>
    <t xml:space="preserve"> 36.5822 </t>
  </si>
  <si>
    <t xml:space="preserve">C:\Users\andre\Desktop\REACTIV CEFAS\Cromolyn\Cromolyn/20201202_Cefas_Test8_Run2/Plate 4/@17/H8_01.tif </t>
  </si>
  <si>
    <t xml:space="preserve"> 30584.671 </t>
  </si>
  <si>
    <t xml:space="preserve"> 41.5141 </t>
  </si>
  <si>
    <t>C:\Users\andre\Desktop\REACTIV CEFAS\Cromolyn\Cromolyn/20201202_Cefas_Test8_Run2/Plate 4/@17/H8_02- exclu.tif</t>
  </si>
  <si>
    <t xml:space="preserve">C:\Users\andre\Desktop\REACTIV CEFAS\Cromolyn\Cromolyn/20201202_Cefas_Test8_Run2/Plate 4/@17/H8_03.tif </t>
  </si>
  <si>
    <t xml:space="preserve"> 23987.5531 </t>
  </si>
  <si>
    <t xml:space="preserve"> 38.9477 </t>
  </si>
  <si>
    <t xml:space="preserve">C:\Users\andre\Desktop\REACTIV CEFAS\Cromolyn\Cromolyn/20201202_Cefas_Test8_Run2/Plate 4/@17/ </t>
  </si>
  <si>
    <t xml:space="preserve"> 39.0088 </t>
  </si>
  <si>
    <t xml:space="preserve"> 3.8264 </t>
  </si>
  <si>
    <t xml:space="preserve"> 1469178.04 </t>
  </si>
  <si>
    <t xml:space="preserve"> 750343.635 </t>
  </si>
  <si>
    <t xml:space="preserve">C:\Users\andre\Desktop\REACTIV CEFAS\Cromolyn\Cromolyn/20201202_Cefas_Test8_Run2/Plate 4/@18/A9_01.tif </t>
  </si>
  <si>
    <t xml:space="preserve"> 33634.4861 </t>
  </si>
  <si>
    <t xml:space="preserve"> 39.3023 </t>
  </si>
  <si>
    <t xml:space="preserve">C:\Users\andre\Desktop\REACTIV CEFAS\Cromolyn\Cromolyn/20201202_Cefas_Test8_Run2/Plate 4/@18/A9_02.tif </t>
  </si>
  <si>
    <t xml:space="preserve"> 35256.7282 </t>
  </si>
  <si>
    <t xml:space="preserve"> 37.2883 </t>
  </si>
  <si>
    <t xml:space="preserve">C:\Users\andre\Desktop\REACTIV CEFAS\Cromolyn\Cromolyn/20201202_Cefas_Test8_Run2/Plate 4/@18/A9_03.tif </t>
  </si>
  <si>
    <t xml:space="preserve"> 46590.793 </t>
  </si>
  <si>
    <t xml:space="preserve"> 38.4768 </t>
  </si>
  <si>
    <t xml:space="preserve">C:\Users\andre\Desktop\REACTIV CEFAS\Cromolyn\Cromolyn/20201202_Cefas_Test8_Run2/Plate 4/@18/B9_01.tif </t>
  </si>
  <si>
    <t xml:space="preserve"> 25523.2757 </t>
  </si>
  <si>
    <t xml:space="preserve"> 34.9492 </t>
  </si>
  <si>
    <t xml:space="preserve">C:\Users\andre\Desktop\REACTIV CEFAS\Cromolyn\Cromolyn/20201202_Cefas_Test8_Run2/Plate 4/@18/B9_02.tif </t>
  </si>
  <si>
    <t xml:space="preserve"> 22970.9481 </t>
  </si>
  <si>
    <t xml:space="preserve"> 35.8531 </t>
  </si>
  <si>
    <t>C:\Users\andre\Desktop\REACTIV CEFAS\Cromolyn\Cromolyn/20201202_Cefas_Test8_Run2/Plate 4/@18/B9_03- exclu.tif</t>
  </si>
  <si>
    <t xml:space="preserve">C:\Users\andre\Desktop\REACTIV CEFAS\Cromolyn\Cromolyn/20201202_Cefas_Test8_Run2/Plate 4/@18/C9_01.tif </t>
  </si>
  <si>
    <t xml:space="preserve"> 27945.8239 </t>
  </si>
  <si>
    <t xml:space="preserve"> 37.9598 </t>
  </si>
  <si>
    <t xml:space="preserve">C:\Users\andre\Desktop\REACTIV CEFAS\Cromolyn\Cromolyn/20201202_Cefas_Test8_Run2/Plate 4/@18/C9_02.tif </t>
  </si>
  <si>
    <t xml:space="preserve"> 31276.8276 </t>
  </si>
  <si>
    <t xml:space="preserve"> 35.3548 </t>
  </si>
  <si>
    <t xml:space="preserve">C:\Users\andre\Desktop\REACTIV CEFAS\Cromolyn\Cromolyn/20201202_Cefas_Test8_Run2/Plate 4/@18/C9_03.tif </t>
  </si>
  <si>
    <t xml:space="preserve"> 36.3646 </t>
  </si>
  <si>
    <t xml:space="preserve">C:\Users\andre\Desktop\REACTIV CEFAS\Cromolyn\Cromolyn/20201202_Cefas_Test8_Run2/Plate 4/@18/D9_01.tif </t>
  </si>
  <si>
    <t xml:space="preserve"> 7873.2816 </t>
  </si>
  <si>
    <t xml:space="preserve"> 41.7555 </t>
  </si>
  <si>
    <t xml:space="preserve">C:\Users\andre\Desktop\REACTIV CEFAS\Cromolyn\Cromolyn/20201202_Cefas_Test8_Run2/Plate 4/@18/D9_02.tif </t>
  </si>
  <si>
    <t xml:space="preserve"> 1752.0215 </t>
  </si>
  <si>
    <t xml:space="preserve"> 32.3333 </t>
  </si>
  <si>
    <t xml:space="preserve">C:\Users\andre\Desktop\REACTIV CEFAS\Cromolyn\Cromolyn/20201202_Cefas_Test8_Run2/Plate 4/@18/D9_03.tif </t>
  </si>
  <si>
    <t xml:space="preserve"> 7765.1322 </t>
  </si>
  <si>
    <t xml:space="preserve"> 35.0724 </t>
  </si>
  <si>
    <t xml:space="preserve">C:\Users\andre\Desktop\REACTIV CEFAS\Cromolyn\Cromolyn/20201202_Cefas_Test8_Run2/Plate 4/@18/E9_01.tif </t>
  </si>
  <si>
    <t xml:space="preserve"> 21521.7452 </t>
  </si>
  <si>
    <t xml:space="preserve"> 39.3698 </t>
  </si>
  <si>
    <t xml:space="preserve">C:\Users\andre\Desktop\REACTIV CEFAS\Cromolyn\Cromolyn/20201202_Cefas_Test8_Run2/Plate 4/@18/E9_02.tif </t>
  </si>
  <si>
    <t xml:space="preserve"> 34045.4541 </t>
  </si>
  <si>
    <t xml:space="preserve"> 41.7681 </t>
  </si>
  <si>
    <t xml:space="preserve">C:\Users\andre\Desktop\REACTIV CEFAS\Cromolyn\Cromolyn/20201202_Cefas_Test8_Run2/Plate 4/@18/E9_03.tif </t>
  </si>
  <si>
    <t xml:space="preserve"> 43194.8996 </t>
  </si>
  <si>
    <t xml:space="preserve"> 42.334 </t>
  </si>
  <si>
    <t xml:space="preserve">C:\Users\andre\Desktop\REACTIV CEFAS\Cromolyn\Cromolyn/20201202_Cefas_Test8_Run2/Plate 4/@18/F9_01.tif </t>
  </si>
  <si>
    <t xml:space="preserve"> 37225.0487 </t>
  </si>
  <si>
    <t xml:space="preserve"> 37.1685 </t>
  </si>
  <si>
    <t xml:space="preserve">C:\Users\andre\Desktop\REACTIV CEFAS\Cromolyn\Cromolyn/20201202_Cefas_Test8_Run2/Plate 4/@18/F9_02.tif </t>
  </si>
  <si>
    <t xml:space="preserve"> 24701.3397 </t>
  </si>
  <si>
    <t xml:space="preserve"> 34.648 </t>
  </si>
  <si>
    <t xml:space="preserve">C:\Users\andre\Desktop\REACTIV CEFAS\Cromolyn\Cromolyn/20201202_Cefas_Test8_Run2/Plate 4/@18/F9_03.tif </t>
  </si>
  <si>
    <t xml:space="preserve"> 33093.7388 </t>
  </si>
  <si>
    <t xml:space="preserve"> 35.4386 </t>
  </si>
  <si>
    <t>C:\Users\andre\Desktop\REACTIV CEFAS\Cromolyn\Cromolyn/20201202_Cefas_Test8_Run2/Plate 4/@18/G9_01- exclu.tif</t>
  </si>
  <si>
    <t xml:space="preserve">C:\Users\andre\Desktop\REACTIV CEFAS\Cromolyn\Cromolyn/20201202_Cefas_Test8_Run2/Plate 4/@18/G9_02.tif </t>
  </si>
  <si>
    <t xml:space="preserve"> 12220.8905 </t>
  </si>
  <si>
    <t xml:space="preserve"> 44.0761 </t>
  </si>
  <si>
    <t xml:space="preserve">C:\Users\andre\Desktop\REACTIV CEFAS\Cromolyn\Cromolyn/20201202_Cefas_Test8_Run2/Plate 4/@18/G9_03.tif </t>
  </si>
  <si>
    <t xml:space="preserve"> 10901.4669 </t>
  </si>
  <si>
    <t xml:space="preserve"> 32.5952 </t>
  </si>
  <si>
    <t xml:space="preserve">C:\Users\andre\Desktop\REACTIV CEFAS\Cromolyn\Cromolyn/20201202_Cefas_Test8_Run2/Plate 4/@18/H9_01.tif </t>
  </si>
  <si>
    <t xml:space="preserve"> 6640.3777 </t>
  </si>
  <si>
    <t xml:space="preserve"> 33.4332 </t>
  </si>
  <si>
    <t xml:space="preserve">C:\Users\andre\Desktop\REACTIV CEFAS\Cromolyn\Cromolyn/20201202_Cefas_Test8_Run2/Plate 4/@18/H9_02.tif </t>
  </si>
  <si>
    <t xml:space="preserve"> 7267.6446 </t>
  </si>
  <si>
    <t xml:space="preserve"> 32.5089 </t>
  </si>
  <si>
    <t xml:space="preserve">C:\Users\andre\Desktop\REACTIV CEFAS\Cromolyn\Cromolyn/20201202_Cefas_Test8_Run2/Plate 4/@18/H9_03.tif </t>
  </si>
  <si>
    <t xml:space="preserve"> 4261.0892 </t>
  </si>
  <si>
    <t xml:space="preserve"> 32.5381 </t>
  </si>
  <si>
    <t xml:space="preserve">C:\Users\andre\Desktop\REACTIV CEFAS\Cromolyn\Cromolyn/20201202_Cefas_Test8_Run2/Plate 4/@18/ </t>
  </si>
  <si>
    <t xml:space="preserve"> 37.1812 </t>
  </si>
  <si>
    <t xml:space="preserve"> 3.609 </t>
  </si>
  <si>
    <t xml:space="preserve"> 517375.4 </t>
  </si>
  <si>
    <t xml:space="preserve">C:\Users\andre\Desktop\REACTIV CEFAS\Cromolyn\Cromolyn/20201202_Cefas_Test8_Run2/Plate 4/@19/A10_01.tif </t>
  </si>
  <si>
    <t xml:space="preserve"> 843.5659 </t>
  </si>
  <si>
    <t xml:space="preserve"> 32.1026 </t>
  </si>
  <si>
    <t xml:space="preserve">C:\Users\andre\Desktop\REACTIV CEFAS\Cromolyn\Cromolyn/20201202_Cefas_Test8_Run2/Plate 4/@19/A10_02.tif </t>
  </si>
  <si>
    <t xml:space="preserve"> 1708.7617 </t>
  </si>
  <si>
    <t xml:space="preserve"> 32.2658 </t>
  </si>
  <si>
    <t xml:space="preserve">C:\Users\andre\Desktop\REACTIV CEFAS\Cromolyn\Cromolyn/20201202_Cefas_Test8_Run2/Plate 4/@19/A10_03.tif </t>
  </si>
  <si>
    <t xml:space="preserve"> 5061.3953 </t>
  </si>
  <si>
    <t xml:space="preserve"> 32.5128 </t>
  </si>
  <si>
    <t xml:space="preserve">C:\Users\andre\Desktop\REACTIV CEFAS\Cromolyn\Cromolyn/20201202_Cefas_Test8_Run2/Plate 4/@19/B10_01.tif </t>
  </si>
  <si>
    <t xml:space="preserve"> 16352.2003 </t>
  </si>
  <si>
    <t xml:space="preserve"> 33.7672 </t>
  </si>
  <si>
    <t xml:space="preserve">C:\Users\andre\Desktop\REACTIV CEFAS\Cromolyn\Cromolyn/20201202_Cefas_Test8_Run2/Plate 4/@19/B10_02.tif </t>
  </si>
  <si>
    <t xml:space="preserve"> 29113.8382 </t>
  </si>
  <si>
    <t xml:space="preserve"> 36.4725 </t>
  </si>
  <si>
    <t xml:space="preserve">C:\Users\andre\Desktop\REACTIV CEFAS\Cromolyn\Cromolyn/20201202_Cefas_Test8_Run2/Plate 4/@19/B10_03.tif </t>
  </si>
  <si>
    <t xml:space="preserve"> 25696.3148 </t>
  </si>
  <si>
    <t xml:space="preserve"> 35.0295 </t>
  </si>
  <si>
    <t xml:space="preserve">C:\Users\andre\Desktop\REACTIV CEFAS\Cromolyn\Cromolyn/20201202_Cefas_Test8_Run2/Plate 4/@19/C10_01.tif </t>
  </si>
  <si>
    <t xml:space="preserve"> 59979.6978 </t>
  </si>
  <si>
    <t xml:space="preserve"> 40.396 </t>
  </si>
  <si>
    <t xml:space="preserve">C:\Users\andre\Desktop\REACTIV CEFAS\Cromolyn\Cromolyn/20201202_Cefas_Test8_Run2/Plate 4/@19/C10_02.tif </t>
  </si>
  <si>
    <t xml:space="preserve"> 53685.3985 </t>
  </si>
  <si>
    <t xml:space="preserve"> 36.6515 </t>
  </si>
  <si>
    <t xml:space="preserve">C:\Users\andre\Desktop\REACTIV CEFAS\Cromolyn\Cromolyn/20201202_Cefas_Test8_Run2/Plate 4/@19/C10_03.tif </t>
  </si>
  <si>
    <t xml:space="preserve"> 54615.4839 </t>
  </si>
  <si>
    <t xml:space="preserve"> 38.5109 </t>
  </si>
  <si>
    <t xml:space="preserve">C:\Users\andre\Desktop\REACTIV CEFAS\Cromolyn\Cromolyn/20201202_Cefas_Test8_Run2/Plate 4/@19/D10_01.tif </t>
  </si>
  <si>
    <t xml:space="preserve"> 15335.5953 </t>
  </si>
  <si>
    <t xml:space="preserve"> 36.0353 </t>
  </si>
  <si>
    <t xml:space="preserve">C:\Users\andre\Desktop\REACTIV CEFAS\Cromolyn\Cromolyn/20201202_Cefas_Test8_Run2/Plate 4/@19/D10_02.tif </t>
  </si>
  <si>
    <t xml:space="preserve"> 22451.8306 </t>
  </si>
  <si>
    <t xml:space="preserve"> 36.4711 </t>
  </si>
  <si>
    <t xml:space="preserve">C:\Users\andre\Desktop\REACTIV CEFAS\Cromolyn\Cromolyn/20201202_Cefas_Test8_Run2/Plate 4/@19/D10_03.tif </t>
  </si>
  <si>
    <t xml:space="preserve"> 37.4482 </t>
  </si>
  <si>
    <t xml:space="preserve">C:\Users\andre\Desktop\REACTIV CEFAS\Cromolyn\Cromolyn/20201202_Cefas_Test8_Run2/Plate 4/@19/E10_01.tif </t>
  </si>
  <si>
    <t xml:space="preserve"> 50743.7328 </t>
  </si>
  <si>
    <t xml:space="preserve"> 35.0171 </t>
  </si>
  <si>
    <t xml:space="preserve">C:\Users\andre\Desktop\REACTIV CEFAS\Cromolyn\Cromolyn/20201202_Cefas_Test8_Run2/Plate 4/@19/E10_02.tif </t>
  </si>
  <si>
    <t xml:space="preserve"> 60606.9648 </t>
  </si>
  <si>
    <t xml:space="preserve"> 36.3044 </t>
  </si>
  <si>
    <t xml:space="preserve">C:\Users\andre\Desktop\REACTIV CEFAS\Cromolyn\Cromolyn/20201202_Cefas_Test8_Run2/Plate 4/@19/E10_03.tif </t>
  </si>
  <si>
    <t xml:space="preserve"> 59092.8721 </t>
  </si>
  <si>
    <t xml:space="preserve"> 39.5728 </t>
  </si>
  <si>
    <t>C:\Users\andre\Desktop\REACTIV CEFAS\Cromolyn\Cromolyn/20201202_Cefas_Test8_Run2/Plate 4/@19/F10_01- exclu.tif</t>
  </si>
  <si>
    <t xml:space="preserve">C:\Users\andre\Desktop\REACTIV CEFAS\Cromolyn\Cromolyn/20201202_Cefas_Test8_Run2/Plate 4/@19/F10_02.tif </t>
  </si>
  <si>
    <t xml:space="preserve"> 72503.4068 </t>
  </si>
  <si>
    <t xml:space="preserve"> 46.256 </t>
  </si>
  <si>
    <t xml:space="preserve">C:\Users\andre\Desktop\REACTIV CEFAS\Cromolyn\Cromolyn/20201202_Cefas_Test8_Run2/Plate 4/@19/F10_03.tif </t>
  </si>
  <si>
    <t xml:space="preserve"> 73368.6026 </t>
  </si>
  <si>
    <t xml:space="preserve"> 47.467 </t>
  </si>
  <si>
    <t xml:space="preserve">C:\Users\andre\Desktop\REACTIV CEFAS\Cromolyn\Cromolyn/20201202_Cefas_Test8_Run2/Plate 4/@19/G10_01.tif </t>
  </si>
  <si>
    <t xml:space="preserve"> 38263.2836 </t>
  </si>
  <si>
    <t xml:space="preserve"> 36.0475 </t>
  </si>
  <si>
    <t xml:space="preserve">C:\Users\andre\Desktop\REACTIV CEFAS\Cromolyn\Cromolyn/20201202_Cefas_Test8_Run2/Plate 4/@19/G10_02.tif </t>
  </si>
  <si>
    <t xml:space="preserve"> 30390.002 </t>
  </si>
  <si>
    <t xml:space="preserve"> 34.0249 </t>
  </si>
  <si>
    <t xml:space="preserve">C:\Users\andre\Desktop\REACTIV CEFAS\Cromolyn\Cromolyn/20201202_Cefas_Test8_Run2/Plate 4/@19/G10_03.tif </t>
  </si>
  <si>
    <t xml:space="preserve"> 30909.1194 </t>
  </si>
  <si>
    <t xml:space="preserve"> 33.9279 </t>
  </si>
  <si>
    <t xml:space="preserve">C:\Users\andre\Desktop\REACTIV CEFAS\Cromolyn\Cromolyn/20201202_Cefas_Test8_Run2/Plate 4/@19/H10_01.tif </t>
  </si>
  <si>
    <t xml:space="preserve"> 15205.8159 </t>
  </si>
  <si>
    <t xml:space="preserve"> 39.1664 </t>
  </si>
  <si>
    <t xml:space="preserve">C:\Users\andre\Desktop\REACTIV CEFAS\Cromolyn\Cromolyn/20201202_Cefas_Test8_Run2/Plate 4/@19/H10_02.tif </t>
  </si>
  <si>
    <t xml:space="preserve"> 18904.5279 </t>
  </si>
  <si>
    <t xml:space="preserve"> 39.5561 </t>
  </si>
  <si>
    <t xml:space="preserve">C:\Users\andre\Desktop\REACTIV CEFAS\Cromolyn\Cromolyn/20201202_Cefas_Test8_Run2/Plate 4/@19/H10_03.tif </t>
  </si>
  <si>
    <t xml:space="preserve"> 27296.927 </t>
  </si>
  <si>
    <t xml:space="preserve"> 38.8423 </t>
  </si>
  <si>
    <t xml:space="preserve">C:\Users\andre\Desktop\REACTIV CEFAS\Cromolyn\Cromolyn/20201202_Cefas_Test8_Run2/Plate 4/@19/ </t>
  </si>
  <si>
    <t xml:space="preserve"> 37.5661 </t>
  </si>
  <si>
    <t xml:space="preserve"> 4.3948 </t>
  </si>
  <si>
    <t xml:space="preserve"> 1417654.04 </t>
  </si>
  <si>
    <t xml:space="preserve"> 1054107.75 </t>
  </si>
  <si>
    <t xml:space="preserve">C:\Users\andre\Desktop\REACTIV CEFAS\Cromolyn\Cromolyn/20201202_Cefas_Test8_Run2/Plate 4/@20/A11_01.tif </t>
  </si>
  <si>
    <t xml:space="preserve"> 39669.2267 </t>
  </si>
  <si>
    <t xml:space="preserve"> 37.3195 </t>
  </si>
  <si>
    <t xml:space="preserve">C:\Users\andre\Desktop\REACTIV CEFAS\Cromolyn\Cromolyn/20201202_Cefas_Test8_Run2/Plate 4/@20/A11_02.tif </t>
  </si>
  <si>
    <t xml:space="preserve"> 31125.4184 </t>
  </si>
  <si>
    <t xml:space="preserve"> 35.2926 </t>
  </si>
  <si>
    <t xml:space="preserve">C:\Users\andre\Desktop\REACTIV CEFAS\Cromolyn\Cromolyn/20201202_Cefas_Test8_Run2/Plate 4/@20/A11_03.tif </t>
  </si>
  <si>
    <t xml:space="preserve"> 41183.3194 </t>
  </si>
  <si>
    <t xml:space="preserve"> 39.3388 </t>
  </si>
  <si>
    <t xml:space="preserve">C:\Users\andre\Desktop\REACTIV CEFAS\Cromolyn\Cromolyn/20201202_Cefas_Test8_Run2/Plate 4/@20/B11_01.tif </t>
  </si>
  <si>
    <t xml:space="preserve"> 16957.8374 </t>
  </si>
  <si>
    <t xml:space="preserve"> 34.5319 </t>
  </si>
  <si>
    <t xml:space="preserve">C:\Users\andre\Desktop\REACTIV CEFAS\Cromolyn\Cromolyn/20201202_Cefas_Test8_Run2/Plate 4/@20/B11_02.tif </t>
  </si>
  <si>
    <t xml:space="preserve"> 21045.8875 </t>
  </si>
  <si>
    <t xml:space="preserve"> 36.0781 </t>
  </si>
  <si>
    <t xml:space="preserve">C:\Users\andre\Desktop\REACTIV CEFAS\Cromolyn\Cromolyn/20201202_Cefas_Test8_Run2/Plate 4/@20/B11_03.tif </t>
  </si>
  <si>
    <t xml:space="preserve"> 18060.962 </t>
  </si>
  <si>
    <t xml:space="preserve"> 37.9222 </t>
  </si>
  <si>
    <t xml:space="preserve">C:\Users\andre\Desktop\REACTIV CEFAS\Cromolyn\Cromolyn/20201202_Cefas_Test8_Run2/Plate 4/@20/C11_01.tif </t>
  </si>
  <si>
    <t xml:space="preserve"> 9668.5629 </t>
  </si>
  <si>
    <t xml:space="preserve"> 33.6376 </t>
  </si>
  <si>
    <t xml:space="preserve">C:\Users\andre\Desktop\REACTIV CEFAS\Cromolyn\Cromolyn/20201202_Cefas_Test8_Run2/Plate 4/@20/C11_02.tif </t>
  </si>
  <si>
    <t xml:space="preserve"> 15313.9654 </t>
  </si>
  <si>
    <t xml:space="preserve"> 37.8658 </t>
  </si>
  <si>
    <t xml:space="preserve">C:\Users\andre\Desktop\REACTIV CEFAS\Cromolyn\Cromolyn/20201202_Cefas_Test8_Run2/Plate 4/@20/C11_03.tif </t>
  </si>
  <si>
    <t xml:space="preserve"> 6272.6694 </t>
  </si>
  <si>
    <t xml:space="preserve"> 36.6552 </t>
  </si>
  <si>
    <t xml:space="preserve">C:\Users\andre\Desktop\REACTIV CEFAS\Cromolyn\Cromolyn/20201202_Cefas_Test8_Run2/Plate 4/@20/D11_01.tif </t>
  </si>
  <si>
    <t xml:space="preserve"> 34759.2407 </t>
  </si>
  <si>
    <t xml:space="preserve"> 42.392 </t>
  </si>
  <si>
    <t xml:space="preserve">C:\Users\andre\Desktop\REACTIV CEFAS\Cromolyn\Cromolyn/20201202_Cefas_Test8_Run2/Plate 4/@20/D11_02.tif </t>
  </si>
  <si>
    <t xml:space="preserve"> 32488.1017 </t>
  </si>
  <si>
    <t xml:space="preserve"> 38.6505 </t>
  </si>
  <si>
    <t xml:space="preserve">C:\Users\andre\Desktop\REACTIV CEFAS\Cromolyn\Cromolyn/20201202_Cefas_Test8_Run2/Plate 4/@20/D11_03.tif </t>
  </si>
  <si>
    <t xml:space="preserve"> 28875.9093 </t>
  </si>
  <si>
    <t xml:space="preserve"> 38.4876 </t>
  </si>
  <si>
    <t xml:space="preserve">C:\Users\andre\Desktop\REACTIV CEFAS\Cromolyn\Cromolyn/20201202_Cefas_Test8_Run2/Plate 4/@20/E11_01.tif </t>
  </si>
  <si>
    <t xml:space="preserve"> 16719.9085 </t>
  </si>
  <si>
    <t xml:space="preserve"> 43.784 </t>
  </si>
  <si>
    <t xml:space="preserve">C:\Users\andre\Desktop\REACTIV CEFAS\Cromolyn\Cromolyn/20201202_Cefas_Test8_Run2/Plate 4/@20/E11_02.tif </t>
  </si>
  <si>
    <t xml:space="preserve"> 18623.3393 </t>
  </si>
  <si>
    <t xml:space="preserve"> 44.1254 </t>
  </si>
  <si>
    <t xml:space="preserve">C:\Users\andre\Desktop\REACTIV CEFAS\Cromolyn\Cromolyn/20201202_Cefas_Test8_Run2/Plate 4/@20/E11_03.tif </t>
  </si>
  <si>
    <t xml:space="preserve"> 18926.1578 </t>
  </si>
  <si>
    <t xml:space="preserve"> 46.8857 </t>
  </si>
  <si>
    <t xml:space="preserve">C:\Users\andre\Desktop\REACTIV CEFAS\Cromolyn\Cromolyn/20201202_Cefas_Test8_Run2/Plate 4/@20/F11_01.tif </t>
  </si>
  <si>
    <t xml:space="preserve"> 34953.9097 </t>
  </si>
  <si>
    <t xml:space="preserve"> 34.6887 </t>
  </si>
  <si>
    <t xml:space="preserve">C:\Users\andre\Desktop\REACTIV CEFAS\Cromolyn\Cromolyn/20201202_Cefas_Test8_Run2/Plate 4/@20/F11_02.tif </t>
  </si>
  <si>
    <t xml:space="preserve"> 32704.4007 </t>
  </si>
  <si>
    <t xml:space="preserve"> 36.9008 </t>
  </si>
  <si>
    <t xml:space="preserve">C:\Users\andre\Desktop\REACTIV CEFAS\Cromolyn\Cromolyn/20201202_Cefas_Test8_Run2/Plate 4/@20/F11_03.tif </t>
  </si>
  <si>
    <t xml:space="preserve"> 40858.871 </t>
  </si>
  <si>
    <t xml:space="preserve"> 38.3007 </t>
  </si>
  <si>
    <t xml:space="preserve">C:\Users\andre\Desktop\REACTIV CEFAS\Cromolyn\Cromolyn/20201202_Cefas_Test8_Run2/Plate 4/@20/G11_01.tif </t>
  </si>
  <si>
    <t xml:space="preserve"> 28291.9022 </t>
  </si>
  <si>
    <t xml:space="preserve"> 36.2164 </t>
  </si>
  <si>
    <t xml:space="preserve">C:\Users\andre\Desktop\REACTIV CEFAS\Cromolyn\Cromolyn/20201202_Cefas_Test8_Run2/Plate 4/@20/G11_02.tif </t>
  </si>
  <si>
    <t xml:space="preserve"> 32617.8811 </t>
  </si>
  <si>
    <t xml:space="preserve"> 37.2871 </t>
  </si>
  <si>
    <t xml:space="preserve">C:\Users\andre\Desktop\REACTIV CEFAS\Cromolyn\Cromolyn/20201202_Cefas_Test8_Run2/Plate 4/@20/G11_03.tif </t>
  </si>
  <si>
    <t xml:space="preserve"> 22170.642 </t>
  </si>
  <si>
    <t xml:space="preserve"> 36.3551 </t>
  </si>
  <si>
    <t xml:space="preserve">C:\Users\andre\Desktop\REACTIV CEFAS\Cromolyn\Cromolyn/20201202_Cefas_Test8_Run2/Plate 4/@20/H11_01.tif </t>
  </si>
  <si>
    <t xml:space="preserve"> 34369.9026 </t>
  </si>
  <si>
    <t xml:space="preserve"> 35.1246 </t>
  </si>
  <si>
    <t xml:space="preserve">C:\Users\andre\Desktop\REACTIV CEFAS\Cromolyn\Cromolyn/20201202_Cefas_Test8_Run2/Plate 4/@20/H11_02.tif </t>
  </si>
  <si>
    <t xml:space="preserve"> 34564.5716 </t>
  </si>
  <si>
    <t xml:space="preserve"> 35.8867 </t>
  </si>
  <si>
    <t xml:space="preserve">C:\Users\andre\Desktop\REACTIV CEFAS\Cromolyn\Cromolyn/20201202_Cefas_Test8_Run2/Plate 4/@20/H11_03.tif </t>
  </si>
  <si>
    <t xml:space="preserve"> 37.484 </t>
  </si>
  <si>
    <t xml:space="preserve">C:\Users\andre\Desktop\REACTIV CEFAS\Cromolyn\Cromolyn/20201202_Cefas_Test8_Run2/Plate 4/@20/ </t>
  </si>
  <si>
    <t xml:space="preserve"> 37.9671 </t>
  </si>
  <si>
    <t xml:space="preserve"> 3.2816 </t>
  </si>
  <si>
    <t xml:space="preserve"> 1003648.79 </t>
  </si>
  <si>
    <t xml:space="preserve"> 372472.012 </t>
  </si>
  <si>
    <t xml:space="preserve">C:\Users\andre\Desktop\REACTIV CEFAS\Cromolyn\Cromolyn/20201202_Cefas_Test8_Run2/Plate 4/@21/A12_01.tif </t>
  </si>
  <si>
    <t xml:space="preserve"> 15011.1469 </t>
  </si>
  <si>
    <t xml:space="preserve"> 44.5058 </t>
  </si>
  <si>
    <t xml:space="preserve">C:\Users\andre\Desktop\REACTIV CEFAS\Cromolyn\Cromolyn/20201202_Cefas_Test8_Run2/Plate 4/@21/A12_02.tif </t>
  </si>
  <si>
    <t xml:space="preserve"> 19618.3144 </t>
  </si>
  <si>
    <t xml:space="preserve"> 43.7806 </t>
  </si>
  <si>
    <t xml:space="preserve">C:\Users\andre\Desktop\REACTIV CEFAS\Cromolyn\Cromolyn/20201202_Cefas_Test8_Run2/Plate 4/@21/A12_03.tif </t>
  </si>
  <si>
    <t xml:space="preserve"> 17931.1826 </t>
  </si>
  <si>
    <t xml:space="preserve"> 43.7817 </t>
  </si>
  <si>
    <t xml:space="preserve">C:\Users\andre\Desktop\REACTIV CEFAS\Cromolyn\Cromolyn/20201202_Cefas_Test8_Run2/Plate 4/@21/B12_01.tif </t>
  </si>
  <si>
    <t xml:space="preserve"> 8868.2568 </t>
  </si>
  <si>
    <t xml:space="preserve"> 33.3488 </t>
  </si>
  <si>
    <t xml:space="preserve">C:\Users\andre\Desktop\REACTIV CEFAS\Cromolyn\Cromolyn/20201202_Cefas_Test8_Run2/Plate 4/@21/B12_02.tif </t>
  </si>
  <si>
    <t xml:space="preserve"> 12610.2286 </t>
  </si>
  <si>
    <t xml:space="preserve"> 34.0686 </t>
  </si>
  <si>
    <t xml:space="preserve">C:\Users\andre\Desktop\REACTIV CEFAS\Cromolyn\Cromolyn/20201202_Cefas_Test8_Run2/Plate 4/@21/B12_03.tif </t>
  </si>
  <si>
    <t xml:space="preserve"> 34.2776 </t>
  </si>
  <si>
    <t xml:space="preserve">C:\Users\andre\Desktop\REACTIV CEFAS\Cromolyn\Cromolyn/20201202_Cefas_Test8_Run2/Plate 4/@21/C12_01.tif </t>
  </si>
  <si>
    <t xml:space="preserve"> 38977.0701 </t>
  </si>
  <si>
    <t xml:space="preserve"> 40.4978 </t>
  </si>
  <si>
    <t xml:space="preserve">C:\Users\andre\Desktop\REACTIV CEFAS\Cromolyn\Cromolyn/20201202_Cefas_Test8_Run2/Plate 4/@21/C12_02.tif </t>
  </si>
  <si>
    <t xml:space="preserve"> 42.0545 </t>
  </si>
  <si>
    <t xml:space="preserve">C:\Users\andre\Desktop\REACTIV CEFAS\Cromolyn\Cromolyn/20201202_Cefas_Test8_Run2/Plate 4/@21/C12_03.tif </t>
  </si>
  <si>
    <t xml:space="preserve"> 50311.1349 </t>
  </si>
  <si>
    <t xml:space="preserve"> 43.834 </t>
  </si>
  <si>
    <t xml:space="preserve">C:\Users\andre\Desktop\REACTIV CEFAS\Cromolyn\Cromolyn/20201202_Cefas_Test8_Run2/Plate 4/@21/D12_01.tif </t>
  </si>
  <si>
    <t xml:space="preserve"> 34.9296 </t>
  </si>
  <si>
    <t xml:space="preserve">C:\Users\andre\Desktop\REACTIV CEFAS\Cromolyn\Cromolyn/20201202_Cefas_Test8_Run2/Plate 4/@21/D12_02.tif </t>
  </si>
  <si>
    <t xml:space="preserve"> 30000.6639 </t>
  </si>
  <si>
    <t xml:space="preserve"> 34.8572 </t>
  </si>
  <si>
    <t xml:space="preserve">C:\Users\andre\Desktop\REACTIV CEFAS\Cromolyn\Cromolyn/20201202_Cefas_Test8_Run2/Plate 4/@21/D12_03.tif </t>
  </si>
  <si>
    <t xml:space="preserve"> 39496.1876 </t>
  </si>
  <si>
    <t xml:space="preserve"> 36.7262 </t>
  </si>
  <si>
    <t xml:space="preserve">C:\Users\andre\Desktop\REACTIV CEFAS\Cromolyn\Cromolyn/20201202_Cefas_Test8_Run2/Plate 4/@21/E12_01.tif </t>
  </si>
  <si>
    <t xml:space="preserve"> 38998.7 </t>
  </si>
  <si>
    <t xml:space="preserve"> 38.6267 </t>
  </si>
  <si>
    <t>C:\Users\andre\Desktop\REACTIV CEFAS\Cromolyn\Cromolyn/20201202_Cefas_Test8_Run2/Plate 4/@21/E12_02- exclu.tif</t>
  </si>
  <si>
    <t>C:\Users\andre\Desktop\REACTIV CEFAS\Cromolyn\Cromolyn/20201202_Cefas_Test8_Run2/Plate 4/@21/E12_03- exclu.tif</t>
  </si>
  <si>
    <t xml:space="preserve">C:\Users\andre\Desktop\REACTIV CEFAS\Cromolyn\Cromolyn/20201202_Cefas_Test8_Run2/Plate 4/@21/F12_01.tif </t>
  </si>
  <si>
    <t xml:space="preserve"> 51241.2204 </t>
  </si>
  <si>
    <t xml:space="preserve"> 41.087 </t>
  </si>
  <si>
    <t xml:space="preserve">C:\Users\andre\Desktop\REACTIV CEFAS\Cromolyn\Cromolyn/20201202_Cefas_Test8_Run2/Plate 4/@21/F12_02.tif </t>
  </si>
  <si>
    <t xml:space="preserve"> 44860.4015 </t>
  </si>
  <si>
    <t xml:space="preserve"> 41.324 </t>
  </si>
  <si>
    <t xml:space="preserve">C:\Users\andre\Desktop\REACTIV CEFAS\Cromolyn\Cromolyn/20201202_Cefas_Test8_Run2/Plate 4/@21/F12_03.tif </t>
  </si>
  <si>
    <t xml:space="preserve"> 46114.9353 </t>
  </si>
  <si>
    <t xml:space="preserve"> 41.4906 </t>
  </si>
  <si>
    <t xml:space="preserve">C:\Users\andre\Desktop\REACTIV CEFAS\Cromolyn\Cromolyn/20201202_Cefas_Test8_Run2/Plate 4/@21/G12_01.tif </t>
  </si>
  <si>
    <t xml:space="preserve"> 10425.6092 </t>
  </si>
  <si>
    <t xml:space="preserve"> 32.5104 </t>
  </si>
  <si>
    <t xml:space="preserve">C:\Users\andre\Desktop\REACTIV CEFAS\Cromolyn\Cromolyn/20201202_Cefas_Test8_Run2/Plate 4/@21/G12_02.tif </t>
  </si>
  <si>
    <t xml:space="preserve"> 13215.8656 </t>
  </si>
  <si>
    <t xml:space="preserve"> 35.3453 </t>
  </si>
  <si>
    <t xml:space="preserve">C:\Users\andre\Desktop\REACTIV CEFAS\Cromolyn\Cromolyn/20201202_Cefas_Test8_Run2/Plate 4/@21/G12_03.tif </t>
  </si>
  <si>
    <t xml:space="preserve"> 13150.9759 </t>
  </si>
  <si>
    <t xml:space="preserve"> 33.2253 </t>
  </si>
  <si>
    <t xml:space="preserve">C:\Users\andre\Desktop\REACTIV CEFAS\Cromolyn\Cromolyn/20201202_Cefas_Test8_Run2/Plate 4/@21/H12_01.tif </t>
  </si>
  <si>
    <t xml:space="preserve"> 48883.5619 </t>
  </si>
  <si>
    <t xml:space="preserve"> 39.5301 </t>
  </si>
  <si>
    <t xml:space="preserve">C:\Users\andre\Desktop\REACTIV CEFAS\Cromolyn\Cromolyn/20201202_Cefas_Test8_Run2/Plate 4/@21/H12_02.tif </t>
  </si>
  <si>
    <t xml:space="preserve"> 39.2139 </t>
  </si>
  <si>
    <t xml:space="preserve">C:\Users\andre\Desktop\REACTIV CEFAS\Cromolyn\Cromolyn/20201202_Cefas_Test8_Run2/Plate 4/@21/H12_03.tif </t>
  </si>
  <si>
    <t xml:space="preserve"> 48472.5939 </t>
  </si>
  <si>
    <t xml:space="preserve"> 37.842 </t>
  </si>
  <si>
    <t xml:space="preserve">C:\Users\andre\Desktop\REACTIV CEFAS\Cromolyn\Cromolyn/20201202_Cefas_Test8_Run2/Plate 4/@21/ </t>
  </si>
  <si>
    <t xml:space="preserve"> 39.0299 </t>
  </si>
  <si>
    <t xml:space="preserve"> 4.3567 </t>
  </si>
  <si>
    <t xml:space="preserve"> 1291031.71 </t>
  </si>
  <si>
    <t xml:space="preserve"> 662935.092 </t>
  </si>
  <si>
    <t xml:space="preserve">C:\Users\andre\Desktop\REACTIV CEFAS\Cromolyn\Cromolyn/20201202_Cefas_Test8_Run2/Plate 4/@8/A2_01.tif </t>
  </si>
  <si>
    <t xml:space="preserve"> 30.6667 </t>
  </si>
  <si>
    <t xml:space="preserve">C:\Users\andre\Desktop\REACTIV CEFAS\Cromolyn\Cromolyn/20201202_Cefas_Test8_Run2/Plate 4/@8/A2_02.tif </t>
  </si>
  <si>
    <t xml:space="preserve"> 648.8968 </t>
  </si>
  <si>
    <t xml:space="preserve"> 31.9667 </t>
  </si>
  <si>
    <t xml:space="preserve">C:\Users\andre\Desktop\REACTIV CEFAS\Cromolyn\Cromolyn/20201202_Cefas_Test8_Run2/Plate 4/@8/A2_03.tif </t>
  </si>
  <si>
    <t xml:space="preserve"> 930.0855 </t>
  </si>
  <si>
    <t xml:space="preserve"> 31.8605 </t>
  </si>
  <si>
    <t xml:space="preserve">C:\Users\andre\Desktop\REACTIV CEFAS\Cromolyn\Cromolyn/20201202_Cefas_Test8_Run2/Plate 4/@8/B2_01.tif </t>
  </si>
  <si>
    <t xml:space="preserve"> 6705.2673 </t>
  </si>
  <si>
    <t xml:space="preserve"> 34.0935 </t>
  </si>
  <si>
    <t xml:space="preserve">C:\Users\andre\Desktop\REACTIV CEFAS\Cromolyn\Cromolyn/20201202_Cefas_Test8_Run2/Plate 4/@8/B2_02.tif </t>
  </si>
  <si>
    <t xml:space="preserve"> 35.8103 </t>
  </si>
  <si>
    <t xml:space="preserve">C:\Users\andre\Desktop\REACTIV CEFAS\Cromolyn\Cromolyn/20201202_Cefas_Test8_Run2/Plate 4/@8/B2_03.tif </t>
  </si>
  <si>
    <t xml:space="preserve"> 9582.0433 </t>
  </si>
  <si>
    <t xml:space="preserve"> 36.8059 </t>
  </si>
  <si>
    <t xml:space="preserve">C:\Users\andre\Desktop\REACTIV CEFAS\Cromolyn\Cromolyn/20201202_Cefas_Test8_Run2/Plate 4/@8/C2_01.tif </t>
  </si>
  <si>
    <t xml:space="preserve"> 9171.0753 </t>
  </si>
  <si>
    <t xml:space="preserve"> 42.1651 </t>
  </si>
  <si>
    <t>C:\Users\andre\Desktop\REACTIV CEFAS\Cromolyn\Cromolyn/20201202_Cefas_Test8_Run2/Plate 4/@8/C2_02- exclu.tif</t>
  </si>
  <si>
    <t xml:space="preserve">C:\Users\andre\Desktop\REACTIV CEFAS\Cromolyn\Cromolyn/20201202_Cefas_Test8_Run2/Plate 4/@8/C2_03.tif </t>
  </si>
  <si>
    <t xml:space="preserve"> 9409.0042 </t>
  </si>
  <si>
    <t xml:space="preserve"> 41.4782 </t>
  </si>
  <si>
    <t xml:space="preserve">C:\Users\andre\Desktop\REACTIV CEFAS\Cromolyn\Cromolyn/20201202_Cefas_Test8_Run2/Plate 4/@8/D2_01.tif </t>
  </si>
  <si>
    <t xml:space="preserve"> 8889.8867 </t>
  </si>
  <si>
    <t xml:space="preserve"> 42.8881 </t>
  </si>
  <si>
    <t xml:space="preserve">C:\Users\andre\Desktop\REACTIV CEFAS\Cromolyn\Cromolyn/20201202_Cefas_Test8_Run2/Plate 4/@8/D2_02.tif </t>
  </si>
  <si>
    <t xml:space="preserve"> 6488.9684 </t>
  </si>
  <si>
    <t xml:space="preserve"> 39.4333 </t>
  </si>
  <si>
    <t xml:space="preserve">C:\Users\andre\Desktop\REACTIV CEFAS\Cromolyn\Cromolyn/20201202_Cefas_Test8_Run2/Plate 4/@8/D2_03.tif </t>
  </si>
  <si>
    <t xml:space="preserve"> 4823.4665 </t>
  </si>
  <si>
    <t xml:space="preserve"> 35.3901 </t>
  </si>
  <si>
    <t xml:space="preserve">C:\Users\andre\Desktop\REACTIV CEFAS\Cromolyn\Cromolyn/20201202_Cefas_Test8_Run2/Plate 4/@8/E2_01.tif </t>
  </si>
  <si>
    <t xml:space="preserve"> 32.6 </t>
  </si>
  <si>
    <t xml:space="preserve">C:\Users\andre\Desktop\REACTIV CEFAS\Cromolyn\Cromolyn/20201202_Cefas_Test8_Run2/Plate 4/@8/E2_02.tif </t>
  </si>
  <si>
    <t xml:space="preserve">C:\Users\andre\Desktop\REACTIV CEFAS\Cromolyn\Cromolyn/20201202_Cefas_Test8_Run2/Plate 4/@8/E2_03.tif </t>
  </si>
  <si>
    <t xml:space="preserve"> 4520.648 </t>
  </si>
  <si>
    <t xml:space="preserve"> 34.7273 </t>
  </si>
  <si>
    <t xml:space="preserve">C:\Users\andre\Desktop\REACTIV CEFAS\Cromolyn\Cromolyn/20201202_Cefas_Test8_Run2/Plate 4/@8/F2_01.tif </t>
  </si>
  <si>
    <t xml:space="preserve"> 5191.1747 </t>
  </si>
  <si>
    <t xml:space="preserve"> 37.8625 </t>
  </si>
  <si>
    <t>C:\Users\andre\Desktop\REACTIV CEFAS\Cromolyn\Cromolyn/20201202_Cefas_Test8_Run2/Plate 4/@8/F2_02- exclu.tif</t>
  </si>
  <si>
    <t xml:space="preserve">C:\Users\andre\Desktop\REACTIV CEFAS\Cromolyn\Cromolyn/20201202_Cefas_Test8_Run2/Plate 4/@8/F2_03.tif </t>
  </si>
  <si>
    <t xml:space="preserve"> 7527.2033 </t>
  </si>
  <si>
    <t xml:space="preserve"> 36.5402 </t>
  </si>
  <si>
    <t xml:space="preserve">C:\Users\andre\Desktop\REACTIV CEFAS\Cromolyn\Cromolyn/20201202_Cefas_Test8_Run2/Plate 4/@8/G2_01.tif </t>
  </si>
  <si>
    <t xml:space="preserve"> 38.457 </t>
  </si>
  <si>
    <t xml:space="preserve">C:\Users\andre\Desktop\REACTIV CEFAS\Cromolyn\Cromolyn/20201202_Cefas_Test8_Run2/Plate 4/@8/G2_02.tif </t>
  </si>
  <si>
    <t xml:space="preserve"> 2336.0286 </t>
  </si>
  <si>
    <t xml:space="preserve"> 34.4722 </t>
  </si>
  <si>
    <t xml:space="preserve">C:\Users\andre\Desktop\REACTIV CEFAS\Cromolyn\Cromolyn/20201202_Cefas_Test8_Run2/Plate 4/@8/G2_03.tif </t>
  </si>
  <si>
    <t xml:space="preserve"> 5104.6551 </t>
  </si>
  <si>
    <t xml:space="preserve"> 42.678 </t>
  </si>
  <si>
    <t xml:space="preserve">C:\Users\andre\Desktop\REACTIV CEFAS\Cromolyn\Cromolyn/20201202_Cefas_Test8_Run2/Plate 4/@8/H2_01.tif </t>
  </si>
  <si>
    <t xml:space="preserve"> 5385.8438 </t>
  </si>
  <si>
    <t xml:space="preserve"> 36.8434 </t>
  </si>
  <si>
    <t xml:space="preserve">C:\Users\andre\Desktop\REACTIV CEFAS\Cromolyn\Cromolyn/20201202_Cefas_Test8_Run2/Plate 4/@8/H2_02.tif </t>
  </si>
  <si>
    <t xml:space="preserve"> 11853.1823 </t>
  </si>
  <si>
    <t xml:space="preserve"> 35.2135 </t>
  </si>
  <si>
    <t xml:space="preserve">C:\Users\andre\Desktop\REACTIV CEFAS\Cromolyn\Cromolyn/20201202_Cefas_Test8_Run2/Plate 4/@8/H2_03.tif </t>
  </si>
  <si>
    <t xml:space="preserve"> 33.3281 </t>
  </si>
  <si>
    <t xml:space="preserve">C:\Users\andre\Desktop\REACTIV CEFAS\Cromolyn\Cromolyn/20201202_Cefas_Test8_Run2/Plate 4/@8/ </t>
  </si>
  <si>
    <t xml:space="preserve"> 33.6204 </t>
  </si>
  <si>
    <t xml:space="preserve"> 10.9539 </t>
  </si>
  <si>
    <t xml:space="preserve"> 203643.625 </t>
  </si>
  <si>
    <t xml:space="preserve"> 150735.448 </t>
  </si>
  <si>
    <t xml:space="preserve">C:\Users\andre\Desktop\REACTIV CEFAS\Cromolyn\Cromolyn/20201202_Cefas_Test8_Run2/Plate 4/@9/A3_01.tif </t>
  </si>
  <si>
    <t xml:space="preserve"> 6921.5663 </t>
  </si>
  <si>
    <t xml:space="preserve"> 36.8594 </t>
  </si>
  <si>
    <t>C:\Users\andre\Desktop\REACTIV CEFAS\Cromolyn\Cromolyn/20201202_Cefas_Test8_Run2/Plate 4/@9/A3_02- exclu.tif</t>
  </si>
  <si>
    <t xml:space="preserve">C:\Users\andre\Desktop\REACTIV CEFAS\Cromolyn\Cromolyn/20201202_Cefas_Test8_Run2/Plate 4/@9/A3_03.tif </t>
  </si>
  <si>
    <t xml:space="preserve">C:\Users\andre\Desktop\REACTIV CEFAS\Cromolyn\Cromolyn/20201202_Cefas_Test8_Run2/Plate 4/@9/B3_01.tif </t>
  </si>
  <si>
    <t xml:space="preserve"> 8457.2888 </t>
  </si>
  <si>
    <t xml:space="preserve"> 41.6292 </t>
  </si>
  <si>
    <t xml:space="preserve">C:\Users\andre\Desktop\REACTIV CEFAS\Cromolyn\Cromolyn/20201202_Cefas_Test8_Run2/Plate 4/@9/B3_02.tif </t>
  </si>
  <si>
    <t xml:space="preserve"> 10122.7907 </t>
  </si>
  <si>
    <t xml:space="preserve"> 38.5791 </t>
  </si>
  <si>
    <t xml:space="preserve">C:\Users\andre\Desktop\REACTIV CEFAS\Cromolyn\Cromolyn/20201202_Cefas_Test8_Run2/Plate 4/@9/B3_03.tif </t>
  </si>
  <si>
    <t xml:space="preserve"> 11723.4029 </t>
  </si>
  <si>
    <t xml:space="preserve"> 46.679 </t>
  </si>
  <si>
    <t>C:\Users\andre\Desktop\REACTIV CEFAS\Cromolyn\Cromolyn/20201202_Cefas_Test8_Run2/Plate 4/@9/C3_01- exclu.tif</t>
  </si>
  <si>
    <t>C:\Users\andre\Desktop\REACTIV CEFAS\Cromolyn\Cromolyn/20201202_Cefas_Test8_Run2/Plate 4/@9/C3_02- exclu.tif</t>
  </si>
  <si>
    <t>C:\Users\andre\Desktop\REACTIV CEFAS\Cromolyn\Cromolyn/20201202_Cefas_Test8_Run2/Plate 4/@9/C3_03- exclu.tif</t>
  </si>
  <si>
    <t xml:space="preserve">C:\Users\andre\Desktop\REACTIV CEFAS\Cromolyn\Cromolyn/20201202_Cefas_Test8_Run2/Plate 4/@9/D3_01.tif </t>
  </si>
  <si>
    <t xml:space="preserve"> 5320.9541 </t>
  </si>
  <si>
    <t xml:space="preserve"> 34.6829 </t>
  </si>
  <si>
    <t xml:space="preserve">C:\Users\andre\Desktop\REACTIV CEFAS\Cromolyn\Cromolyn/20201202_Cefas_Test8_Run2/Plate 4/@9/D3_02.tif </t>
  </si>
  <si>
    <t xml:space="preserve"> 34.1986 </t>
  </si>
  <si>
    <t xml:space="preserve">C:\Users\andre\Desktop\REACTIV CEFAS\Cromolyn\Cromolyn/20201202_Cefas_Test8_Run2/Plate 4/@9/D3_03.tif </t>
  </si>
  <si>
    <t xml:space="preserve"> 7310.9044 </t>
  </si>
  <si>
    <t xml:space="preserve"> 36.4467 </t>
  </si>
  <si>
    <t xml:space="preserve">C:\Users\andre\Desktop\REACTIV CEFAS\Cromolyn\Cromolyn/20201202_Cefas_Test8_Run2/Plate 4/@9/E3_01.tif </t>
  </si>
  <si>
    <t xml:space="preserve"> 40.1335 </t>
  </si>
  <si>
    <t>C:\Users\andre\Desktop\REACTIV CEFAS\Cromolyn\Cromolyn/20201202_Cefas_Test8_Run2/Plate 4/@9/E3_02- exclu.tif</t>
  </si>
  <si>
    <t xml:space="preserve">C:\Users\andre\Desktop\REACTIV CEFAS\Cromolyn\Cromolyn/20201202_Cefas_Test8_Run2/Plate 4/@9/E3_03.tif </t>
  </si>
  <si>
    <t xml:space="preserve"> 237.9288 </t>
  </si>
  <si>
    <t xml:space="preserve"> 32.2727 </t>
  </si>
  <si>
    <t xml:space="preserve">C:\Users\andre\Desktop\REACTIV CEFAS\Cromolyn\Cromolyn/20201202_Cefas_Test8_Run2/Plate 4/@9/F3_01.tif </t>
  </si>
  <si>
    <t xml:space="preserve"> 3915.0109 </t>
  </si>
  <si>
    <t xml:space="preserve"> 39.3425 </t>
  </si>
  <si>
    <t xml:space="preserve">C:\Users\andre\Desktop\REACTIV CEFAS\Cromolyn\Cromolyn/20201202_Cefas_Test8_Run2/Plate 4/@9/F3_02.tif </t>
  </si>
  <si>
    <t xml:space="preserve"> 7721.8724 </t>
  </si>
  <si>
    <t xml:space="preserve"> 45.535 </t>
  </si>
  <si>
    <t xml:space="preserve">C:\Users\andre\Desktop\REACTIV CEFAS\Cromolyn\Cromolyn/20201202_Cefas_Test8_Run2/Plate 4/@9/F3_03.tif </t>
  </si>
  <si>
    <t xml:space="preserve"> 5299.3242 </t>
  </si>
  <si>
    <t xml:space="preserve"> 39.0082 </t>
  </si>
  <si>
    <t>C:\Users\andre\Desktop\REACTIV CEFAS\Cromolyn\Cromolyn/20201202_Cefas_Test8_Run2/Plate 4/@9/G3_01- exclu.tif</t>
  </si>
  <si>
    <t>C:\Users\andre\Desktop\REACTIV CEFAS\Cromolyn\Cromolyn/20201202_Cefas_Test8_Run2/Plate 4/@9/G3_02- exclu.tif</t>
  </si>
  <si>
    <t>C:\Users\andre\Desktop\REACTIV CEFAS\Cromolyn\Cromolyn/20201202_Cefas_Test8_Run2/Plate 4/@9/G3_03- exclu.tif</t>
  </si>
  <si>
    <t xml:space="preserve">C:\Users\andre\Desktop\REACTIV CEFAS\Cromolyn\Cromolyn/20201202_Cefas_Test8_Run2/Plate 4/@9/H3_01.tif </t>
  </si>
  <si>
    <t xml:space="preserve"> 14729.9582 </t>
  </si>
  <si>
    <t xml:space="preserve"> 40.7151 </t>
  </si>
  <si>
    <t>C:\Users\andre\Desktop\REACTIV CEFAS\Cromolyn\Cromolyn/20201202_Cefas_Test8_Run2/Plate 4/@9/H3_02- exclu.tif</t>
  </si>
  <si>
    <t>C:\Users\andre\Desktop\REACTIV CEFAS\Cromolyn\Cromolyn/20201202_Cefas_Test8_Run2/Plate 4/@9/H3_03- exclu.tif</t>
  </si>
  <si>
    <t xml:space="preserve">C:\Users\andre\Desktop\REACTIV CEFAS\Cromolyn\Cromolyn/20201202_Cefas_Test8_Run2/Plate 4/@9/ </t>
  </si>
  <si>
    <t xml:space="preserve"> 36.7437 </t>
  </si>
  <si>
    <t xml:space="preserve"> 15.8732 </t>
  </si>
  <si>
    <t xml:space="preserve"> 383668.375 </t>
  </si>
  <si>
    <t xml:space="preserve"> 349255.897 </t>
  </si>
  <si>
    <t>1</t>
  </si>
  <si>
    <t>13</t>
  </si>
  <si>
    <t>14</t>
  </si>
  <si>
    <t>15</t>
  </si>
  <si>
    <t>16</t>
  </si>
  <si>
    <t>2</t>
  </si>
  <si>
    <t>3</t>
  </si>
  <si>
    <t>4</t>
  </si>
  <si>
    <t>5</t>
  </si>
  <si>
    <t>6</t>
  </si>
  <si>
    <t>7</t>
  </si>
  <si>
    <t>10</t>
  </si>
  <si>
    <t>11</t>
  </si>
  <si>
    <t>12</t>
  </si>
  <si>
    <t>17</t>
  </si>
  <si>
    <t>18</t>
  </si>
  <si>
    <t>19</t>
  </si>
  <si>
    <t>20</t>
  </si>
  <si>
    <t>21</t>
  </si>
  <si>
    <t>8</t>
  </si>
  <si>
    <t>9</t>
  </si>
  <si>
    <t>B</t>
  </si>
  <si>
    <t>C</t>
  </si>
  <si>
    <t>D</t>
  </si>
  <si>
    <t>E</t>
  </si>
  <si>
    <t>F</t>
  </si>
  <si>
    <t>G</t>
  </si>
  <si>
    <t>H</t>
  </si>
  <si>
    <t xml:space="preserve">C:\Users\andre\Desktop\REACTIV CEFAS\Cromolyn\Cromolyn/20201203_Cefas_Test8_Run3/Plate 1/@1/A10_01.tif </t>
  </si>
  <si>
    <t xml:space="preserve"> 1643.872 </t>
  </si>
  <si>
    <t xml:space="preserve"> 34.1316 </t>
  </si>
  <si>
    <t xml:space="preserve">C:\Users\andre\Desktop\REACTIV CEFAS\Cromolyn\Cromolyn/20201203_Cefas_Test8_Run3/Plate 1/@1/A10_02.tif </t>
  </si>
  <si>
    <t xml:space="preserve"> 6662.0075 </t>
  </si>
  <si>
    <t xml:space="preserve"> 36.3149 </t>
  </si>
  <si>
    <t xml:space="preserve">C:\Users\andre\Desktop\REACTIV CEFAS\Cromolyn\Cromolyn/20201203_Cefas_Test8_Run3/Plate 1/@1/A10_03.tif </t>
  </si>
  <si>
    <t xml:space="preserve"> 7894.9115 </t>
  </si>
  <si>
    <t xml:space="preserve"> 39.0521 </t>
  </si>
  <si>
    <t xml:space="preserve">C:\Users\andre\Desktop\REACTIV CEFAS\Cromolyn\Cromolyn/20201203_Cefas_Test8_Run3/Plate 1/@1/B10_01.tif </t>
  </si>
  <si>
    <t>C:\Users\andre\Desktop\REACTIV CEFAS\Cromolyn\Cromolyn/20201203_Cefas_Test8_Run3/Plate 1/@1/B10_02- exclu.tif</t>
  </si>
  <si>
    <t xml:space="preserve">C:\Users\andre\Desktop\REACTIV CEFAS\Cromolyn\Cromolyn/20201203_Cefas_Test8_Run3/Plate 1/@1/B10_03.tif </t>
  </si>
  <si>
    <t xml:space="preserve"> 1557.3524 </t>
  </si>
  <si>
    <t xml:space="preserve"> 32.3472 </t>
  </si>
  <si>
    <t xml:space="preserve">C:\Users\andre\Desktop\REACTIV CEFAS\Cromolyn\Cromolyn/20201203_Cefas_Test8_Run3/Plate 1/@1/C10_01.tif </t>
  </si>
  <si>
    <t xml:space="preserve"> 8608.6981 </t>
  </si>
  <si>
    <t xml:space="preserve"> 39.2839 </t>
  </si>
  <si>
    <t xml:space="preserve">C:\Users\andre\Desktop\REACTIV CEFAS\Cromolyn\Cromolyn/20201203_Cefas_Test8_Run3/Plate 1/@1/C10_02.tif </t>
  </si>
  <si>
    <t xml:space="preserve"> 2963.2956 </t>
  </si>
  <si>
    <t xml:space="preserve"> 38.3577 </t>
  </si>
  <si>
    <t xml:space="preserve">C:\Users\andre\Desktop\REACTIV CEFAS\Cromolyn\Cromolyn/20201203_Cefas_Test8_Run3/Plate 1/@1/C10_03.tif </t>
  </si>
  <si>
    <t xml:space="preserve"> 13302.3852 </t>
  </si>
  <si>
    <t xml:space="preserve"> 39.4276 </t>
  </si>
  <si>
    <t>C:\Users\andre\Desktop\REACTIV CEFAS\Cromolyn\Cromolyn/20201203_Cefas_Test8_Run3/Plate 1/@1/D10_01- exclu.tif</t>
  </si>
  <si>
    <t xml:space="preserve">C:\Users\andre\Desktop\REACTIV CEFAS\Cromolyn\Cromolyn/20201203_Cefas_Test8_Run3/Plate 1/@1/D10_02.tif </t>
  </si>
  <si>
    <t xml:space="preserve"> 2703.7368 </t>
  </si>
  <si>
    <t xml:space="preserve"> 36.56 </t>
  </si>
  <si>
    <t xml:space="preserve">C:\Users\andre\Desktop\REACTIV CEFAS\Cromolyn\Cromolyn/20201203_Cefas_Test8_Run3/Plate 1/@1/D10_03.tif </t>
  </si>
  <si>
    <t xml:space="preserve"> 9084.5557 </t>
  </si>
  <si>
    <t xml:space="preserve"> 43.5976 </t>
  </si>
  <si>
    <t xml:space="preserve">C:\Users\andre\Desktop\REACTIV CEFAS\Cromolyn\Cromolyn/20201203_Cefas_Test8_Run3/Plate 1/@1/E10_01.tif </t>
  </si>
  <si>
    <t xml:space="preserve"> 34.0602 </t>
  </si>
  <si>
    <t xml:space="preserve">C:\Users\andre\Desktop\REACTIV CEFAS\Cromolyn\Cromolyn/20201203_Cefas_Test8_Run3/Plate 1/@1/E10_02.tif </t>
  </si>
  <si>
    <t xml:space="preserve"> 6164.52 </t>
  </si>
  <si>
    <t xml:space="preserve"> 33.6035 </t>
  </si>
  <si>
    <t xml:space="preserve">C:\Users\andre\Desktop\REACTIV CEFAS\Cromolyn\Cromolyn/20201203_Cefas_Test8_Run3/Plate 1/@1/E10_03.tif </t>
  </si>
  <si>
    <t xml:space="preserve"> 33.1134 </t>
  </si>
  <si>
    <t xml:space="preserve">C:\Users\andre\Desktop\REACTIV CEFAS\Cromolyn\Cromolyn/20201203_Cefas_Test8_Run3/Plate 1/@1/F10_01.tif </t>
  </si>
  <si>
    <t xml:space="preserve"> 1989.9503 </t>
  </si>
  <si>
    <t xml:space="preserve"> 36.4022 </t>
  </si>
  <si>
    <t xml:space="preserve">C:\Users\andre\Desktop\REACTIV CEFAS\Cromolyn\Cromolyn/20201203_Cefas_Test8_Run3/Plate 1/@1/F10_02.tif </t>
  </si>
  <si>
    <t xml:space="preserve"> 30.6139 </t>
  </si>
  <si>
    <t xml:space="preserve">C:\Users\andre\Desktop\REACTIV CEFAS\Cromolyn\Cromolyn/20201203_Cefas_Test8_Run3/Plate 1/@1/F10_03.tif </t>
  </si>
  <si>
    <t xml:space="preserve"> 30.8421 </t>
  </si>
  <si>
    <t xml:space="preserve">C:\Users\andre\Desktop\REACTIV CEFAS\Cromolyn\Cromolyn/20201203_Cefas_Test8_Run3/Plate 1/@1/G10_01.tif </t>
  </si>
  <si>
    <t xml:space="preserve">C:\Users\andre\Desktop\REACTIV CEFAS\Cromolyn\Cromolyn/20201203_Cefas_Test8_Run3/Plate 1/@1/G10_02.tif </t>
  </si>
  <si>
    <t xml:space="preserve"> 38.8043 </t>
  </si>
  <si>
    <t xml:space="preserve">C:\Users\andre\Desktop\REACTIV CEFAS\Cromolyn\Cromolyn/20201203_Cefas_Test8_Run3/Plate 1/@1/G10_03.tif </t>
  </si>
  <si>
    <t xml:space="preserve"> 7570.4631 </t>
  </si>
  <si>
    <t xml:space="preserve"> 38.6686 </t>
  </si>
  <si>
    <t xml:space="preserve">C:\Users\andre\Desktop\REACTIV CEFAS\Cromolyn\Cromolyn/20201203_Cefas_Test8_Run3/Plate 1/@1/H10_01.tif </t>
  </si>
  <si>
    <t xml:space="preserve">C:\Users\andre\Desktop\REACTIV CEFAS\Cromolyn\Cromolyn/20201203_Cefas_Test8_Run3/Plate 1/@1/H10_02.tif </t>
  </si>
  <si>
    <t xml:space="preserve"> 10274.1999 </t>
  </si>
  <si>
    <t xml:space="preserve"> 46.0211 </t>
  </si>
  <si>
    <t xml:space="preserve">C:\Users\andre\Desktop\REACTIV CEFAS\Cromolyn\Cromolyn/20201203_Cefas_Test8_Run3/Plate 1/@1/H10_03.tif </t>
  </si>
  <si>
    <t xml:space="preserve"> 7916.5414 </t>
  </si>
  <si>
    <t xml:space="preserve"> 47.2568 </t>
  </si>
  <si>
    <t xml:space="preserve">C:\Users\andre\Desktop\REACTIV CEFAS\Cromolyn\Cromolyn/20201203_Cefas_Test8_Run3/Plate 1/@1/ </t>
  </si>
  <si>
    <t xml:space="preserve"> 32.1702 </t>
  </si>
  <si>
    <t xml:space="preserve"> 13.1971 </t>
  </si>
  <si>
    <t xml:space="preserve"> 180731.333 </t>
  </si>
  <si>
    <t xml:space="preserve"> 163665.138 </t>
  </si>
  <si>
    <t>C:\Users\andre\Desktop\REACTIV CEFAS\Cromolyn\Cromolyn/20201203_Cefas_Test8_Run3/Plate 1/@13/A8_01- exclu.tif</t>
  </si>
  <si>
    <t>C:\Users\andre\Desktop\REACTIV CEFAS\Cromolyn\Cromolyn/20201203_Cefas_Test8_Run3/Plate 1/@13/A8_02- exclu.tif</t>
  </si>
  <si>
    <t xml:space="preserve">C:\Users\andre\Desktop\REACTIV CEFAS\Cromolyn\Cromolyn/20201203_Cefas_Test8_Run3/Plate 1/@13/A8_03.tif </t>
  </si>
  <si>
    <t xml:space="preserve"> 15811.453 </t>
  </si>
  <si>
    <t xml:space="preserve"> 33.1737 </t>
  </si>
  <si>
    <t xml:space="preserve">C:\Users\andre\Desktop\REACTIV CEFAS\Cromolyn\Cromolyn/20201203_Cefas_Test8_Run3/Plate 1/@13/B8_01.tif </t>
  </si>
  <si>
    <t xml:space="preserve"> 72460.147 </t>
  </si>
  <si>
    <t xml:space="preserve"> 50.7788 </t>
  </si>
  <si>
    <t xml:space="preserve">C:\Users\andre\Desktop\REACTIV CEFAS\Cromolyn\Cromolyn/20201203_Cefas_Test8_Run3/Plate 1/@13/B8_02.tif </t>
  </si>
  <si>
    <t xml:space="preserve"> 64197.5273 </t>
  </si>
  <si>
    <t xml:space="preserve"> 48.597 </t>
  </si>
  <si>
    <t xml:space="preserve">C:\Users\andre\Desktop\REACTIV CEFAS\Cromolyn\Cromolyn/20201203_Cefas_Test8_Run3/Plate 1/@13/B8_03.tif </t>
  </si>
  <si>
    <t xml:space="preserve"> 50.8775 </t>
  </si>
  <si>
    <t xml:space="preserve">C:\Users\andre\Desktop\REACTIV CEFAS\Cromolyn\Cromolyn/20201203_Cefas_Test8_Run3/Plate 1/@13/C8_01.tif </t>
  </si>
  <si>
    <t xml:space="preserve"> 51046.5513 </t>
  </si>
  <si>
    <t xml:space="preserve"> 47.7466 </t>
  </si>
  <si>
    <t xml:space="preserve">C:\Users\andre\Desktop\REACTIV CEFAS\Cromolyn\Cromolyn/20201203_Cefas_Test8_Run3/Plate 1/@13/C8_02.tif </t>
  </si>
  <si>
    <t xml:space="preserve"> 68069.2784 </t>
  </si>
  <si>
    <t xml:space="preserve"> 44.2854 </t>
  </si>
  <si>
    <t xml:space="preserve">C:\Users\andre\Desktop\REACTIV CEFAS\Cromolyn\Cromolyn/20201203_Cefas_Test8_Run3/Plate 1/@13/C8_03.tif </t>
  </si>
  <si>
    <t xml:space="preserve"> 74341.9478 </t>
  </si>
  <si>
    <t xml:space="preserve"> 42.7221 </t>
  </si>
  <si>
    <t xml:space="preserve">C:\Users\andre\Desktop\REACTIV CEFAS\Cromolyn\Cromolyn/20201203_Cefas_Test8_Run3/Plate 1/@13/D8_01.tif </t>
  </si>
  <si>
    <t xml:space="preserve"> 33807.5253 </t>
  </si>
  <si>
    <t xml:space="preserve"> 37.1843 </t>
  </si>
  <si>
    <t xml:space="preserve">C:\Users\andre\Desktop\REACTIV CEFAS\Cromolyn\Cromolyn/20201203_Cefas_Test8_Run3/Plate 1/@13/D8_02.tif </t>
  </si>
  <si>
    <t xml:space="preserve"> 35.5922 </t>
  </si>
  <si>
    <t xml:space="preserve">C:\Users\andre\Desktop\REACTIV CEFAS\Cromolyn\Cromolyn/20201203_Cefas_Test8_Run3/Plate 1/@13/D8_03.tif </t>
  </si>
  <si>
    <t xml:space="preserve"> 32250.1729 </t>
  </si>
  <si>
    <t xml:space="preserve"> 35.4299 </t>
  </si>
  <si>
    <t xml:space="preserve">C:\Users\andre\Desktop\REACTIV CEFAS\Cromolyn\Cromolyn/20201203_Cefas_Test8_Run3/Plate 1/@13/E8_01.tif </t>
  </si>
  <si>
    <t xml:space="preserve"> 57730.1888 </t>
  </si>
  <si>
    <t xml:space="preserve"> 38.1135 </t>
  </si>
  <si>
    <t xml:space="preserve">C:\Users\andre\Desktop\REACTIV CEFAS\Cromolyn\Cromolyn/20201203_Cefas_Test8_Run3/Plate 1/@13/E8_02.tif </t>
  </si>
  <si>
    <t xml:space="preserve"> 60455.5555 </t>
  </si>
  <si>
    <t xml:space="preserve"> 40.771 </t>
  </si>
  <si>
    <t xml:space="preserve">C:\Users\andre\Desktop\REACTIV CEFAS\Cromolyn\Cromolyn/20201203_Cefas_Test8_Run3/Plate 1/@13/E8_03.tif </t>
  </si>
  <si>
    <t xml:space="preserve"> 58206.0464 </t>
  </si>
  <si>
    <t xml:space="preserve"> 37.5151 </t>
  </si>
  <si>
    <t xml:space="preserve">C:\Users\andre\Desktop\REACTIV CEFAS\Cromolyn\Cromolyn/20201203_Cefas_Test8_Run3/Plate 1/@13/F8_01.tif </t>
  </si>
  <si>
    <t xml:space="preserve"> 1341.0535 </t>
  </si>
  <si>
    <t xml:space="preserve"> 33.4355 </t>
  </si>
  <si>
    <t xml:space="preserve">C:\Users\andre\Desktop\REACTIV CEFAS\Cromolyn\Cromolyn/20201203_Cefas_Test8_Run3/Plate 1/@13/F8_02.tif </t>
  </si>
  <si>
    <t xml:space="preserve"> 1600.6122 </t>
  </si>
  <si>
    <t xml:space="preserve"> 31.7027 </t>
  </si>
  <si>
    <t xml:space="preserve">C:\Users\andre\Desktop\REACTIV CEFAS\Cromolyn\Cromolyn/20201203_Cefas_Test8_Run3/Plate 1/@13/F8_03.tif </t>
  </si>
  <si>
    <t xml:space="preserve"> 31.1111 </t>
  </si>
  <si>
    <t xml:space="preserve">C:\Users\andre\Desktop\REACTIV CEFAS\Cromolyn\Cromolyn/20201203_Cefas_Test8_Run3/Plate 1/@13/G8_01.tif </t>
  </si>
  <si>
    <t xml:space="preserve"> 73736.3108 </t>
  </si>
  <si>
    <t xml:space="preserve"> 41.9607 </t>
  </si>
  <si>
    <t xml:space="preserve">C:\Users\andre\Desktop\REACTIV CEFAS\Cromolyn\Cromolyn/20201203_Cefas_Test8_Run3/Plate 1/@13/G8_02.tif </t>
  </si>
  <si>
    <t xml:space="preserve"> 75055.7344 </t>
  </si>
  <si>
    <t xml:space="preserve"> 44.0905 </t>
  </si>
  <si>
    <t xml:space="preserve">C:\Users\andre\Desktop\REACTIV CEFAS\Cromolyn\Cromolyn/20201203_Cefas_Test8_Run3/Plate 1/@13/G8_03.tif </t>
  </si>
  <si>
    <t xml:space="preserve"> 85438.0838 </t>
  </si>
  <si>
    <t xml:space="preserve"> 49.0529 </t>
  </si>
  <si>
    <t xml:space="preserve">C:\Users\andre\Desktop\REACTIV CEFAS\Cromolyn\Cromolyn/20201203_Cefas_Test8_Run3/Plate 1/@13/H8_01.tif </t>
  </si>
  <si>
    <t xml:space="preserve"> 62012.9079 </t>
  </si>
  <si>
    <t xml:space="preserve"> 41.4077 </t>
  </si>
  <si>
    <t xml:space="preserve">C:\Users\andre\Desktop\REACTIV CEFAS\Cromolyn\Cromolyn/20201203_Cefas_Test8_Run3/Plate 1/@13/H8_02.tif </t>
  </si>
  <si>
    <t xml:space="preserve"> 47520.8785 </t>
  </si>
  <si>
    <t xml:space="preserve"> 38.7633 </t>
  </si>
  <si>
    <t xml:space="preserve">C:\Users\andre\Desktop\REACTIV CEFAS\Cromolyn\Cromolyn/20201203_Cefas_Test8_Run3/Plate 1/@13/H8_03.tif </t>
  </si>
  <si>
    <t xml:space="preserve"> 61277.4915 </t>
  </si>
  <si>
    <t xml:space="preserve"> 41.15 </t>
  </si>
  <si>
    <t xml:space="preserve">C:\Users\andre\Desktop\REACTIV CEFAS\Cromolyn\Cromolyn/20201203_Cefas_Test8_Run3/Plate 1/@13/ </t>
  </si>
  <si>
    <t xml:space="preserve"> 40.4829 </t>
  </si>
  <si>
    <t xml:space="preserve"> 6.0636 </t>
  </si>
  <si>
    <t xml:space="preserve"> 2004108.08 </t>
  </si>
  <si>
    <t xml:space="preserve"> 1264555.13 </t>
  </si>
  <si>
    <t xml:space="preserve">C:\Users\andre\Desktop\REACTIV CEFAS\Cromolyn\Cromolyn/20201203_Cefas_Test8_Run3/Plate 1/@14/A9_01.tif </t>
  </si>
  <si>
    <t xml:space="preserve"> 42.1961 </t>
  </si>
  <si>
    <t xml:space="preserve">C:\Users\andre\Desktop\REACTIV CEFAS\Cromolyn\Cromolyn/20201203_Cefas_Test8_Run3/Plate 1/@14/A9_02.tif </t>
  </si>
  <si>
    <t xml:space="preserve"> 41.3554 </t>
  </si>
  <si>
    <t xml:space="preserve">C:\Users\andre\Desktop\REACTIV CEFAS\Cromolyn\Cromolyn/20201203_Cefas_Test8_Run3/Plate 1/@14/A9_03.tif </t>
  </si>
  <si>
    <t xml:space="preserve"> 42827.1914 </t>
  </si>
  <si>
    <t xml:space="preserve"> 37.9515 </t>
  </si>
  <si>
    <t xml:space="preserve">C:\Users\andre\Desktop\REACTIV CEFAS\Cromolyn\Cromolyn/20201203_Cefas_Test8_Run3/Plate 1/@14/B9_01.tif </t>
  </si>
  <si>
    <t xml:space="preserve"> 69691.5205 </t>
  </si>
  <si>
    <t xml:space="preserve"> 45.2048 </t>
  </si>
  <si>
    <t xml:space="preserve">C:\Users\andre\Desktop\REACTIV CEFAS\Cromolyn\Cromolyn/20201203_Cefas_Test8_Run3/Plate 1/@14/B9_02.tif </t>
  </si>
  <si>
    <t xml:space="preserve"> 73346.9727 </t>
  </si>
  <si>
    <t xml:space="preserve"> 43.2365 </t>
  </si>
  <si>
    <t xml:space="preserve">C:\Users\andre\Desktop\REACTIV CEFAS\Cromolyn\Cromolyn/20201203_Cefas_Test8_Run3/Plate 1/@14/B9_03.tif </t>
  </si>
  <si>
    <t xml:space="preserve"> 75336.923 </t>
  </si>
  <si>
    <t xml:space="preserve"> 47.4574 </t>
  </si>
  <si>
    <t>C:\Users\andre\Desktop\REACTIV CEFAS\Cromolyn\Cromolyn/20201203_Cefas_Test8_Run3/Plate 1/@14/C9_01- exclu.tif</t>
  </si>
  <si>
    <t>C:\Users\andre\Desktop\REACTIV CEFAS\Cromolyn\Cromolyn/20201203_Cefas_Test8_Run3/Plate 1/@14/C9_02- exclu.tif</t>
  </si>
  <si>
    <t>C:\Users\andre\Desktop\REACTIV CEFAS\Cromolyn\Cromolyn/20201203_Cefas_Test8_Run3/Plate 1/@14/C9_03- exclu.tif</t>
  </si>
  <si>
    <t xml:space="preserve">C:\Users\andre\Desktop\REACTIV CEFAS\Cromolyn\Cromolyn/20201203_Cefas_Test8_Run3/Plate 1/@14/D9_01.tif </t>
  </si>
  <si>
    <t xml:space="preserve"> 61190.9719 </t>
  </si>
  <si>
    <t xml:space="preserve"> 38.2683 </t>
  </si>
  <si>
    <t xml:space="preserve">C:\Users\andre\Desktop\REACTIV CEFAS\Cromolyn\Cromolyn/20201203_Cefas_Test8_Run3/Plate 1/@14/D9_02.tif </t>
  </si>
  <si>
    <t xml:space="preserve"> 50722.1029 </t>
  </si>
  <si>
    <t xml:space="preserve"> 38.7416 </t>
  </si>
  <si>
    <t xml:space="preserve">C:\Users\andre\Desktop\REACTIV CEFAS\Cromolyn\Cromolyn/20201203_Cefas_Test8_Run3/Plate 1/@14/D9_03.tif </t>
  </si>
  <si>
    <t xml:space="preserve"> 54247.7757 </t>
  </si>
  <si>
    <t xml:space="preserve"> 38.8477 </t>
  </si>
  <si>
    <t xml:space="preserve">C:\Users\andre\Desktop\REACTIV CEFAS\Cromolyn\Cromolyn/20201203_Cefas_Test8_Run3/Plate 1/@14/E9_01.tif </t>
  </si>
  <si>
    <t xml:space="preserve"> 59525.47 </t>
  </si>
  <si>
    <t xml:space="preserve"> 38.8612 </t>
  </si>
  <si>
    <t xml:space="preserve">C:\Users\andre\Desktop\REACTIV CEFAS\Cromolyn\Cromolyn/20201203_Cefas_Test8_Run3/Plate 1/@14/E9_02.tif </t>
  </si>
  <si>
    <t xml:space="preserve"> 67139.1929 </t>
  </si>
  <si>
    <t xml:space="preserve"> 43.2072 </t>
  </si>
  <si>
    <t xml:space="preserve">C:\Users\andre\Desktop\REACTIV CEFAS\Cromolyn\Cromolyn/20201203_Cefas_Test8_Run3/Plate 1/@14/E9_03.tif </t>
  </si>
  <si>
    <t xml:space="preserve"> 55783.4982 </t>
  </si>
  <si>
    <t xml:space="preserve"> 39.071 </t>
  </si>
  <si>
    <t xml:space="preserve">C:\Users\andre\Desktop\REACTIV CEFAS\Cromolyn\Cromolyn/20201203_Cefas_Test8_Run3/Plate 1/@14/F9_01.tif </t>
  </si>
  <si>
    <t xml:space="preserve"> 59958.0679 </t>
  </si>
  <si>
    <t xml:space="preserve"> 39.825 </t>
  </si>
  <si>
    <t xml:space="preserve">C:\Users\andre\Desktop\REACTIV CEFAS\Cromolyn\Cromolyn/20201203_Cefas_Test8_Run3/Plate 1/@14/F9_02.tif </t>
  </si>
  <si>
    <t xml:space="preserve"> 54983.1921 </t>
  </si>
  <si>
    <t xml:space="preserve"> 40.9603 </t>
  </si>
  <si>
    <t xml:space="preserve">C:\Users\andre\Desktop\REACTIV CEFAS\Cromolyn\Cromolyn/20201203_Cefas_Test8_Run3/Plate 1/@14/F9_03.tif </t>
  </si>
  <si>
    <t xml:space="preserve"> 59633.6195 </t>
  </si>
  <si>
    <t xml:space="preserve"> 41.1821 </t>
  </si>
  <si>
    <t xml:space="preserve">C:\Users\andre\Desktop\REACTIV CEFAS\Cromolyn\Cromolyn/20201203_Cefas_Test8_Run3/Plate 1/@14/G9_01.tif </t>
  </si>
  <si>
    <t xml:space="preserve"> 18082.5919 </t>
  </si>
  <si>
    <t xml:space="preserve"> 32.4318 </t>
  </si>
  <si>
    <t xml:space="preserve">C:\Users\andre\Desktop\REACTIV CEFAS\Cromolyn\Cromolyn/20201203_Cefas_Test8_Run3/Plate 1/@14/G9_02.tif </t>
  </si>
  <si>
    <t xml:space="preserve"> 13518.6841 </t>
  </si>
  <si>
    <t xml:space="preserve"> 31.9152 </t>
  </si>
  <si>
    <t xml:space="preserve">C:\Users\andre\Desktop\REACTIV CEFAS\Cromolyn\Cromolyn/20201203_Cefas_Test8_Run3/Plate 1/@14/G9_03.tif </t>
  </si>
  <si>
    <t xml:space="preserve"> 19185.7165 </t>
  </si>
  <si>
    <t xml:space="preserve"> 32.6618 </t>
  </si>
  <si>
    <t xml:space="preserve">C:\Users\andre\Desktop\REACTIV CEFAS\Cromolyn\Cromolyn/20201203_Cefas_Test8_Run3/Plate 1/@14/H9_01.tif </t>
  </si>
  <si>
    <t xml:space="preserve"> 41572.6575 </t>
  </si>
  <si>
    <t xml:space="preserve"> 42.7503 </t>
  </si>
  <si>
    <t xml:space="preserve">C:\Users\andre\Desktop\REACTIV CEFAS\Cromolyn\Cromolyn/20201203_Cefas_Test8_Run3/Plate 1/@14/H9_02.tif </t>
  </si>
  <si>
    <t xml:space="preserve"> 42437.8533 </t>
  </si>
  <si>
    <t xml:space="preserve"> 39.3078 </t>
  </si>
  <si>
    <t>C:\Users\andre\Desktop\REACTIV CEFAS\Cromolyn\Cromolyn/20201203_Cefas_Test8_Run3/Plate 1/@14/H9_03- exclu.tif</t>
  </si>
  <si>
    <t xml:space="preserve">C:\Users\andre\Desktop\REACTIV CEFAS\Cromolyn\Cromolyn/20201203_Cefas_Test8_Run3/Plate 1/@14/ </t>
  </si>
  <si>
    <t xml:space="preserve"> 38.7894 </t>
  </si>
  <si>
    <t xml:space="preserve"> 4.8004 </t>
  </si>
  <si>
    <t xml:space="preserve"> 1033538.59 </t>
  </si>
  <si>
    <t xml:space="preserve">C:\Users\andre\Desktop\REACTIV CEFAS\Cromolyn\Cromolyn/20201203_Cefas_Test8_Run3/Plate 1/@15/A11_01.tif </t>
  </si>
  <si>
    <t xml:space="preserve"> 47.2926 </t>
  </si>
  <si>
    <t xml:space="preserve">C:\Users\andre\Desktop\REACTIV CEFAS\Cromolyn\Cromolyn/20201203_Cefas_Test8_Run3/Plate 1/@15/A11_02.tif </t>
  </si>
  <si>
    <t xml:space="preserve"> 68090.9083 </t>
  </si>
  <si>
    <t xml:space="preserve"> 45.0753 </t>
  </si>
  <si>
    <t xml:space="preserve">C:\Users\andre\Desktop\REACTIV CEFAS\Cromolyn\Cromolyn/20201203_Cefas_Test8_Run3/Plate 1/@15/A11_03.tif </t>
  </si>
  <si>
    <t xml:space="preserve"> 67442.0115 </t>
  </si>
  <si>
    <t xml:space="preserve"> 47.4885 </t>
  </si>
  <si>
    <t xml:space="preserve">C:\Users\andre\Desktop\REACTIV CEFAS\Cromolyn\Cromolyn/20201203_Cefas_Test8_Run3/Plate 1/@15/B11_01.tif </t>
  </si>
  <si>
    <t xml:space="preserve"> 73390.2325 </t>
  </si>
  <si>
    <t xml:space="preserve"> 40.5385 </t>
  </si>
  <si>
    <t xml:space="preserve">C:\Users\andre\Desktop\REACTIV CEFAS\Cromolyn\Cromolyn/20201203_Cefas_Test8_Run3/Plate 1/@15/B11_02.tif </t>
  </si>
  <si>
    <t xml:space="preserve"> 73952.6097 </t>
  </si>
  <si>
    <t xml:space="preserve"> 40.4899 </t>
  </si>
  <si>
    <t xml:space="preserve">C:\Users\andre\Desktop\REACTIV CEFAS\Cromolyn\Cromolyn/20201203_Cefas_Test8_Run3/Plate 1/@15/B11_03.tif </t>
  </si>
  <si>
    <t xml:space="preserve"> 78105.5495 </t>
  </si>
  <si>
    <t xml:space="preserve"> 45.2088 </t>
  </si>
  <si>
    <t xml:space="preserve">C:\Users\andre\Desktop\REACTIV CEFAS\Cromolyn\Cromolyn/20201203_Cefas_Test8_Run3/Plate 1/@15/C11_01.tif </t>
  </si>
  <si>
    <t xml:space="preserve"> 67831.3496 </t>
  </si>
  <si>
    <t xml:space="preserve"> 45.8029 </t>
  </si>
  <si>
    <t xml:space="preserve">C:\Users\andre\Desktop\REACTIV CEFAS\Cromolyn\Cromolyn/20201203_Cefas_Test8_Run3/Plate 1/@15/C11_02.tif </t>
  </si>
  <si>
    <t xml:space="preserve"> 60433.9256 </t>
  </si>
  <si>
    <t xml:space="preserve"> 46.8096 </t>
  </si>
  <si>
    <t xml:space="preserve">C:\Users\andre\Desktop\REACTIV CEFAS\Cromolyn\Cromolyn/20201203_Cefas_Test8_Run3/Plate 1/@15/C11_03.tif </t>
  </si>
  <si>
    <t xml:space="preserve"> 69626.6308 </t>
  </si>
  <si>
    <t xml:space="preserve"> 45.1066 </t>
  </si>
  <si>
    <t xml:space="preserve">C:\Users\andre\Desktop\REACTIV CEFAS\Cromolyn\Cromolyn/20201203_Cefas_Test8_Run3/Plate 1/@15/D11_01.tif </t>
  </si>
  <si>
    <t xml:space="preserve"> 54658.7437 </t>
  </si>
  <si>
    <t xml:space="preserve"> 48.4044 </t>
  </si>
  <si>
    <t xml:space="preserve">C:\Users\andre\Desktop\REACTIV CEFAS\Cromolyn\Cromolyn/20201203_Cefas_Test8_Run3/Plate 1/@15/D11_02.tif </t>
  </si>
  <si>
    <t xml:space="preserve"> 58249.3062 </t>
  </si>
  <si>
    <t xml:space="preserve"> 45.8147 </t>
  </si>
  <si>
    <t xml:space="preserve">C:\Users\andre\Desktop\REACTIV CEFAS\Cromolyn\Cromolyn/20201203_Cefas_Test8_Run3/Plate 1/@15/D11_03.tif </t>
  </si>
  <si>
    <t xml:space="preserve"> 62726.6944 </t>
  </si>
  <si>
    <t xml:space="preserve"> 48.1848 </t>
  </si>
  <si>
    <t xml:space="preserve">C:\Users\andre\Desktop\REACTIV CEFAS\Cromolyn\Cromolyn/20201203_Cefas_Test8_Run3/Plate 1/@15/E11_01.tif </t>
  </si>
  <si>
    <t xml:space="preserve"> 70318.7874 </t>
  </si>
  <si>
    <t xml:space="preserve"> 45.7032 </t>
  </si>
  <si>
    <t xml:space="preserve">C:\Users\andre\Desktop\REACTIV CEFAS\Cromolyn\Cromolyn/20201203_Cefas_Test8_Run3/Plate 1/@15/E11_02.tif </t>
  </si>
  <si>
    <t xml:space="preserve"> 74385.2076 </t>
  </si>
  <si>
    <t xml:space="preserve"> 50.8587 </t>
  </si>
  <si>
    <t xml:space="preserve">C:\Users\andre\Desktop\REACTIV CEFAS\Cromolyn\Cromolyn/20201203_Cefas_Test8_Run3/Plate 1/@15/E11_03.tif </t>
  </si>
  <si>
    <t xml:space="preserve"> 69215.6628 </t>
  </si>
  <si>
    <t xml:space="preserve"> 46.4684 </t>
  </si>
  <si>
    <t xml:space="preserve">C:\Users\andre\Desktop\REACTIV CEFAS\Cromolyn\Cromolyn/20201203_Cefas_Test8_Run3/Plate 1/@15/F11_01.tif </t>
  </si>
  <si>
    <t xml:space="preserve"> 95322.9456 </t>
  </si>
  <si>
    <t xml:space="preserve"> 49.4329 </t>
  </si>
  <si>
    <t xml:space="preserve">C:\Users\andre\Desktop\REACTIV CEFAS\Cromolyn\Cromolyn/20201203_Cefas_Test8_Run3/Plate 1/@15/F11_02.tif </t>
  </si>
  <si>
    <t xml:space="preserve"> 95604.1343 </t>
  </si>
  <si>
    <t xml:space="preserve"> 49.8353 </t>
  </si>
  <si>
    <t xml:space="preserve">C:\Users\andre\Desktop\REACTIV CEFAS\Cromolyn\Cromolyn/20201203_Cefas_Test8_Run3/Plate 1/@15/F11_03.tif </t>
  </si>
  <si>
    <t xml:space="preserve"> 96923.5578 </t>
  </si>
  <si>
    <t xml:space="preserve"> 47.4084 </t>
  </si>
  <si>
    <t>C:\Users\andre\Desktop\REACTIV CEFAS\Cromolyn\Cromolyn/20201203_Cefas_Test8_Run3/Plate 1/@15/G11_01- exclu.tif</t>
  </si>
  <si>
    <t>C:\Users\andre\Desktop\REACTIV CEFAS\Cromolyn\Cromolyn/20201203_Cefas_Test8_Run3/Plate 1/@15/G11_02- exclu.tif</t>
  </si>
  <si>
    <t>C:\Users\andre\Desktop\REACTIV CEFAS\Cromolyn\Cromolyn/20201203_Cefas_Test8_Run3/Plate 1/@15/G11_03- exclu.tif</t>
  </si>
  <si>
    <t xml:space="preserve">C:\Users\andre\Desktop\REACTIV CEFAS\Cromolyn\Cromolyn/20201203_Cefas_Test8_Run3/Plate 1/@15/H11_01.tif </t>
  </si>
  <si>
    <t xml:space="preserve"> 35710.956 </t>
  </si>
  <si>
    <t xml:space="preserve"> 36.2362 </t>
  </si>
  <si>
    <t xml:space="preserve">C:\Users\andre\Desktop\REACTIV CEFAS\Cromolyn\Cromolyn/20201203_Cefas_Test8_Run3/Plate 1/@15/H11_02.tif </t>
  </si>
  <si>
    <t xml:space="preserve"> 41529.3977 </t>
  </si>
  <si>
    <t xml:space="preserve"> 36.3109 </t>
  </si>
  <si>
    <t xml:space="preserve">C:\Users\andre\Desktop\REACTIV CEFAS\Cromolyn\Cromolyn/20201203_Cefas_Test8_Run3/Plate 1/@15/H11_03.tif </t>
  </si>
  <si>
    <t xml:space="preserve"> 27188.7775 </t>
  </si>
  <si>
    <t xml:space="preserve"> 33.922 </t>
  </si>
  <si>
    <t xml:space="preserve">C:\Users\andre\Desktop\REACTIV CEFAS\Cromolyn\Cromolyn/20201203_Cefas_Test8_Run3/Plate 1/@15/ </t>
  </si>
  <si>
    <t xml:space="preserve"> 39.2664 </t>
  </si>
  <si>
    <t xml:space="preserve"> 15.7769 </t>
  </si>
  <si>
    <t xml:space="preserve"> 2693719.42 </t>
  </si>
  <si>
    <t xml:space="preserve"> 1388268.76 </t>
  </si>
  <si>
    <t xml:space="preserve">C:\Users\andre\Desktop\REACTIV CEFAS\Cromolyn\Cromolyn/20201203_Cefas_Test8_Run3/Plate 1/@16/A12_01.tif </t>
  </si>
  <si>
    <t xml:space="preserve">C:\Users\andre\Desktop\REACTIV CEFAS\Cromolyn\Cromolyn/20201203_Cefas_Test8_Run3/Plate 1/@16/A12_02.tif </t>
  </si>
  <si>
    <t xml:space="preserve"> 31.6364 </t>
  </si>
  <si>
    <t xml:space="preserve">C:\Users\andre\Desktop\REACTIV CEFAS\Cromolyn\Cromolyn/20201203_Cefas_Test8_Run3/Plate 1/@16/A12_03.tif </t>
  </si>
  <si>
    <t xml:space="preserve"> 31.7586 </t>
  </si>
  <si>
    <t xml:space="preserve">C:\Users\andre\Desktop\REACTIV CEFAS\Cromolyn\Cromolyn/20201203_Cefas_Test8_Run3/Plate 1/@16/B12_01.tif </t>
  </si>
  <si>
    <t xml:space="preserve"> 4477.3882 </t>
  </si>
  <si>
    <t xml:space="preserve"> 34.2222 </t>
  </si>
  <si>
    <t xml:space="preserve">C:\Users\andre\Desktop\REACTIV CEFAS\Cromolyn\Cromolyn/20201203_Cefas_Test8_Run3/Plate 1/@16/B12_02.tif </t>
  </si>
  <si>
    <t xml:space="preserve"> 1514.0926 </t>
  </si>
  <si>
    <t xml:space="preserve"> 32.1857 </t>
  </si>
  <si>
    <t xml:space="preserve">C:\Users\andre\Desktop\REACTIV CEFAS\Cromolyn\Cromolyn/20201203_Cefas_Test8_Run3/Plate 1/@16/B12_03.tif </t>
  </si>
  <si>
    <t xml:space="preserve"> 2357.6585 </t>
  </si>
  <si>
    <t xml:space="preserve"> 32.1284 </t>
  </si>
  <si>
    <t xml:space="preserve">C:\Users\andre\Desktop\REACTIV CEFAS\Cromolyn\Cromolyn/20201203_Cefas_Test8_Run3/Plate 1/@16/C12_01.tif </t>
  </si>
  <si>
    <t xml:space="preserve"> 41.7059 </t>
  </si>
  <si>
    <t>C:\Users\andre\Desktop\REACTIV CEFAS\Cromolyn\Cromolyn/20201203_Cefas_Test8_Run3/Plate 1/@16/C12_02- exclu.tif</t>
  </si>
  <si>
    <t xml:space="preserve">C:\Users\andre\Desktop\REACTIV CEFAS\Cromolyn\Cromolyn/20201203_Cefas_Test8_Run3/Plate 1/@16/C12_03.tif </t>
  </si>
  <si>
    <t xml:space="preserve">C:\Users\andre\Desktop\REACTIV CEFAS\Cromolyn\Cromolyn/20201203_Cefas_Test8_Run3/Plate 1/@16/D12_01.tif </t>
  </si>
  <si>
    <t xml:space="preserve">C:\Users\andre\Desktop\REACTIV CEFAS\Cromolyn\Cromolyn/20201203_Cefas_Test8_Run3/Plate 1/@16/D12_02.tif </t>
  </si>
  <si>
    <t xml:space="preserve"> 3720.3419 </t>
  </si>
  <si>
    <t xml:space="preserve"> 37.1628 </t>
  </si>
  <si>
    <t xml:space="preserve">C:\Users\andre\Desktop\REACTIV CEFAS\Cromolyn\Cromolyn/20201203_Cefas_Test8_Run3/Plate 1/@16/D12_03.tif </t>
  </si>
  <si>
    <t xml:space="preserve"> 1189.6442 </t>
  </si>
  <si>
    <t xml:space="preserve"> 33.1636 </t>
  </si>
  <si>
    <t xml:space="preserve">C:\Users\andre\Desktop\REACTIV CEFAS\Cromolyn\Cromolyn/20201203_Cefas_Test8_Run3/Plate 1/@16/E12_01.tif </t>
  </si>
  <si>
    <t xml:space="preserve"> 3006.5554 </t>
  </si>
  <si>
    <t xml:space="preserve"> 33.7194 </t>
  </si>
  <si>
    <t xml:space="preserve">C:\Users\andre\Desktop\REACTIV CEFAS\Cromolyn\Cromolyn/20201203_Cefas_Test8_Run3/Plate 1/@16/E12_02.tif </t>
  </si>
  <si>
    <t xml:space="preserve"> 33.3421 </t>
  </si>
  <si>
    <t xml:space="preserve">C:\Users\andre\Desktop\REACTIV CEFAS\Cromolyn\Cromolyn/20201203_Cefas_Test8_Run3/Plate 1/@16/E12_03.tif </t>
  </si>
  <si>
    <t xml:space="preserve"> 31.9535 </t>
  </si>
  <si>
    <t xml:space="preserve">C:\Users\andre\Desktop\REACTIV CEFAS\Cromolyn\Cromolyn/20201203_Cefas_Test8_Run3/Plate 1/@16/F12_01.tif </t>
  </si>
  <si>
    <t xml:space="preserve"> 2682.1069 </t>
  </si>
  <si>
    <t xml:space="preserve"> 33.9435 </t>
  </si>
  <si>
    <t xml:space="preserve">C:\Users\andre\Desktop\REACTIV CEFAS\Cromolyn\Cromolyn/20201203_Cefas_Test8_Run3/Plate 1/@16/F12_02.tif </t>
  </si>
  <si>
    <t xml:space="preserve"> 432.5979 </t>
  </si>
  <si>
    <t xml:space="preserve">C:\Users\andre\Desktop\REACTIV CEFAS\Cromolyn\Cromolyn/20201203_Cefas_Test8_Run3/Plate 1/@16/F12_03.tif </t>
  </si>
  <si>
    <t xml:space="preserve"> 4304.349 </t>
  </si>
  <si>
    <t xml:space="preserve"> 35.1508 </t>
  </si>
  <si>
    <t xml:space="preserve">C:\Users\andre\Desktop\REACTIV CEFAS\Cromolyn\Cromolyn/20201203_Cefas_Test8_Run3/Plate 1/@16/G12_01.tif </t>
  </si>
  <si>
    <t xml:space="preserve"> 9625.3031 </t>
  </si>
  <si>
    <t xml:space="preserve"> 40.5461 </t>
  </si>
  <si>
    <t xml:space="preserve">C:\Users\andre\Desktop\REACTIV CEFAS\Cromolyn\Cromolyn/20201203_Cefas_Test8_Run3/Plate 1/@16/G12_02.tif </t>
  </si>
  <si>
    <t xml:space="preserve"> 9214.3351 </t>
  </si>
  <si>
    <t xml:space="preserve"> 41.3263 </t>
  </si>
  <si>
    <t xml:space="preserve">C:\Users\andre\Desktop\REACTIV CEFAS\Cromolyn\Cromolyn/20201203_Cefas_Test8_Run3/Plate 1/@16/G12_03.tif </t>
  </si>
  <si>
    <t xml:space="preserve"> 39.5243 </t>
  </si>
  <si>
    <t>C:\Users\andre\Desktop\REACTIV CEFAS\Cromolyn\Cromolyn/20201203_Cefas_Test8_Run3/Plate 1/@16/H12_01- exclu.tif</t>
  </si>
  <si>
    <t>C:\Users\andre\Desktop\REACTIV CEFAS\Cromolyn\Cromolyn/20201203_Cefas_Test8_Run3/Plate 1/@16/H12_02- exclu.tif</t>
  </si>
  <si>
    <t>C:\Users\andre\Desktop\REACTIV CEFAS\Cromolyn\Cromolyn/20201203_Cefas_Test8_Run3/Plate 1/@16/H12_03- exclu.tif</t>
  </si>
  <si>
    <t xml:space="preserve">C:\Users\andre\Desktop\REACTIV CEFAS\Cromolyn\Cromolyn/20201203_Cefas_Test8_Run3/Plate 1/@16/ </t>
  </si>
  <si>
    <t xml:space="preserve"> 26.1865 </t>
  </si>
  <si>
    <t xml:space="preserve"> 15.7368 </t>
  </si>
  <si>
    <t xml:space="preserve"> 108680.208 </t>
  </si>
  <si>
    <t xml:space="preserve"> 126908.679 </t>
  </si>
  <si>
    <t xml:space="preserve">C:\Users\andre\Desktop\REACTIV CEFAS\Cromolyn\Cromolyn/20201203_Cefas_Test8_Run3/Plate 1/@2/A2_01.tif </t>
  </si>
  <si>
    <t xml:space="preserve"> 43.5439 </t>
  </si>
  <si>
    <t xml:space="preserve">C:\Users\andre\Desktop\REACTIV CEFAS\Cromolyn\Cromolyn/20201203_Cefas_Test8_Run3/Plate 1/@2/A2_02.tif </t>
  </si>
  <si>
    <t xml:space="preserve"> 11117.7658 </t>
  </si>
  <si>
    <t xml:space="preserve"> 49.0953 </t>
  </si>
  <si>
    <t>C:\Users\andre\Desktop\REACTIV CEFAS\Cromolyn\Cromolyn/20201203_Cefas_Test8_Run3/Plate 1/@2/A2_03- exclu.tif</t>
  </si>
  <si>
    <t xml:space="preserve">C:\Users\andre\Desktop\REACTIV CEFAS\Cromolyn\Cromolyn/20201203_Cefas_Test8_Run3/Plate 1/@2/B2_01.tif </t>
  </si>
  <si>
    <t xml:space="preserve"> 5753.552 </t>
  </si>
  <si>
    <t xml:space="preserve"> 39.9098 </t>
  </si>
  <si>
    <t>C:\Users\andre\Desktop\REACTIV CEFAS\Cromolyn\Cromolyn/20201203_Cefas_Test8_Run3/Plate 1/@2/B2_02- exclu.tif</t>
  </si>
  <si>
    <t>C:\Users\andre\Desktop\REACTIV CEFAS\Cromolyn\Cromolyn/20201203_Cefas_Test8_Run3/Plate 1/@2/B2_03- exclu.tif</t>
  </si>
  <si>
    <t xml:space="preserve">C:\Users\andre\Desktop\REACTIV CEFAS\Cromolyn\Cromolyn/20201203_Cefas_Test8_Run3/Plate 1/@2/C2_01.tif </t>
  </si>
  <si>
    <t xml:space="preserve">C:\Users\andre\Desktop\REACTIV CEFAS\Cromolyn\Cromolyn/20201203_Cefas_Test8_Run3/Plate 1/@2/C2_02.tif </t>
  </si>
  <si>
    <t xml:space="preserve"> 36.1447 </t>
  </si>
  <si>
    <t xml:space="preserve">C:\Users\andre\Desktop\REACTIV CEFAS\Cromolyn\Cromolyn/20201203_Cefas_Test8_Run3/Plate 1/@2/C2_03.tif </t>
  </si>
  <si>
    <t xml:space="preserve"> 540.7474 </t>
  </si>
  <si>
    <t xml:space="preserve"> 33.2 </t>
  </si>
  <si>
    <t xml:space="preserve">C:\Users\andre\Desktop\REACTIV CEFAS\Cromolyn\Cromolyn/20201203_Cefas_Test8_Run3/Plate 1/@2/D2_01.tif </t>
  </si>
  <si>
    <t xml:space="preserve"> 11182.6555 </t>
  </si>
  <si>
    <t xml:space="preserve"> 38.1683 </t>
  </si>
  <si>
    <t xml:space="preserve">C:\Users\andre\Desktop\REACTIV CEFAS\Cromolyn\Cromolyn/20201203_Cefas_Test8_Run3/Plate 1/@2/D2_02.tif </t>
  </si>
  <si>
    <t xml:space="preserve"> 8435.6589 </t>
  </si>
  <si>
    <t xml:space="preserve"> 36.8846 </t>
  </si>
  <si>
    <t xml:space="preserve">C:\Users\andre\Desktop\REACTIV CEFAS\Cromolyn\Cromolyn/20201203_Cefas_Test8_Run3/Plate 1/@2/D2_03.tif </t>
  </si>
  <si>
    <t xml:space="preserve"> 8522.1785 </t>
  </si>
  <si>
    <t xml:space="preserve"> 35.9188 </t>
  </si>
  <si>
    <t>C:\Users\andre\Desktop\REACTIV CEFAS\Cromolyn\Cromolyn/20201203_Cefas_Test8_Run3/Plate 1/@2/E2_01- exclu.tif</t>
  </si>
  <si>
    <t>C:\Users\andre\Desktop\REACTIV CEFAS\Cromolyn\Cromolyn/20201203_Cefas_Test8_Run3/Plate 1/@2/E2_02- exclu.tif</t>
  </si>
  <si>
    <t>C:\Users\andre\Desktop\REACTIV CEFAS\Cromolyn\Cromolyn/20201203_Cefas_Test8_Run3/Plate 1/@2/E2_03- exclu.tif</t>
  </si>
  <si>
    <t xml:space="preserve">C:\Users\andre\Desktop\REACTIV CEFAS\Cromolyn\Cromolyn/20201203_Cefas_Test8_Run3/Plate 1/@2/F2_01.tif </t>
  </si>
  <si>
    <t xml:space="preserve"> 36.837 </t>
  </si>
  <si>
    <t xml:space="preserve">C:\Users\andre\Desktop\REACTIV CEFAS\Cromolyn\Cromolyn/20201203_Cefas_Test8_Run3/Plate 1/@2/F2_02.tif </t>
  </si>
  <si>
    <t xml:space="preserve"> 39.7838 </t>
  </si>
  <si>
    <t xml:space="preserve">C:\Users\andre\Desktop\REACTIV CEFAS\Cromolyn\Cromolyn/20201203_Cefas_Test8_Run3/Plate 1/@2/F2_03.tif </t>
  </si>
  <si>
    <t xml:space="preserve"> 1838.541 </t>
  </si>
  <si>
    <t xml:space="preserve"> 36.5294 </t>
  </si>
  <si>
    <t xml:space="preserve">C:\Users\andre\Desktop\REACTIV CEFAS\Cromolyn\Cromolyn/20201203_Cefas_Test8_Run3/Plate 1/@2/G2_01.tif </t>
  </si>
  <si>
    <t xml:space="preserve"> 519.1175 </t>
  </si>
  <si>
    <t xml:space="preserve"> 31.6667 </t>
  </si>
  <si>
    <t xml:space="preserve">C:\Users\andre\Desktop\REACTIV CEFAS\Cromolyn\Cromolyn/20201203_Cefas_Test8_Run3/Plate 1/@2/G2_02.tif </t>
  </si>
  <si>
    <t xml:space="preserve">C:\Users\andre\Desktop\REACTIV CEFAS\Cromolyn\Cromolyn/20201203_Cefas_Test8_Run3/Plate 1/@2/G2_03.tif </t>
  </si>
  <si>
    <t xml:space="preserve"> 8846.6269 </t>
  </si>
  <si>
    <t xml:space="preserve"> 38.0782 </t>
  </si>
  <si>
    <t xml:space="preserve">C:\Users\andre\Desktop\REACTIV CEFAS\Cromolyn\Cromolyn/20201203_Cefas_Test8_Run3/Plate 1/@2/H2_01.tif </t>
  </si>
  <si>
    <t xml:space="preserve"> 8673.5877 </t>
  </si>
  <si>
    <t xml:space="preserve"> 37.8928 </t>
  </si>
  <si>
    <t xml:space="preserve">C:\Users\andre\Desktop\REACTIV CEFAS\Cromolyn\Cromolyn/20201203_Cefas_Test8_Run3/Plate 1/@2/H2_02.tif </t>
  </si>
  <si>
    <t xml:space="preserve"> 3850.1212 </t>
  </si>
  <si>
    <t xml:space="preserve"> 37.7697 </t>
  </si>
  <si>
    <t xml:space="preserve">C:\Users\andre\Desktop\REACTIV CEFAS\Cromolyn\Cromolyn/20201203_Cefas_Test8_Run3/Plate 1/@2/H2_03.tif </t>
  </si>
  <si>
    <t xml:space="preserve"> 38.585 </t>
  </si>
  <si>
    <t xml:space="preserve">C:\Users\andre\Desktop\REACTIV CEFAS\Cromolyn\Cromolyn/20201203_Cefas_Test8_Run3/Plate 1/@2/ </t>
  </si>
  <si>
    <t xml:space="preserve"> 37.7109 </t>
  </si>
  <si>
    <t xml:space="preserve"> 13.863 </t>
  </si>
  <si>
    <t xml:space="preserve"> 332434.333 </t>
  </si>
  <si>
    <t xml:space="preserve"> 346843.6 </t>
  </si>
  <si>
    <t xml:space="preserve">C:\Users\andre\Desktop\REACTIV CEFAS\Cromolyn\Cromolyn/20201203_Cefas_Test8_Run3/Plate 1/@3/A3_01.tif </t>
  </si>
  <si>
    <t xml:space="preserve"> 31.8 </t>
  </si>
  <si>
    <t>C:\Users\andre\Desktop\REACTIV CEFAS\Cromolyn\Cromolyn/20201203_Cefas_Test8_Run3/Plate 1/@3/A3_02- exclu.tif</t>
  </si>
  <si>
    <t>C:\Users\andre\Desktop\REACTIV CEFAS\Cromolyn\Cromolyn/20201203_Cefas_Test8_Run3/Plate 1/@3/A3_03- exclu.tif</t>
  </si>
  <si>
    <t>C:\Users\andre\Desktop\REACTIV CEFAS\Cromolyn\Cromolyn/20201203_Cefas_Test8_Run3/Plate 1/@3/B3_01- exclu.tif</t>
  </si>
  <si>
    <t xml:space="preserve">C:\Users\andre\Desktop\REACTIV CEFAS\Cromolyn\Cromolyn/20201203_Cefas_Test8_Run3/Plate 1/@3/B3_02.tif </t>
  </si>
  <si>
    <t xml:space="preserve"> 2119.7297 </t>
  </si>
  <si>
    <t xml:space="preserve"> 34.8469 </t>
  </si>
  <si>
    <t xml:space="preserve">C:\Users\andre\Desktop\REACTIV CEFAS\Cromolyn\Cromolyn/20201203_Cefas_Test8_Run3/Plate 1/@3/B3_03.tif </t>
  </si>
  <si>
    <t xml:space="preserve">C:\Users\andre\Desktop\REACTIV CEFAS\Cromolyn\Cromolyn/20201203_Cefas_Test8_Run3/Plate 1/@3/C3_01.tif </t>
  </si>
  <si>
    <t xml:space="preserve"> 33.8941 </t>
  </si>
  <si>
    <t xml:space="preserve">C:\Users\andre\Desktop\REACTIV CEFAS\Cromolyn\Cromolyn/20201203_Cefas_Test8_Run3/Plate 1/@3/C3_02.tif </t>
  </si>
  <si>
    <t xml:space="preserve"> 1622.2421 </t>
  </si>
  <si>
    <t xml:space="preserve"> 32.2133 </t>
  </si>
  <si>
    <t xml:space="preserve">C:\Users\andre\Desktop\REACTIV CEFAS\Cromolyn\Cromolyn/20201203_Cefas_Test8_Run3/Plate 1/@3/C3_03.tif </t>
  </si>
  <si>
    <t xml:space="preserve"> 1535.7225 </t>
  </si>
  <si>
    <t xml:space="preserve"> 32.2113 </t>
  </si>
  <si>
    <t xml:space="preserve">C:\Users\andre\Desktop\REACTIV CEFAS\Cromolyn\Cromolyn/20201203_Cefas_Test8_Run3/Plate 1/@3/D3_01.tif </t>
  </si>
  <si>
    <t xml:space="preserve"> 6553.8581 </t>
  </si>
  <si>
    <t xml:space="preserve"> 39.9241 </t>
  </si>
  <si>
    <t xml:space="preserve">C:\Users\andre\Desktop\REACTIV CEFAS\Cromolyn\Cromolyn/20201203_Cefas_Test8_Run3/Plate 1/@3/D3_02.tif </t>
  </si>
  <si>
    <t xml:space="preserve"> 9841.6021 </t>
  </si>
  <si>
    <t xml:space="preserve"> 45.6527 </t>
  </si>
  <si>
    <t xml:space="preserve">C:\Users\andre\Desktop\REACTIV CEFAS\Cromolyn\Cromolyn/20201203_Cefas_Test8_Run3/Plate 1/@3/D3_03.tif </t>
  </si>
  <si>
    <t xml:space="preserve"> 10663.5381 </t>
  </si>
  <si>
    <t xml:space="preserve"> 44.1765 </t>
  </si>
  <si>
    <t xml:space="preserve">C:\Users\andre\Desktop\REACTIV CEFAS\Cromolyn\Cromolyn/20201203_Cefas_Test8_Run3/Plate 1/@3/E3_01.tif </t>
  </si>
  <si>
    <t xml:space="preserve"> 5580.5128 </t>
  </si>
  <si>
    <t xml:space="preserve"> 39.8876 </t>
  </si>
  <si>
    <t xml:space="preserve">C:\Users\andre\Desktop\REACTIV CEFAS\Cromolyn\Cromolyn/20201203_Cefas_Test8_Run3/Plate 1/@3/E3_02.tif </t>
  </si>
  <si>
    <t xml:space="preserve"> 40.6531 </t>
  </si>
  <si>
    <t xml:space="preserve">C:\Users\andre\Desktop\REACTIV CEFAS\Cromolyn\Cromolyn/20201203_Cefas_Test8_Run3/Plate 1/@3/E3_03.tif </t>
  </si>
  <si>
    <t xml:space="preserve">C:\Users\andre\Desktop\REACTIV CEFAS\Cromolyn\Cromolyn/20201203_Cefas_Test8_Run3/Plate 1/@3/F3_01.tif </t>
  </si>
  <si>
    <t xml:space="preserve"> 3374.2636 </t>
  </si>
  <si>
    <t xml:space="preserve"> 37.0256 </t>
  </si>
  <si>
    <t xml:space="preserve">C:\Users\andre\Desktop\REACTIV CEFAS\Cromolyn\Cromolyn/20201203_Cefas_Test8_Run3/Plate 1/@3/F3_02.tif </t>
  </si>
  <si>
    <t xml:space="preserve"> 34.8776 </t>
  </si>
  <si>
    <t xml:space="preserve">C:\Users\andre\Desktop\REACTIV CEFAS\Cromolyn\Cromolyn/20201203_Cefas_Test8_Run3/Plate 1/@3/F3_03.tif </t>
  </si>
  <si>
    <t xml:space="preserve"> 3612.1924 </t>
  </si>
  <si>
    <t xml:space="preserve"> 35.6587 </t>
  </si>
  <si>
    <t xml:space="preserve">C:\Users\andre\Desktop\REACTIV CEFAS\Cromolyn\Cromolyn/20201203_Cefas_Test8_Run3/Plate 1/@3/G3_01.tif </t>
  </si>
  <si>
    <t xml:space="preserve"> 32.88 </t>
  </si>
  <si>
    <t xml:space="preserve">C:\Users\andre\Desktop\REACTIV CEFAS\Cromolyn\Cromolyn/20201203_Cefas_Test8_Run3/Plate 1/@3/G3_02.tif </t>
  </si>
  <si>
    <t xml:space="preserve"> 22646.4997 </t>
  </si>
  <si>
    <t xml:space="preserve"> 33.8023 </t>
  </si>
  <si>
    <t xml:space="preserve">C:\Users\andre\Desktop\REACTIV CEFAS\Cromolyn\Cromolyn/20201203_Cefas_Test8_Run3/Plate 1/@3/G3_03.tif </t>
  </si>
  <si>
    <t xml:space="preserve"> 32.4238 </t>
  </si>
  <si>
    <t xml:space="preserve">C:\Users\andre\Desktop\REACTIV CEFAS\Cromolyn\Cromolyn/20201203_Cefas_Test8_Run3/Plate 1/@3/H3_01.tif </t>
  </si>
  <si>
    <t xml:space="preserve"> 7548.8332 </t>
  </si>
  <si>
    <t xml:space="preserve"> 37.2521 </t>
  </si>
  <si>
    <t xml:space="preserve">C:\Users\andre\Desktop\REACTIV CEFAS\Cromolyn\Cromolyn/20201203_Cefas_Test8_Run3/Plate 1/@3/H3_02.tif </t>
  </si>
  <si>
    <t xml:space="preserve"> 17974.4424 </t>
  </si>
  <si>
    <t xml:space="preserve"> 35.1023 </t>
  </si>
  <si>
    <t xml:space="preserve">C:\Users\andre\Desktop\REACTIV CEFAS\Cromolyn\Cromolyn/20201203_Cefas_Test8_Run3/Plate 1/@3/H3_03.tif </t>
  </si>
  <si>
    <t xml:space="preserve"> 34.7788 </t>
  </si>
  <si>
    <t xml:space="preserve">C:\Users\andre\Desktop\REACTIV CEFAS\Cromolyn\Cromolyn/20201203_Cefas_Test8_Run3/Plate 1/@3/ </t>
  </si>
  <si>
    <t xml:space="preserve"> 33.2496 </t>
  </si>
  <si>
    <t xml:space="preserve"> 10.9426 </t>
  </si>
  <si>
    <t xml:space="preserve"> 228032.208 </t>
  </si>
  <si>
    <t xml:space="preserve"> 214814.989 </t>
  </si>
  <si>
    <t xml:space="preserve">C:\Users\andre\Desktop\REACTIV CEFAS\Cromolyn\Cromolyn/20201203_Cefas_Test8_Run3/Plate 1/@4/A4_01.tif </t>
  </si>
  <si>
    <t xml:space="preserve"> 12653.4884 </t>
  </si>
  <si>
    <t xml:space="preserve"> 34.5641 </t>
  </si>
  <si>
    <t xml:space="preserve">C:\Users\andre\Desktop\REACTIV CEFAS\Cromolyn\Cromolyn/20201203_Cefas_Test8_Run3/Plate 1/@4/A4_02.tif </t>
  </si>
  <si>
    <t xml:space="preserve"> 34.1046 </t>
  </si>
  <si>
    <t xml:space="preserve">C:\Users\andre\Desktop\REACTIV CEFAS\Cromolyn\Cromolyn/20201203_Cefas_Test8_Run3/Plate 1/@4/A4_03.tif </t>
  </si>
  <si>
    <t xml:space="preserve"> 19553.4247 </t>
  </si>
  <si>
    <t xml:space="preserve"> 34.6195 </t>
  </si>
  <si>
    <t xml:space="preserve">C:\Users\andre\Desktop\REACTIV CEFAS\Cromolyn\Cromolyn/20201203_Cefas_Test8_Run3/Plate 1/@4/B4_01.tif </t>
  </si>
  <si>
    <t xml:space="preserve"> 3785.2316 </t>
  </si>
  <si>
    <t xml:space="preserve"> 33.5886 </t>
  </si>
  <si>
    <t xml:space="preserve">C:\Users\andre\Desktop\REACTIV CEFAS\Cromolyn\Cromolyn/20201203_Cefas_Test8_Run3/Plate 1/@4/B4_02.tif </t>
  </si>
  <si>
    <t xml:space="preserve"> 3352.6337 </t>
  </si>
  <si>
    <t xml:space="preserve"> 33.2323 </t>
  </si>
  <si>
    <t xml:space="preserve">C:\Users\andre\Desktop\REACTIV CEFAS\Cromolyn\Cromolyn/20201203_Cefas_Test8_Run3/Plate 1/@4/B4_03.tif </t>
  </si>
  <si>
    <t xml:space="preserve"> 11139.3957 </t>
  </si>
  <si>
    <t xml:space="preserve"> 33.233 </t>
  </si>
  <si>
    <t xml:space="preserve">C:\Users\andre\Desktop\REACTIV CEFAS\Cromolyn\Cromolyn/20201203_Cefas_Test8_Run3/Plate 1/@4/C4_01.tif </t>
  </si>
  <si>
    <t xml:space="preserve"> 11161.0256 </t>
  </si>
  <si>
    <t xml:space="preserve"> 34.7713 </t>
  </si>
  <si>
    <t xml:space="preserve">C:\Users\andre\Desktop\REACTIV CEFAS\Cromolyn\Cromolyn/20201203_Cefas_Test8_Run3/Plate 1/@4/C4_02.tif </t>
  </si>
  <si>
    <t xml:space="preserve">C:\Users\andre\Desktop\REACTIV CEFAS\Cromolyn\Cromolyn/20201203_Cefas_Test8_Run3/Plate 1/@4/C4_03.tif </t>
  </si>
  <si>
    <t xml:space="preserve"> 34.5 </t>
  </si>
  <si>
    <t xml:space="preserve">C:\Users\andre\Desktop\REACTIV CEFAS\Cromolyn\Cromolyn/20201203_Cefas_Test8_Run3/Plate 1/@4/D4_01.tif </t>
  </si>
  <si>
    <t xml:space="preserve"> 35.9749 </t>
  </si>
  <si>
    <t xml:space="preserve">C:\Users\andre\Desktop\REACTIV CEFAS\Cromolyn\Cromolyn/20201203_Cefas_Test8_Run3/Plate 1/@4/D4_02.tif </t>
  </si>
  <si>
    <t xml:space="preserve"> 5558.8829 </t>
  </si>
  <si>
    <t xml:space="preserve"> 33.6459 </t>
  </si>
  <si>
    <t xml:space="preserve">C:\Users\andre\Desktop\REACTIV CEFAS\Cromolyn\Cromolyn/20201203_Cefas_Test8_Run3/Plate 1/@4/D4_03.tif </t>
  </si>
  <si>
    <t xml:space="preserve"> 33.2918 </t>
  </si>
  <si>
    <t xml:space="preserve">C:\Users\andre\Desktop\REACTIV CEFAS\Cromolyn\Cromolyn/20201203_Cefas_Test8_Run3/Plate 1/@4/E4_01.tif </t>
  </si>
  <si>
    <t xml:space="preserve"> 8067.9507 </t>
  </si>
  <si>
    <t xml:space="preserve"> 37.9115 </t>
  </si>
  <si>
    <t xml:space="preserve">C:\Users\andre\Desktop\REACTIV CEFAS\Cromolyn\Cromolyn/20201203_Cefas_Test8_Run3/Plate 1/@4/E4_02.tif </t>
  </si>
  <si>
    <t xml:space="preserve"> 2595.5874 </t>
  </si>
  <si>
    <t xml:space="preserve"> 33.3417 </t>
  </si>
  <si>
    <t xml:space="preserve">C:\Users\andre\Desktop\REACTIV CEFAS\Cromolyn\Cromolyn/20201203_Cefas_Test8_Run3/Plate 1/@4/E4_03.tif </t>
  </si>
  <si>
    <t xml:space="preserve"> 3698.712 </t>
  </si>
  <si>
    <t xml:space="preserve"> 33.8655 </t>
  </si>
  <si>
    <t xml:space="preserve">C:\Users\andre\Desktop\REACTIV CEFAS\Cromolyn\Cromolyn/20201203_Cefas_Test8_Run3/Plate 1/@4/F4_01.tif </t>
  </si>
  <si>
    <t xml:space="preserve"> 48948.4515 </t>
  </si>
  <si>
    <t xml:space="preserve"> 37.0866 </t>
  </si>
  <si>
    <t xml:space="preserve">C:\Users\andre\Desktop\REACTIV CEFAS\Cromolyn\Cromolyn/20201203_Cefas_Test8_Run3/Plate 1/@4/F4_02.tif </t>
  </si>
  <si>
    <t xml:space="preserve"> 45292.9994 </t>
  </si>
  <si>
    <t xml:space="preserve"> 36.1662 </t>
  </si>
  <si>
    <t xml:space="preserve">C:\Users\andre\Desktop\REACTIV CEFAS\Cromolyn\Cromolyn/20201203_Cefas_Test8_Run3/Plate 1/@4/F4_03.tif </t>
  </si>
  <si>
    <t xml:space="preserve"> 37.1399 </t>
  </si>
  <si>
    <t xml:space="preserve">C:\Users\andre\Desktop\REACTIV CEFAS\Cromolyn\Cromolyn/20201203_Cefas_Test8_Run3/Plate 1/@4/G4_01.tif </t>
  </si>
  <si>
    <t xml:space="preserve"> 5883.3313 </t>
  </si>
  <si>
    <t xml:space="preserve"> 34.5625 </t>
  </si>
  <si>
    <t xml:space="preserve">C:\Users\andre\Desktop\REACTIV CEFAS\Cromolyn\Cromolyn/20201203_Cefas_Test8_Run3/Plate 1/@4/G4_02.tif </t>
  </si>
  <si>
    <t xml:space="preserve"> 31.4265 </t>
  </si>
  <si>
    <t xml:space="preserve">C:\Users\andre\Desktop\REACTIV CEFAS\Cromolyn\Cromolyn/20201203_Cefas_Test8_Run3/Plate 1/@4/G4_03.tif </t>
  </si>
  <si>
    <t xml:space="preserve"> 5623.7726 </t>
  </si>
  <si>
    <t xml:space="preserve"> 35.2154 </t>
  </si>
  <si>
    <t xml:space="preserve">C:\Users\andre\Desktop\REACTIV CEFAS\Cromolyn\Cromolyn/20201203_Cefas_Test8_Run3/Plate 1/@4/H4_01.tif </t>
  </si>
  <si>
    <t xml:space="preserve"> 33.8527 </t>
  </si>
  <si>
    <t xml:space="preserve">C:\Users\andre\Desktop\REACTIV CEFAS\Cromolyn\Cromolyn/20201203_Cefas_Test8_Run3/Plate 1/@4/H4_02.tif </t>
  </si>
  <si>
    <t xml:space="preserve"> 17217.3961 </t>
  </si>
  <si>
    <t xml:space="preserve"> 34.7776 </t>
  </si>
  <si>
    <t xml:space="preserve">C:\Users\andre\Desktop\REACTIV CEFAS\Cromolyn\Cromolyn/20201203_Cefas_Test8_Run3/Plate 1/@4/H4_03.tif </t>
  </si>
  <si>
    <t xml:space="preserve"> 10966.3566 </t>
  </si>
  <si>
    <t xml:space="preserve"> 33.5523 </t>
  </si>
  <si>
    <t xml:space="preserve">C:\Users\andre\Desktop\REACTIV CEFAS\Cromolyn\Cromolyn/20201203_Cefas_Test8_Run3/Plate 1/@4/ </t>
  </si>
  <si>
    <t xml:space="preserve"> 34.3718 </t>
  </si>
  <si>
    <t xml:space="preserve"> 1.6867 </t>
  </si>
  <si>
    <t xml:space="preserve"> 462161.458 </t>
  </si>
  <si>
    <t xml:space="preserve"> 527022.614 </t>
  </si>
  <si>
    <t xml:space="preserve">C:\Users\andre\Desktop\REACTIV CEFAS\Cromolyn\Cromolyn/20201203_Cefas_Test8_Run3/Plate 1/@5/A5_01.tif </t>
  </si>
  <si>
    <t xml:space="preserve"> 52192.9357 </t>
  </si>
  <si>
    <t xml:space="preserve"> 38.5446 </t>
  </si>
  <si>
    <t xml:space="preserve">C:\Users\andre\Desktop\REACTIV CEFAS\Cromolyn\Cromolyn/20201203_Cefas_Test8_Run3/Plate 1/@5/A5_02.tif </t>
  </si>
  <si>
    <t xml:space="preserve"> 51630.5585 </t>
  </si>
  <si>
    <t xml:space="preserve"> 40.7248 </t>
  </si>
  <si>
    <t xml:space="preserve">C:\Users\andre\Desktop\REACTIV CEFAS\Cromolyn\Cromolyn/20201203_Cefas_Test8_Run3/Plate 1/@5/A5_03.tif </t>
  </si>
  <si>
    <t xml:space="preserve"> 53836.8077 </t>
  </si>
  <si>
    <t xml:space="preserve"> 43.4166 </t>
  </si>
  <si>
    <t xml:space="preserve">C:\Users\andre\Desktop\REACTIV CEFAS\Cromolyn\Cromolyn/20201203_Cefas_Test8_Run3/Plate 1/@5/B5_01.tif </t>
  </si>
  <si>
    <t xml:space="preserve"> 13410.5347 </t>
  </si>
  <si>
    <t xml:space="preserve"> 33.5355 </t>
  </si>
  <si>
    <t xml:space="preserve">C:\Users\andre\Desktop\REACTIV CEFAS\Cromolyn\Cromolyn/20201203_Cefas_Test8_Run3/Plate 1/@5/B5_02.tif </t>
  </si>
  <si>
    <t xml:space="preserve"> 11550.3637 </t>
  </si>
  <si>
    <t xml:space="preserve"> 32.4888 </t>
  </si>
  <si>
    <t xml:space="preserve">C:\Users\andre\Desktop\REACTIV CEFAS\Cromolyn\Cromolyn/20201203_Cefas_Test8_Run3/Plate 1/@5/B5_03.tif </t>
  </si>
  <si>
    <t xml:space="preserve"> 13345.645 </t>
  </si>
  <si>
    <t xml:space="preserve"> 33.2998 </t>
  </si>
  <si>
    <t xml:space="preserve">C:\Users\andre\Desktop\REACTIV CEFAS\Cromolyn\Cromolyn/20201203_Cefas_Test8_Run3/Plate 1/@5/C5_01.tif </t>
  </si>
  <si>
    <t xml:space="preserve"> 36.178 </t>
  </si>
  <si>
    <t xml:space="preserve">C:\Users\andre\Desktop\REACTIV CEFAS\Cromolyn\Cromolyn/20201203_Cefas_Test8_Run3/Plate 1/@5/C5_02.tif </t>
  </si>
  <si>
    <t xml:space="preserve"> 35170.2087 </t>
  </si>
  <si>
    <t xml:space="preserve"> 35.8659 </t>
  </si>
  <si>
    <t xml:space="preserve">C:\Users\andre\Desktop\REACTIV CEFAS\Cromolyn\Cromolyn/20201203_Cefas_Test8_Run3/Plate 1/@5/C5_03.tif </t>
  </si>
  <si>
    <t xml:space="preserve"> 43432.8284 </t>
  </si>
  <si>
    <t xml:space="preserve"> 38.3889 </t>
  </si>
  <si>
    <t xml:space="preserve">C:\Users\andre\Desktop\REACTIV CEFAS\Cromolyn\Cromolyn/20201203_Cefas_Test8_Run3/Plate 1/@5/D5_01.tif </t>
  </si>
  <si>
    <t xml:space="preserve"> 63656.7799 </t>
  </si>
  <si>
    <t xml:space="preserve"> 47.6184 </t>
  </si>
  <si>
    <t xml:space="preserve">C:\Users\andre\Desktop\REACTIV CEFAS\Cromolyn\Cromolyn/20201203_Cefas_Test8_Run3/Plate 1/@5/D5_02.tif </t>
  </si>
  <si>
    <t xml:space="preserve"> 70362.0472 </t>
  </si>
  <si>
    <t xml:space="preserve"> 46.7608 </t>
  </si>
  <si>
    <t xml:space="preserve">C:\Users\andre\Desktop\REACTIV CEFAS\Cromolyn\Cromolyn/20201203_Cefas_Test8_Run3/Plate 1/@5/D5_03.tif </t>
  </si>
  <si>
    <t xml:space="preserve"> 70491.8266 </t>
  </si>
  <si>
    <t xml:space="preserve"> 47.8487 </t>
  </si>
  <si>
    <t xml:space="preserve">C:\Users\andre\Desktop\REACTIV CEFAS\Cromolyn\Cromolyn/20201203_Cefas_Test8_Run3/Plate 1/@5/E5_01.tif </t>
  </si>
  <si>
    <t xml:space="preserve"> 29827.6247 </t>
  </si>
  <si>
    <t xml:space="preserve"> 35.5874 </t>
  </si>
  <si>
    <t xml:space="preserve">C:\Users\andre\Desktop\REACTIV CEFAS\Cromolyn\Cromolyn/20201203_Cefas_Test8_Run3/Plate 1/@5/E5_02.tif </t>
  </si>
  <si>
    <t xml:space="preserve"> 34283.383 </t>
  </si>
  <si>
    <t xml:space="preserve"> 37.3155 </t>
  </si>
  <si>
    <t xml:space="preserve">C:\Users\andre\Desktop\REACTIV CEFAS\Cromolyn\Cromolyn/20201203_Cefas_Test8_Run3/Plate 1/@5/E5_03.tif </t>
  </si>
  <si>
    <t xml:space="preserve"> 42351.3337 </t>
  </si>
  <si>
    <t xml:space="preserve"> 37.1103 </t>
  </si>
  <si>
    <t xml:space="preserve">C:\Users\andre\Desktop\REACTIV CEFAS\Cromolyn\Cromolyn/20201203_Cefas_Test8_Run3/Plate 1/@5/F5_01.tif </t>
  </si>
  <si>
    <t xml:space="preserve"> 50332.7648 </t>
  </si>
  <si>
    <t xml:space="preserve"> 42.1723 </t>
  </si>
  <si>
    <t xml:space="preserve">C:\Users\andre\Desktop\REACTIV CEFAS\Cromolyn\Cromolyn/20201203_Cefas_Test8_Run3/Plate 1/@5/F5_02.tif </t>
  </si>
  <si>
    <t xml:space="preserve"> 45660.7076 </t>
  </si>
  <si>
    <t xml:space="preserve"> 39.6774 </t>
  </si>
  <si>
    <t xml:space="preserve">C:\Users\andre\Desktop\REACTIV CEFAS\Cromolyn\Cromolyn/20201203_Cefas_Test8_Run3/Plate 1/@5/F5_03.tif </t>
  </si>
  <si>
    <t xml:space="preserve"> 38.6454 </t>
  </si>
  <si>
    <t xml:space="preserve">C:\Users\andre\Desktop\REACTIV CEFAS\Cromolyn\Cromolyn/20201203_Cefas_Test8_Run3/Plate 1/@5/G5_01.tif </t>
  </si>
  <si>
    <t xml:space="preserve"> 32.8684 </t>
  </si>
  <si>
    <t xml:space="preserve">C:\Users\andre\Desktop\REACTIV CEFAS\Cromolyn\Cromolyn/20201203_Cefas_Test8_Run3/Plate 1/@5/G5_02.tif </t>
  </si>
  <si>
    <t xml:space="preserve"> 33.1113 </t>
  </si>
  <si>
    <t xml:space="preserve">C:\Users\andre\Desktop\REACTIV CEFAS\Cromolyn\Cromolyn/20201203_Cefas_Test8_Run3/Plate 1/@5/G5_03.tif </t>
  </si>
  <si>
    <t xml:space="preserve"> 5277.6943 </t>
  </si>
  <si>
    <t xml:space="preserve"> 32.9016 </t>
  </si>
  <si>
    <t xml:space="preserve">C:\Users\andre\Desktop\REACTIV CEFAS\Cromolyn\Cromolyn/20201203_Cefas_Test8_Run3/Plate 1/@5/H5_01.tif </t>
  </si>
  <si>
    <t xml:space="preserve"> 32531.3615 </t>
  </si>
  <si>
    <t xml:space="preserve"> 39.1257 </t>
  </si>
  <si>
    <t xml:space="preserve">C:\Users\andre\Desktop\REACTIV CEFAS\Cromolyn\Cromolyn/20201203_Cefas_Test8_Run3/Plate 1/@5/H5_02.tif </t>
  </si>
  <si>
    <t xml:space="preserve"> 28075.6032 </t>
  </si>
  <si>
    <t xml:space="preserve"> 37.3259 </t>
  </si>
  <si>
    <t xml:space="preserve">C:\Users\andre\Desktop\REACTIV CEFAS\Cromolyn\Cromolyn/20201203_Cefas_Test8_Run3/Plate 1/@5/H5_03.tif </t>
  </si>
  <si>
    <t xml:space="preserve"> 28724.5001 </t>
  </si>
  <si>
    <t xml:space="preserve"> 38.4413 </t>
  </si>
  <si>
    <t xml:space="preserve">C:\Users\andre\Desktop\REACTIV CEFAS\Cromolyn\Cromolyn/20201203_Cefas_Test8_Run3/Plate 1/@5/ </t>
  </si>
  <si>
    <t xml:space="preserve"> 38.2897 </t>
  </si>
  <si>
    <t xml:space="preserve"> 4.6043 </t>
  </si>
  <si>
    <t xml:space="preserve"> 1480722.08 </t>
  </si>
  <si>
    <t xml:space="preserve"> 931316.692 </t>
  </si>
  <si>
    <t>C:\Users\andre\Desktop\REACTIV CEFAS\Cromolyn\Cromolyn/20201203_Cefas_Test8_Run3/Plate 1/@6/A6_01- exclu.tif</t>
  </si>
  <si>
    <t>C:\Users\andre\Desktop\REACTIV CEFAS\Cromolyn\Cromolyn/20201203_Cefas_Test8_Run3/Plate 1/@6/A6_02- exclu.tif</t>
  </si>
  <si>
    <t>C:\Users\andre\Desktop\REACTIV CEFAS\Cromolyn\Cromolyn/20201203_Cefas_Test8_Run3/Plate 1/@6/A6_03- exclu.tif</t>
  </si>
  <si>
    <t xml:space="preserve">C:\Users\andre\Desktop\REACTIV CEFAS\Cromolyn\Cromolyn/20201203_Cefas_Test8_Run3/Plate 1/@6/B6_01.tif </t>
  </si>
  <si>
    <t xml:space="preserve"> 49921.7968 </t>
  </si>
  <si>
    <t xml:space="preserve"> 43.8544 </t>
  </si>
  <si>
    <t xml:space="preserve">C:\Users\andre\Desktop\REACTIV CEFAS\Cromolyn\Cromolyn/20201203_Cefas_Test8_Run3/Plate 1/@6/B6_02.tif </t>
  </si>
  <si>
    <t xml:space="preserve"> 49078.2309 </t>
  </si>
  <si>
    <t xml:space="preserve"> 44.3795 </t>
  </si>
  <si>
    <t xml:space="preserve">C:\Users\andre\Desktop\REACTIV CEFAS\Cromolyn\Cromolyn/20201203_Cefas_Test8_Run3/Plate 1/@6/B6_03.tif </t>
  </si>
  <si>
    <t xml:space="preserve"> 48429.3341 </t>
  </si>
  <si>
    <t xml:space="preserve"> 41.7517 </t>
  </si>
  <si>
    <t xml:space="preserve">C:\Users\andre\Desktop\REACTIV CEFAS\Cromolyn\Cromolyn/20201203_Cefas_Test8_Run3/Plate 1/@6/C6_01.tif </t>
  </si>
  <si>
    <t xml:space="preserve"> 69085.8834 </t>
  </si>
  <si>
    <t xml:space="preserve"> 42.5914 </t>
  </si>
  <si>
    <t xml:space="preserve">C:\Users\andre\Desktop\REACTIV CEFAS\Cromolyn\Cromolyn/20201203_Cefas_Test8_Run3/Plate 1/@6/C6_02.tif </t>
  </si>
  <si>
    <t xml:space="preserve"> 50981.6616 </t>
  </si>
  <si>
    <t xml:space="preserve"> 41.1039 </t>
  </si>
  <si>
    <t xml:space="preserve">C:\Users\andre\Desktop\REACTIV CEFAS\Cromolyn\Cromolyn/20201203_Cefas_Test8_Run3/Plate 1/@6/C6_03.tif </t>
  </si>
  <si>
    <t xml:space="preserve"> 63678.4098 </t>
  </si>
  <si>
    <t xml:space="preserve"> 43.5428 </t>
  </si>
  <si>
    <t xml:space="preserve">C:\Users\andre\Desktop\REACTIV CEFAS\Cromolyn\Cromolyn/20201203_Cefas_Test8_Run3/Plate 1/@6/D6_01.tif </t>
  </si>
  <si>
    <t xml:space="preserve"> 46698.9425 </t>
  </si>
  <si>
    <t xml:space="preserve"> 41.1149 </t>
  </si>
  <si>
    <t xml:space="preserve">C:\Users\andre\Desktop\REACTIV CEFAS\Cromolyn\Cromolyn/20201203_Cefas_Test8_Run3/Plate 1/@6/D6_02.tif </t>
  </si>
  <si>
    <t xml:space="preserve"> 40145.0844 </t>
  </si>
  <si>
    <t xml:space="preserve"> 39.2247 </t>
  </si>
  <si>
    <t xml:space="preserve">C:\Users\andre\Desktop\REACTIV CEFAS\Cromolyn\Cromolyn/20201203_Cefas_Test8_Run3/Plate 1/@6/D6_03.tif </t>
  </si>
  <si>
    <t xml:space="preserve"> 40512.7926 </t>
  </si>
  <si>
    <t xml:space="preserve"> 37.8484 </t>
  </si>
  <si>
    <t xml:space="preserve">C:\Users\andre\Desktop\REACTIV CEFAS\Cromolyn\Cromolyn/20201203_Cefas_Test8_Run3/Plate 1/@6/E6_01.tif </t>
  </si>
  <si>
    <t xml:space="preserve"> 58443.9753 </t>
  </si>
  <si>
    <t xml:space="preserve"> 37.9915 </t>
  </si>
  <si>
    <t xml:space="preserve">C:\Users\andre\Desktop\REACTIV CEFAS\Cromolyn\Cromolyn/20201203_Cefas_Test8_Run3/Plate 1/@6/E6_02.tif </t>
  </si>
  <si>
    <t xml:space="preserve"> 68718.1752 </t>
  </si>
  <si>
    <t xml:space="preserve"> 40.7044 </t>
  </si>
  <si>
    <t xml:space="preserve">C:\Users\andre\Desktop\REACTIV CEFAS\Cromolyn\Cromolyn/20201203_Cefas_Test8_Run3/Plate 1/@6/E6_03.tif </t>
  </si>
  <si>
    <t xml:space="preserve"> 69280.5525 </t>
  </si>
  <si>
    <t xml:space="preserve"> 40.4889 </t>
  </si>
  <si>
    <t xml:space="preserve">C:\Users\andre\Desktop\REACTIV CEFAS\Cromolyn\Cromolyn/20201203_Cefas_Test8_Run3/Plate 1/@6/F6_01.tif </t>
  </si>
  <si>
    <t xml:space="preserve"> 48039.996 </t>
  </si>
  <si>
    <t xml:space="preserve"> 40.8685 </t>
  </si>
  <si>
    <t>C:\Users\andre\Desktop\REACTIV CEFAS\Cromolyn\Cromolyn/20201203_Cefas_Test8_Run3/Plate 1/@6/F6_02- exclu.tif</t>
  </si>
  <si>
    <t>C:\Users\andre\Desktop\REACTIV CEFAS\Cromolyn\Cromolyn/20201203_Cefas_Test8_Run3/Plate 1/@6/F6_03- exclu.tif</t>
  </si>
  <si>
    <t xml:space="preserve">C:\Users\andre\Desktop\REACTIV CEFAS\Cromolyn\Cromolyn/20201203_Cefas_Test8_Run3/Plate 1/@6/G6_01.tif </t>
  </si>
  <si>
    <t xml:space="preserve"> 53620.5088 </t>
  </si>
  <si>
    <t xml:space="preserve"> 43.8862 </t>
  </si>
  <si>
    <t xml:space="preserve">C:\Users\andre\Desktop\REACTIV CEFAS\Cromolyn\Cromolyn/20201203_Cefas_Test8_Run3/Plate 1/@6/G6_02.tif </t>
  </si>
  <si>
    <t xml:space="preserve"> 59287.5412 </t>
  </si>
  <si>
    <t xml:space="preserve"> 43.9146 </t>
  </si>
  <si>
    <t xml:space="preserve">C:\Users\andre\Desktop\REACTIV CEFAS\Cromolyn\Cromolyn/20201203_Cefas_Test8_Run3/Plate 1/@6/G6_03.tif </t>
  </si>
  <si>
    <t xml:space="preserve"> 64846.4241 </t>
  </si>
  <si>
    <t xml:space="preserve"> 45.1618 </t>
  </si>
  <si>
    <t xml:space="preserve">C:\Users\andre\Desktop\REACTIV CEFAS\Cromolyn\Cromolyn/20201203_Cefas_Test8_Run3/Plate 1/@6/H6_01.tif </t>
  </si>
  <si>
    <t xml:space="preserve"> 49.4517 </t>
  </si>
  <si>
    <t xml:space="preserve">C:\Users\andre\Desktop\REACTIV CEFAS\Cromolyn\Cromolyn/20201203_Cefas_Test8_Run3/Plate 1/@6/H6_02.tif </t>
  </si>
  <si>
    <t xml:space="preserve"> 70708.1255 </t>
  </si>
  <si>
    <t xml:space="preserve"> 52.1661 </t>
  </si>
  <si>
    <t xml:space="preserve">C:\Users\andre\Desktop\REACTIV CEFAS\Cromolyn\Cromolyn/20201203_Cefas_Test8_Run3/Plate 1/@6/H6_03.tif </t>
  </si>
  <si>
    <t xml:space="preserve"> 67636.6805 </t>
  </si>
  <si>
    <t xml:space="preserve"> 50.6936 </t>
  </si>
  <si>
    <t xml:space="preserve">C:\Users\andre\Desktop\REACTIV CEFAS\Cromolyn\Cromolyn/20201203_Cefas_Test8_Run3/Plate 1/@6/ </t>
  </si>
  <si>
    <t xml:space="preserve"> 36.9639 </t>
  </si>
  <si>
    <t xml:space="preserve"> 14.9929 </t>
  </si>
  <si>
    <t xml:space="preserve"> 1990627.17 </t>
  </si>
  <si>
    <t xml:space="preserve"> 1143424.6 </t>
  </si>
  <si>
    <t xml:space="preserve">C:\Users\andre\Desktop\REACTIV CEFAS\Cromolyn\Cromolyn/20201203_Cefas_Test8_Run3/Plate 1/@7/A7_01.tif </t>
  </si>
  <si>
    <t xml:space="preserve"> 48.2559 </t>
  </si>
  <si>
    <t xml:space="preserve">C:\Users\andre\Desktop\REACTIV CEFAS\Cromolyn\Cromolyn/20201203_Cefas_Test8_Run3/Plate 1/@7/A7_02.tif </t>
  </si>
  <si>
    <t xml:space="preserve"> 69778.0401 </t>
  </si>
  <si>
    <t xml:space="preserve"> 52.4709 </t>
  </si>
  <si>
    <t xml:space="preserve">C:\Users\andre\Desktop\REACTIV CEFAS\Cromolyn\Cromolyn/20201203_Cefas_Test8_Run3/Plate 1/@7/A7_03.tif </t>
  </si>
  <si>
    <t xml:space="preserve"> 64630.1252 </t>
  </si>
  <si>
    <t xml:space="preserve"> 51.2784 </t>
  </si>
  <si>
    <t xml:space="preserve">C:\Users\andre\Desktop\REACTIV CEFAS\Cromolyn\Cromolyn/20201203_Cefas_Test8_Run3/Plate 1/@7/B7_01.tif </t>
  </si>
  <si>
    <t xml:space="preserve"> 50.6977 </t>
  </si>
  <si>
    <t xml:space="preserve">C:\Users\andre\Desktop\REACTIV CEFAS\Cromolyn\Cromolyn/20201203_Cefas_Test8_Run3/Plate 1/@7/B7_02.tif </t>
  </si>
  <si>
    <t xml:space="preserve"> 72676.446 </t>
  </si>
  <si>
    <t xml:space="preserve"> 53.847 </t>
  </si>
  <si>
    <t xml:space="preserve">C:\Users\andre\Desktop\REACTIV CEFAS\Cromolyn\Cromolyn/20201203_Cefas_Test8_Run3/Plate 1/@7/B7_03.tif </t>
  </si>
  <si>
    <t xml:space="preserve"> 66641.7054 </t>
  </si>
  <si>
    <t xml:space="preserve"> 50.2821 </t>
  </si>
  <si>
    <t>C:\Users\andre\Desktop\REACTIV CEFAS\Cromolyn\Cromolyn/20201203_Cefas_Test8_Run3/Plate 1/@7/C7_01- exclu.tif</t>
  </si>
  <si>
    <t>C:\Users\andre\Desktop\REACTIV CEFAS\Cromolyn\Cromolyn/20201203_Cefas_Test8_Run3/Plate 1/@7/C7_02- exclu.tif</t>
  </si>
  <si>
    <t>C:\Users\andre\Desktop\REACTIV CEFAS\Cromolyn\Cromolyn/20201203_Cefas_Test8_Run3/Plate 1/@7/C7_03- exclu.tif</t>
  </si>
  <si>
    <t xml:space="preserve">C:\Users\andre\Desktop\REACTIV CEFAS\Cromolyn\Cromolyn/20201203_Cefas_Test8_Run3/Plate 1/@7/D7_01.tif </t>
  </si>
  <si>
    <t xml:space="preserve"> 103109.708 </t>
  </si>
  <si>
    <t xml:space="preserve"> 56.1091 </t>
  </si>
  <si>
    <t xml:space="preserve">C:\Users\andre\Desktop\REACTIV CEFAS\Cromolyn\Cromolyn/20201203_Cefas_Test8_Run3/Plate 1/@7/D7_02.tif </t>
  </si>
  <si>
    <t xml:space="preserve"> 95258.0559 </t>
  </si>
  <si>
    <t xml:space="preserve"> 52.2448 </t>
  </si>
  <si>
    <t xml:space="preserve">C:\Users\andre\Desktop\REACTIV CEFAS\Cromolyn\Cromolyn/20201203_Cefas_Test8_Run3/Plate 1/@7/D7_03.tif </t>
  </si>
  <si>
    <t xml:space="preserve"> 94003.5221 </t>
  </si>
  <si>
    <t xml:space="preserve"> 54.488 </t>
  </si>
  <si>
    <t xml:space="preserve">C:\Users\andre\Desktop\REACTIV CEFAS\Cromolyn\Cromolyn/20201203_Cefas_Test8_Run3/Plate 1/@7/E7_01.tif </t>
  </si>
  <si>
    <t xml:space="preserve"> 65452.0611 </t>
  </si>
  <si>
    <t xml:space="preserve"> 56.2445 </t>
  </si>
  <si>
    <t>C:\Users\andre\Desktop\REACTIV CEFAS\Cromolyn\Cromolyn/20201203_Cefas_Test8_Run3/Plate 1/@7/E7_02- exclu.tif</t>
  </si>
  <si>
    <t>C:\Users\andre\Desktop\REACTIV CEFAS\Cromolyn\Cromolyn/20201203_Cefas_Test8_Run3/Plate 1/@7/E7_03- exclu.tif</t>
  </si>
  <si>
    <t xml:space="preserve">C:\Users\andre\Desktop\REACTIV CEFAS\Cromolyn\Cromolyn/20201203_Cefas_Test8_Run3/Plate 1/@7/F7_01.tif </t>
  </si>
  <si>
    <t xml:space="preserve"> 96772.1486 </t>
  </si>
  <si>
    <t xml:space="preserve"> 53.5255 </t>
  </si>
  <si>
    <t xml:space="preserve">C:\Users\andre\Desktop\REACTIV CEFAS\Cromolyn\Cromolyn/20201203_Cefas_Test8_Run3/Plate 1/@7/F7_02.tif </t>
  </si>
  <si>
    <t xml:space="preserve"> 91537.7141 </t>
  </si>
  <si>
    <t xml:space="preserve"> 52.8774 </t>
  </si>
  <si>
    <t xml:space="preserve">C:\Users\andre\Desktop\REACTIV CEFAS\Cromolyn\Cromolyn/20201203_Cefas_Test8_Run3/Plate 1/@7/F7_03.tif </t>
  </si>
  <si>
    <t xml:space="preserve"> 95733.9136 </t>
  </si>
  <si>
    <t xml:space="preserve"> 57.8681 </t>
  </si>
  <si>
    <t xml:space="preserve">C:\Users\andre\Desktop\REACTIV CEFAS\Cromolyn\Cromolyn/20201203_Cefas_Test8_Run3/Plate 1/@7/G7_01.tif </t>
  </si>
  <si>
    <t xml:space="preserve"> 85676.0126 </t>
  </si>
  <si>
    <t xml:space="preserve"> 51.7251 </t>
  </si>
  <si>
    <t xml:space="preserve">C:\Users\andre\Desktop\REACTIV CEFAS\Cromolyn\Cromolyn/20201203_Cefas_Test8_Run3/Plate 1/@7/G7_02.tif </t>
  </si>
  <si>
    <t xml:space="preserve"> 83426.5036 </t>
  </si>
  <si>
    <t xml:space="preserve"> 53.8652 </t>
  </si>
  <si>
    <t xml:space="preserve">C:\Users\andre\Desktop\REACTIV CEFAS\Cromolyn\Cromolyn/20201203_Cefas_Test8_Run3/Plate 1/@7/G7_03.tif </t>
  </si>
  <si>
    <t xml:space="preserve"> 97507.565 </t>
  </si>
  <si>
    <t xml:space="preserve"> 53.7695 </t>
  </si>
  <si>
    <t xml:space="preserve">C:\Users\andre\Desktop\REACTIV CEFAS\Cromolyn\Cromolyn/20201203_Cefas_Test8_Run3/Plate 1/@7/H7_01.tif </t>
  </si>
  <si>
    <t xml:space="preserve"> 85762.5322 </t>
  </si>
  <si>
    <t xml:space="preserve"> 55.4207 </t>
  </si>
  <si>
    <t xml:space="preserve">C:\Users\andre\Desktop\REACTIV CEFAS\Cromolyn\Cromolyn/20201203_Cefas_Test8_Run3/Plate 1/@7/H7_02.tif </t>
  </si>
  <si>
    <t xml:space="preserve"> 88531.1587 </t>
  </si>
  <si>
    <t xml:space="preserve"> 55.0667 </t>
  </si>
  <si>
    <t xml:space="preserve">C:\Users\andre\Desktop\REACTIV CEFAS\Cromolyn\Cromolyn/20201203_Cefas_Test8_Run3/Plate 1/@7/H7_03.tif </t>
  </si>
  <si>
    <t xml:space="preserve"> 88898.8669 </t>
  </si>
  <si>
    <t xml:space="preserve"> 55.0056 </t>
  </si>
  <si>
    <t xml:space="preserve">C:\Users\andre\Desktop\REACTIV CEFAS\Cromolyn\Cromolyn/20201203_Cefas_Test8_Run3/Plate 1/@7/ </t>
  </si>
  <si>
    <t xml:space="preserve"> 53.4539 </t>
  </si>
  <si>
    <t xml:space="preserve"> 2.2937 </t>
  </si>
  <si>
    <t xml:space="preserve"> 4187836.92 </t>
  </si>
  <si>
    <t xml:space="preserve"> 909734.53 </t>
  </si>
  <si>
    <t xml:space="preserve">C:\Users\andre\Desktop\REACTIV CEFAS\Cromolyn\Cromolyn/20201203_Cefas_Test8_Run3/Plate 4/@10/A4_01.tif </t>
  </si>
  <si>
    <t xml:space="preserve"> 6597.1179 </t>
  </si>
  <si>
    <t xml:space="preserve"> 38.6426 </t>
  </si>
  <si>
    <t xml:space="preserve">C:\Users\andre\Desktop\REACTIV CEFAS\Cromolyn\Cromolyn/20201203_Cefas_Test8_Run3/Plate 4/@10/A4_02.tif </t>
  </si>
  <si>
    <t xml:space="preserve"> 35.8465 </t>
  </si>
  <si>
    <t xml:space="preserve">C:\Users\andre\Desktop\REACTIV CEFAS\Cromolyn\Cromolyn/20201203_Cefas_Test8_Run3/Plate 4/@10/A4_03.tif </t>
  </si>
  <si>
    <t xml:space="preserve"> 39.8879 </t>
  </si>
  <si>
    <t xml:space="preserve">C:\Users\andre\Desktop\REACTIV CEFAS\Cromolyn\Cromolyn/20201203_Cefas_Test8_Run3/Plate 4/@10/B4_01.tif </t>
  </si>
  <si>
    <t xml:space="preserve"> 10706.7978 </t>
  </si>
  <si>
    <t xml:space="preserve"> 43.5374 </t>
  </si>
  <si>
    <t xml:space="preserve">C:\Users\andre\Desktop\REACTIV CEFAS\Cromolyn\Cromolyn/20201203_Cefas_Test8_Run3/Plate 4/@10/B4_02.tif </t>
  </si>
  <si>
    <t xml:space="preserve"> 15378.8551 </t>
  </si>
  <si>
    <t xml:space="preserve"> 48.917 </t>
  </si>
  <si>
    <t>C:\Users\andre\Desktop\REACTIV CEFAS\Cromolyn\Cromolyn/20201203_Cefas_Test8_Run3/Plate 4/@10/B4_03- exclu.tif</t>
  </si>
  <si>
    <t xml:space="preserve">C:\Users\andre\Desktop\REACTIV CEFAS\Cromolyn\Cromolyn/20201203_Cefas_Test8_Run3/Plate 4/@10/C4_01.tif </t>
  </si>
  <si>
    <t xml:space="preserve"> 12004.5915 </t>
  </si>
  <si>
    <t xml:space="preserve"> 39.209 </t>
  </si>
  <si>
    <t xml:space="preserve">C:\Users\andre\Desktop\REACTIV CEFAS\Cromolyn\Cromolyn/20201203_Cefas_Test8_Run3/Plate 4/@10/C4_02.tif </t>
  </si>
  <si>
    <t xml:space="preserve"> 38.5966 </t>
  </si>
  <si>
    <t xml:space="preserve">C:\Users\andre\Desktop\REACTIV CEFAS\Cromolyn\Cromolyn/20201203_Cefas_Test8_Run3/Plate 4/@10/C4_03.tif </t>
  </si>
  <si>
    <t xml:space="preserve"> 39.6921 </t>
  </si>
  <si>
    <t>C:\Users\andre\Desktop\REACTIV CEFAS\Cromolyn\Cromolyn/20201203_Cefas_Test8_Run3/Plate 4/@10/D4_01- exclu.tif</t>
  </si>
  <si>
    <t>C:\Users\andre\Desktop\REACTIV CEFAS\Cromolyn\Cromolyn/20201203_Cefas_Test8_Run3/Plate 4/@10/D4_02- exclu.tif</t>
  </si>
  <si>
    <t xml:space="preserve">C:\Users\andre\Desktop\REACTIV CEFAS\Cromolyn\Cromolyn/20201203_Cefas_Test8_Run3/Plate 4/@10/D4_03.tif </t>
  </si>
  <si>
    <t xml:space="preserve"> 6770.157 </t>
  </si>
  <si>
    <t xml:space="preserve"> 43.5367 </t>
  </si>
  <si>
    <t xml:space="preserve">C:\Users\andre\Desktop\REACTIV CEFAS\Cromolyn\Cromolyn/20201203_Cefas_Test8_Run3/Plate 4/@10/E4_01.tif </t>
  </si>
  <si>
    <t xml:space="preserve"> 32.5862 </t>
  </si>
  <si>
    <t xml:space="preserve">C:\Users\andre\Desktop\REACTIV CEFAS\Cromolyn\Cromolyn/20201203_Cefas_Test8_Run3/Plate 4/@10/E4_02.tif </t>
  </si>
  <si>
    <t xml:space="preserve"> 2033.2101 </t>
  </si>
  <si>
    <t xml:space="preserve"> 33.617 </t>
  </si>
  <si>
    <t xml:space="preserve">C:\Users\andre\Desktop\REACTIV CEFAS\Cromolyn\Cromolyn/20201203_Cefas_Test8_Run3/Plate 4/@10/E4_03.tif </t>
  </si>
  <si>
    <t xml:space="preserve"> 2444.1781 </t>
  </si>
  <si>
    <t xml:space="preserve"> 34.292 </t>
  </si>
  <si>
    <t>C:\Users\andre\Desktop\REACTIV CEFAS\Cromolyn\Cromolyn/20201203_Cefas_Test8_Run3/Plate 4/@10/F4_01- exclu.tif</t>
  </si>
  <si>
    <t>C:\Users\andre\Desktop\REACTIV CEFAS\Cromolyn\Cromolyn/20201203_Cefas_Test8_Run3/Plate 4/@10/F4_02- exclu.tif</t>
  </si>
  <si>
    <t>C:\Users\andre\Desktop\REACTIV CEFAS\Cromolyn\Cromolyn/20201203_Cefas_Test8_Run3/Plate 4/@10/F4_03- exclu.tif</t>
  </si>
  <si>
    <t xml:space="preserve">C:\Users\andre\Desktop\REACTIV CEFAS\Cromolyn\Cromolyn/20201203_Cefas_Test8_Run3/Plate 4/@10/G4_01.tif </t>
  </si>
  <si>
    <t xml:space="preserve"> 3460.7831 </t>
  </si>
  <si>
    <t xml:space="preserve"> 33.7938 </t>
  </si>
  <si>
    <t xml:space="preserve">C:\Users\andre\Desktop\REACTIV CEFAS\Cromolyn\Cromolyn/20201203_Cefas_Test8_Run3/Plate 4/@10/G4_02.tif </t>
  </si>
  <si>
    <t xml:space="preserve"> 3028.1852 </t>
  </si>
  <si>
    <t xml:space="preserve"> 34.6571 </t>
  </si>
  <si>
    <t xml:space="preserve">C:\Users\andre\Desktop\REACTIV CEFAS\Cromolyn\Cromolyn/20201203_Cefas_Test8_Run3/Plate 4/@10/G4_03.tif </t>
  </si>
  <si>
    <t xml:space="preserve"> 32.5694 </t>
  </si>
  <si>
    <t xml:space="preserve">C:\Users\andre\Desktop\REACTIV CEFAS\Cromolyn\Cromolyn/20201203_Cefas_Test8_Run3/Plate 4/@10/H4_01.tif </t>
  </si>
  <si>
    <t xml:space="preserve">C:\Users\andre\Desktop\REACTIV CEFAS\Cromolyn\Cromolyn/20201203_Cefas_Test8_Run3/Plate 4/@10/H4_02.tif </t>
  </si>
  <si>
    <t xml:space="preserve">C:\Users\andre\Desktop\REACTIV CEFAS\Cromolyn\Cromolyn/20201203_Cefas_Test8_Run3/Plate 4/@10/H4_03.tif </t>
  </si>
  <si>
    <t xml:space="preserve">C:\Users\andre\Desktop\REACTIV CEFAS\Cromolyn\Cromolyn/20201203_Cefas_Test8_Run3/Plate 4/@10/ </t>
  </si>
  <si>
    <t xml:space="preserve"> 39.6703 </t>
  </si>
  <si>
    <t xml:space="preserve"> 6.6952 </t>
  </si>
  <si>
    <t xml:space="preserve"> 348302.625 </t>
  </si>
  <si>
    <t xml:space="preserve"> 284573.765 </t>
  </si>
  <si>
    <t xml:space="preserve">C:\Users\andre\Desktop\REACTIV CEFAS\Cromolyn\Cromolyn/20201203_Cefas_Test8_Run3/Plate 4/@11/A5_01.tif </t>
  </si>
  <si>
    <t xml:space="preserve"> 8911.5166 </t>
  </si>
  <si>
    <t xml:space="preserve"> 37.8398 </t>
  </si>
  <si>
    <t xml:space="preserve">C:\Users\andre\Desktop\REACTIV CEFAS\Cromolyn\Cromolyn/20201203_Cefas_Test8_Run3/Plate 4/@11/A5_02.tif </t>
  </si>
  <si>
    <t xml:space="preserve"> 12047.8513 </t>
  </si>
  <si>
    <t xml:space="preserve"> 41.9856 </t>
  </si>
  <si>
    <t xml:space="preserve">C:\Users\andre\Desktop\REACTIV CEFAS\Cromolyn\Cromolyn/20201203_Cefas_Test8_Run3/Plate 4/@11/A5_03.tif </t>
  </si>
  <si>
    <t xml:space="preserve"> 42.0328 </t>
  </si>
  <si>
    <t xml:space="preserve">C:\Users\andre\Desktop\REACTIV CEFAS\Cromolyn\Cromolyn/20201203_Cefas_Test8_Run3/Plate 4/@11/B5_01.tif </t>
  </si>
  <si>
    <t xml:space="preserve"> 11225.9153 </t>
  </si>
  <si>
    <t xml:space="preserve"> 44.7823 </t>
  </si>
  <si>
    <t xml:space="preserve">C:\Users\andre\Desktop\REACTIV CEFAS\Cromolyn\Cromolyn/20201203_Cefas_Test8_Run3/Plate 4/@11/B5_02.tif </t>
  </si>
  <si>
    <t xml:space="preserve"> 40.735 </t>
  </si>
  <si>
    <t xml:space="preserve">C:\Users\andre\Desktop\REACTIV CEFAS\Cromolyn\Cromolyn/20201203_Cefas_Test8_Run3/Plate 4/@11/B5_03.tif </t>
  </si>
  <si>
    <t xml:space="preserve"> 9928.1216 </t>
  </si>
  <si>
    <t xml:space="preserve"> 41.9869 </t>
  </si>
  <si>
    <t xml:space="preserve">C:\Users\andre\Desktop\REACTIV CEFAS\Cromolyn\Cromolyn/20201203_Cefas_Test8_Run3/Plate 4/@11/C5_01.tif </t>
  </si>
  <si>
    <t xml:space="preserve"> 31.6429 </t>
  </si>
  <si>
    <t xml:space="preserve">C:\Users\andre\Desktop\REACTIV CEFAS\Cromolyn\Cromolyn/20201203_Cefas_Test8_Run3/Plate 4/@11/C5_02.tif </t>
  </si>
  <si>
    <t xml:space="preserve"> 32.9714 </t>
  </si>
  <si>
    <t xml:space="preserve">C:\Users\andre\Desktop\REACTIV CEFAS\Cromolyn\Cromolyn/20201203_Cefas_Test8_Run3/Plate 4/@11/C5_03.tif </t>
  </si>
  <si>
    <t xml:space="preserve"> 31.2632 </t>
  </si>
  <si>
    <t xml:space="preserve">C:\Users\andre\Desktop\REACTIV CEFAS\Cromolyn\Cromolyn/20201203_Cefas_Test8_Run3/Plate 4/@11/D5_01.tif </t>
  </si>
  <si>
    <t xml:space="preserve"> 1881.8008 </t>
  </si>
  <si>
    <t xml:space="preserve"> 31.8966 </t>
  </si>
  <si>
    <t xml:space="preserve">C:\Users\andre\Desktop\REACTIV CEFAS\Cromolyn\Cromolyn/20201203_Cefas_Test8_Run3/Plate 4/@11/D5_02.tif </t>
  </si>
  <si>
    <t xml:space="preserve"> 37.2643 </t>
  </si>
  <si>
    <t xml:space="preserve">C:\Users\andre\Desktop\REACTIV CEFAS\Cromolyn\Cromolyn/20201203_Cefas_Test8_Run3/Plate 4/@11/D5_03.tif </t>
  </si>
  <si>
    <t xml:space="preserve"> 34.6279 </t>
  </si>
  <si>
    <t xml:space="preserve">C:\Users\andre\Desktop\REACTIV CEFAS\Cromolyn\Cromolyn/20201203_Cefas_Test8_Run3/Plate 4/@11/E5_01.tif </t>
  </si>
  <si>
    <t xml:space="preserve"> 35.2561 </t>
  </si>
  <si>
    <t xml:space="preserve">C:\Users\andre\Desktop\REACTIV CEFAS\Cromolyn\Cromolyn/20201203_Cefas_Test8_Run3/Plate 4/@11/E5_02.tif </t>
  </si>
  <si>
    <t xml:space="preserve"> 5018.1356 </t>
  </si>
  <si>
    <t xml:space="preserve"> 36.0862 </t>
  </si>
  <si>
    <t xml:space="preserve">C:\Users\andre\Desktop\REACTIV CEFAS\Cromolyn\Cromolyn/20201203_Cefas_Test8_Run3/Plate 4/@11/E5_03.tif </t>
  </si>
  <si>
    <t xml:space="preserve"> 31.4568 </t>
  </si>
  <si>
    <t xml:space="preserve">C:\Users\andre\Desktop\REACTIV CEFAS\Cromolyn\Cromolyn/20201203_Cefas_Test8_Run3/Plate 4/@11/F5_01.tif </t>
  </si>
  <si>
    <t xml:space="preserve"> 14513.6593 </t>
  </si>
  <si>
    <t xml:space="preserve"> 39.0179 </t>
  </si>
  <si>
    <t xml:space="preserve">C:\Users\andre\Desktop\REACTIV CEFAS\Cromolyn\Cromolyn/20201203_Cefas_Test8_Run3/Plate 4/@11/F5_02.tif </t>
  </si>
  <si>
    <t xml:space="preserve"> 13388.9048 </t>
  </si>
  <si>
    <t xml:space="preserve"> 35.4152 </t>
  </si>
  <si>
    <t xml:space="preserve">C:\Users\andre\Desktop\REACTIV CEFAS\Cromolyn\Cromolyn/20201203_Cefas_Test8_Run3/Plate 4/@11/F5_03.tif </t>
  </si>
  <si>
    <t xml:space="preserve"> 38.3152 </t>
  </si>
  <si>
    <t xml:space="preserve">C:\Users\andre\Desktop\REACTIV CEFAS\Cromolyn\Cromolyn/20201203_Cefas_Test8_Run3/Plate 4/@11/G5_01.tif </t>
  </si>
  <si>
    <t xml:space="preserve"> 6034.7406 </t>
  </si>
  <si>
    <t xml:space="preserve"> 40.3871 </t>
  </si>
  <si>
    <t xml:space="preserve">C:\Users\andre\Desktop\REACTIV CEFAS\Cromolyn\Cromolyn/20201203_Cefas_Test8_Run3/Plate 4/@11/G5_02.tif </t>
  </si>
  <si>
    <t xml:space="preserve"> 8824.997 </t>
  </si>
  <si>
    <t xml:space="preserve"> 41.7132 </t>
  </si>
  <si>
    <t xml:space="preserve">C:\Users\andre\Desktop\REACTIV CEFAS\Cromolyn\Cromolyn/20201203_Cefas_Test8_Run3/Plate 4/@11/G5_03.tif </t>
  </si>
  <si>
    <t xml:space="preserve"> 38.422 </t>
  </si>
  <si>
    <t xml:space="preserve">C:\Users\andre\Desktop\REACTIV CEFAS\Cromolyn\Cromolyn/20201203_Cefas_Test8_Run3/Plate 4/@11/H5_01.tif </t>
  </si>
  <si>
    <t xml:space="preserve"> 4650.4273 </t>
  </si>
  <si>
    <t xml:space="preserve"> 37.5256 </t>
  </si>
  <si>
    <t>C:\Users\andre\Desktop\REACTIV CEFAS\Cromolyn\Cromolyn/20201203_Cefas_Test8_Run3/Plate 4/@11/H5_02- exclu.tif</t>
  </si>
  <si>
    <t xml:space="preserve">C:\Users\andre\Desktop\REACTIV CEFAS\Cromolyn\Cromolyn/20201203_Cefas_Test8_Run3/Plate 4/@11/H5_03.tif </t>
  </si>
  <si>
    <t xml:space="preserve"> 39.5193 </t>
  </si>
  <si>
    <t xml:space="preserve">C:\Users\andre\Desktop\REACTIV CEFAS\Cromolyn\Cromolyn/20201203_Cefas_Test8_Run3/Plate 4/@11/ </t>
  </si>
  <si>
    <t xml:space="preserve"> 37.9488 </t>
  </si>
  <si>
    <t xml:space="preserve"> 4.4659 </t>
  </si>
  <si>
    <t xml:space="preserve"> 304634.5 </t>
  </si>
  <si>
    <t xml:space="preserve"> 209651.275 </t>
  </si>
  <si>
    <t xml:space="preserve">C:\Users\andre\Desktop\REACTIV CEFAS\Cromolyn\Cromolyn/20201203_Cefas_Test8_Run3/Plate 4/@12/A6_01.tif </t>
  </si>
  <si>
    <t xml:space="preserve"> 41.6317 </t>
  </si>
  <si>
    <t xml:space="preserve">C:\Users\andre\Desktop\REACTIV CEFAS\Cromolyn\Cromolyn/20201203_Cefas_Test8_Run3/Plate 4/@12/A6_02.tif </t>
  </si>
  <si>
    <t xml:space="preserve"> 5039.7654 </t>
  </si>
  <si>
    <t xml:space="preserve"> 43.7124 </t>
  </si>
  <si>
    <t xml:space="preserve">C:\Users\andre\Desktop\REACTIV CEFAS\Cromolyn\Cromolyn/20201203_Cefas_Test8_Run3/Plate 4/@12/A6_03.tif </t>
  </si>
  <si>
    <t xml:space="preserve"> 5818.4417 </t>
  </si>
  <si>
    <t xml:space="preserve"> 35.6766 </t>
  </si>
  <si>
    <t>C:\Users\andre\Desktop\REACTIV CEFAS\Cromolyn\Cromolyn/20201203_Cefas_Test8_Run3/Plate 4/@12/B6_01- exclu.tif</t>
  </si>
  <si>
    <t>C:\Users\andre\Desktop\REACTIV CEFAS\Cromolyn\Cromolyn/20201203_Cefas_Test8_Run3/Plate 4/@12/B6_02- exclu.tif</t>
  </si>
  <si>
    <t>C:\Users\andre\Desktop\REACTIV CEFAS\Cromolyn\Cromolyn/20201203_Cefas_Test8_Run3/Plate 4/@12/B6_03- exclu.tif</t>
  </si>
  <si>
    <t xml:space="preserve">C:\Users\andre\Desktop\REACTIV CEFAS\Cromolyn\Cromolyn/20201203_Cefas_Test8_Run3/Plate 4/@12/C6_01.tif </t>
  </si>
  <si>
    <t xml:space="preserve"> 2941.6657 </t>
  </si>
  <si>
    <t xml:space="preserve"> 32.9338 </t>
  </si>
  <si>
    <t xml:space="preserve">C:\Users\andre\Desktop\REACTIV CEFAS\Cromolyn\Cromolyn/20201203_Cefas_Test8_Run3/Plate 4/@12/C6_02.tif </t>
  </si>
  <si>
    <t xml:space="preserve"> 4585.5377 </t>
  </si>
  <si>
    <t xml:space="preserve"> 36.0283 </t>
  </si>
  <si>
    <t xml:space="preserve">C:\Users\andre\Desktop\REACTIV CEFAS\Cromolyn\Cromolyn/20201203_Cefas_Test8_Run3/Plate 4/@12/C6_03.tif </t>
  </si>
  <si>
    <t xml:space="preserve"> 32.3547 </t>
  </si>
  <si>
    <t xml:space="preserve">C:\Users\andre\Desktop\REACTIV CEFAS\Cromolyn\Cromolyn/20201203_Cefas_Test8_Run3/Plate 4/@12/D6_01.tif </t>
  </si>
  <si>
    <t xml:space="preserve"> 6445.7086 </t>
  </si>
  <si>
    <t xml:space="preserve"> 35.9463 </t>
  </si>
  <si>
    <t xml:space="preserve">C:\Users\andre\Desktop\REACTIV CEFAS\Cromolyn\Cromolyn/20201203_Cefas_Test8_Run3/Plate 4/@12/D6_02.tif </t>
  </si>
  <si>
    <t xml:space="preserve"> 4736.9469 </t>
  </si>
  <si>
    <t xml:space="preserve"> 33.2831 </t>
  </si>
  <si>
    <t xml:space="preserve">C:\Users\andre\Desktop\REACTIV CEFAS\Cromolyn\Cromolyn/20201203_Cefas_Test8_Run3/Plate 4/@12/D6_03.tif </t>
  </si>
  <si>
    <t xml:space="preserve"> 33.8868 </t>
  </si>
  <si>
    <t xml:space="preserve">C:\Users\andre\Desktop\REACTIV CEFAS\Cromolyn\Cromolyn/20201203_Cefas_Test8_Run3/Plate 4/@12/E6_01.tif </t>
  </si>
  <si>
    <t xml:space="preserve"> 35.0735 </t>
  </si>
  <si>
    <t xml:space="preserve">C:\Users\andre\Desktop\REACTIV CEFAS\Cromolyn\Cromolyn/20201203_Cefas_Test8_Run3/Plate 4/@12/E6_02.tif </t>
  </si>
  <si>
    <t xml:space="preserve">C:\Users\andre\Desktop\REACTIV CEFAS\Cromolyn\Cromolyn/20201203_Cefas_Test8_Run3/Plate 4/@12/E6_03.tif </t>
  </si>
  <si>
    <t>C:\Users\andre\Desktop\REACTIV CEFAS\Cromolyn\Cromolyn/20201203_Cefas_Test8_Run3/Plate 4/@12/F6_01- exclu.tif</t>
  </si>
  <si>
    <t xml:space="preserve">C:\Users\andre\Desktop\REACTIV CEFAS\Cromolyn\Cromolyn/20201203_Cefas_Test8_Run3/Plate 4/@12/F6_02.tif </t>
  </si>
  <si>
    <t xml:space="preserve"> 10014.6412 </t>
  </si>
  <si>
    <t xml:space="preserve"> 45.27 </t>
  </si>
  <si>
    <t xml:space="preserve">C:\Users\andre\Desktop\REACTIV CEFAS\Cromolyn\Cromolyn/20201203_Cefas_Test8_Run3/Plate 4/@12/F6_03.tif </t>
  </si>
  <si>
    <t xml:space="preserve"> 41.7037 </t>
  </si>
  <si>
    <t xml:space="preserve">C:\Users\andre\Desktop\REACTIV CEFAS\Cromolyn\Cromolyn/20201203_Cefas_Test8_Run3/Plate 4/@12/G6_01.tif </t>
  </si>
  <si>
    <t xml:space="preserve"> 5710.2922 </t>
  </si>
  <si>
    <t xml:space="preserve"> 35.428 </t>
  </si>
  <si>
    <t xml:space="preserve">C:\Users\andre\Desktop\REACTIV CEFAS\Cromolyn\Cromolyn/20201203_Cefas_Test8_Run3/Plate 4/@12/G6_02.tif </t>
  </si>
  <si>
    <t xml:space="preserve"> 5796.8118 </t>
  </si>
  <si>
    <t xml:space="preserve"> 39.7201 </t>
  </si>
  <si>
    <t xml:space="preserve">C:\Users\andre\Desktop\REACTIV CEFAS\Cromolyn\Cromolyn/20201203_Cefas_Test8_Run3/Plate 4/@12/G6_03.tif </t>
  </si>
  <si>
    <t xml:space="preserve"> 8349.1393 </t>
  </si>
  <si>
    <t xml:space="preserve"> 38.3938 </t>
  </si>
  <si>
    <t xml:space="preserve">C:\Users\andre\Desktop\REACTIV CEFAS\Cromolyn\Cromolyn/20201203_Cefas_Test8_Run3/Plate 4/@12/H6_01.tif </t>
  </si>
  <si>
    <t xml:space="preserve"> 35.7107 </t>
  </si>
  <si>
    <t xml:space="preserve">C:\Users\andre\Desktop\REACTIV CEFAS\Cromolyn\Cromolyn/20201203_Cefas_Test8_Run3/Plate 4/@12/H6_02.tif </t>
  </si>
  <si>
    <t xml:space="preserve"> 37.0864 </t>
  </si>
  <si>
    <t xml:space="preserve">C:\Users\andre\Desktop\REACTIV CEFAS\Cromolyn\Cromolyn/20201203_Cefas_Test8_Run3/Plate 4/@12/H6_03.tif </t>
  </si>
  <si>
    <t xml:space="preserve"> 2725.3667 </t>
  </si>
  <si>
    <t xml:space="preserve"> 34.1429 </t>
  </si>
  <si>
    <t xml:space="preserve">C:\Users\andre\Desktop\REACTIV CEFAS\Cromolyn\Cromolyn/20201203_Cefas_Test8_Run3/Plate 4/@12/ </t>
  </si>
  <si>
    <t xml:space="preserve"> 35.2273 </t>
  </si>
  <si>
    <t xml:space="preserve"> 12.0618 </t>
  </si>
  <si>
    <t xml:space="preserve"> 246185.125 </t>
  </si>
  <si>
    <t xml:space="preserve"> 216951.24 </t>
  </si>
  <si>
    <t xml:space="preserve">C:\Users\andre\Desktop\REACTIV CEFAS\Cromolyn\Cromolyn/20201203_Cefas_Test8_Run3/Plate 4/@17/A8_01.tif </t>
  </si>
  <si>
    <t xml:space="preserve"> 38.9689 </t>
  </si>
  <si>
    <t xml:space="preserve">C:\Users\andre\Desktop\REACTIV CEFAS\Cromolyn\Cromolyn/20201203_Cefas_Test8_Run3/Plate 4/@17/A8_02.tif </t>
  </si>
  <si>
    <t xml:space="preserve"> 61753.3492 </t>
  </si>
  <si>
    <t xml:space="preserve"> 41.9653 </t>
  </si>
  <si>
    <t xml:space="preserve">C:\Users\andre\Desktop\REACTIV CEFAS\Cromolyn\Cromolyn/20201203_Cefas_Test8_Run3/Plate 4/@17/A8_03.tif </t>
  </si>
  <si>
    <t xml:space="preserve"> 55718.6086 </t>
  </si>
  <si>
    <t xml:space="preserve"> 42.3191 </t>
  </si>
  <si>
    <t xml:space="preserve">C:\Users\andre\Desktop\REACTIV CEFAS\Cromolyn\Cromolyn/20201203_Cefas_Test8_Run3/Plate 4/@17/B8_01.tif </t>
  </si>
  <si>
    <t xml:space="preserve"> 29957.4041 </t>
  </si>
  <si>
    <t xml:space="preserve"> 36.3487 </t>
  </si>
  <si>
    <t xml:space="preserve">C:\Users\andre\Desktop\REACTIV CEFAS\Cromolyn\Cromolyn/20201203_Cefas_Test8_Run3/Plate 4/@17/B8_02.tif </t>
  </si>
  <si>
    <t xml:space="preserve"> 41096.7998 </t>
  </si>
  <si>
    <t xml:space="preserve"> 38.6574 </t>
  </si>
  <si>
    <t xml:space="preserve">C:\Users\andre\Desktop\REACTIV CEFAS\Cromolyn\Cromolyn/20201203_Cefas_Test8_Run3/Plate 4/@17/B8_03.tif </t>
  </si>
  <si>
    <t xml:space="preserve"> 28659.6104 </t>
  </si>
  <si>
    <t xml:space="preserve"> 36.1857 </t>
  </si>
  <si>
    <t xml:space="preserve">C:\Users\andre\Desktop\REACTIV CEFAS\Cromolyn\Cromolyn/20201203_Cefas_Test8_Run3/Plate 4/@17/C8_01.tif </t>
  </si>
  <si>
    <t xml:space="preserve"> 88812.3473 </t>
  </si>
  <si>
    <t xml:space="preserve"> 44.7937 </t>
  </si>
  <si>
    <t xml:space="preserve">C:\Users\andre\Desktop\REACTIV CEFAS\Cromolyn\Cromolyn/20201203_Cefas_Test8_Run3/Plate 4/@17/C8_02.tif </t>
  </si>
  <si>
    <t xml:space="preserve"> 85697.6425 </t>
  </si>
  <si>
    <t xml:space="preserve"> 46.0081 </t>
  </si>
  <si>
    <t xml:space="preserve">C:\Users\andre\Desktop\REACTIV CEFAS\Cromolyn\Cromolyn/20201203_Cefas_Test8_Run3/Plate 4/@17/C8_03.tif </t>
  </si>
  <si>
    <t xml:space="preserve"> 77910.8805 </t>
  </si>
  <si>
    <t xml:space="preserve"> 43.6766 </t>
  </si>
  <si>
    <t xml:space="preserve">C:\Users\andre\Desktop\REACTIV CEFAS\Cromolyn\Cromolyn/20201203_Cefas_Test8_Run3/Plate 4/@17/D8_01.tif </t>
  </si>
  <si>
    <t xml:space="preserve"> 42.8667 </t>
  </si>
  <si>
    <t xml:space="preserve">C:\Users\andre\Desktop\REACTIV CEFAS\Cromolyn\Cromolyn/20201203_Cefas_Test8_Run3/Plate 4/@17/D8_02.tif </t>
  </si>
  <si>
    <t xml:space="preserve"> 80008.9802 </t>
  </si>
  <si>
    <t xml:space="preserve"> 44.2687 </t>
  </si>
  <si>
    <t xml:space="preserve">C:\Users\andre\Desktop\REACTIV CEFAS\Cromolyn\Cromolyn/20201203_Cefas_Test8_Run3/Plate 4/@17/D8_03.tif </t>
  </si>
  <si>
    <t xml:space="preserve"> 75661.3714 </t>
  </si>
  <si>
    <t xml:space="preserve"> 42.7524 </t>
  </si>
  <si>
    <t xml:space="preserve">C:\Users\andre\Desktop\REACTIV CEFAS\Cromolyn\Cromolyn/20201203_Cefas_Test8_Run3/Plate 4/@17/E8_01.tif </t>
  </si>
  <si>
    <t xml:space="preserve"> 29979.034 </t>
  </si>
  <si>
    <t xml:space="preserve"> 37.4755 </t>
  </si>
  <si>
    <t xml:space="preserve">C:\Users\andre\Desktop\REACTIV CEFAS\Cromolyn\Cromolyn/20201203_Cefas_Test8_Run3/Plate 4/@17/E8_02.tif </t>
  </si>
  <si>
    <t xml:space="preserve"> 26972.4786 </t>
  </si>
  <si>
    <t xml:space="preserve"> 38.0826 </t>
  </si>
  <si>
    <t xml:space="preserve">C:\Users\andre\Desktop\REACTIV CEFAS\Cromolyn\Cromolyn/20201203_Cefas_Test8_Run3/Plate 4/@17/E8_03.tif </t>
  </si>
  <si>
    <t xml:space="preserve"> 30043.9236 </t>
  </si>
  <si>
    <t xml:space="preserve"> 37.0922 </t>
  </si>
  <si>
    <t xml:space="preserve">C:\Users\andre\Desktop\REACTIV CEFAS\Cromolyn\Cromolyn/20201203_Cefas_Test8_Run3/Plate 4/@17/F8_01.tif </t>
  </si>
  <si>
    <t xml:space="preserve"> 25415.1262 </t>
  </si>
  <si>
    <t xml:space="preserve"> 40.7379 </t>
  </si>
  <si>
    <t>C:\Users\andre\Desktop\REACTIV CEFAS\Cromolyn\Cromolyn/20201203_Cefas_Test8_Run3/Plate 4/@17/F8_02- exclu.tif</t>
  </si>
  <si>
    <t xml:space="preserve">C:\Users\andre\Desktop\REACTIV CEFAS\Cromolyn\Cromolyn/20201203_Cefas_Test8_Run3/Plate 4/@17/F8_03.tif </t>
  </si>
  <si>
    <t xml:space="preserve"> 17801.4033 </t>
  </si>
  <si>
    <t xml:space="preserve"> 42.3961 </t>
  </si>
  <si>
    <t xml:space="preserve">C:\Users\andre\Desktop\REACTIV CEFAS\Cromolyn\Cromolyn/20201203_Cefas_Test8_Run3/Plate 4/@17/G8_01.tif </t>
  </si>
  <si>
    <t xml:space="preserve"> 68783.0649 </t>
  </si>
  <si>
    <t xml:space="preserve"> 43.1881 </t>
  </si>
  <si>
    <t xml:space="preserve">C:\Users\andre\Desktop\REACTIV CEFAS\Cromolyn\Cromolyn/20201203_Cefas_Test8_Run3/Plate 4/@17/G8_02.tif </t>
  </si>
  <si>
    <t xml:space="preserve"> 63808.1892 </t>
  </si>
  <si>
    <t xml:space="preserve"> 45.3376 </t>
  </si>
  <si>
    <t xml:space="preserve">C:\Users\andre\Desktop\REACTIV CEFAS\Cromolyn\Cromolyn/20201203_Cefas_Test8_Run3/Plate 4/@17/G8_03.tif </t>
  </si>
  <si>
    <t xml:space="preserve"> 78970.7453 </t>
  </si>
  <si>
    <t xml:space="preserve"> 48.751 </t>
  </si>
  <si>
    <t xml:space="preserve">C:\Users\andre\Desktop\REACTIV CEFAS\Cromolyn\Cromolyn/20201203_Cefas_Test8_Run3/Plate 4/@17/H8_01.tif </t>
  </si>
  <si>
    <t xml:space="preserve"> 28746.13 </t>
  </si>
  <si>
    <t xml:space="preserve"> 36.5937 </t>
  </si>
  <si>
    <t xml:space="preserve">C:\Users\andre\Desktop\REACTIV CEFAS\Cromolyn\Cromolyn/20201203_Cefas_Test8_Run3/Plate 4/@17/H8_02.tif </t>
  </si>
  <si>
    <t xml:space="preserve"> 30476.5215 </t>
  </si>
  <si>
    <t xml:space="preserve"> 35.4897 </t>
  </si>
  <si>
    <t xml:space="preserve">C:\Users\andre\Desktop\REACTIV CEFAS\Cromolyn\Cromolyn/20201203_Cefas_Test8_Run3/Plate 4/@17/H8_03.tif </t>
  </si>
  <si>
    <t xml:space="preserve"> 30692.8205 </t>
  </si>
  <si>
    <t xml:space="preserve"> 35.2389 </t>
  </si>
  <si>
    <t xml:space="preserve">C:\Users\andre\Desktop\REACTIV CEFAS\Cromolyn\Cromolyn/20201203_Cefas_Test8_Run3/Plate 4/@17/ </t>
  </si>
  <si>
    <t xml:space="preserve"> 41.037 </t>
  </si>
  <si>
    <t xml:space="preserve"> 3.8889 </t>
  </si>
  <si>
    <t xml:space="preserve"> 2159067.17 </t>
  </si>
  <si>
    <t xml:space="preserve"> 1137130.42 </t>
  </si>
  <si>
    <t xml:space="preserve">C:\Users\andre\Desktop\REACTIV CEFAS\Cromolyn\Cromolyn/20201203_Cefas_Test8_Run3/Plate 4/@18/A9_01.tif </t>
  </si>
  <si>
    <t xml:space="preserve"> 55372.5302 </t>
  </si>
  <si>
    <t xml:space="preserve"> 37.6059 </t>
  </si>
  <si>
    <t xml:space="preserve">C:\Users\andre\Desktop\REACTIV CEFAS\Cromolyn\Cromolyn/20201203_Cefas_Test8_Run3/Plate 4/@18/A9_02.tif </t>
  </si>
  <si>
    <t xml:space="preserve"> 40.3569 </t>
  </si>
  <si>
    <t xml:space="preserve">C:\Users\andre\Desktop\REACTIV CEFAS\Cromolyn\Cromolyn/20201203_Cefas_Test8_Run3/Plate 4/@18/A9_03.tif </t>
  </si>
  <si>
    <t xml:space="preserve"> 58552.1248 </t>
  </si>
  <si>
    <t xml:space="preserve"> 37.1936 </t>
  </si>
  <si>
    <t>C:\Users\andre\Desktop\REACTIV CEFAS\Cromolyn\Cromolyn/20201203_Cefas_Test8_Run3/Plate 4/@18/B9_01- exclu.tif</t>
  </si>
  <si>
    <t>C:\Users\andre\Desktop\REACTIV CEFAS\Cromolyn\Cromolyn/20201203_Cefas_Test8_Run3/Plate 4/@18/B9_02- exclu.tif</t>
  </si>
  <si>
    <t>C:\Users\andre\Desktop\REACTIV CEFAS\Cromolyn\Cromolyn/20201203_Cefas_Test8_Run3/Plate 4/@18/B9_03- exclu.tif</t>
  </si>
  <si>
    <t xml:space="preserve">C:\Users\andre\Desktop\REACTIV CEFAS\Cromolyn\Cromolyn/20201203_Cefas_Test8_Run3/Plate 4/@18/C9_01.tif </t>
  </si>
  <si>
    <t xml:space="preserve"> 35.7906 </t>
  </si>
  <si>
    <t xml:space="preserve">C:\Users\andre\Desktop\REACTIV CEFAS\Cromolyn\Cromolyn/20201203_Cefas_Test8_Run3/Plate 4/@18/C9_02.tif </t>
  </si>
  <si>
    <t xml:space="preserve"> 62272.4666 </t>
  </si>
  <si>
    <t xml:space="preserve"> 39.8044 </t>
  </si>
  <si>
    <t xml:space="preserve">C:\Users\andre\Desktop\REACTIV CEFAS\Cromolyn\Cromolyn/20201203_Cefas_Test8_Run3/Plate 4/@18/C9_03.tif </t>
  </si>
  <si>
    <t xml:space="preserve"> 59049.6123 </t>
  </si>
  <si>
    <t xml:space="preserve"> 38.144 </t>
  </si>
  <si>
    <t xml:space="preserve">C:\Users\andre\Desktop\REACTIV CEFAS\Cromolyn\Cromolyn/20201203_Cefas_Test8_Run3/Plate 4/@18/D9_01.tif </t>
  </si>
  <si>
    <t xml:space="preserve"> 11874.8122 </t>
  </si>
  <si>
    <t xml:space="preserve"> 37.9053 </t>
  </si>
  <si>
    <t xml:space="preserve">C:\Users\andre\Desktop\REACTIV CEFAS\Cromolyn\Cromolyn/20201203_Cefas_Test8_Run3/Plate 4/@18/D9_02.tif </t>
  </si>
  <si>
    <t xml:space="preserve"> 34.5138 </t>
  </si>
  <si>
    <t xml:space="preserve">C:\Users\andre\Desktop\REACTIV CEFAS\Cromolyn\Cromolyn/20201203_Cefas_Test8_Run3/Plate 4/@18/D9_03.tif </t>
  </si>
  <si>
    <t xml:space="preserve"> 33.3701 </t>
  </si>
  <si>
    <t xml:space="preserve">C:\Users\andre\Desktop\REACTIV CEFAS\Cromolyn\Cromolyn/20201203_Cefas_Test8_Run3/Plate 4/@18/E9_01.tif </t>
  </si>
  <si>
    <t xml:space="preserve"> 30779.3401 </t>
  </si>
  <si>
    <t xml:space="preserve"> 35.8335 </t>
  </si>
  <si>
    <t xml:space="preserve">C:\Users\andre\Desktop\REACTIV CEFAS\Cromolyn\Cromolyn/20201203_Cefas_Test8_Run3/Plate 4/@18/E9_02.tif </t>
  </si>
  <si>
    <t xml:space="preserve"> 36.8467 </t>
  </si>
  <si>
    <t xml:space="preserve">C:\Users\andre\Desktop\REACTIV CEFAS\Cromolyn\Cromolyn/20201203_Cefas_Test8_Run3/Plate 4/@18/E9_03.tif </t>
  </si>
  <si>
    <t xml:space="preserve"> 26583.1405 </t>
  </si>
  <si>
    <t xml:space="preserve"> 37.0968 </t>
  </si>
  <si>
    <t xml:space="preserve">C:\Users\andre\Desktop\REACTIV CEFAS\Cromolyn\Cromolyn/20201203_Cefas_Test8_Run3/Plate 4/@18/F9_01.tif </t>
  </si>
  <si>
    <t xml:space="preserve"> 7678.6126 </t>
  </si>
  <si>
    <t xml:space="preserve"> 32.8563 </t>
  </si>
  <si>
    <t xml:space="preserve">C:\Users\andre\Desktop\REACTIV CEFAS\Cromolyn\Cromolyn/20201203_Cefas_Test8_Run3/Plate 4/@18/F9_02.tif </t>
  </si>
  <si>
    <t xml:space="preserve"> 32.9 </t>
  </si>
  <si>
    <t xml:space="preserve">C:\Users\andre\Desktop\REACTIV CEFAS\Cromolyn\Cromolyn/20201203_Cefas_Test8_Run3/Plate 4/@18/F9_03.tif </t>
  </si>
  <si>
    <t xml:space="preserve"> 5342.584 </t>
  </si>
  <si>
    <t xml:space="preserve"> 32.6032 </t>
  </si>
  <si>
    <t xml:space="preserve">C:\Users\andre\Desktop\REACTIV CEFAS\Cromolyn\Cromolyn/20201203_Cefas_Test8_Run3/Plate 4/@18/G9_01.tif </t>
  </si>
  <si>
    <t xml:space="preserve"> 62423.8759 </t>
  </si>
  <si>
    <t xml:space="preserve"> 40.3673 </t>
  </si>
  <si>
    <t xml:space="preserve">C:\Users\andre\Desktop\REACTIV CEFAS\Cromolyn\Cromolyn/20201203_Cefas_Test8_Run3/Plate 4/@18/G9_02.tif </t>
  </si>
  <si>
    <t xml:space="preserve"> 68610.0258 </t>
  </si>
  <si>
    <t xml:space="preserve"> 37.9754 </t>
  </si>
  <si>
    <t xml:space="preserve">C:\Users\andre\Desktop\REACTIV CEFAS\Cromolyn\Cromolyn/20201203_Cefas_Test8_Run3/Plate 4/@18/G9_03.tif </t>
  </si>
  <si>
    <t xml:space="preserve"> 64889.6839 </t>
  </si>
  <si>
    <t xml:space="preserve"> 40.3443 </t>
  </si>
  <si>
    <t xml:space="preserve">C:\Users\andre\Desktop\REACTIV CEFAS\Cromolyn\Cromolyn/20201203_Cefas_Test8_Run3/Plate 4/@18/H9_01.tif </t>
  </si>
  <si>
    <t xml:space="preserve"> 53901.6974 </t>
  </si>
  <si>
    <t xml:space="preserve"> 38.8014 </t>
  </si>
  <si>
    <t xml:space="preserve">C:\Users\andre\Desktop\REACTIV CEFAS\Cromolyn\Cromolyn/20201203_Cefas_Test8_Run3/Plate 4/@18/H9_02.tif </t>
  </si>
  <si>
    <t xml:space="preserve"> 46763.8322 </t>
  </si>
  <si>
    <t xml:space="preserve"> 36.5231 </t>
  </si>
  <si>
    <t xml:space="preserve">C:\Users\andre\Desktop\REACTIV CEFAS\Cromolyn\Cromolyn/20201203_Cefas_Test8_Run3/Plate 4/@18/H9_03.tif </t>
  </si>
  <si>
    <t xml:space="preserve"> 62878.1037 </t>
  </si>
  <si>
    <t xml:space="preserve"> 39.0571 </t>
  </si>
  <si>
    <t xml:space="preserve">C:\Users\andre\Desktop\REACTIV CEFAS\Cromolyn\Cromolyn/20201203_Cefas_Test8_Run3/Plate 4/@18/ </t>
  </si>
  <si>
    <t xml:space="preserve"> 39.5335 </t>
  </si>
  <si>
    <t xml:space="preserve"> 7.3791 </t>
  </si>
  <si>
    <t xml:space="preserve"> 1481127.83 </t>
  </si>
  <si>
    <t xml:space="preserve"> 915304.053 </t>
  </si>
  <si>
    <t>C:\Users\andre\Desktop\REACTIV CEFAS\Cromolyn\Cromolyn/20201203_Cefas_Test8_Run3/Plate 4/@19/A10_01- exclu.tif</t>
  </si>
  <si>
    <t>C:\Users\andre\Desktop\REACTIV CEFAS\Cromolyn\Cromolyn/20201203_Cefas_Test8_Run3/Plate 4/@19/A10_02- exclu.tif</t>
  </si>
  <si>
    <t>C:\Users\andre\Desktop\REACTIV CEFAS\Cromolyn\Cromolyn/20201203_Cefas_Test8_Run3/Plate 4/@19/A10_03- exclu.tif</t>
  </si>
  <si>
    <t xml:space="preserve">C:\Users\andre\Desktop\REACTIV CEFAS\Cromolyn\Cromolyn/20201203_Cefas_Test8_Run3/Plate 4/@19/B10_01.tif </t>
  </si>
  <si>
    <t xml:space="preserve"> 23035.8378 </t>
  </si>
  <si>
    <t xml:space="preserve"> 36.9315 </t>
  </si>
  <si>
    <t xml:space="preserve">C:\Users\andre\Desktop\REACTIV CEFAS\Cromolyn\Cromolyn/20201203_Cefas_Test8_Run3/Plate 4/@19/B10_02.tif </t>
  </si>
  <si>
    <t xml:space="preserve"> 31536.3864 </t>
  </si>
  <si>
    <t xml:space="preserve"> 38.3032 </t>
  </si>
  <si>
    <t xml:space="preserve">C:\Users\andre\Desktop\REACTIV CEFAS\Cromolyn\Cromolyn/20201203_Cefas_Test8_Run3/Plate 4/@19/B10_03.tif </t>
  </si>
  <si>
    <t xml:space="preserve"> 25588.1653 </t>
  </si>
  <si>
    <t xml:space="preserve"> 36.0245 </t>
  </si>
  <si>
    <t xml:space="preserve">C:\Users\andre\Desktop\REACTIV CEFAS\Cromolyn\Cromolyn/20201203_Cefas_Test8_Run3/Plate 4/@19/C10_01.tif </t>
  </si>
  <si>
    <t xml:space="preserve"> 77521.5423 </t>
  </si>
  <si>
    <t xml:space="preserve"> 45.373 </t>
  </si>
  <si>
    <t xml:space="preserve">C:\Users\andre\Desktop\REACTIV CEFAS\Cromolyn\Cromolyn/20201203_Cefas_Test8_Run3/Plate 4/@19/C10_02.tif </t>
  </si>
  <si>
    <t xml:space="preserve"> 75120.624 </t>
  </si>
  <si>
    <t xml:space="preserve"> 46.3516 </t>
  </si>
  <si>
    <t xml:space="preserve">C:\Users\andre\Desktop\REACTIV CEFAS\Cromolyn\Cromolyn/20201203_Cefas_Test8_Run3/Plate 4/@19/C10_03.tif </t>
  </si>
  <si>
    <t xml:space="preserve"> 64262.4169 </t>
  </si>
  <si>
    <t xml:space="preserve"> 43.897 </t>
  </si>
  <si>
    <t xml:space="preserve">C:\Users\andre\Desktop\REACTIV CEFAS\Cromolyn\Cromolyn/20201203_Cefas_Test8_Run3/Plate 4/@19/D10_01.tif </t>
  </si>
  <si>
    <t xml:space="preserve"> 4088.0501 </t>
  </si>
  <si>
    <t xml:space="preserve"> 31.1005 </t>
  </si>
  <si>
    <t xml:space="preserve">C:\Users\andre\Desktop\REACTIV CEFAS\Cromolyn\Cromolyn/20201203_Cefas_Test8_Run3/Plate 4/@19/D10_02.tif </t>
  </si>
  <si>
    <t xml:space="preserve"> 31.4254 </t>
  </si>
  <si>
    <t xml:space="preserve">C:\Users\andre\Desktop\REACTIV CEFAS\Cromolyn\Cromolyn/20201203_Cefas_Test8_Run3/Plate 4/@19/D10_03.tif </t>
  </si>
  <si>
    <t xml:space="preserve"> 32.0711 </t>
  </si>
  <si>
    <t>C:\Users\andre\Desktop\REACTIV CEFAS\Cromolyn\Cromolyn/20201203_Cefas_Test8_Run3/Plate 4/@19/E10_01- exclu.tif</t>
  </si>
  <si>
    <t>C:\Users\andre\Desktop\REACTIV CEFAS\Cromolyn\Cromolyn/20201203_Cefas_Test8_Run3/Plate 4/@19/E10_02- exclu.tif</t>
  </si>
  <si>
    <t>C:\Users\andre\Desktop\REACTIV CEFAS\Cromolyn\Cromolyn/20201203_Cefas_Test8_Run3/Plate 4/@19/E10_03- exclu.tif</t>
  </si>
  <si>
    <t xml:space="preserve">C:\Users\andre\Desktop\REACTIV CEFAS\Cromolyn\Cromolyn/20201203_Cefas_Test8_Run3/Plate 4/@19/F10_01.tif </t>
  </si>
  <si>
    <t xml:space="preserve"> 38.1496 </t>
  </si>
  <si>
    <t xml:space="preserve">C:\Users\andre\Desktop\REACTIV CEFAS\Cromolyn\Cromolyn/20201203_Cefas_Test8_Run3/Plate 4/@19/F10_02.tif </t>
  </si>
  <si>
    <t xml:space="preserve"> 48364.4444 </t>
  </si>
  <si>
    <t xml:space="preserve"> 36.2509 </t>
  </si>
  <si>
    <t xml:space="preserve">C:\Users\andre\Desktop\REACTIV CEFAS\Cromolyn\Cromolyn/20201203_Cefas_Test8_Run3/Plate 4/@19/F10_03.tif </t>
  </si>
  <si>
    <t xml:space="preserve"> 48688.8928 </t>
  </si>
  <si>
    <t xml:space="preserve"> 38.2283 </t>
  </si>
  <si>
    <t xml:space="preserve">C:\Users\andre\Desktop\REACTIV CEFAS\Cromolyn\Cromolyn/20201203_Cefas_Test8_Run3/Plate 4/@19/G10_01.tif </t>
  </si>
  <si>
    <t xml:space="preserve"> 34845.7602 </t>
  </si>
  <si>
    <t xml:space="preserve"> 37.5196 </t>
  </si>
  <si>
    <t xml:space="preserve">C:\Users\andre\Desktop\REACTIV CEFAS\Cromolyn\Cromolyn/20201203_Cefas_Test8_Run3/Plate 4/@19/G10_02.tif </t>
  </si>
  <si>
    <t xml:space="preserve"> 46352.8642 </t>
  </si>
  <si>
    <t xml:space="preserve"> 38.1857 </t>
  </si>
  <si>
    <t xml:space="preserve">C:\Users\andre\Desktop\REACTIV CEFAS\Cromolyn\Cromolyn/20201203_Cefas_Test8_Run3/Plate 4/@19/G10_03.tif </t>
  </si>
  <si>
    <t xml:space="preserve"> 45747.2271 </t>
  </si>
  <si>
    <t xml:space="preserve"> 39.1565 </t>
  </si>
  <si>
    <t xml:space="preserve">C:\Users\andre\Desktop\REACTIV CEFAS\Cromolyn\Cromolyn/20201203_Cefas_Test8_Run3/Plate 4/@19/H10_01.tif </t>
  </si>
  <si>
    <t xml:space="preserve"> 11485.474 </t>
  </si>
  <si>
    <t xml:space="preserve"> 33.3522 </t>
  </si>
  <si>
    <t xml:space="preserve">C:\Users\andre\Desktop\REACTIV CEFAS\Cromolyn\Cromolyn/20201203_Cefas_Test8_Run3/Plate 4/@19/H10_02.tif </t>
  </si>
  <si>
    <t xml:space="preserve"> 13367.2749 </t>
  </si>
  <si>
    <t xml:space="preserve"> 32.8091 </t>
  </si>
  <si>
    <t xml:space="preserve">C:\Users\andre\Desktop\REACTIV CEFAS\Cromolyn\Cromolyn/20201203_Cefas_Test8_Run3/Plate 4/@19/H10_03.tif </t>
  </si>
  <si>
    <t xml:space="preserve"> 32.6684 </t>
  </si>
  <si>
    <t xml:space="preserve">C:\Users\andre\Desktop\REACTIV CEFAS\Cromolyn\Cromolyn/20201203_Cefas_Test8_Run3/Plate 4/@19/ </t>
  </si>
  <si>
    <t xml:space="preserve"> 37.829 </t>
  </si>
  <si>
    <t xml:space="preserve"> 4.2352 </t>
  </si>
  <si>
    <t xml:space="preserve"> 1322532.96 </t>
  </si>
  <si>
    <t xml:space="preserve"> 968113.297 </t>
  </si>
  <si>
    <t xml:space="preserve">C:\Users\andre\Desktop\REACTIV CEFAS\Cromolyn\Cromolyn/20201203_Cefas_Test8_Run3/Plate 4/@20/A11_01.tif </t>
  </si>
  <si>
    <t xml:space="preserve"> 47412.729 </t>
  </si>
  <si>
    <t xml:space="preserve"> 40.2094 </t>
  </si>
  <si>
    <t xml:space="preserve">C:\Users\andre\Desktop\REACTIV CEFAS\Cromolyn\Cromolyn/20201203_Cefas_Test8_Run3/Plate 4/@20/A11_02.tif </t>
  </si>
  <si>
    <t xml:space="preserve"> 47369.4692 </t>
  </si>
  <si>
    <t xml:space="preserve"> 40.689 </t>
  </si>
  <si>
    <t xml:space="preserve">C:\Users\andre\Desktop\REACTIV CEFAS\Cromolyn\Cromolyn/20201203_Cefas_Test8_Run3/Plate 4/@20/A11_03.tif </t>
  </si>
  <si>
    <t xml:space="preserve"> 52214.5656 </t>
  </si>
  <si>
    <t xml:space="preserve"> 40.9582 </t>
  </si>
  <si>
    <t xml:space="preserve">C:\Users\andre\Desktop\REACTIV CEFAS\Cromolyn\Cromolyn/20201203_Cefas_Test8_Run3/Plate 4/@20/B11_01.tif </t>
  </si>
  <si>
    <t xml:space="preserve"> 2314.3987 </t>
  </si>
  <si>
    <t xml:space="preserve"> 33.6075 </t>
  </si>
  <si>
    <t xml:space="preserve">C:\Users\andre\Desktop\REACTIV CEFAS\Cromolyn\Cromolyn/20201203_Cefas_Test8_Run3/Plate 4/@20/B11_02.tif </t>
  </si>
  <si>
    <t xml:space="preserve"> 3741.9718 </t>
  </si>
  <si>
    <t xml:space="preserve"> 36.2832 </t>
  </si>
  <si>
    <t xml:space="preserve">C:\Users\andre\Desktop\REACTIV CEFAS\Cromolyn\Cromolyn/20201203_Cefas_Test8_Run3/Plate 4/@20/B11_03.tif </t>
  </si>
  <si>
    <t xml:space="preserve"> 389.3381 </t>
  </si>
  <si>
    <t xml:space="preserve"> 32.8889 </t>
  </si>
  <si>
    <t xml:space="preserve">C:\Users\andre\Desktop\REACTIV CEFAS\Cromolyn\Cromolyn/20201203_Cefas_Test8_Run3/Plate 4/@20/C11_01.tif </t>
  </si>
  <si>
    <t xml:space="preserve"> 21932.7132 </t>
  </si>
  <si>
    <t xml:space="preserve"> 39.3955 </t>
  </si>
  <si>
    <t xml:space="preserve">C:\Users\andre\Desktop\REACTIV CEFAS\Cromolyn\Cromolyn/20201203_Cefas_Test8_Run3/Plate 4/@20/C11_02.tif </t>
  </si>
  <si>
    <t xml:space="preserve"> 26431.7312 </t>
  </si>
  <si>
    <t xml:space="preserve"> 41.0516 </t>
  </si>
  <si>
    <t xml:space="preserve">C:\Users\andre\Desktop\REACTIV CEFAS\Cromolyn\Cromolyn/20201203_Cefas_Test8_Run3/Plate 4/@20/C11_03.tif </t>
  </si>
  <si>
    <t xml:space="preserve"> 33612.8563 </t>
  </si>
  <si>
    <t xml:space="preserve"> 41.8095 </t>
  </si>
  <si>
    <t xml:space="preserve">C:\Users\andre\Desktop\REACTIV CEFAS\Cromolyn\Cromolyn/20201203_Cefas_Test8_Run3/Plate 4/@20/D11_01.tif </t>
  </si>
  <si>
    <t xml:space="preserve"> 10858.2071 </t>
  </si>
  <si>
    <t xml:space="preserve"> 32.3307 </t>
  </si>
  <si>
    <t xml:space="preserve">C:\Users\andre\Desktop\REACTIV CEFAS\Cromolyn\Cromolyn/20201203_Cefas_Test8_Run3/Plate 4/@20/D11_02.tif </t>
  </si>
  <si>
    <t xml:space="preserve"> 32.836 </t>
  </si>
  <si>
    <t xml:space="preserve">C:\Users\andre\Desktop\REACTIV CEFAS\Cromolyn\Cromolyn/20201203_Cefas_Test8_Run3/Plate 4/@20/D11_03.tif </t>
  </si>
  <si>
    <t xml:space="preserve"> 22624.8698 </t>
  </si>
  <si>
    <t xml:space="preserve"> 40.0096 </t>
  </si>
  <si>
    <t xml:space="preserve">C:\Users\andre\Desktop\REACTIV CEFAS\Cromolyn\Cromolyn/20201203_Cefas_Test8_Run3/Plate 4/@20/E11_01.tif </t>
  </si>
  <si>
    <t xml:space="preserve"> 46093.3055 </t>
  </si>
  <si>
    <t xml:space="preserve"> 38.1154 </t>
  </si>
  <si>
    <t xml:space="preserve">C:\Users\andre\Desktop\REACTIV CEFAS\Cromolyn\Cromolyn/20201203_Cefas_Test8_Run3/Plate 4/@20/E11_02.tif </t>
  </si>
  <si>
    <t xml:space="preserve"> 43714.017 </t>
  </si>
  <si>
    <t xml:space="preserve"> 36.7021 </t>
  </si>
  <si>
    <t xml:space="preserve">C:\Users\andre\Desktop\REACTIV CEFAS\Cromolyn\Cromolyn/20201203_Cefas_Test8_Run3/Plate 4/@20/E11_03.tif </t>
  </si>
  <si>
    <t xml:space="preserve"> 56583.8043 </t>
  </si>
  <si>
    <t xml:space="preserve"> 39.6449 </t>
  </si>
  <si>
    <t>C:\Users\andre\Desktop\REACTIV CEFAS\Cromolyn\Cromolyn/20201203_Cefas_Test8_Run3/Plate 4/@20/F11_01- exclu.tif</t>
  </si>
  <si>
    <t xml:space="preserve">C:\Users\andre\Desktop\REACTIV CEFAS\Cromolyn\Cromolyn/20201203_Cefas_Test8_Run3/Plate 4/@20/F11_02.tif </t>
  </si>
  <si>
    <t xml:space="preserve"> 44687.3623 </t>
  </si>
  <si>
    <t xml:space="preserve"> 38.4714 </t>
  </si>
  <si>
    <t xml:space="preserve">C:\Users\andre\Desktop\REACTIV CEFAS\Cromolyn\Cromolyn/20201203_Cefas_Test8_Run3/Plate 4/@20/F11_03.tif </t>
  </si>
  <si>
    <t xml:space="preserve"> 26648.0302 </t>
  </si>
  <si>
    <t xml:space="preserve"> 34.5463 </t>
  </si>
  <si>
    <t xml:space="preserve">C:\Users\andre\Desktop\REACTIV CEFAS\Cromolyn\Cromolyn/20201203_Cefas_Test8_Run3/Plate 4/@20/G11_01.tif </t>
  </si>
  <si>
    <t xml:space="preserve"> 18125.8517 </t>
  </si>
  <si>
    <t xml:space="preserve"> 33.4857 </t>
  </si>
  <si>
    <t xml:space="preserve">C:\Users\andre\Desktop\REACTIV CEFAS\Cromolyn\Cromolyn/20201203_Cefas_Test8_Run3/Plate 4/@20/G11_02.tif </t>
  </si>
  <si>
    <t xml:space="preserve"> 23771.2542 </t>
  </si>
  <si>
    <t xml:space="preserve"> 36.0246 </t>
  </si>
  <si>
    <t xml:space="preserve">C:\Users\andre\Desktop\REACTIV CEFAS\Cromolyn\Cromolyn/20201203_Cefas_Test8_Run3/Plate 4/@20/G11_03.tif </t>
  </si>
  <si>
    <t xml:space="preserve"> 25804.4643 </t>
  </si>
  <si>
    <t xml:space="preserve"> 35.3822 </t>
  </si>
  <si>
    <t xml:space="preserve">C:\Users\andre\Desktop\REACTIV CEFAS\Cromolyn\Cromolyn/20201203_Cefas_Test8_Run3/Plate 4/@20/H11_01.tif </t>
  </si>
  <si>
    <t xml:space="preserve"> 54507.3345 </t>
  </si>
  <si>
    <t xml:space="preserve"> 37.7869 </t>
  </si>
  <si>
    <t xml:space="preserve">C:\Users\andre\Desktop\REACTIV CEFAS\Cromolyn\Cromolyn/20201203_Cefas_Test8_Run3/Plate 4/@20/H11_02.tif </t>
  </si>
  <si>
    <t xml:space="preserve"> 58162.7867 </t>
  </si>
  <si>
    <t xml:space="preserve"> 36.8096 </t>
  </si>
  <si>
    <t xml:space="preserve">C:\Users\andre\Desktop\REACTIV CEFAS\Cromolyn\Cromolyn/20201203_Cefas_Test8_Run3/Plate 4/@20/H11_03.tif </t>
  </si>
  <si>
    <t xml:space="preserve"> 51717.0781 </t>
  </si>
  <si>
    <t xml:space="preserve"> 35.9569 </t>
  </si>
  <si>
    <t xml:space="preserve">C:\Users\andre\Desktop\REACTIV CEFAS\Cromolyn\Cromolyn/20201203_Cefas_Test8_Run3/Plate 4/@20/ </t>
  </si>
  <si>
    <t xml:space="preserve"> 36.9721 </t>
  </si>
  <si>
    <t xml:space="preserve"> 3.0779 </t>
  </si>
  <si>
    <t xml:space="preserve"> 1161922.75 </t>
  </si>
  <si>
    <t xml:space="preserve"> 757058.395 </t>
  </si>
  <si>
    <t xml:space="preserve">C:\Users\andre\Desktop\REACTIV CEFAS\Cromolyn\Cromolyn/20201203_Cefas_Test8_Run3/Plate 4/@21/A12_01.tif </t>
  </si>
  <si>
    <t xml:space="preserve"> 43605.8676 </t>
  </si>
  <si>
    <t xml:space="preserve"> 36.7654 </t>
  </si>
  <si>
    <t xml:space="preserve">C:\Users\andre\Desktop\REACTIV CEFAS\Cromolyn\Cromolyn/20201203_Cefas_Test8_Run3/Plate 4/@21/A12_02.tif </t>
  </si>
  <si>
    <t xml:space="preserve"> 50549.0637 </t>
  </si>
  <si>
    <t xml:space="preserve"> 39.8344 </t>
  </si>
  <si>
    <t xml:space="preserve">C:\Users\andre\Desktop\REACTIV CEFAS\Cromolyn\Cromolyn/20201203_Cefas_Test8_Run3/Plate 4/@21/A12_03.tif </t>
  </si>
  <si>
    <t xml:space="preserve"> 44060.0954 </t>
  </si>
  <si>
    <t xml:space="preserve"> 37.9013 </t>
  </si>
  <si>
    <t xml:space="preserve">C:\Users\andre\Desktop\REACTIV CEFAS\Cromolyn\Cromolyn/20201203_Cefas_Test8_Run3/Plate 4/@21/B12_01.tif </t>
  </si>
  <si>
    <t xml:space="preserve"> 53728.6583 </t>
  </si>
  <si>
    <t xml:space="preserve"> 39.5745 </t>
  </si>
  <si>
    <t xml:space="preserve">C:\Users\andre\Desktop\REACTIV CEFAS\Cromolyn\Cromolyn/20201203_Cefas_Test8_Run3/Plate 4/@21/B12_02.tif </t>
  </si>
  <si>
    <t xml:space="preserve"> 53577.249 </t>
  </si>
  <si>
    <t xml:space="preserve"> 39.2144 </t>
  </si>
  <si>
    <t xml:space="preserve">C:\Users\andre\Desktop\REACTIV CEFAS\Cromolyn\Cromolyn/20201203_Cefas_Test8_Run3/Plate 4/@21/B12_03.tif </t>
  </si>
  <si>
    <t xml:space="preserve"> 55632.089 </t>
  </si>
  <si>
    <t xml:space="preserve"> 39.4149 </t>
  </si>
  <si>
    <t xml:space="preserve">C:\Users\andre\Desktop\REACTIV CEFAS\Cromolyn\Cromolyn/20201203_Cefas_Test8_Run3/Plate 4/@21/C12_01.tif </t>
  </si>
  <si>
    <t xml:space="preserve"> 29027.3186 </t>
  </si>
  <si>
    <t xml:space="preserve"> 35.4411 </t>
  </si>
  <si>
    <t xml:space="preserve">C:\Users\andre\Desktop\REACTIV CEFAS\Cromolyn\Cromolyn/20201203_Cefas_Test8_Run3/Plate 4/@21/C12_02.tif </t>
  </si>
  <si>
    <t xml:space="preserve"> 40880.5008 </t>
  </si>
  <si>
    <t xml:space="preserve"> 36.2222 </t>
  </si>
  <si>
    <t xml:space="preserve">C:\Users\andre\Desktop\REACTIV CEFAS\Cromolyn\Cromolyn/20201203_Cefas_Test8_Run3/Plate 4/@21/C12_03.tif </t>
  </si>
  <si>
    <t xml:space="preserve"> 42091.7749 </t>
  </si>
  <si>
    <t xml:space="preserve"> 36.5036 </t>
  </si>
  <si>
    <t xml:space="preserve">C:\Users\andre\Desktop\REACTIV CEFAS\Cromolyn\Cromolyn/20201203_Cefas_Test8_Run3/Plate 4/@21/D12_01.tif </t>
  </si>
  <si>
    <t xml:space="preserve"> 45401.1488 </t>
  </si>
  <si>
    <t xml:space="preserve"> 41.6203 </t>
  </si>
  <si>
    <t xml:space="preserve">C:\Users\andre\Desktop\REACTIV CEFAS\Cromolyn\Cromolyn/20201203_Cefas_Test8_Run3/Plate 4/@21/D12_02.tif </t>
  </si>
  <si>
    <t xml:space="preserve"> 47910.2166 </t>
  </si>
  <si>
    <t xml:space="preserve"> 39.9607 </t>
  </si>
  <si>
    <t xml:space="preserve">C:\Users\andre\Desktop\REACTIV CEFAS\Cromolyn\Cromolyn/20201203_Cefas_Test8_Run3/Plate 4/@21/D12_03.tif </t>
  </si>
  <si>
    <t xml:space="preserve"> 48753.7825 </t>
  </si>
  <si>
    <t xml:space="preserve"> 38.7786 </t>
  </si>
  <si>
    <t xml:space="preserve">C:\Users\andre\Desktop\REACTIV CEFAS\Cromolyn\Cromolyn/20201203_Cefas_Test8_Run3/Plate 4/@21/E12_01.tif </t>
  </si>
  <si>
    <t xml:space="preserve"> 18471.93 </t>
  </si>
  <si>
    <t xml:space="preserve"> 37.671 </t>
  </si>
  <si>
    <t xml:space="preserve">C:\Users\andre\Desktop\REACTIV CEFAS\Cromolyn\Cromolyn/20201203_Cefas_Test8_Run3/Plate 4/@21/E12_02.tif </t>
  </si>
  <si>
    <t xml:space="preserve"> 21954.343 </t>
  </si>
  <si>
    <t xml:space="preserve"> 35.1291 </t>
  </si>
  <si>
    <t xml:space="preserve">C:\Users\andre\Desktop\REACTIV CEFAS\Cromolyn\Cromolyn/20201203_Cefas_Test8_Run3/Plate 4/@21/E12_03.tif </t>
  </si>
  <si>
    <t xml:space="preserve"> 17996.0723 </t>
  </si>
  <si>
    <t xml:space="preserve"> 35.4315 </t>
  </si>
  <si>
    <t xml:space="preserve">C:\Users\andre\Desktop\REACTIV CEFAS\Cromolyn\Cromolyn/20201203_Cefas_Test8_Run3/Plate 4/@21/F12_01.tif </t>
  </si>
  <si>
    <t xml:space="preserve"> 41.7362 </t>
  </si>
  <si>
    <t xml:space="preserve">C:\Users\andre\Desktop\REACTIV CEFAS\Cromolyn\Cromolyn/20201203_Cefas_Test8_Run3/Plate 4/@21/F12_02.tif </t>
  </si>
  <si>
    <t xml:space="preserve"> 55999.7972 </t>
  </si>
  <si>
    <t xml:space="preserve"> 43.9988 </t>
  </si>
  <si>
    <t xml:space="preserve">C:\Users\andre\Desktop\REACTIV CEFAS\Cromolyn\Cromolyn/20201203_Cefas_Test8_Run3/Plate 4/@21/F12_03.tif </t>
  </si>
  <si>
    <t xml:space="preserve"> 62207.577 </t>
  </si>
  <si>
    <t xml:space="preserve"> 45.7705 </t>
  </si>
  <si>
    <t xml:space="preserve">C:\Users\andre\Desktop\REACTIV CEFAS\Cromolyn\Cromolyn/20201203_Cefas_Test8_Run3/Plate 4/@21/G12_01.tif </t>
  </si>
  <si>
    <t xml:space="preserve"> 39.3568 </t>
  </si>
  <si>
    <t xml:space="preserve">C:\Users\andre\Desktop\REACTIV CEFAS\Cromolyn\Cromolyn/20201203_Cefas_Test8_Run3/Plate 4/@21/G12_02.tif </t>
  </si>
  <si>
    <t xml:space="preserve"> 40577.6823 </t>
  </si>
  <si>
    <t xml:space="preserve"> 39.8635 </t>
  </si>
  <si>
    <t xml:space="preserve">C:\Users\andre\Desktop\REACTIV CEFAS\Cromolyn\Cromolyn/20201203_Cefas_Test8_Run3/Plate 4/@21/G12_03.tif </t>
  </si>
  <si>
    <t xml:space="preserve"> 44211.5046 </t>
  </si>
  <si>
    <t xml:space="preserve"> 41.2696 </t>
  </si>
  <si>
    <t xml:space="preserve">C:\Users\andre\Desktop\REACTIV CEFAS\Cromolyn\Cromolyn/20201203_Cefas_Test8_Run3/Plate 4/@21/H12_01.tif </t>
  </si>
  <si>
    <t xml:space="preserve"> 52301.0852 </t>
  </si>
  <si>
    <t xml:space="preserve"> 38.9673 </t>
  </si>
  <si>
    <t xml:space="preserve">C:\Users\andre\Desktop\REACTIV CEFAS\Cromolyn\Cromolyn/20201203_Cefas_Test8_Run3/Plate 4/@21/H12_02.tif </t>
  </si>
  <si>
    <t xml:space="preserve"> 55329.2705 </t>
  </si>
  <si>
    <t xml:space="preserve"> 39.0813 </t>
  </si>
  <si>
    <t xml:space="preserve">C:\Users\andre\Desktop\REACTIV CEFAS\Cromolyn\Cromolyn/20201203_Cefas_Test8_Run3/Plate 4/@21/H12_03.tif </t>
  </si>
  <si>
    <t xml:space="preserve"> 40.4531 </t>
  </si>
  <si>
    <t xml:space="preserve">C:\Users\andre\Desktop\REACTIV CEFAS\Cromolyn\Cromolyn/20201203_Cefas_Test8_Run3/Plate 4/@21/ </t>
  </si>
  <si>
    <t xml:space="preserve"> 39.165 </t>
  </si>
  <si>
    <t xml:space="preserve"> 2.6142 </t>
  </si>
  <si>
    <t xml:space="preserve"> 1790169.46 </t>
  </si>
  <si>
    <t xml:space="preserve"> 562151.805 </t>
  </si>
  <si>
    <t xml:space="preserve">C:\Users\andre\Desktop\REACTIV CEFAS\Cromolyn\Cromolyn/20201203_Cefas_Test8_Run3/Plate 4/@8/A2_01.tif </t>
  </si>
  <si>
    <t xml:space="preserve"> 9019.6661 </t>
  </si>
  <si>
    <t xml:space="preserve"> 42.3381 </t>
  </si>
  <si>
    <t>C:\Users\andre\Desktop\REACTIV CEFAS\Cromolyn\Cromolyn/20201203_Cefas_Test8_Run3/Plate 4/@8/A2_02- exclu.tif</t>
  </si>
  <si>
    <t xml:space="preserve">C:\Users\andre\Desktop\REACTIV CEFAS\Cromolyn\Cromolyn/20201203_Cefas_Test8_Run3/Plate 4/@8/A2_03.tif </t>
  </si>
  <si>
    <t xml:space="preserve"> 9430.6341 </t>
  </si>
  <si>
    <t xml:space="preserve"> 40.5803 </t>
  </si>
  <si>
    <t xml:space="preserve">C:\Users\andre\Desktop\REACTIV CEFAS\Cromolyn\Cromolyn/20201203_Cefas_Test8_Run3/Plate 4/@8/B2_01.tif </t>
  </si>
  <si>
    <t xml:space="preserve">C:\Users\andre\Desktop\REACTIV CEFAS\Cromolyn\Cromolyn/20201203_Cefas_Test8_Run3/Plate 4/@8/B2_02.tif </t>
  </si>
  <si>
    <t xml:space="preserve"> 36.5411 </t>
  </si>
  <si>
    <t xml:space="preserve">C:\Users\andre\Desktop\REACTIV CEFAS\Cromolyn\Cromolyn/20201203_Cefas_Test8_Run3/Plate 4/@8/B2_03.tif </t>
  </si>
  <si>
    <t xml:space="preserve"> 3828.4913 </t>
  </si>
  <si>
    <t xml:space="preserve"> 35.3107 </t>
  </si>
  <si>
    <t>C:\Users\andre\Desktop\REACTIV CEFAS\Cromolyn\Cromolyn/20201203_Cefas_Test8_Run3/Plate 4/@8/C2_01- exclu.tif</t>
  </si>
  <si>
    <t xml:space="preserve">C:\Users\andre\Desktop\REACTIV CEFAS\Cromolyn\Cromolyn/20201203_Cefas_Test8_Run3/Plate 4/@8/C2_02.tif </t>
  </si>
  <si>
    <t xml:space="preserve"> 2465.808 </t>
  </si>
  <si>
    <t xml:space="preserve"> 33.9123 </t>
  </si>
  <si>
    <t xml:space="preserve">C:\Users\andre\Desktop\REACTIV CEFAS\Cromolyn\Cromolyn/20201203_Cefas_Test8_Run3/Plate 4/@8/C2_03.tif </t>
  </si>
  <si>
    <t xml:space="preserve"> 2011.5802 </t>
  </si>
  <si>
    <t xml:space="preserve"> 35.4194 </t>
  </si>
  <si>
    <t xml:space="preserve">C:\Users\andre\Desktop\REACTIV CEFAS\Cromolyn\Cromolyn/20201203_Cefas_Test8_Run3/Plate 4/@8/D2_01.tif </t>
  </si>
  <si>
    <t xml:space="preserve"> 6186.1499 </t>
  </si>
  <si>
    <t xml:space="preserve"> 35.2028 </t>
  </si>
  <si>
    <t xml:space="preserve">C:\Users\andre\Desktop\REACTIV CEFAS\Cromolyn\Cromolyn/20201203_Cefas_Test8_Run3/Plate 4/@8/D2_02.tif </t>
  </si>
  <si>
    <t xml:space="preserve"> 35.5729 </t>
  </si>
  <si>
    <t xml:space="preserve">C:\Users\andre\Desktop\REACTIV CEFAS\Cromolyn\Cromolyn/20201203_Cefas_Test8_Run3/Plate 4/@8/D2_03.tif </t>
  </si>
  <si>
    <t xml:space="preserve"> 35.3977 </t>
  </si>
  <si>
    <t xml:space="preserve">C:\Users\andre\Desktop\REACTIV CEFAS\Cromolyn\Cromolyn/20201203_Cefas_Test8_Run3/Plate 4/@8/E2_01.tif </t>
  </si>
  <si>
    <t xml:space="preserve"> 34.2519 </t>
  </si>
  <si>
    <t xml:space="preserve">C:\Users\andre\Desktop\REACTIV CEFAS\Cromolyn\Cromolyn/20201203_Cefas_Test8_Run3/Plate 4/@8/E2_02.tif </t>
  </si>
  <si>
    <t xml:space="preserve"> 3417.5234 </t>
  </si>
  <si>
    <t xml:space="preserve"> 33.6203 </t>
  </si>
  <si>
    <t xml:space="preserve">C:\Users\andre\Desktop\REACTIV CEFAS\Cromolyn\Cromolyn/20201203_Cefas_Test8_Run3/Plate 4/@8/E2_03.tif </t>
  </si>
  <si>
    <t xml:space="preserve"> 3266.1141 </t>
  </si>
  <si>
    <t xml:space="preserve"> 36.4106 </t>
  </si>
  <si>
    <t xml:space="preserve">C:\Users\andre\Desktop\REACTIV CEFAS\Cromolyn\Cromolyn/20201203_Cefas_Test8_Run3/Plate 4/@8/F2_01.tif </t>
  </si>
  <si>
    <t xml:space="preserve"> 10923.0968 </t>
  </si>
  <si>
    <t xml:space="preserve"> 41.3069 </t>
  </si>
  <si>
    <t xml:space="preserve">C:\Users\andre\Desktop\REACTIV CEFAS\Cromolyn\Cromolyn/20201203_Cefas_Test8_Run3/Plate 4/@8/F2_02.tif </t>
  </si>
  <si>
    <t xml:space="preserve"> 44.6962 </t>
  </si>
  <si>
    <t xml:space="preserve">C:\Users\andre\Desktop\REACTIV CEFAS\Cromolyn\Cromolyn/20201203_Cefas_Test8_Run3/Plate 4/@8/F2_03.tif </t>
  </si>
  <si>
    <t xml:space="preserve"> 9365.7444 </t>
  </si>
  <si>
    <t xml:space="preserve"> 37.7621 </t>
  </si>
  <si>
    <t xml:space="preserve">C:\Users\andre\Desktop\REACTIV CEFAS\Cromolyn\Cromolyn/20201203_Cefas_Test8_Run3/Plate 4/@8/G2_01.tif </t>
  </si>
  <si>
    <t xml:space="preserve">C:\Users\andre\Desktop\REACTIV CEFAS\Cromolyn\Cromolyn/20201203_Cefas_Test8_Run3/Plate 4/@8/G2_02.tif </t>
  </si>
  <si>
    <t xml:space="preserve"> 6683.6374 </t>
  </si>
  <si>
    <t xml:space="preserve"> 41.6472 </t>
  </si>
  <si>
    <t xml:space="preserve">C:\Users\andre\Desktop\REACTIV CEFAS\Cromolyn\Cromolyn/20201203_Cefas_Test8_Run3/Plate 4/@8/G2_03.tif </t>
  </si>
  <si>
    <t xml:space="preserve"> 9344.1145 </t>
  </si>
  <si>
    <t xml:space="preserve"> 40.5463 </t>
  </si>
  <si>
    <t xml:space="preserve">C:\Users\andre\Desktop\REACTIV CEFAS\Cromolyn\Cromolyn/20201203_Cefas_Test8_Run3/Plate 4/@8/H2_01.tif </t>
  </si>
  <si>
    <t xml:space="preserve"> 36.3779 </t>
  </si>
  <si>
    <t xml:space="preserve">C:\Users\andre\Desktop\REACTIV CEFAS\Cromolyn\Cromolyn/20201203_Cefas_Test8_Run3/Plate 4/@8/H2_02.tif </t>
  </si>
  <si>
    <t xml:space="preserve"> 31.7436 </t>
  </si>
  <si>
    <t xml:space="preserve">C:\Users\andre\Desktop\REACTIV CEFAS\Cromolyn\Cromolyn/20201203_Cefas_Test8_Run3/Plate 4/@8/H2_03.tif </t>
  </si>
  <si>
    <t xml:space="preserve"> 4455.7583 </t>
  </si>
  <si>
    <t xml:space="preserve"> 35.5146 </t>
  </si>
  <si>
    <t xml:space="preserve">C:\Users\andre\Desktop\REACTIV CEFAS\Cromolyn\Cromolyn/20201203_Cefas_Test8_Run3/Plate 4/@8/ </t>
  </si>
  <si>
    <t xml:space="preserve"> 36.9301 </t>
  </si>
  <si>
    <t xml:space="preserve"> 3.4837 </t>
  </si>
  <si>
    <t xml:space="preserve"> 223740.542 </t>
  </si>
  <si>
    <t xml:space="preserve"> 142633.268 </t>
  </si>
  <si>
    <t xml:space="preserve">C:\Users\andre\Desktop\REACTIV CEFAS\Cromolyn\Cromolyn/20201203_Cefas_Test8_Run3/Plate 4/@9/A3_01.tif </t>
  </si>
  <si>
    <t xml:space="preserve">C:\Users\andre\Desktop\REACTIV CEFAS\Cromolyn\Cromolyn/20201203_Cefas_Test8_Run3/Plate 4/@9/A3_02.tif </t>
  </si>
  <si>
    <t xml:space="preserve">C:\Users\andre\Desktop\REACTIV CEFAS\Cromolyn\Cromolyn/20201203_Cefas_Test8_Run3/Plate 4/@9/A3_03.tif </t>
  </si>
  <si>
    <t xml:space="preserve">C:\Users\andre\Desktop\REACTIV CEFAS\Cromolyn\Cromolyn/20201203_Cefas_Test8_Run3/Plate 4/@9/B3_01.tif </t>
  </si>
  <si>
    <t xml:space="preserve"> 302.8185 </t>
  </si>
  <si>
    <t xml:space="preserve">C:\Users\andre\Desktop\REACTIV CEFAS\Cromolyn\Cromolyn/20201203_Cefas_Test8_Run3/Plate 4/@9/B3_02.tif </t>
  </si>
  <si>
    <t xml:space="preserve"> 346.0783 </t>
  </si>
  <si>
    <t xml:space="preserve"> 32.0625 </t>
  </si>
  <si>
    <t xml:space="preserve">C:\Users\andre\Desktop\REACTIV CEFAS\Cromolyn\Cromolyn/20201203_Cefas_Test8_Run3/Plate 4/@9/B3_03.tif </t>
  </si>
  <si>
    <t xml:space="preserve"> 31.6818 </t>
  </si>
  <si>
    <t xml:space="preserve">C:\Users\andre\Desktop\REACTIV CEFAS\Cromolyn\Cromolyn/20201203_Cefas_Test8_Run3/Plate 4/@9/C3_01.tif </t>
  </si>
  <si>
    <t xml:space="preserve"> 33.7248 </t>
  </si>
  <si>
    <t xml:space="preserve">C:\Users\andre\Desktop\REACTIV CEFAS\Cromolyn\Cromolyn/20201203_Cefas_Test8_Run3/Plate 4/@9/C3_02.tif </t>
  </si>
  <si>
    <t xml:space="preserve"> 36.0065 </t>
  </si>
  <si>
    <t xml:space="preserve">C:\Users\andre\Desktop\REACTIV CEFAS\Cromolyn\Cromolyn/20201203_Cefas_Test8_Run3/Plate 4/@9/C3_03.tif </t>
  </si>
  <si>
    <t xml:space="preserve"> 34.9962 </t>
  </si>
  <si>
    <t xml:space="preserve">C:\Users\andre\Desktop\REACTIV CEFAS\Cromolyn\Cromolyn/20201203_Cefas_Test8_Run3/Plate 4/@9/D3_01.tif </t>
  </si>
  <si>
    <t xml:space="preserve"> 2379.2884 </t>
  </si>
  <si>
    <t xml:space="preserve"> 33.0455 </t>
  </si>
  <si>
    <t xml:space="preserve">C:\Users\andre\Desktop\REACTIV CEFAS\Cromolyn\Cromolyn/20201203_Cefas_Test8_Run3/Plate 4/@9/D3_02.tif </t>
  </si>
  <si>
    <t xml:space="preserve"> 34.4348 </t>
  </si>
  <si>
    <t xml:space="preserve">C:\Users\andre\Desktop\REACTIV CEFAS\Cromolyn\Cromolyn/20201203_Cefas_Test8_Run3/Plate 4/@9/D3_03.tif </t>
  </si>
  <si>
    <t xml:space="preserve"> 3179.5945 </t>
  </si>
  <si>
    <t xml:space="preserve"> 33.4286 </t>
  </si>
  <si>
    <t xml:space="preserve">C:\Users\andre\Desktop\REACTIV CEFAS\Cromolyn\Cromolyn/20201203_Cefas_Test8_Run3/Plate 4/@9/E3_01.tif </t>
  </si>
  <si>
    <t xml:space="preserve"> 42.6806 </t>
  </si>
  <si>
    <t xml:space="preserve">C:\Users\andre\Desktop\REACTIV CEFAS\Cromolyn\Cromolyn/20201203_Cefas_Test8_Run3/Plate 4/@9/E3_02.tif </t>
  </si>
  <si>
    <t xml:space="preserve"> 40.996 </t>
  </si>
  <si>
    <t xml:space="preserve">C:\Users\andre\Desktop\REACTIV CEFAS\Cromolyn\Cromolyn/20201203_Cefas_Test8_Run3/Plate 4/@9/E3_03.tif </t>
  </si>
  <si>
    <t xml:space="preserve"> 9387.3743 </t>
  </si>
  <si>
    <t xml:space="preserve"> 44.9424 </t>
  </si>
  <si>
    <t xml:space="preserve">C:\Users\andre\Desktop\REACTIV CEFAS\Cromolyn\Cromolyn/20201203_Cefas_Test8_Run3/Plate 4/@9/F3_01.tif </t>
  </si>
  <si>
    <t xml:space="preserve"> 34.6709 </t>
  </si>
  <si>
    <t xml:space="preserve">C:\Users\andre\Desktop\REACTIV CEFAS\Cromolyn\Cromolyn/20201203_Cefas_Test8_Run3/Plate 4/@9/F3_02.tif </t>
  </si>
  <si>
    <t xml:space="preserve">C:\Users\andre\Desktop\REACTIV CEFAS\Cromolyn\Cromolyn/20201203_Cefas_Test8_Run3/Plate 4/@9/F3_03.tif </t>
  </si>
  <si>
    <t xml:space="preserve"> 1124.7545 </t>
  </si>
  <si>
    <t xml:space="preserve"> 32.0192 </t>
  </si>
  <si>
    <t xml:space="preserve">C:\Users\andre\Desktop\REACTIV CEFAS\Cromolyn\Cromolyn/20201203_Cefas_Test8_Run3/Plate 4/@9/G3_01.tif </t>
  </si>
  <si>
    <t xml:space="preserve"> 9192.7052 </t>
  </si>
  <si>
    <t xml:space="preserve"> 37.3176 </t>
  </si>
  <si>
    <t xml:space="preserve">C:\Users\andre\Desktop\REACTIV CEFAS\Cromolyn\Cromolyn/20201203_Cefas_Test8_Run3/Plate 4/@9/G3_02.tif </t>
  </si>
  <si>
    <t xml:space="preserve"> 5991.4808 </t>
  </si>
  <si>
    <t xml:space="preserve"> 37.1372 </t>
  </si>
  <si>
    <t xml:space="preserve">C:\Users\andre\Desktop\REACTIV CEFAS\Cromolyn\Cromolyn/20201203_Cefas_Test8_Run3/Plate 4/@9/G3_03.tif </t>
  </si>
  <si>
    <t xml:space="preserve"> 4563.9078 </t>
  </si>
  <si>
    <t xml:space="preserve"> 37.0853 </t>
  </si>
  <si>
    <t xml:space="preserve">C:\Users\andre\Desktop\REACTIV CEFAS\Cromolyn\Cromolyn/20201203_Cefas_Test8_Run3/Plate 4/@9/H3_01.tif </t>
  </si>
  <si>
    <t xml:space="preserve"> 39.3185 </t>
  </si>
  <si>
    <t xml:space="preserve">C:\Users\andre\Desktop\REACTIV CEFAS\Cromolyn\Cromolyn/20201203_Cefas_Test8_Run3/Plate 4/@9/H3_02.tif </t>
  </si>
  <si>
    <t xml:space="preserve"> 14232.4707 </t>
  </si>
  <si>
    <t xml:space="preserve"> 40.6687 </t>
  </si>
  <si>
    <t xml:space="preserve">C:\Users\andre\Desktop\REACTIV CEFAS\Cromolyn\Cromolyn/20201203_Cefas_Test8_Run3/Plate 4/@9/H3_03.tif </t>
  </si>
  <si>
    <t xml:space="preserve"> 13107.7161 </t>
  </si>
  <si>
    <t xml:space="preserve"> 41.2129 </t>
  </si>
  <si>
    <t xml:space="preserve">C:\Users\andre\Desktop\REACTIV CEFAS\Cromolyn\Cromolyn/20201203_Cefas_Test8_Run3/Plate 4/@9/ </t>
  </si>
  <si>
    <t xml:space="preserve"> 35.4392 </t>
  </si>
  <si>
    <t xml:space="preserve"> 4.323 </t>
  </si>
  <si>
    <t xml:space="preserve"> 188261.25 </t>
  </si>
  <si>
    <t xml:space="preserve"> 193336.272 </t>
  </si>
  <si>
    <t xml:space="preserve">C:\Users\andre\Desktop\REACTIV CEFAS\Cromolyn\Cromolyn/20201217_Cefas_Test10_Run1/Plate 1/@1/A10_01.tif </t>
  </si>
  <si>
    <t xml:space="preserve"> 39.5348 </t>
  </si>
  <si>
    <t>C:\Users\andre\Desktop\REACTIV CEFAS\Cromolyn\Cromolyn/20201217_Cefas_Test10_Run1/Plate 1/@1/A10_02- exclu.tif</t>
  </si>
  <si>
    <t xml:space="preserve">C:\Users\andre\Desktop\REACTIV CEFAS\Cromolyn\Cromolyn/20201217_Cefas_Test10_Run1/Plate 1/@1/A10_03.tif </t>
  </si>
  <si>
    <t xml:space="preserve"> 37.2823 </t>
  </si>
  <si>
    <t xml:space="preserve">C:\Users\andre\Desktop\REACTIV CEFAS\Cromolyn\Cromolyn/20201217_Cefas_Test10_Run1/Plate 1/@1/A10_04.tif </t>
  </si>
  <si>
    <t xml:space="preserve"> 37.3048 </t>
  </si>
  <si>
    <t xml:space="preserve">C:\Users\andre\Desktop\REACTIV CEFAS\Cromolyn\Cromolyn/20201217_Cefas_Test10_Run1/Plate 1/@1/B10_01.tif </t>
  </si>
  <si>
    <t xml:space="preserve"> 34.9157 </t>
  </si>
  <si>
    <t xml:space="preserve">C:\Users\andre\Desktop\REACTIV CEFAS\Cromolyn\Cromolyn/20201217_Cefas_Test10_Run1/Plate 1/@1/B10_02.tif </t>
  </si>
  <si>
    <t xml:space="preserve"> 34.0377 </t>
  </si>
  <si>
    <t xml:space="preserve">C:\Users\andre\Desktop\REACTIV CEFAS\Cromolyn\Cromolyn/20201217_Cefas_Test10_Run1/Plate 1/@1/B10_03.tif </t>
  </si>
  <si>
    <t xml:space="preserve"> 36.0537 </t>
  </si>
  <si>
    <t xml:space="preserve">C:\Users\andre\Desktop\REACTIV CEFAS\Cromolyn\Cromolyn/20201217_Cefas_Test10_Run1/Plate 1/@1/B10_04.tif </t>
  </si>
  <si>
    <t xml:space="preserve"> 34.1605 </t>
  </si>
  <si>
    <t xml:space="preserve">C:\Users\andre\Desktop\REACTIV CEFAS\Cromolyn\Cromolyn/20201217_Cefas_Test10_Run1/Plate 1/@1/C10_01.tif </t>
  </si>
  <si>
    <t xml:space="preserve"> 30.2 </t>
  </si>
  <si>
    <t xml:space="preserve">C:\Users\andre\Desktop\REACTIV CEFAS\Cromolyn\Cromolyn/20201217_Cefas_Test10_Run1/Plate 1/@1/C10_02.tif </t>
  </si>
  <si>
    <t xml:space="preserve"> 8500.5486 </t>
  </si>
  <si>
    <t xml:space="preserve"> 45.5267 </t>
  </si>
  <si>
    <t xml:space="preserve">C:\Users\andre\Desktop\REACTIV CEFAS\Cromolyn\Cromolyn/20201217_Cefas_Test10_Run1/Plate 1/@1/C10_03.tif </t>
  </si>
  <si>
    <t xml:space="preserve">C:\Users\andre\Desktop\REACTIV CEFAS\Cromolyn\Cromolyn/20201217_Cefas_Test10_Run1/Plate 1/@1/C10_04.tif </t>
  </si>
  <si>
    <t xml:space="preserve">C:\Users\andre\Desktop\REACTIV CEFAS\Cromolyn\Cromolyn/20201217_Cefas_Test10_Run1/Plate 1/@1/D10_01.tif </t>
  </si>
  <si>
    <t xml:space="preserve"> 10490.4989 </t>
  </si>
  <si>
    <t xml:space="preserve"> 36.7835 </t>
  </si>
  <si>
    <t xml:space="preserve">C:\Users\andre\Desktop\REACTIV CEFAS\Cromolyn\Cromolyn/20201217_Cefas_Test10_Run1/Plate 1/@1/D10_02.tif </t>
  </si>
  <si>
    <t xml:space="preserve"> 7743.5023 </t>
  </si>
  <si>
    <t xml:space="preserve"> 38.7709 </t>
  </si>
  <si>
    <t xml:space="preserve">C:\Users\andre\Desktop\REACTIV CEFAS\Cromolyn\Cromolyn/20201217_Cefas_Test10_Run1/Plate 1/@1/D10_03.tif </t>
  </si>
  <si>
    <t xml:space="preserve"> 39.9901 </t>
  </si>
  <si>
    <t xml:space="preserve">C:\Users\andre\Desktop\REACTIV CEFAS\Cromolyn\Cromolyn/20201217_Cefas_Test10_Run1/Plate 1/@1/D10_04.tif </t>
  </si>
  <si>
    <t xml:space="preserve"> 6835.0467 </t>
  </si>
  <si>
    <t xml:space="preserve"> 38.5854 </t>
  </si>
  <si>
    <t xml:space="preserve">C:\Users\andre\Desktop\REACTIV CEFAS\Cromolyn\Cromolyn/20201217_Cefas_Test10_Run1/Plate 1/@1/E10_01.tif </t>
  </si>
  <si>
    <t xml:space="preserve"> 6294.2993 </t>
  </si>
  <si>
    <t xml:space="preserve"> 43.4192 </t>
  </si>
  <si>
    <t xml:space="preserve">C:\Users\andre\Desktop\REACTIV CEFAS\Cromolyn\Cromolyn/20201217_Cefas_Test10_Run1/Plate 1/@1/E10_02.tif </t>
  </si>
  <si>
    <t xml:space="preserve"> 6575.488 </t>
  </si>
  <si>
    <t xml:space="preserve"> 45.7599 </t>
  </si>
  <si>
    <t xml:space="preserve">C:\Users\andre\Desktop\REACTIV CEFAS\Cromolyn\Cromolyn/20201217_Cefas_Test10_Run1/Plate 1/@1/E10_03.tif </t>
  </si>
  <si>
    <t xml:space="preserve"> 5450.7334 </t>
  </si>
  <si>
    <t xml:space="preserve"> 39.4246 </t>
  </si>
  <si>
    <t xml:space="preserve">C:\Users\andre\Desktop\REACTIV CEFAS\Cromolyn\Cromolyn/20201217_Cefas_Test10_Run1/Plate 1/@1/E10_04.tif </t>
  </si>
  <si>
    <t xml:space="preserve"> 6337.5591 </t>
  </si>
  <si>
    <t xml:space="preserve"> 42.3379 </t>
  </si>
  <si>
    <t xml:space="preserve">C:\Users\andre\Desktop\REACTIV CEFAS\Cromolyn\Cromolyn/20201217_Cefas_Test10_Run1/Plate 1/@1/F10_01.tif </t>
  </si>
  <si>
    <t xml:space="preserve"> 6359.189 </t>
  </si>
  <si>
    <t xml:space="preserve"> 38.2789 </t>
  </si>
  <si>
    <t xml:space="preserve">C:\Users\andre\Desktop\REACTIV CEFAS\Cromolyn\Cromolyn/20201217_Cefas_Test10_Run1/Plate 1/@1/F10_02.tif </t>
  </si>
  <si>
    <t xml:space="preserve"> 9646.933 </t>
  </si>
  <si>
    <t xml:space="preserve"> 44.0022 </t>
  </si>
  <si>
    <t xml:space="preserve">C:\Users\andre\Desktop\REACTIV CEFAS\Cromolyn\Cromolyn/20201217_Cefas_Test10_Run1/Plate 1/@1/F10_03.tif </t>
  </si>
  <si>
    <t xml:space="preserve"> 8803.3671 </t>
  </si>
  <si>
    <t xml:space="preserve"> 41.0885 </t>
  </si>
  <si>
    <t xml:space="preserve">C:\Users\andre\Desktop\REACTIV CEFAS\Cromolyn\Cromolyn/20201217_Cefas_Test10_Run1/Plate 1/@1/F10_04.tif </t>
  </si>
  <si>
    <t xml:space="preserve"> 6380.8189 </t>
  </si>
  <si>
    <t xml:space="preserve"> 37.7763 </t>
  </si>
  <si>
    <t xml:space="preserve">C:\Users\andre\Desktop\REACTIV CEFAS\Cromolyn\Cromolyn/20201217_Cefas_Test10_Run1/Plate 1/@1/G10_01.tif </t>
  </si>
  <si>
    <t xml:space="preserve"> 8284.2496 </t>
  </si>
  <si>
    <t xml:space="preserve"> 39.9765 </t>
  </si>
  <si>
    <t xml:space="preserve">C:\Users\andre\Desktop\REACTIV CEFAS\Cromolyn\Cromolyn/20201217_Cefas_Test10_Run1/Plate 1/@1/G10_02.tif </t>
  </si>
  <si>
    <t xml:space="preserve"> 5904.9612 </t>
  </si>
  <si>
    <t xml:space="preserve"> 37.5788 </t>
  </si>
  <si>
    <t xml:space="preserve">C:\Users\andre\Desktop\REACTIV CEFAS\Cromolyn\Cromolyn/20201217_Cefas_Test10_Run1/Plate 1/@1/G10_03.tif </t>
  </si>
  <si>
    <t xml:space="preserve"> 4412.4985 </t>
  </si>
  <si>
    <t xml:space="preserve"> 37.8284 </t>
  </si>
  <si>
    <t xml:space="preserve">C:\Users\andre\Desktop\REACTIV CEFAS\Cromolyn\Cromolyn/20201217_Cefas_Test10_Run1/Plate 1/@1/G10_04.tif </t>
  </si>
  <si>
    <t xml:space="preserve"> 11334.0648 </t>
  </si>
  <si>
    <t xml:space="preserve"> 41.7004 </t>
  </si>
  <si>
    <t xml:space="preserve">C:\Users\andre\Desktop\REACTIV CEFAS\Cromolyn\Cromolyn/20201217_Cefas_Test10_Run1/Plate 1/@1/H10_01.tif </t>
  </si>
  <si>
    <t xml:space="preserve"> 6078.0004 </t>
  </si>
  <si>
    <t xml:space="preserve"> 36.2598 </t>
  </si>
  <si>
    <t xml:space="preserve">C:\Users\andre\Desktop\REACTIV CEFAS\Cromolyn\Cromolyn/20201217_Cefas_Test10_Run1/Plate 1/@1/H10_02.tif </t>
  </si>
  <si>
    <t xml:space="preserve"> 30.375 </t>
  </si>
  <si>
    <t xml:space="preserve">C:\Users\andre\Desktop\REACTIV CEFAS\Cromolyn\Cromolyn/20201217_Cefas_Test10_Run1/Plate 1/@1/H10_03.tif </t>
  </si>
  <si>
    <t xml:space="preserve"> 5515.6231 </t>
  </si>
  <si>
    <t xml:space="preserve"> 40.1843 </t>
  </si>
  <si>
    <t xml:space="preserve">C:\Users\andre\Desktop\REACTIV CEFAS\Cromolyn\Cromolyn/20201217_Cefas_Test10_Run1/Plate 1/@1/H10_04.tif </t>
  </si>
  <si>
    <t xml:space="preserve"> 39.1603 </t>
  </si>
  <si>
    <t xml:space="preserve">C:\Users\andre\Desktop\REACTIV CEFAS\Cromolyn\Cromolyn/20201217_Cefas_Test10_Run1/Plate 1/@1/ </t>
  </si>
  <si>
    <t xml:space="preserve"> 36.8441 </t>
  </si>
  <si>
    <t xml:space="preserve"> 7.8914 </t>
  </si>
  <si>
    <t xml:space="preserve"> 233202.75 </t>
  </si>
  <si>
    <t xml:space="preserve"> 137729.762 </t>
  </si>
  <si>
    <t xml:space="preserve">C:\Users\andre\Desktop\REACTIV CEFAS\Cromolyn\Cromolyn/20201217_Cefas_Test10_Run1/Plate 1/@13/A8_01.tif </t>
  </si>
  <si>
    <t xml:space="preserve"> 41.1685 </t>
  </si>
  <si>
    <t xml:space="preserve">C:\Users\andre\Desktop\REACTIV CEFAS\Cromolyn\Cromolyn/20201217_Cefas_Test10_Run1/Plate 1/@13/A8_02.tif </t>
  </si>
  <si>
    <t xml:space="preserve"> 33.6587 </t>
  </si>
  <si>
    <t xml:space="preserve">C:\Users\andre\Desktop\REACTIV CEFAS\Cromolyn\Cromolyn/20201217_Cefas_Test10_Run1/Plate 1/@13/A8_03.tif </t>
  </si>
  <si>
    <t xml:space="preserve"> 7613.7229 </t>
  </si>
  <si>
    <t xml:space="preserve"> 40.0199 </t>
  </si>
  <si>
    <t xml:space="preserve">C:\Users\andre\Desktop\REACTIV CEFAS\Cromolyn\Cromolyn/20201217_Cefas_Test10_Run1/Plate 1/@13/A8_04.tif </t>
  </si>
  <si>
    <t xml:space="preserve"> 35.4292 </t>
  </si>
  <si>
    <t xml:space="preserve">C:\Users\andre\Desktop\REACTIV CEFAS\Cromolyn\Cromolyn/20201217_Cefas_Test10_Run1/Plate 1/@13/B8_01.tif </t>
  </si>
  <si>
    <t xml:space="preserve"> 42913.7109 </t>
  </si>
  <si>
    <t xml:space="preserve"> 37.5146 </t>
  </si>
  <si>
    <t xml:space="preserve">C:\Users\andre\Desktop\REACTIV CEFAS\Cromolyn\Cromolyn/20201217_Cefas_Test10_Run1/Plate 1/@13/B8_02.tif </t>
  </si>
  <si>
    <t xml:space="preserve"> 59785.0288 </t>
  </si>
  <si>
    <t xml:space="preserve"> 40.9801 </t>
  </si>
  <si>
    <t xml:space="preserve">C:\Users\andre\Desktop\REACTIV CEFAS\Cromolyn\Cromolyn/20201217_Cefas_Test10_Run1/Plate 1/@13/B8_03.tif </t>
  </si>
  <si>
    <t xml:space="preserve"> 56951.5126 </t>
  </si>
  <si>
    <t xml:space="preserve"> 38.8982 </t>
  </si>
  <si>
    <t xml:space="preserve">C:\Users\andre\Desktop\REACTIV CEFAS\Cromolyn\Cromolyn/20201217_Cefas_Test10_Run1/Plate 1/@13/B8_04.tif </t>
  </si>
  <si>
    <t xml:space="preserve"> 77716.2114 </t>
  </si>
  <si>
    <t xml:space="preserve"> 41.9385 </t>
  </si>
  <si>
    <t xml:space="preserve">C:\Users\andre\Desktop\REACTIV CEFAS\Cromolyn\Cromolyn/20201217_Cefas_Test10_Run1/Plate 1/@13/C8_01.tif </t>
  </si>
  <si>
    <t xml:space="preserve"> 45098.3303 </t>
  </si>
  <si>
    <t xml:space="preserve"> 39.1856 </t>
  </si>
  <si>
    <t xml:space="preserve">C:\Users\andre\Desktop\REACTIV CEFAS\Cromolyn\Cromolyn/20201217_Cefas_Test10_Run1/Plate 1/@13/C8_02.tif </t>
  </si>
  <si>
    <t xml:space="preserve"> 47109.9105 </t>
  </si>
  <si>
    <t xml:space="preserve"> 38.1253 </t>
  </si>
  <si>
    <t xml:space="preserve">C:\Users\andre\Desktop\REACTIV CEFAS\Cromolyn\Cromolyn/20201217_Cefas_Test10_Run1/Plate 1/@13/C8_03.tif </t>
  </si>
  <si>
    <t xml:space="preserve"> 47953.4764 </t>
  </si>
  <si>
    <t xml:space="preserve"> 37.4899 </t>
  </si>
  <si>
    <t xml:space="preserve">C:\Users\andre\Desktop\REACTIV CEFAS\Cromolyn\Cromolyn/20201217_Cefas_Test10_Run1/Plate 1/@13/C8_04.tif </t>
  </si>
  <si>
    <t xml:space="preserve"> 38.9088 </t>
  </si>
  <si>
    <t xml:space="preserve">C:\Users\andre\Desktop\REACTIV CEFAS\Cromolyn\Cromolyn/20201217_Cefas_Test10_Run1/Plate 1/@13/D8_01.tif </t>
  </si>
  <si>
    <t xml:space="preserve"> 54723.6334 </t>
  </si>
  <si>
    <t xml:space="preserve"> 45.0051 </t>
  </si>
  <si>
    <t>C:\Users\andre\Desktop\REACTIV CEFAS\Cromolyn\Cromolyn/20201217_Cefas_Test10_Run1/Plate 1/@13/D8_02- exclu.tif</t>
  </si>
  <si>
    <t xml:space="preserve">C:\Users\andre\Desktop\REACTIV CEFAS\Cromolyn\Cromolyn/20201217_Cefas_Test10_Run1/Plate 1/@13/D8_03.tif </t>
  </si>
  <si>
    <t xml:space="preserve"> 54399.185 </t>
  </si>
  <si>
    <t xml:space="preserve"> 45.8537 </t>
  </si>
  <si>
    <t xml:space="preserve">C:\Users\andre\Desktop\REACTIV CEFAS\Cromolyn\Cromolyn/20201217_Cefas_Test10_Run1/Plate 1/@13/D8_04.tif </t>
  </si>
  <si>
    <t xml:space="preserve"> 51176.3307 </t>
  </si>
  <si>
    <t xml:space="preserve"> 46.9484 </t>
  </si>
  <si>
    <t xml:space="preserve">C:\Users\andre\Desktop\REACTIV CEFAS\Cromolyn\Cromolyn/20201217_Cefas_Test10_Run1/Plate 1/@13/E8_01.tif </t>
  </si>
  <si>
    <t xml:space="preserve"> 18601.7094 </t>
  </si>
  <si>
    <t xml:space="preserve"> 35.343 </t>
  </si>
  <si>
    <t>C:\Users\andre\Desktop\REACTIV CEFAS\Cromolyn\Cromolyn/20201217_Cefas_Test10_Run1/Plate 1/@13/E8_02- exclu.tif</t>
  </si>
  <si>
    <t xml:space="preserve">C:\Users\andre\Desktop\REACTIV CEFAS\Cromolyn\Cromolyn/20201217_Cefas_Test10_Run1/Plate 1/@13/E8_03.tif </t>
  </si>
  <si>
    <t xml:space="preserve"> 23490.0656 </t>
  </si>
  <si>
    <t xml:space="preserve"> 36.0617 </t>
  </si>
  <si>
    <t xml:space="preserve">C:\Users\andre\Desktop\REACTIV CEFAS\Cromolyn\Cromolyn/20201217_Cefas_Test10_Run1/Plate 1/@13/E8_04.tif </t>
  </si>
  <si>
    <t xml:space="preserve"> 11571.9936 </t>
  </si>
  <si>
    <t xml:space="preserve"> 35.3196 </t>
  </si>
  <si>
    <t>C:\Users\andre\Desktop\REACTIV CEFAS\Cromolyn\Cromolyn/20201217_Cefas_Test10_Run1/Plate 1/@13/F8_01- exclu.tif</t>
  </si>
  <si>
    <t xml:space="preserve">C:\Users\andre\Desktop\REACTIV CEFAS\Cromolyn\Cromolyn/20201217_Cefas_Test10_Run1/Plate 1/@13/F8_02.tif </t>
  </si>
  <si>
    <t xml:space="preserve"> 42.2884 </t>
  </si>
  <si>
    <t xml:space="preserve">C:\Users\andre\Desktop\REACTIV CEFAS\Cromolyn\Cromolyn/20201217_Cefas_Test10_Run1/Plate 1/@13/F8_03.tif </t>
  </si>
  <si>
    <t xml:space="preserve"> 80333.4287 </t>
  </si>
  <si>
    <t xml:space="preserve"> 44.6117 </t>
  </si>
  <si>
    <t xml:space="preserve">C:\Users\andre\Desktop\REACTIV CEFAS\Cromolyn\Cromolyn/20201217_Cefas_Test10_Run1/Plate 1/@13/F8_04.tif </t>
  </si>
  <si>
    <t xml:space="preserve"> 78365.1082 </t>
  </si>
  <si>
    <t xml:space="preserve"> 43.4041 </t>
  </si>
  <si>
    <t xml:space="preserve">C:\Users\andre\Desktop\REACTIV CEFAS\Cromolyn\Cromolyn/20201217_Cefas_Test10_Run1/Plate 1/@13/G8_01.tif </t>
  </si>
  <si>
    <t xml:space="preserve"> 61450.5306 </t>
  </si>
  <si>
    <t xml:space="preserve"> 39.6586 </t>
  </si>
  <si>
    <t xml:space="preserve">C:\Users\andre\Desktop\REACTIV CEFAS\Cromolyn\Cromolyn/20201217_Cefas_Test10_Run1/Plate 1/@13/G8_02.tif </t>
  </si>
  <si>
    <t xml:space="preserve"> 39.0074 </t>
  </si>
  <si>
    <t xml:space="preserve">C:\Users\andre\Desktop\REACTIV CEFAS\Cromolyn\Cromolyn/20201217_Cefas_Test10_Run1/Plate 1/@13/G8_03.tif </t>
  </si>
  <si>
    <t xml:space="preserve"> 38.9423 </t>
  </si>
  <si>
    <t xml:space="preserve">C:\Users\andre\Desktop\REACTIV CEFAS\Cromolyn\Cromolyn/20201217_Cefas_Test10_Run1/Plate 1/@13/G8_04.tif </t>
  </si>
  <si>
    <t xml:space="preserve"> 45530.9282 </t>
  </si>
  <si>
    <t xml:space="preserve"> 36.439 </t>
  </si>
  <si>
    <t xml:space="preserve">C:\Users\andre\Desktop\REACTIV CEFAS\Cromolyn\Cromolyn/20201217_Cefas_Test10_Run1/Plate 1/@13/H8_01.tif </t>
  </si>
  <si>
    <t xml:space="preserve"> 76915.9053 </t>
  </si>
  <si>
    <t xml:space="preserve"> 47.7663 </t>
  </si>
  <si>
    <t>C:\Users\andre\Desktop\REACTIV CEFAS\Cromolyn\Cromolyn/20201217_Cefas_Test10_Run1/Plate 1/@13/H8_02- exclu.tif</t>
  </si>
  <si>
    <t>C:\Users\andre\Desktop\REACTIV CEFAS\Cromolyn\Cromolyn/20201217_Cefas_Test10_Run1/Plate 1/@13/H8_03- exclu.tif</t>
  </si>
  <si>
    <t xml:space="preserve">C:\Users\andre\Desktop\REACTIV CEFAS\Cromolyn\Cromolyn/20201217_Cefas_Test10_Run1/Plate 1/@13/H8_04.tif </t>
  </si>
  <si>
    <t xml:space="preserve"> 92338.0202 </t>
  </si>
  <si>
    <t xml:space="preserve"> 44.0412 </t>
  </si>
  <si>
    <t xml:space="preserve">C:\Users\andre\Desktop\REACTIV CEFAS\Cromolyn\Cromolyn/20201217_Cefas_Test10_Run1/Plate 1/@13/ </t>
  </si>
  <si>
    <t xml:space="preserve"> 40.4529 </t>
  </si>
  <si>
    <t xml:space="preserve"> 4.3915 </t>
  </si>
  <si>
    <t xml:space="preserve"> 2082927.84 </t>
  </si>
  <si>
    <t xml:space="preserve"> 1204866.54 </t>
  </si>
  <si>
    <t xml:space="preserve">C:\Users\andre\Desktop\REACTIV CEFAS\Cromolyn\Cromolyn/20201217_Cefas_Test10_Run1/Plate 1/@14/A9_01.tif </t>
  </si>
  <si>
    <t xml:space="preserve"> 22473.4605 </t>
  </si>
  <si>
    <t xml:space="preserve"> 35.6959 </t>
  </si>
  <si>
    <t xml:space="preserve">C:\Users\andre\Desktop\REACTIV CEFAS\Cromolyn\Cromolyn/20201217_Cefas_Test10_Run1/Plate 1/@14/A9_02.tif </t>
  </si>
  <si>
    <t xml:space="preserve"> 18709.8589 </t>
  </si>
  <si>
    <t xml:space="preserve"> 33.6335 </t>
  </si>
  <si>
    <t xml:space="preserve">C:\Users\andre\Desktop\REACTIV CEFAS\Cromolyn\Cromolyn/20201217_Cefas_Test10_Run1/Plate 1/@14/A9_03.tif </t>
  </si>
  <si>
    <t xml:space="preserve"> 34.4056 </t>
  </si>
  <si>
    <t xml:space="preserve">C:\Users\andre\Desktop\REACTIV CEFAS\Cromolyn\Cromolyn/20201217_Cefas_Test10_Run1/Plate 1/@14/A9_04.tif </t>
  </si>
  <si>
    <t xml:space="preserve"> 21565.0049 </t>
  </si>
  <si>
    <t xml:space="preserve"> 34.5356 </t>
  </si>
  <si>
    <t xml:space="preserve">C:\Users\andre\Desktop\REACTIV CEFAS\Cromolyn\Cromolyn/20201217_Cefas_Test10_Run1/Plate 1/@14/B9_01.tif </t>
  </si>
  <si>
    <t xml:space="preserve"> 6467.3385 </t>
  </si>
  <si>
    <t xml:space="preserve"> 37.2241 </t>
  </si>
  <si>
    <t xml:space="preserve">C:\Users\andre\Desktop\REACTIV CEFAS\Cromolyn\Cromolyn/20201217_Cefas_Test10_Run1/Plate 1/@14/B9_02.tif </t>
  </si>
  <si>
    <t xml:space="preserve"> 5667.0324 </t>
  </si>
  <si>
    <t xml:space="preserve"> 38.2786 </t>
  </si>
  <si>
    <t xml:space="preserve">C:\Users\andre\Desktop\REACTIV CEFAS\Cromolyn\Cromolyn/20201217_Cefas_Test10_Run1/Plate 1/@14/B9_03.tif </t>
  </si>
  <si>
    <t xml:space="preserve"> 35.3726 </t>
  </si>
  <si>
    <t xml:space="preserve">C:\Users\andre\Desktop\REACTIV CEFAS\Cromolyn\Cromolyn/20201217_Cefas_Test10_Run1/Plate 1/@14/B9_04.tif </t>
  </si>
  <si>
    <t xml:space="preserve"> 24182.2222 </t>
  </si>
  <si>
    <t xml:space="preserve"> 34.5385 </t>
  </si>
  <si>
    <t xml:space="preserve">C:\Users\andre\Desktop\REACTIV CEFAS\Cromolyn\Cromolyn/20201217_Cefas_Test10_Run1/Plate 1/@14/C9_01.tif </t>
  </si>
  <si>
    <t xml:space="preserve"> 62229.2068 </t>
  </si>
  <si>
    <t xml:space="preserve"> 39.4692 </t>
  </si>
  <si>
    <t xml:space="preserve">C:\Users\andre\Desktop\REACTIV CEFAS\Cromolyn\Cromolyn/20201217_Cefas_Test10_Run1/Plate 1/@14/C9_02.tif </t>
  </si>
  <si>
    <t xml:space="preserve"> 54593.854 </t>
  </si>
  <si>
    <t xml:space="preserve"> 38.3494 </t>
  </si>
  <si>
    <t xml:space="preserve">C:\Users\andre\Desktop\REACTIV CEFAS\Cromolyn\Cromolyn/20201217_Cefas_Test10_Run1/Plate 1/@14/C9_03.tif </t>
  </si>
  <si>
    <t xml:space="preserve"> 67182.4527 </t>
  </si>
  <si>
    <t xml:space="preserve"> 40.925 </t>
  </si>
  <si>
    <t>C:\Users\andre\Desktop\REACTIV CEFAS\Cromolyn\Cromolyn/20201217_Cefas_Test10_Run1/Plate 1/@14/C9_04- exclu.tif</t>
  </si>
  <si>
    <t xml:space="preserve">C:\Users\andre\Desktop\REACTIV CEFAS\Cromolyn\Cromolyn/20201217_Cefas_Test10_Run1/Plate 1/@14/D9_01.tif </t>
  </si>
  <si>
    <t xml:space="preserve"> 39928.7855 </t>
  </si>
  <si>
    <t xml:space="preserve"> 36.0271 </t>
  </si>
  <si>
    <t>C:\Users\andre\Desktop\REACTIV CEFAS\Cromolyn\Cromolyn/20201217_Cefas_Test10_Run1/Plate 1/@14/D9_02- exclu.tif</t>
  </si>
  <si>
    <t xml:space="preserve">C:\Users\andre\Desktop\REACTIV CEFAS\Cromolyn\Cromolyn/20201217_Cefas_Test10_Run1/Plate 1/@14/D9_03.tif </t>
  </si>
  <si>
    <t xml:space="preserve"> 28767.7599 </t>
  </si>
  <si>
    <t xml:space="preserve"> 34.6647 </t>
  </si>
  <si>
    <t xml:space="preserve">C:\Users\andre\Desktop\REACTIV CEFAS\Cromolyn\Cromolyn/20201217_Cefas_Test10_Run1/Plate 1/@14/D9_04.tif </t>
  </si>
  <si>
    <t xml:space="preserve"> 26150.5426 </t>
  </si>
  <si>
    <t xml:space="preserve"> 33.9024 </t>
  </si>
  <si>
    <t xml:space="preserve">C:\Users\andre\Desktop\REACTIV CEFAS\Cromolyn\Cromolyn/20201217_Cefas_Test10_Run1/Plate 1/@14/E9_01.tif </t>
  </si>
  <si>
    <t xml:space="preserve"> 39.5934 </t>
  </si>
  <si>
    <t xml:space="preserve">C:\Users\andre\Desktop\REACTIV CEFAS\Cromolyn\Cromolyn/20201217_Cefas_Test10_Run1/Plate 1/@14/E9_02.tif </t>
  </si>
  <si>
    <t xml:space="preserve"> 53014.8717 </t>
  </si>
  <si>
    <t xml:space="preserve"> 40.4264 </t>
  </si>
  <si>
    <t xml:space="preserve">C:\Users\andre\Desktop\REACTIV CEFAS\Cromolyn\Cromolyn/20201217_Cefas_Test10_Run1/Plate 1/@14/E9_03.tif </t>
  </si>
  <si>
    <t xml:space="preserve"> 50484.1741 </t>
  </si>
  <si>
    <t xml:space="preserve"> 38.91 </t>
  </si>
  <si>
    <t xml:space="preserve">C:\Users\andre\Desktop\REACTIV CEFAS\Cromolyn\Cromolyn/20201217_Cefas_Test10_Run1/Plate 1/@14/E9_04.tif </t>
  </si>
  <si>
    <t xml:space="preserve"> 52820.2027 </t>
  </si>
  <si>
    <t xml:space="preserve"> 39.959 </t>
  </si>
  <si>
    <t xml:space="preserve">C:\Users\andre\Desktop\REACTIV CEFAS\Cromolyn\Cromolyn/20201217_Cefas_Test10_Run1/Plate 1/@14/F9_01.tif </t>
  </si>
  <si>
    <t xml:space="preserve"> 48970.0814 </t>
  </si>
  <si>
    <t xml:space="preserve"> 36.8313 </t>
  </si>
  <si>
    <t xml:space="preserve">C:\Users\andre\Desktop\REACTIV CEFAS\Cromolyn\Cromolyn/20201217_Cefas_Test10_Run1/Plate 1/@14/F9_02.tif </t>
  </si>
  <si>
    <t xml:space="preserve"> 51327.74 </t>
  </si>
  <si>
    <t xml:space="preserve"> 37.5727 </t>
  </si>
  <si>
    <t xml:space="preserve">C:\Users\andre\Desktop\REACTIV CEFAS\Cromolyn\Cromolyn/20201217_Cefas_Test10_Run1/Plate 1/@14/F9_03.tif </t>
  </si>
  <si>
    <t xml:space="preserve"> 39.3006 </t>
  </si>
  <si>
    <t xml:space="preserve">C:\Users\andre\Desktop\REACTIV CEFAS\Cromolyn\Cromolyn/20201217_Cefas_Test10_Run1/Plate 1/@14/F9_04.tif </t>
  </si>
  <si>
    <t xml:space="preserve"> 59179.3917 </t>
  </si>
  <si>
    <t xml:space="preserve"> 39.7971 </t>
  </si>
  <si>
    <t xml:space="preserve">C:\Users\andre\Desktop\REACTIV CEFAS\Cromolyn\Cromolyn/20201217_Cefas_Test10_Run1/Plate 1/@14/G9_01.tif </t>
  </si>
  <si>
    <t xml:space="preserve"> 62077.7976 </t>
  </si>
  <si>
    <t xml:space="preserve"> 39.5491 </t>
  </si>
  <si>
    <t xml:space="preserve">C:\Users\andre\Desktop\REACTIV CEFAS\Cromolyn\Cromolyn/20201217_Cefas_Test10_Run1/Plate 1/@14/G9_02.tif </t>
  </si>
  <si>
    <t xml:space="preserve"> 63159.2923 </t>
  </si>
  <si>
    <t xml:space="preserve"> 39.5216 </t>
  </si>
  <si>
    <t xml:space="preserve">C:\Users\andre\Desktop\REACTIV CEFAS\Cromolyn\Cromolyn/20201217_Cefas_Test10_Run1/Plate 1/@14/G9_03.tif </t>
  </si>
  <si>
    <t xml:space="preserve"> 61645.1997 </t>
  </si>
  <si>
    <t xml:space="preserve"> 40.4291 </t>
  </si>
  <si>
    <t xml:space="preserve">C:\Users\andre\Desktop\REACTIV CEFAS\Cromolyn\Cromolyn/20201217_Cefas_Test10_Run1/Plate 1/@14/G9_04.tif </t>
  </si>
  <si>
    <t xml:space="preserve"> 39.4338 </t>
  </si>
  <si>
    <t xml:space="preserve">C:\Users\andre\Desktop\REACTIV CEFAS\Cromolyn\Cromolyn/20201217_Cefas_Test10_Run1/Plate 1/@14/H9_01.tif </t>
  </si>
  <si>
    <t xml:space="preserve"> 54139.6263 </t>
  </si>
  <si>
    <t xml:space="preserve"> 40.0967 </t>
  </si>
  <si>
    <t xml:space="preserve">C:\Users\andre\Desktop\REACTIV CEFAS\Cromolyn\Cromolyn/20201217_Cefas_Test10_Run1/Plate 1/@14/H9_02.tif </t>
  </si>
  <si>
    <t xml:space="preserve"> 40.2761 </t>
  </si>
  <si>
    <t xml:space="preserve">C:\Users\andre\Desktop\REACTIV CEFAS\Cromolyn\Cromolyn/20201217_Cefas_Test10_Run1/Plate 1/@14/H9_03.tif </t>
  </si>
  <si>
    <t xml:space="preserve"> 58811.6835 </t>
  </si>
  <si>
    <t xml:space="preserve"> 41.2711 </t>
  </si>
  <si>
    <t xml:space="preserve">C:\Users\andre\Desktop\REACTIV CEFAS\Cromolyn\Cromolyn/20201217_Cefas_Test10_Run1/Plate 1/@14/H9_04.tif </t>
  </si>
  <si>
    <t xml:space="preserve"> 55242.7509 </t>
  </si>
  <si>
    <t xml:space="preserve"> 40.0121 </t>
  </si>
  <si>
    <t xml:space="preserve">C:\Users\andre\Desktop\REACTIV CEFAS\Cromolyn\Cromolyn/20201217_Cefas_Test10_Run1/Plate 1/@14/ </t>
  </si>
  <si>
    <t xml:space="preserve"> 38.015 </t>
  </si>
  <si>
    <t xml:space="preserve"> 2.3291 </t>
  </si>
  <si>
    <t xml:space="preserve"> 1675605.78 </t>
  </si>
  <si>
    <t xml:space="preserve"> 808265.489 </t>
  </si>
  <si>
    <t xml:space="preserve">C:\Users\andre\Desktop\REACTIV CEFAS\Cromolyn\Cromolyn/20201217_Cefas_Test10_Run1/Plate 1/@15/A11_01.tif </t>
  </si>
  <si>
    <t xml:space="preserve"> 45206.4798 </t>
  </si>
  <si>
    <t xml:space="preserve"> 49.2211 </t>
  </si>
  <si>
    <t xml:space="preserve">C:\Users\andre\Desktop\REACTIV CEFAS\Cromolyn\Cromolyn/20201217_Cefas_Test10_Run1/Plate 1/@15/A11_02.tif </t>
  </si>
  <si>
    <t xml:space="preserve"> 48797.0423 </t>
  </si>
  <si>
    <t xml:space="preserve"> 46.6418 </t>
  </si>
  <si>
    <t xml:space="preserve">C:\Users\andre\Desktop\REACTIV CEFAS\Cromolyn\Cromolyn/20201217_Cefas_Test10_Run1/Plate 1/@15/A11_03.tif </t>
  </si>
  <si>
    <t xml:space="preserve"> 43389.5686 </t>
  </si>
  <si>
    <t xml:space="preserve"> 44.7168 </t>
  </si>
  <si>
    <t>C:\Users\andre\Desktop\REACTIV CEFAS\Cromolyn\Cromolyn/20201217_Cefas_Test10_Run1/Plate 1/@15/A11_04- exclu.tif</t>
  </si>
  <si>
    <t xml:space="preserve">C:\Users\andre\Desktop\REACTIV CEFAS\Cromolyn\Cromolyn/20201217_Cefas_Test10_Run1/Plate 1/@15/B11_01.tif </t>
  </si>
  <si>
    <t xml:space="preserve"> 49.3197 </t>
  </si>
  <si>
    <t xml:space="preserve">C:\Users\andre\Desktop\REACTIV CEFAS\Cromolyn\Cromolyn/20201217_Cefas_Test10_Run1/Plate 1/@15/B11_02.tif </t>
  </si>
  <si>
    <t xml:space="preserve"> 69453.5917 </t>
  </si>
  <si>
    <t xml:space="preserve"> 46.3282 </t>
  </si>
  <si>
    <t xml:space="preserve">C:\Users\andre\Desktop\REACTIV CEFAS\Cromolyn\Cromolyn/20201217_Cefas_Test10_Run1/Plate 1/@15/B11_03.tif </t>
  </si>
  <si>
    <t xml:space="preserve"> 70297.1575 </t>
  </si>
  <si>
    <t xml:space="preserve"> 48.4434 </t>
  </si>
  <si>
    <t xml:space="preserve">C:\Users\andre\Desktop\REACTIV CEFAS\Cromolyn\Cromolyn/20201217_Cefas_Test10_Run1/Plate 1/@15/B11_04.tif </t>
  </si>
  <si>
    <t xml:space="preserve"> 95906.9528 </t>
  </si>
  <si>
    <t xml:space="preserve"> 39.7869 </t>
  </si>
  <si>
    <t xml:space="preserve">C:\Users\andre\Desktop\REACTIV CEFAS\Cromolyn\Cromolyn/20201217_Cefas_Test10_Run1/Plate 1/@15/C11_01.tif </t>
  </si>
  <si>
    <t xml:space="preserve"> 72308.7377 </t>
  </si>
  <si>
    <t xml:space="preserve"> 48.9758 </t>
  </si>
  <si>
    <t xml:space="preserve">C:\Users\andre\Desktop\REACTIV CEFAS\Cromolyn\Cromolyn/20201217_Cefas_Test10_Run1/Plate 1/@15/C11_02.tif </t>
  </si>
  <si>
    <t xml:space="preserve"> 64067.7479 </t>
  </si>
  <si>
    <t xml:space="preserve"> 48.3707 </t>
  </si>
  <si>
    <t xml:space="preserve">C:\Users\andre\Desktop\REACTIV CEFAS\Cromolyn\Cromolyn/20201217_Cefas_Test10_Run1/Plate 1/@15/C11_03.tif </t>
  </si>
  <si>
    <t xml:space="preserve"> 69258.9226 </t>
  </si>
  <si>
    <t xml:space="preserve"> 47.9216 </t>
  </si>
  <si>
    <t xml:space="preserve">C:\Users\andre\Desktop\REACTIV CEFAS\Cromolyn\Cromolyn/20201217_Cefas_Test10_Run1/Plate 1/@15/C11_04.tif </t>
  </si>
  <si>
    <t xml:space="preserve"> 68393.7268 </t>
  </si>
  <si>
    <t xml:space="preserve"> 48.7321 </t>
  </si>
  <si>
    <t xml:space="preserve">C:\Users\andre\Desktop\REACTIV CEFAS\Cromolyn\Cromolyn/20201217_Cefas_Test10_Run1/Plate 1/@15/D11_01.tif </t>
  </si>
  <si>
    <t xml:space="preserve"> 66209.1075 </t>
  </si>
  <si>
    <t xml:space="preserve"> 52.179 </t>
  </si>
  <si>
    <t xml:space="preserve">C:\Users\andre\Desktop\REACTIV CEFAS\Cromolyn\Cromolyn/20201217_Cefas_Test10_Run1/Plate 1/@15/D11_02.tif </t>
  </si>
  <si>
    <t xml:space="preserve"> 52.2623 </t>
  </si>
  <si>
    <t xml:space="preserve">C:\Users\andre\Desktop\REACTIV CEFAS\Cromolyn\Cromolyn/20201217_Cefas_Test10_Run1/Plate 1/@15/D11_03.tif </t>
  </si>
  <si>
    <t xml:space="preserve"> 59417.3205 </t>
  </si>
  <si>
    <t xml:space="preserve"> 51.8056 </t>
  </si>
  <si>
    <t xml:space="preserve">C:\Users\andre\Desktop\REACTIV CEFAS\Cromolyn\Cromolyn/20201217_Cefas_Test10_Run1/Plate 1/@15/D11_04.tif </t>
  </si>
  <si>
    <t xml:space="preserve"> 86541.2084 </t>
  </si>
  <si>
    <t xml:space="preserve"> 53.2239 </t>
  </si>
  <si>
    <t xml:space="preserve">C:\Users\andre\Desktop\REACTIV CEFAS\Cromolyn\Cromolyn/20201217_Cefas_Test10_Run1/Plate 1/@15/E11_01.tif </t>
  </si>
  <si>
    <t xml:space="preserve"> 91299.7852 </t>
  </si>
  <si>
    <t xml:space="preserve"> 53.0301 </t>
  </si>
  <si>
    <t>C:\Users\andre\Desktop\REACTIV CEFAS\Cromolyn\Cromolyn/20201217_Cefas_Test10_Run1/Plate 1/@15/E11_02- exclu.tif</t>
  </si>
  <si>
    <t xml:space="preserve">C:\Users\andre\Desktop\REACTIV CEFAS\Cromolyn\Cromolyn/20201217_Cefas_Test10_Run1/Plate 1/@15/E11_03.tif </t>
  </si>
  <si>
    <t xml:space="preserve"> 92554.3191 </t>
  </si>
  <si>
    <t xml:space="preserve"> 51.8941 </t>
  </si>
  <si>
    <t>C:\Users\andre\Desktop\REACTIV CEFAS\Cromolyn\Cromolyn/20201217_Cefas_Test10_Run1/Plate 1/@15/E11_04- exclu.tif</t>
  </si>
  <si>
    <t xml:space="preserve">C:\Users\andre\Desktop\REACTIV CEFAS\Cromolyn\Cromolyn/20201217_Cefas_Test10_Run1/Plate 1/@15/F11_01.tif </t>
  </si>
  <si>
    <t xml:space="preserve"> 60022.9576 </t>
  </si>
  <si>
    <t xml:space="preserve"> 49.2076 </t>
  </si>
  <si>
    <t xml:space="preserve">C:\Users\andre\Desktop\REACTIV CEFAS\Cromolyn\Cromolyn/20201217_Cefas_Test10_Run1/Plate 1/@15/F11_02.tif </t>
  </si>
  <si>
    <t xml:space="preserve"> 71919.3996 </t>
  </si>
  <si>
    <t xml:space="preserve"> 51.0247 </t>
  </si>
  <si>
    <t xml:space="preserve">C:\Users\andre\Desktop\REACTIV CEFAS\Cromolyn\Cromolyn/20201217_Cefas_Test10_Run1/Plate 1/@15/F11_03.tif </t>
  </si>
  <si>
    <t xml:space="preserve"> 64586.8654 </t>
  </si>
  <si>
    <t xml:space="preserve"> 48.4588 </t>
  </si>
  <si>
    <t xml:space="preserve">C:\Users\andre\Desktop\REACTIV CEFAS\Cromolyn\Cromolyn/20201217_Cefas_Test10_Run1/Plate 1/@15/F11_04.tif </t>
  </si>
  <si>
    <t xml:space="preserve"> 68372.0969 </t>
  </si>
  <si>
    <t xml:space="preserve"> 51.745 </t>
  </si>
  <si>
    <t>C:\Users\andre\Desktop\REACTIV CEFAS\Cromolyn\Cromolyn/20201217_Cefas_Test10_Run1/Plate 1/@15/G11_01- exclu.tif</t>
  </si>
  <si>
    <t>C:\Users\andre\Desktop\REACTIV CEFAS\Cromolyn\Cromolyn/20201217_Cefas_Test10_Run1/Plate 1/@15/G11_02- exclu.tif</t>
  </si>
  <si>
    <t>C:\Users\andre\Desktop\REACTIV CEFAS\Cromolyn\Cromolyn/20201217_Cefas_Test10_Run1/Plate 1/@15/G11_03- exclu.tif</t>
  </si>
  <si>
    <t xml:space="preserve">C:\Users\andre\Desktop\REACTIV CEFAS\Cromolyn\Cromolyn/20201217_Cefas_Test10_Run1/Plate 1/@15/G11_04.tif </t>
  </si>
  <si>
    <t xml:space="preserve"> 43.6184 </t>
  </si>
  <si>
    <t xml:space="preserve">C:\Users\andre\Desktop\REACTIV CEFAS\Cromolyn\Cromolyn/20201217_Cefas_Test10_Run1/Plate 1/@15/H11_01.tif </t>
  </si>
  <si>
    <t xml:space="preserve"> 89180.0556 </t>
  </si>
  <si>
    <t xml:space="preserve"> 52.1426 </t>
  </si>
  <si>
    <t xml:space="preserve">C:\Users\andre\Desktop\REACTIV CEFAS\Cromolyn\Cromolyn/20201217_Cefas_Test10_Run1/Plate 1/@15/H11_02.tif </t>
  </si>
  <si>
    <t xml:space="preserve"> 85113.6354 </t>
  </si>
  <si>
    <t xml:space="preserve"> 48.4943 </t>
  </si>
  <si>
    <t xml:space="preserve">C:\Users\andre\Desktop\REACTIV CEFAS\Cromolyn\Cromolyn/20201217_Cefas_Test10_Run1/Plate 1/@15/H11_03.tif </t>
  </si>
  <si>
    <t xml:space="preserve"> 83037.1655 </t>
  </si>
  <si>
    <t xml:space="preserve"> 46.8755 </t>
  </si>
  <si>
    <t xml:space="preserve">C:\Users\andre\Desktop\REACTIV CEFAS\Cromolyn\Cromolyn/20201217_Cefas_Test10_Run1/Plate 1/@15/H11_04.tif </t>
  </si>
  <si>
    <t xml:space="preserve"> 91407.9347 </t>
  </si>
  <si>
    <t xml:space="preserve"> 48.4941 </t>
  </si>
  <si>
    <t xml:space="preserve">C:\Users\andre\Desktop\REACTIV CEFAS\Cromolyn\Cromolyn/20201217_Cefas_Test10_Run1/Plate 1/@15/ </t>
  </si>
  <si>
    <t xml:space="preserve"> 47.5085 </t>
  </si>
  <si>
    <t xml:space="preserve"> 5.7611 </t>
  </si>
  <si>
    <t xml:space="preserve"> 3113422.53 </t>
  </si>
  <si>
    <t xml:space="preserve"> 1237403.33 </t>
  </si>
  <si>
    <t xml:space="preserve">C:\Users\andre\Desktop\REACTIV CEFAS\Cromolyn\Cromolyn/20201217_Cefas_Test10_Run1/Plate 1/@16/A12_01.tif </t>
  </si>
  <si>
    <t xml:space="preserve"> 2552.3276 </t>
  </si>
  <si>
    <t xml:space="preserve"> 34.2288 </t>
  </si>
  <si>
    <t xml:space="preserve">C:\Users\andre\Desktop\REACTIV CEFAS\Cromolyn\Cromolyn/20201217_Cefas_Test10_Run1/Plate 1/@16/A12_02.tif </t>
  </si>
  <si>
    <t xml:space="preserve"> 35.3533 </t>
  </si>
  <si>
    <t xml:space="preserve">C:\Users\andre\Desktop\REACTIV CEFAS\Cromolyn\Cromolyn/20201217_Cefas_Test10_Run1/Plate 1/@16/A12_03.tif </t>
  </si>
  <si>
    <t xml:space="preserve"> 34.5556 </t>
  </si>
  <si>
    <t xml:space="preserve">C:\Users\andre\Desktop\REACTIV CEFAS\Cromolyn\Cromolyn/20201217_Cefas_Test10_Run1/Plate 1/@16/A12_04.tif </t>
  </si>
  <si>
    <t xml:space="preserve"> 39.6655 </t>
  </si>
  <si>
    <t xml:space="preserve">C:\Users\andre\Desktop\REACTIV CEFAS\Cromolyn\Cromolyn/20201217_Cefas_Test10_Run1/Plate 1/@16/B12_01.tif </t>
  </si>
  <si>
    <t xml:space="preserve"> 35.7668 </t>
  </si>
  <si>
    <t xml:space="preserve">C:\Users\andre\Desktop\REACTIV CEFAS\Cromolyn\Cromolyn/20201217_Cefas_Test10_Run1/Plate 1/@16/B12_02.tif </t>
  </si>
  <si>
    <t xml:space="preserve"> 10339.0896 </t>
  </si>
  <si>
    <t xml:space="preserve"> 40.0188 </t>
  </si>
  <si>
    <t xml:space="preserve">C:\Users\andre\Desktop\REACTIV CEFAS\Cromolyn\Cromolyn/20201217_Cefas_Test10_Run1/Plate 1/@16/B12_03.tif </t>
  </si>
  <si>
    <t xml:space="preserve"> 8998.0362 </t>
  </si>
  <si>
    <t xml:space="preserve"> 39.0601 </t>
  </si>
  <si>
    <t xml:space="preserve">C:\Users\andre\Desktop\REACTIV CEFAS\Cromolyn\Cromolyn/20201217_Cefas_Test10_Run1/Plate 1/@16/B12_04.tif </t>
  </si>
  <si>
    <t xml:space="preserve"> 35.5755 </t>
  </si>
  <si>
    <t xml:space="preserve">C:\Users\andre\Desktop\REACTIV CEFAS\Cromolyn\Cromolyn/20201217_Cefas_Test10_Run1/Plate 1/@16/C12_01.tif </t>
  </si>
  <si>
    <t xml:space="preserve"> 6229.4097 </t>
  </si>
  <si>
    <t xml:space="preserve"> 34.7743 </t>
  </si>
  <si>
    <t xml:space="preserve">C:\Users\andre\Desktop\REACTIV CEFAS\Cromolyn\Cromolyn/20201217_Cefas_Test10_Run1/Plate 1/@16/C12_02.tif </t>
  </si>
  <si>
    <t xml:space="preserve"> 36.5187 </t>
  </si>
  <si>
    <t xml:space="preserve">C:\Users\andre\Desktop\REACTIV CEFAS\Cromolyn\Cromolyn/20201217_Cefas_Test10_Run1/Plate 1/@16/C12_03.tif </t>
  </si>
  <si>
    <t xml:space="preserve"> 34.9841 </t>
  </si>
  <si>
    <t xml:space="preserve">C:\Users\andre\Desktop\REACTIV CEFAS\Cromolyn\Cromolyn/20201217_Cefas_Test10_Run1/Plate 1/@16/C12_04.tif </t>
  </si>
  <si>
    <t>C:\Users\andre\Desktop\REACTIV CEFAS\Cromolyn\Cromolyn/20201217_Cefas_Test10_Run1/Plate 1/@16/D12_01- exclu.tif</t>
  </si>
  <si>
    <t>C:\Users\andre\Desktop\REACTIV CEFAS\Cromolyn\Cromolyn/20201217_Cefas_Test10_Run1/Plate 1/@16/D12_02- exclu.tif</t>
  </si>
  <si>
    <t xml:space="preserve">C:\Users\andre\Desktop\REACTIV CEFAS\Cromolyn\Cromolyn/20201217_Cefas_Test10_Run1/Plate 1/@16/D12_03.tif </t>
  </si>
  <si>
    <t xml:space="preserve"> 8370.7692 </t>
  </si>
  <si>
    <t xml:space="preserve"> 38.3798 </t>
  </si>
  <si>
    <t xml:space="preserve">C:\Users\andre\Desktop\REACTIV CEFAS\Cromolyn\Cromolyn/20201217_Cefas_Test10_Run1/Plate 1/@16/D12_04.tif </t>
  </si>
  <si>
    <t xml:space="preserve"> 4542.2779 </t>
  </si>
  <si>
    <t xml:space="preserve"> 33.8952 </t>
  </si>
  <si>
    <t>C:\Users\andre\Desktop\REACTIV CEFAS\Cromolyn\Cromolyn/20201217_Cefas_Test10_Run1/Plate 1/@16/E12_01- exclu.tif</t>
  </si>
  <si>
    <t xml:space="preserve">C:\Users\andre\Desktop\REACTIV CEFAS\Cromolyn\Cromolyn/20201217_Cefas_Test10_Run1/Plate 1/@16/E12_02.tif </t>
  </si>
  <si>
    <t xml:space="preserve"> 10728.4277 </t>
  </si>
  <si>
    <t xml:space="preserve"> 44.9577 </t>
  </si>
  <si>
    <t xml:space="preserve">C:\Users\andre\Desktop\REACTIV CEFAS\Cromolyn\Cromolyn/20201217_Cefas_Test10_Run1/Plate 1/@16/E12_03.tif </t>
  </si>
  <si>
    <t xml:space="preserve"> 46.0403 </t>
  </si>
  <si>
    <t>C:\Users\andre\Desktop\REACTIV CEFAS\Cromolyn\Cromolyn/20201217_Cefas_Test10_Run1/Plate 1/@16/E12_04- exclu.tif</t>
  </si>
  <si>
    <t xml:space="preserve">C:\Users\andre\Desktop\REACTIV CEFAS\Cromolyn\Cromolyn/20201217_Cefas_Test10_Run1/Plate 1/@16/F12_01.tif </t>
  </si>
  <si>
    <t xml:space="preserve"> 15292.3355 </t>
  </si>
  <si>
    <t xml:space="preserve"> 42.4059 </t>
  </si>
  <si>
    <t xml:space="preserve">C:\Users\andre\Desktop\REACTIV CEFAS\Cromolyn\Cromolyn/20201217_Cefas_Test10_Run1/Plate 1/@16/F12_02.tif </t>
  </si>
  <si>
    <t xml:space="preserve"> 13129.346 </t>
  </si>
  <si>
    <t xml:space="preserve"> 42.2768 </t>
  </si>
  <si>
    <t xml:space="preserve">C:\Users\andre\Desktop\REACTIV CEFAS\Cromolyn\Cromolyn/20201217_Cefas_Test10_Run1/Plate 1/@16/F12_03.tif </t>
  </si>
  <si>
    <t xml:space="preserve"> 12026.2214 </t>
  </si>
  <si>
    <t xml:space="preserve"> 40.4856 </t>
  </si>
  <si>
    <t xml:space="preserve">C:\Users\andre\Desktop\REACTIV CEFAS\Cromolyn\Cromolyn/20201217_Cefas_Test10_Run1/Plate 1/@16/F12_04.tif </t>
  </si>
  <si>
    <t xml:space="preserve"> 42.0214 </t>
  </si>
  <si>
    <t>C:\Users\andre\Desktop\REACTIV CEFAS\Cromolyn\Cromolyn/20201217_Cefas_Test10_Run1/Plate 1/@16/G12_01- exclu.tif</t>
  </si>
  <si>
    <t xml:space="preserve">C:\Users\andre\Desktop\REACTIV CEFAS\Cromolyn\Cromolyn/20201217_Cefas_Test10_Run1/Plate 1/@16/G12_02.tif </t>
  </si>
  <si>
    <t xml:space="preserve"> 37.6916 </t>
  </si>
  <si>
    <t xml:space="preserve">C:\Users\andre\Desktop\REACTIV CEFAS\Cromolyn\Cromolyn/20201217_Cefas_Test10_Run1/Plate 1/@16/G12_03.tif </t>
  </si>
  <si>
    <t xml:space="preserve"> 4001.5305 </t>
  </si>
  <si>
    <t xml:space="preserve"> 32.7027 </t>
  </si>
  <si>
    <t xml:space="preserve">C:\Users\andre\Desktop\REACTIV CEFAS\Cromolyn\Cromolyn/20201217_Cefas_Test10_Run1/Plate 1/@16/G12_04.tif </t>
  </si>
  <si>
    <t xml:space="preserve"> 7592.093 </t>
  </si>
  <si>
    <t xml:space="preserve"> 36.5071 </t>
  </si>
  <si>
    <t xml:space="preserve">C:\Users\andre\Desktop\REACTIV CEFAS\Cromolyn\Cromolyn/20201217_Cefas_Test10_Run1/Plate 1/@16/H12_01.tif </t>
  </si>
  <si>
    <t xml:space="preserve"> 5926.5911 </t>
  </si>
  <si>
    <t xml:space="preserve"> 42.5292 </t>
  </si>
  <si>
    <t xml:space="preserve">C:\Users\andre\Desktop\REACTIV CEFAS\Cromolyn\Cromolyn/20201217_Cefas_Test10_Run1/Plate 1/@16/H12_02.tif </t>
  </si>
  <si>
    <t xml:space="preserve"> 2271.1389 </t>
  </si>
  <si>
    <t xml:space="preserve"> 35.3524 </t>
  </si>
  <si>
    <t xml:space="preserve">C:\Users\andre\Desktop\REACTIV CEFAS\Cromolyn\Cromolyn/20201217_Cefas_Test10_Run1/Plate 1/@16/H12_03.tif </t>
  </si>
  <si>
    <t xml:space="preserve"> 31.2222 </t>
  </si>
  <si>
    <t xml:space="preserve">C:\Users\andre\Desktop\REACTIV CEFAS\Cromolyn\Cromolyn/20201217_Cefas_Test10_Run1/Plate 1/@16/H12_04.tif </t>
  </si>
  <si>
    <t xml:space="preserve"> 37.8495 </t>
  </si>
  <si>
    <t xml:space="preserve">C:\Users\andre\Desktop\REACTIV CEFAS\Cromolyn\Cromolyn/20201217_Cefas_Test10_Run1/Plate 1/@16/ </t>
  </si>
  <si>
    <t xml:space="preserve"> 33.9067 </t>
  </si>
  <si>
    <t xml:space="preserve"> 11.7533 </t>
  </si>
  <si>
    <t xml:space="preserve"> 228294.062 </t>
  </si>
  <si>
    <t xml:space="preserve"> 177529.229 </t>
  </si>
  <si>
    <t xml:space="preserve">C:\Users\andre\Desktop\REACTIV CEFAS\Cromolyn\Cromolyn/20201217_Cefas_Test10_Run1/Plate 1/@2/A2_01.tif </t>
  </si>
  <si>
    <t xml:space="preserve"> 11009.6164 </t>
  </si>
  <si>
    <t xml:space="preserve"> 40.3929 </t>
  </si>
  <si>
    <t xml:space="preserve">C:\Users\andre\Desktop\REACTIV CEFAS\Cromolyn\Cromolyn/20201217_Cefas_Test10_Run1/Plate 1/@2/A2_02.tif </t>
  </si>
  <si>
    <t xml:space="preserve"> 11680.1431 </t>
  </si>
  <si>
    <t xml:space="preserve"> 37.0463 </t>
  </si>
  <si>
    <t xml:space="preserve">C:\Users\andre\Desktop\REACTIV CEFAS\Cromolyn\Cromolyn/20201217_Cefas_Test10_Run1/Plate 1/@2/A2_03.tif </t>
  </si>
  <si>
    <t xml:space="preserve"> 11788.2926 </t>
  </si>
  <si>
    <t xml:space="preserve"> 38.6367 </t>
  </si>
  <si>
    <t xml:space="preserve">C:\Users\andre\Desktop\REACTIV CEFAS\Cromolyn\Cromolyn/20201217_Cefas_Test10_Run1/Plate 1/@2/A2_04.tif </t>
  </si>
  <si>
    <t xml:space="preserve"> 1903.4307 </t>
  </si>
  <si>
    <t xml:space="preserve"> 32.5455 </t>
  </si>
  <si>
    <t xml:space="preserve">C:\Users\andre\Desktop\REACTIV CEFAS\Cromolyn\Cromolyn/20201217_Cefas_Test10_Run1/Plate 1/@2/B2_01.tif </t>
  </si>
  <si>
    <t xml:space="preserve"> 2054.84 </t>
  </si>
  <si>
    <t xml:space="preserve"> 34.8737 </t>
  </si>
  <si>
    <t xml:space="preserve">C:\Users\andre\Desktop\REACTIV CEFAS\Cromolyn\Cromolyn/20201217_Cefas_Test10_Run1/Plate 1/@2/B2_02.tif </t>
  </si>
  <si>
    <t xml:space="preserve"> 37.0387 </t>
  </si>
  <si>
    <t xml:space="preserve">C:\Users\andre\Desktop\REACTIV CEFAS\Cromolyn\Cromolyn/20201217_Cefas_Test10_Run1/Plate 1/@2/B2_03.tif </t>
  </si>
  <si>
    <t xml:space="preserve"> 36.1611 </t>
  </si>
  <si>
    <t xml:space="preserve">C:\Users\andre\Desktop\REACTIV CEFAS\Cromolyn\Cromolyn/20201217_Cefas_Test10_Run1/Plate 1/@2/B2_04.tif </t>
  </si>
  <si>
    <t xml:space="preserve"> 7029.7158 </t>
  </si>
  <si>
    <t xml:space="preserve"> 38.0369 </t>
  </si>
  <si>
    <t xml:space="preserve">C:\Users\andre\Desktop\REACTIV CEFAS\Cromolyn\Cromolyn/20201217_Cefas_Test10_Run1/Plate 1/@2/C2_01.tif </t>
  </si>
  <si>
    <t xml:space="preserve"> 16308.9406 </t>
  </si>
  <si>
    <t xml:space="preserve"> 33.6446 </t>
  </si>
  <si>
    <t>C:\Users\andre\Desktop\REACTIV CEFAS\Cromolyn\Cromolyn/20201217_Cefas_Test10_Run1/Plate 1/@2/C2_02- exclu.tif</t>
  </si>
  <si>
    <t xml:space="preserve">C:\Users\andre\Desktop\REACTIV CEFAS\Cromolyn\Cromolyn/20201217_Cefas_Test10_Run1/Plate 1/@2/C2_03.tif </t>
  </si>
  <si>
    <t xml:space="preserve">C:\Users\andre\Desktop\REACTIV CEFAS\Cromolyn\Cromolyn/20201217_Cefas_Test10_Run1/Plate 1/@2/C2_04.tif </t>
  </si>
  <si>
    <t xml:space="preserve"> 13648.4635 </t>
  </si>
  <si>
    <t xml:space="preserve"> 32.7258 </t>
  </si>
  <si>
    <t xml:space="preserve">C:\Users\andre\Desktop\REACTIV CEFAS\Cromolyn\Cromolyn/20201217_Cefas_Test10_Run1/Plate 1/@2/D2_01.tif </t>
  </si>
  <si>
    <t xml:space="preserve"> 9127.8155 </t>
  </si>
  <si>
    <t xml:space="preserve"> 32.7322 </t>
  </si>
  <si>
    <t xml:space="preserve">C:\Users\andre\Desktop\REACTIV CEFAS\Cromolyn\Cromolyn/20201217_Cefas_Test10_Run1/Plate 1/@2/D2_02.tif </t>
  </si>
  <si>
    <t xml:space="preserve"> 33.9867 </t>
  </si>
  <si>
    <t xml:space="preserve">C:\Users\andre\Desktop\REACTIV CEFAS\Cromolyn\Cromolyn/20201217_Cefas_Test10_Run1/Plate 1/@2/D2_03.tif </t>
  </si>
  <si>
    <t xml:space="preserve"> 35.9509 </t>
  </si>
  <si>
    <t xml:space="preserve">C:\Users\andre\Desktop\REACTIV CEFAS\Cromolyn\Cromolyn/20201217_Cefas_Test10_Run1/Plate 1/@2/D2_04.tif </t>
  </si>
  <si>
    <t xml:space="preserve"> 9949.7515 </t>
  </si>
  <si>
    <t xml:space="preserve"> 33.213 </t>
  </si>
  <si>
    <t xml:space="preserve">C:\Users\andre\Desktop\REACTIV CEFAS\Cromolyn\Cromolyn/20201217_Cefas_Test10_Run1/Plate 1/@2/E2_01.tif </t>
  </si>
  <si>
    <t xml:space="preserve"> 5212.8046 </t>
  </si>
  <si>
    <t xml:space="preserve"> 39.1203 </t>
  </si>
  <si>
    <t xml:space="preserve">C:\Users\andre\Desktop\REACTIV CEFAS\Cromolyn\Cromolyn/20201217_Cefas_Test10_Run1/Plate 1/@2/E2_02.tif </t>
  </si>
  <si>
    <t xml:space="preserve"> 8089.5806 </t>
  </si>
  <si>
    <t xml:space="preserve"> 39.9465 </t>
  </si>
  <si>
    <t xml:space="preserve">C:\Users\andre\Desktop\REACTIV CEFAS\Cromolyn\Cromolyn/20201217_Cefas_Test10_Run1/Plate 1/@2/E2_03.tif </t>
  </si>
  <si>
    <t xml:space="preserve"> 4866.7263 </t>
  </si>
  <si>
    <t xml:space="preserve"> 37.5956 </t>
  </si>
  <si>
    <t>C:\Users\andre\Desktop\REACTIV CEFAS\Cromolyn\Cromolyn/20201217_Cefas_Test10_Run1/Plate 1/@2/E2_04- exclu.tif</t>
  </si>
  <si>
    <t xml:space="preserve">C:\Users\andre\Desktop\REACTIV CEFAS\Cromolyn\Cromolyn/20201217_Cefas_Test10_Run1/Plate 1/@2/F2_01.tif </t>
  </si>
  <si>
    <t xml:space="preserve"> 24030.8129 </t>
  </si>
  <si>
    <t xml:space="preserve"> 33.6427 </t>
  </si>
  <si>
    <t xml:space="preserve">C:\Users\andre\Desktop\REACTIV CEFAS\Cromolyn\Cromolyn/20201217_Cefas_Test10_Run1/Plate 1/@2/F2_02.tif </t>
  </si>
  <si>
    <t xml:space="preserve"> 32142.0234 </t>
  </si>
  <si>
    <t xml:space="preserve"> 35.8291 </t>
  </si>
  <si>
    <t xml:space="preserve">C:\Users\andre\Desktop\REACTIV CEFAS\Cromolyn\Cromolyn/20201217_Cefas_Test10_Run1/Plate 1/@2/F2_03.tif </t>
  </si>
  <si>
    <t xml:space="preserve"> 24485.0407 </t>
  </si>
  <si>
    <t xml:space="preserve"> 35.0168 </t>
  </si>
  <si>
    <t xml:space="preserve">C:\Users\andre\Desktop\REACTIV CEFAS\Cromolyn\Cromolyn/20201217_Cefas_Test10_Run1/Plate 1/@2/F2_04.tif </t>
  </si>
  <si>
    <t xml:space="preserve"> 18212.3713 </t>
  </si>
  <si>
    <t xml:space="preserve"> 32.0178 </t>
  </si>
  <si>
    <t xml:space="preserve">C:\Users\andre\Desktop\REACTIV CEFAS\Cromolyn\Cromolyn/20201217_Cefas_Test10_Run1/Plate 1/@2/G2_01.tif </t>
  </si>
  <si>
    <t xml:space="preserve"> 6510.5983 </t>
  </si>
  <si>
    <t xml:space="preserve"> 42.2492 </t>
  </si>
  <si>
    <t xml:space="preserve">C:\Users\andre\Desktop\REACTIV CEFAS\Cromolyn\Cromolyn/20201217_Cefas_Test10_Run1/Plate 1/@2/G2_02.tif </t>
  </si>
  <si>
    <t xml:space="preserve"> 8003.061 </t>
  </si>
  <si>
    <t xml:space="preserve"> 40.2811 </t>
  </si>
  <si>
    <t xml:space="preserve">C:\Users\andre\Desktop\REACTIV CEFAS\Cromolyn\Cromolyn/20201217_Cefas_Test10_Run1/Plate 1/@2/G2_03.tif </t>
  </si>
  <si>
    <t xml:space="preserve"> 2984.9255 </t>
  </si>
  <si>
    <t xml:space="preserve"> 36.7681 </t>
  </si>
  <si>
    <t xml:space="preserve">C:\Users\andre\Desktop\REACTIV CEFAS\Cromolyn\Cromolyn/20201217_Cefas_Test10_Run1/Plate 1/@2/G2_04.tif </t>
  </si>
  <si>
    <t xml:space="preserve"> 13432.1646 </t>
  </si>
  <si>
    <t xml:space="preserve"> 36.7214 </t>
  </si>
  <si>
    <t xml:space="preserve">C:\Users\andre\Desktop\REACTIV CEFAS\Cromolyn\Cromolyn/20201217_Cefas_Test10_Run1/Plate 1/@2/H2_01.tif </t>
  </si>
  <si>
    <t xml:space="preserve"> 9755.0825 </t>
  </si>
  <si>
    <t xml:space="preserve"> 42.133 </t>
  </si>
  <si>
    <t xml:space="preserve">C:\Users\andre\Desktop\REACTIV CEFAS\Cromolyn\Cromolyn/20201217_Cefas_Test10_Run1/Plate 1/@2/H2_02.tif </t>
  </si>
  <si>
    <t xml:space="preserve"> 44.7176 </t>
  </si>
  <si>
    <t>C:\Users\andre\Desktop\REACTIV CEFAS\Cromolyn\Cromolyn/20201217_Cefas_Test10_Run1/Plate 1/@2/H2_03- exclu.tif</t>
  </si>
  <si>
    <t>C:\Users\andre\Desktop\REACTIV CEFAS\Cromolyn\Cromolyn/20201217_Cefas_Test10_Run1/Plate 1/@2/H2_04- exclu.tif</t>
  </si>
  <si>
    <t xml:space="preserve">C:\Users\andre\Desktop\REACTIV CEFAS\Cromolyn\Cromolyn/20201217_Cefas_Test10_Run1/Plate 1/@2/ </t>
  </si>
  <si>
    <t xml:space="preserve"> 36.7614 </t>
  </si>
  <si>
    <t xml:space="preserve"> 4.146 </t>
  </si>
  <si>
    <t xml:space="preserve"> 417511.719 </t>
  </si>
  <si>
    <t xml:space="preserve"> 261468.016 </t>
  </si>
  <si>
    <t xml:space="preserve">C:\Users\andre\Desktop\REACTIV CEFAS\Cromolyn\Cromolyn/20201217_Cefas_Test10_Run1/Plate 1/@3/A3_01.tif </t>
  </si>
  <si>
    <t xml:space="preserve"> 34.4381 </t>
  </si>
  <si>
    <t xml:space="preserve">C:\Users\andre\Desktop\REACTIV CEFAS\Cromolyn\Cromolyn/20201217_Cefas_Test10_Run1/Plate 1/@3/A3_02.tif </t>
  </si>
  <si>
    <t xml:space="preserve"> 34.9479 </t>
  </si>
  <si>
    <t xml:space="preserve">C:\Users\andre\Desktop\REACTIV CEFAS\Cromolyn\Cromolyn/20201217_Cefas_Test10_Run1/Plate 1/@3/A3_03.tif </t>
  </si>
  <si>
    <t xml:space="preserve"> 16590.1292 </t>
  </si>
  <si>
    <t xml:space="preserve"> 35.5111 </t>
  </si>
  <si>
    <t xml:space="preserve">C:\Users\andre\Desktop\REACTIV CEFAS\Cromolyn\Cromolyn/20201217_Cefas_Test10_Run1/Plate 1/@3/A3_04.tif </t>
  </si>
  <si>
    <t xml:space="preserve"> 13756.613 </t>
  </si>
  <si>
    <t xml:space="preserve"> 33.1855 </t>
  </si>
  <si>
    <t xml:space="preserve">C:\Users\andre\Desktop\REACTIV CEFAS\Cromolyn\Cromolyn/20201217_Cefas_Test10_Run1/Plate 1/@3/B3_01.tif </t>
  </si>
  <si>
    <t xml:space="preserve"> 10230.9402 </t>
  </si>
  <si>
    <t xml:space="preserve"> 37.1036 </t>
  </si>
  <si>
    <t xml:space="preserve">C:\Users\andre\Desktop\REACTIV CEFAS\Cromolyn\Cromolyn/20201217_Cefas_Test10_Run1/Plate 1/@3/B3_02.tif </t>
  </si>
  <si>
    <t xml:space="preserve"> 10641.9082 </t>
  </si>
  <si>
    <t xml:space="preserve"> 37.6829 </t>
  </si>
  <si>
    <t xml:space="preserve">C:\Users\andre\Desktop\REACTIV CEFAS\Cromolyn\Cromolyn/20201217_Cefas_Test10_Run1/Plate 1/@3/B3_03.tif </t>
  </si>
  <si>
    <t xml:space="preserve"> 13540.314 </t>
  </si>
  <si>
    <t xml:space="preserve"> 37.6182 </t>
  </si>
  <si>
    <t xml:space="preserve">C:\Users\andre\Desktop\REACTIV CEFAS\Cromolyn\Cromolyn/20201217_Cefas_Test10_Run1/Plate 1/@3/B3_04.tif </t>
  </si>
  <si>
    <t xml:space="preserve"> 12848.1574 </t>
  </si>
  <si>
    <t xml:space="preserve"> 35.7374 </t>
  </si>
  <si>
    <t xml:space="preserve">C:\Users\andre\Desktop\REACTIV CEFAS\Cromolyn\Cromolyn/20201217_Cefas_Test10_Run1/Plate 1/@3/C3_01.tif </t>
  </si>
  <si>
    <t xml:space="preserve"> 30.6 </t>
  </si>
  <si>
    <t xml:space="preserve">C:\Users\andre\Desktop\REACTIV CEFAS\Cromolyn\Cromolyn/20201217_Cefas_Test10_Run1/Plate 1/@3/C3_02.tif </t>
  </si>
  <si>
    <t xml:space="preserve"> 8630.328 </t>
  </si>
  <si>
    <t xml:space="preserve"> 45.203 </t>
  </si>
  <si>
    <t>C:\Users\andre\Desktop\REACTIV CEFAS\Cromolyn\Cromolyn/20201217_Cefas_Test10_Run1/Plate 1/@3/C3_03- exclu.tif</t>
  </si>
  <si>
    <t>C:\Users\andre\Desktop\REACTIV CEFAS\Cromolyn\Cromolyn/20201217_Cefas_Test10_Run1/Plate 1/@3/C3_04- exclu.tif</t>
  </si>
  <si>
    <t xml:space="preserve">C:\Users\andre\Desktop\REACTIV CEFAS\Cromolyn\Cromolyn/20201217_Cefas_Test10_Run1/Plate 1/@3/D3_01.tif </t>
  </si>
  <si>
    <t xml:space="preserve"> 41.6477 </t>
  </si>
  <si>
    <t xml:space="preserve">C:\Users\andre\Desktop\REACTIV CEFAS\Cromolyn\Cromolyn/20201217_Cefas_Test10_Run1/Plate 1/@3/D3_02.tif </t>
  </si>
  <si>
    <t xml:space="preserve"> 39.8882 </t>
  </si>
  <si>
    <t xml:space="preserve">C:\Users\andre\Desktop\REACTIV CEFAS\Cromolyn\Cromolyn/20201217_Cefas_Test10_Run1/Plate 1/@3/D3_03.tif </t>
  </si>
  <si>
    <t xml:space="preserve"> 31.4444 </t>
  </si>
  <si>
    <t xml:space="preserve">C:\Users\andre\Desktop\REACTIV CEFAS\Cromolyn\Cromolyn/20201217_Cefas_Test10_Run1/Plate 1/@3/D3_04.tif </t>
  </si>
  <si>
    <t xml:space="preserve"> 43.661 </t>
  </si>
  <si>
    <t xml:space="preserve">C:\Users\andre\Desktop\REACTIV CEFAS\Cromolyn\Cromolyn/20201217_Cefas_Test10_Run1/Plate 1/@3/E3_01.tif </t>
  </si>
  <si>
    <t xml:space="preserve"> 40.3105 </t>
  </si>
  <si>
    <t xml:space="preserve">C:\Users\andre\Desktop\REACTIV CEFAS\Cromolyn\Cromolyn/20201217_Cefas_Test10_Run1/Plate 1/@3/E3_02.tif </t>
  </si>
  <si>
    <t xml:space="preserve"> 40.9239 </t>
  </si>
  <si>
    <t xml:space="preserve">C:\Users\andre\Desktop\REACTIV CEFAS\Cromolyn\Cromolyn/20201217_Cefas_Test10_Run1/Plate 1/@3/E3_03.tif </t>
  </si>
  <si>
    <t xml:space="preserve"> 12761.6378 </t>
  </si>
  <si>
    <t xml:space="preserve"> 39.2373 </t>
  </si>
  <si>
    <t xml:space="preserve">C:\Users\andre\Desktop\REACTIV CEFAS\Cromolyn\Cromolyn/20201217_Cefas_Test10_Run1/Plate 1/@3/E3_04.tif </t>
  </si>
  <si>
    <t xml:space="preserve"> 41.6835 </t>
  </si>
  <si>
    <t xml:space="preserve">C:\Users\andre\Desktop\REACTIV CEFAS\Cromolyn\Cromolyn/20201217_Cefas_Test10_Run1/Plate 1/@3/F3_01.tif </t>
  </si>
  <si>
    <t xml:space="preserve"> 12199.2606 </t>
  </si>
  <si>
    <t xml:space="preserve"> 40.2979 </t>
  </si>
  <si>
    <t xml:space="preserve">C:\Users\andre\Desktop\REACTIV CEFAS\Cromolyn\Cromolyn/20201217_Cefas_Test10_Run1/Plate 1/@3/F3_02.tif </t>
  </si>
  <si>
    <t xml:space="preserve"> 8392.3991 </t>
  </si>
  <si>
    <t xml:space="preserve"> 39.0515 </t>
  </si>
  <si>
    <t xml:space="preserve">C:\Users\andre\Desktop\REACTIV CEFAS\Cromolyn\Cromolyn/20201217_Cefas_Test10_Run1/Plate 1/@3/F3_03.tif </t>
  </si>
  <si>
    <t xml:space="preserve"> 40.6933 </t>
  </si>
  <si>
    <t xml:space="preserve">C:\Users\andre\Desktop\REACTIV CEFAS\Cromolyn\Cromolyn/20201217_Cefas_Test10_Run1/Plate 1/@3/F3_04.tif </t>
  </si>
  <si>
    <t xml:space="preserve"> 40.4619 </t>
  </si>
  <si>
    <t xml:space="preserve">C:\Users\andre\Desktop\REACTIV CEFAS\Cromolyn\Cromolyn/20201217_Cefas_Test10_Run1/Plate 1/@3/G3_01.tif </t>
  </si>
  <si>
    <t xml:space="preserve"> 1016.605 </t>
  </si>
  <si>
    <t xml:space="preserve"> 33.1277 </t>
  </si>
  <si>
    <t xml:space="preserve">C:\Users\andre\Desktop\REACTIV CEFAS\Cromolyn\Cromolyn/20201217_Cefas_Test10_Run1/Plate 1/@3/G3_02.tif </t>
  </si>
  <si>
    <t xml:space="preserve">C:\Users\andre\Desktop\REACTIV CEFAS\Cromolyn\Cromolyn/20201217_Cefas_Test10_Run1/Plate 1/@3/G3_03.tif </t>
  </si>
  <si>
    <t xml:space="preserve">C:\Users\andre\Desktop\REACTIV CEFAS\Cromolyn\Cromolyn/20201217_Cefas_Test10_Run1/Plate 1/@3/G3_04.tif </t>
  </si>
  <si>
    <t xml:space="preserve"> 43.5216 </t>
  </si>
  <si>
    <t xml:space="preserve">C:\Users\andre\Desktop\REACTIV CEFAS\Cromolyn\Cromolyn/20201217_Cefas_Test10_Run1/Plate 1/@3/H3_01.tif </t>
  </si>
  <si>
    <t xml:space="preserve"> 38.8605 </t>
  </si>
  <si>
    <t xml:space="preserve">C:\Users\andre\Desktop\REACTIV CEFAS\Cromolyn\Cromolyn/20201217_Cefas_Test10_Run1/Plate 1/@3/H3_02.tif </t>
  </si>
  <si>
    <t xml:space="preserve"> 10533.7587 </t>
  </si>
  <si>
    <t xml:space="preserve"> 39.2238 </t>
  </si>
  <si>
    <t xml:space="preserve">C:\Users\andre\Desktop\REACTIV CEFAS\Cromolyn\Cromolyn/20201217_Cefas_Test10_Run1/Plate 1/@3/H3_03.tif </t>
  </si>
  <si>
    <t xml:space="preserve"> 39.2105 </t>
  </si>
  <si>
    <t xml:space="preserve">C:\Users\andre\Desktop\REACTIV CEFAS\Cromolyn\Cromolyn/20201217_Cefas_Test10_Run1/Plate 1/@3/H3_04.tif </t>
  </si>
  <si>
    <t xml:space="preserve"> 30.625 </t>
  </si>
  <si>
    <t xml:space="preserve">C:\Users\andre\Desktop\REACTIV CEFAS\Cromolyn\Cromolyn/20201217_Cefas_Test10_Run1/Plate 1/@3/ </t>
  </si>
  <si>
    <t xml:space="preserve"> 37.1492 </t>
  </si>
  <si>
    <t xml:space="preserve"> 4.4246 </t>
  </si>
  <si>
    <t xml:space="preserve"> 299284.719 </t>
  </si>
  <si>
    <t xml:space="preserve"> 185200.074 </t>
  </si>
  <si>
    <t>C:\Users\andre\Desktop\REACTIV CEFAS\Cromolyn\Cromolyn/20201217_Cefas_Test10_Run1/Plate 1/@4/A4_01- exclu.tif</t>
  </si>
  <si>
    <t>C:\Users\andre\Desktop\REACTIV CEFAS\Cromolyn\Cromolyn/20201217_Cefas_Test10_Run1/Plate 1/@4/A4_02- exclu.tif</t>
  </si>
  <si>
    <t>C:\Users\andre\Desktop\REACTIV CEFAS\Cromolyn\Cromolyn/20201217_Cefas_Test10_Run1/Plate 1/@4/A4_03- exclu.tif</t>
  </si>
  <si>
    <t xml:space="preserve">C:\Users\andre\Desktop\REACTIV CEFAS\Cromolyn\Cromolyn/20201217_Cefas_Test10_Run1/Plate 1/@4/A4_04.tif </t>
  </si>
  <si>
    <t xml:space="preserve"> 17455.325 </t>
  </si>
  <si>
    <t xml:space="preserve"> 35.4015 </t>
  </si>
  <si>
    <t xml:space="preserve">C:\Users\andre\Desktop\REACTIV CEFAS\Cromolyn\Cromolyn/20201217_Cefas_Test10_Run1/Plate 1/@4/B4_01.tif </t>
  </si>
  <si>
    <t xml:space="preserve"> 17260.6559 </t>
  </si>
  <si>
    <t xml:space="preserve"> 33.6992 </t>
  </si>
  <si>
    <t>C:\Users\andre\Desktop\REACTIV CEFAS\Cromolyn\Cromolyn/20201217_Cefas_Test10_Run1/Plate 1/@4/B4_02- exclu.tif</t>
  </si>
  <si>
    <t xml:space="preserve">C:\Users\andre\Desktop\REACTIV CEFAS\Cromolyn\Cromolyn/20201217_Cefas_Test10_Run1/Plate 1/@4/B4_03.tif </t>
  </si>
  <si>
    <t xml:space="preserve"> 33.5915 </t>
  </si>
  <si>
    <t xml:space="preserve">C:\Users\andre\Desktop\REACTIV CEFAS\Cromolyn\Cromolyn/20201217_Cefas_Test10_Run1/Plate 1/@4/B4_04.tif </t>
  </si>
  <si>
    <t xml:space="preserve"> 24571.5603 </t>
  </si>
  <si>
    <t xml:space="preserve"> 33.8477 </t>
  </si>
  <si>
    <t xml:space="preserve">C:\Users\andre\Desktop\REACTIV CEFAS\Cromolyn\Cromolyn/20201217_Cefas_Test10_Run1/Plate 1/@4/C4_01.tif </t>
  </si>
  <si>
    <t xml:space="preserve"> 70946.0544 </t>
  </si>
  <si>
    <t xml:space="preserve"> 46.3034 </t>
  </si>
  <si>
    <t xml:space="preserve">C:\Users\andre\Desktop\REACTIV CEFAS\Cromolyn\Cromolyn/20201217_Cefas_Test10_Run1/Plate 1/@4/C4_02.tif </t>
  </si>
  <si>
    <t xml:space="preserve"> 65798.1395 </t>
  </si>
  <si>
    <t xml:space="preserve"> 43.4517 </t>
  </si>
  <si>
    <t xml:space="preserve">C:\Users\andre\Desktop\REACTIV CEFAS\Cromolyn\Cromolyn/20201217_Cefas_Test10_Run1/Plate 1/@4/C4_03.tif </t>
  </si>
  <si>
    <t xml:space="preserve"> 65473.691 </t>
  </si>
  <si>
    <t xml:space="preserve"> 45.5035 </t>
  </si>
  <si>
    <t>C:\Users\andre\Desktop\REACTIV CEFAS\Cromolyn\Cromolyn/20201217_Cefas_Test10_Run1/Plate 1/@4/C4_04- exclu.tif</t>
  </si>
  <si>
    <t xml:space="preserve">C:\Users\andre\Desktop\REACTIV CEFAS\Cromolyn\Cromolyn/20201217_Cefas_Test10_Run1/Plate 1/@4/D4_01.tif </t>
  </si>
  <si>
    <t xml:space="preserve"> 18644.9692 </t>
  </si>
  <si>
    <t xml:space="preserve"> 33.1137 </t>
  </si>
  <si>
    <t xml:space="preserve">C:\Users\andre\Desktop\REACTIV CEFAS\Cromolyn\Cromolyn/20201217_Cefas_Test10_Run1/Plate 1/@4/D4_02.tif </t>
  </si>
  <si>
    <t xml:space="preserve"> 30498.1514 </t>
  </si>
  <si>
    <t xml:space="preserve"> 37.0674 </t>
  </si>
  <si>
    <t xml:space="preserve">C:\Users\andre\Desktop\REACTIV CEFAS\Cromolyn\Cromolyn/20201217_Cefas_Test10_Run1/Plate 1/@4/D4_03.tif </t>
  </si>
  <si>
    <t xml:space="preserve"> 32682.7708 </t>
  </si>
  <si>
    <t xml:space="preserve"> 36.4064 </t>
  </si>
  <si>
    <t xml:space="preserve">C:\Users\andre\Desktop\REACTIV CEFAS\Cromolyn\Cromolyn/20201217_Cefas_Test10_Run1/Plate 1/@4/D4_04.tif </t>
  </si>
  <si>
    <t xml:space="preserve"> 39777.3762 </t>
  </si>
  <si>
    <t xml:space="preserve"> 36.6476 </t>
  </si>
  <si>
    <t xml:space="preserve">C:\Users\andre\Desktop\REACTIV CEFAS\Cromolyn\Cromolyn/20201217_Cefas_Test10_Run1/Plate 1/@4/E4_01.tif </t>
  </si>
  <si>
    <t xml:space="preserve"> 17239.026 </t>
  </si>
  <si>
    <t xml:space="preserve"> 33.1857 </t>
  </si>
  <si>
    <t xml:space="preserve">C:\Users\andre\Desktop\REACTIV CEFAS\Cromolyn\Cromolyn/20201217_Cefas_Test10_Run1/Plate 1/@4/E4_02.tif </t>
  </si>
  <si>
    <t xml:space="preserve"> 29546.4361 </t>
  </si>
  <si>
    <t xml:space="preserve"> 33.8675 </t>
  </si>
  <si>
    <t xml:space="preserve">C:\Users\andre\Desktop\REACTIV CEFAS\Cromolyn\Cromolyn/20201217_Cefas_Test10_Run1/Plate 1/@4/E4_03.tif </t>
  </si>
  <si>
    <t xml:space="preserve"> 38847.2908 </t>
  </si>
  <si>
    <t xml:space="preserve"> 33.4532 </t>
  </si>
  <si>
    <t xml:space="preserve">C:\Users\andre\Desktop\REACTIV CEFAS\Cromolyn\Cromolyn/20201217_Cefas_Test10_Run1/Plate 1/@4/E4_04.tif </t>
  </si>
  <si>
    <t xml:space="preserve"> 36251.7034 </t>
  </si>
  <si>
    <t xml:space="preserve"> 34.8455 </t>
  </si>
  <si>
    <t xml:space="preserve">C:\Users\andre\Desktop\REACTIV CEFAS\Cromolyn\Cromolyn/20201217_Cefas_Test10_Run1/Plate 1/@4/F4_01.tif </t>
  </si>
  <si>
    <t xml:space="preserve"> 31.3571 </t>
  </si>
  <si>
    <t>C:\Users\andre\Desktop\REACTIV CEFAS\Cromolyn\Cromolyn/20201217_Cefas_Test10_Run1/Plate 1/@4/F4_02- exclu.tif</t>
  </si>
  <si>
    <t xml:space="preserve">C:\Users\andre\Desktop\REACTIV CEFAS\Cromolyn\Cromolyn/20201217_Cefas_Test10_Run1/Plate 1/@4/F4_03.tif </t>
  </si>
  <si>
    <t xml:space="preserve"> 39.9857 </t>
  </si>
  <si>
    <t>C:\Users\andre\Desktop\REACTIV CEFAS\Cromolyn\Cromolyn/20201217_Cefas_Test10_Run1/Plate 1/@4/F4_04- exclu.tif</t>
  </si>
  <si>
    <t xml:space="preserve">C:\Users\andre\Desktop\REACTIV CEFAS\Cromolyn\Cromolyn/20201217_Cefas_Test10_Run1/Plate 1/@4/G4_01.tif </t>
  </si>
  <si>
    <t xml:space="preserve"> 34.3293 </t>
  </si>
  <si>
    <t xml:space="preserve">C:\Users\andre\Desktop\REACTIV CEFAS\Cromolyn\Cromolyn/20201217_Cefas_Test10_Run1/Plate 1/@4/G4_02.tif </t>
  </si>
  <si>
    <t xml:space="preserve"> 36.9209 </t>
  </si>
  <si>
    <t xml:space="preserve">C:\Users\andre\Desktop\REACTIV CEFAS\Cromolyn\Cromolyn/20201217_Cefas_Test10_Run1/Plate 1/@4/G4_03.tif </t>
  </si>
  <si>
    <t xml:space="preserve"> 38.9582 </t>
  </si>
  <si>
    <t xml:space="preserve">C:\Users\andre\Desktop\REACTIV CEFAS\Cromolyn\Cromolyn/20201217_Cefas_Test10_Run1/Plate 1/@4/G4_04.tif </t>
  </si>
  <si>
    <t xml:space="preserve"> 12329.0399 </t>
  </si>
  <si>
    <t xml:space="preserve"> 36.7965 </t>
  </si>
  <si>
    <t xml:space="preserve">C:\Users\andre\Desktop\REACTIV CEFAS\Cromolyn\Cromolyn/20201217_Cefas_Test10_Run1/Plate 1/@4/H4_01.tif </t>
  </si>
  <si>
    <t xml:space="preserve"> 31.831 </t>
  </si>
  <si>
    <t xml:space="preserve">C:\Users\andre\Desktop\REACTIV CEFAS\Cromolyn\Cromolyn/20201217_Cefas_Test10_Run1/Plate 1/@4/H4_02.tif </t>
  </si>
  <si>
    <t xml:space="preserve"> 4499.0181 </t>
  </si>
  <si>
    <t xml:space="preserve"> 31.726 </t>
  </si>
  <si>
    <t xml:space="preserve">C:\Users\andre\Desktop\REACTIV CEFAS\Cromolyn\Cromolyn/20201217_Cefas_Test10_Run1/Plate 1/@4/H4_03.tif </t>
  </si>
  <si>
    <t xml:space="preserve"> 35.2006 </t>
  </si>
  <si>
    <t xml:space="preserve">C:\Users\andre\Desktop\REACTIV CEFAS\Cromolyn\Cromolyn/20201217_Cefas_Test10_Run1/Plate 1/@4/H4_04.tif </t>
  </si>
  <si>
    <t xml:space="preserve"> 33.6253 </t>
  </si>
  <si>
    <t xml:space="preserve">C:\Users\andre\Desktop\REACTIV CEFAS\Cromolyn\Cromolyn/20201217_Cefas_Test10_Run1/Plate 1/@4/ </t>
  </si>
  <si>
    <t xml:space="preserve"> 36.9123 </t>
  </si>
  <si>
    <t xml:space="preserve"> 4.462 </t>
  </si>
  <si>
    <t xml:space="preserve"> 948028.094 </t>
  </si>
  <si>
    <t xml:space="preserve"> 921359.489 </t>
  </si>
  <si>
    <t xml:space="preserve">C:\Users\andre\Desktop\REACTIV CEFAS\Cromolyn\Cromolyn/20201217_Cefas_Test10_Run1/Plate 1/@5/A5_01.tif </t>
  </si>
  <si>
    <t xml:space="preserve"> 45141.5901 </t>
  </si>
  <si>
    <t xml:space="preserve"> 39.3876 </t>
  </si>
  <si>
    <t xml:space="preserve">C:\Users\andre\Desktop\REACTIV CEFAS\Cromolyn\Cromolyn/20201217_Cefas_Test10_Run1/Plate 1/@5/A5_02.tif </t>
  </si>
  <si>
    <t xml:space="preserve"> 58963.0928 </t>
  </si>
  <si>
    <t xml:space="preserve"> 41.3683 </t>
  </si>
  <si>
    <t>C:\Users\andre\Desktop\REACTIV CEFAS\Cromolyn\Cromolyn/20201217_Cefas_Test10_Run1/Plate 1/@5/A5_03- exclu.tif</t>
  </si>
  <si>
    <t xml:space="preserve">C:\Users\andre\Desktop\REACTIV CEFAS\Cromolyn\Cromolyn/20201217_Cefas_Test10_Run1/Plate 1/@5/A5_04.tif </t>
  </si>
  <si>
    <t xml:space="preserve"> 38.0127 </t>
  </si>
  <si>
    <t xml:space="preserve">C:\Users\andre\Desktop\REACTIV CEFAS\Cromolyn\Cromolyn/20201217_Cefas_Test10_Run1/Plate 1/@5/B5_01.tif </t>
  </si>
  <si>
    <t xml:space="preserve"> 67377.1218 </t>
  </si>
  <si>
    <t xml:space="preserve"> 42.8263 </t>
  </si>
  <si>
    <t xml:space="preserve">C:\Users\andre\Desktop\REACTIV CEFAS\Cromolyn\Cromolyn/20201217_Cefas_Test10_Run1/Plate 1/@5/B5_02.tif </t>
  </si>
  <si>
    <t xml:space="preserve"> 57708.5589 </t>
  </si>
  <si>
    <t xml:space="preserve"> 44.096 </t>
  </si>
  <si>
    <t xml:space="preserve">C:\Users\andre\Desktop\REACTIV CEFAS\Cromolyn\Cromolyn/20201217_Cefas_Test10_Run1/Plate 1/@5/B5_03.tif </t>
  </si>
  <si>
    <t xml:space="preserve"> 61731.7193 </t>
  </si>
  <si>
    <t xml:space="preserve"> 40.6997 </t>
  </si>
  <si>
    <t xml:space="preserve">C:\Users\andre\Desktop\REACTIV CEFAS\Cromolyn\Cromolyn/20201217_Cefas_Test10_Run1/Plate 1/@5/B5_04.tif </t>
  </si>
  <si>
    <t xml:space="preserve"> 62315.7264 </t>
  </si>
  <si>
    <t xml:space="preserve"> 41.1236 </t>
  </si>
  <si>
    <t xml:space="preserve">C:\Users\andre\Desktop\REACTIV CEFAS\Cromolyn\Cromolyn/20201217_Cefas_Test10_Run1/Plate 1/@5/C5_01.tif </t>
  </si>
  <si>
    <t xml:space="preserve"> 76115.5992 </t>
  </si>
  <si>
    <t xml:space="preserve"> 38.7548 </t>
  </si>
  <si>
    <t>C:\Users\andre\Desktop\REACTIV CEFAS\Cromolyn\Cromolyn/20201217_Cefas_Test10_Run1/Plate 1/@5/C5_02- exclu.tif</t>
  </si>
  <si>
    <t>C:\Users\andre\Desktop\REACTIV CEFAS\Cromolyn\Cromolyn/20201217_Cefas_Test10_Run1/Plate 1/@5/C5_03- exclu.tif</t>
  </si>
  <si>
    <t xml:space="preserve">C:\Users\andre\Desktop\REACTIV CEFAS\Cromolyn\Cromolyn/20201217_Cefas_Test10_Run1/Plate 1/@5/C5_04.tif </t>
  </si>
  <si>
    <t xml:space="preserve"> 45.2896 </t>
  </si>
  <si>
    <t xml:space="preserve">C:\Users\andre\Desktop\REACTIV CEFAS\Cromolyn\Cromolyn/20201217_Cefas_Test10_Run1/Plate 1/@5/D5_01.tif </t>
  </si>
  <si>
    <t xml:space="preserve"> 63743.2995 </t>
  </si>
  <si>
    <t xml:space="preserve"> 43.2514 </t>
  </si>
  <si>
    <t xml:space="preserve">C:\Users\andre\Desktop\REACTIV CEFAS\Cromolyn\Cromolyn/20201217_Cefas_Test10_Run1/Plate 1/@5/D5_02.tif </t>
  </si>
  <si>
    <t xml:space="preserve"> 52495.7543 </t>
  </si>
  <si>
    <t xml:space="preserve"> 42.2921 </t>
  </si>
  <si>
    <t xml:space="preserve">C:\Users\andre\Desktop\REACTIV CEFAS\Cromolyn\Cromolyn/20201217_Cefas_Test10_Run1/Plate 1/@5/D5_03.tif </t>
  </si>
  <si>
    <t xml:space="preserve"> 59374.0608 </t>
  </si>
  <si>
    <t xml:space="preserve"> 43.3701 </t>
  </si>
  <si>
    <t xml:space="preserve">C:\Users\andre\Desktop\REACTIV CEFAS\Cromolyn\Cromolyn/20201217_Cefas_Test10_Run1/Plate 1/@5/D5_04.tif </t>
  </si>
  <si>
    <t xml:space="preserve"> 49489.1989 </t>
  </si>
  <si>
    <t xml:space="preserve"> 43.7076 </t>
  </si>
  <si>
    <t xml:space="preserve">C:\Users\andre\Desktop\REACTIV CEFAS\Cromolyn\Cromolyn/20201217_Cefas_Test10_Run1/Plate 1/@5/E5_01.tif </t>
  </si>
  <si>
    <t xml:space="preserve"> 58011.3774 </t>
  </si>
  <si>
    <t xml:space="preserve"> 40.2946 </t>
  </si>
  <si>
    <t xml:space="preserve">C:\Users\andre\Desktop\REACTIV CEFAS\Cromolyn\Cromolyn/20201217_Cefas_Test10_Run1/Plate 1/@5/E5_02.tif </t>
  </si>
  <si>
    <t xml:space="preserve"> 63245.8119 </t>
  </si>
  <si>
    <t xml:space="preserve"> 39.9979 </t>
  </si>
  <si>
    <t>C:\Users\andre\Desktop\REACTIV CEFAS\Cromolyn\Cromolyn/20201217_Cefas_Test10_Run1/Plate 1/@5/E5_03- exclu.tif</t>
  </si>
  <si>
    <t xml:space="preserve">C:\Users\andre\Desktop\REACTIV CEFAS\Cromolyn\Cromolyn/20201217_Cefas_Test10_Run1/Plate 1/@5/E5_04.tif </t>
  </si>
  <si>
    <t xml:space="preserve"> 41594.2874 </t>
  </si>
  <si>
    <t xml:space="preserve"> 35.3521 </t>
  </si>
  <si>
    <t xml:space="preserve">C:\Users\andre\Desktop\REACTIV CEFAS\Cromolyn\Cromolyn/20201217_Cefas_Test10_Run1/Plate 1/@5/F5_01.tif </t>
  </si>
  <si>
    <t xml:space="preserve"> 83534.6531 </t>
  </si>
  <si>
    <t xml:space="preserve"> 44.3915 </t>
  </si>
  <si>
    <t xml:space="preserve">C:\Users\andre\Desktop\REACTIV CEFAS\Cromolyn\Cromolyn/20201217_Cefas_Test10_Run1/Plate 1/@5/F5_02.tif </t>
  </si>
  <si>
    <t xml:space="preserve"> 77932.5103 </t>
  </si>
  <si>
    <t xml:space="preserve"> 42.7386 </t>
  </si>
  <si>
    <t xml:space="preserve">C:\Users\andre\Desktop\REACTIV CEFAS\Cromolyn\Cromolyn/20201217_Cefas_Test10_Run1/Plate 1/@5/F5_03.tif </t>
  </si>
  <si>
    <t xml:space="preserve"> 79771.0514 </t>
  </si>
  <si>
    <t xml:space="preserve"> 44.5911 </t>
  </si>
  <si>
    <t xml:space="preserve">C:\Users\andre\Desktop\REACTIV CEFAS\Cromolyn\Cromolyn/20201217_Cefas_Test10_Run1/Plate 1/@5/F5_04.tif </t>
  </si>
  <si>
    <t xml:space="preserve"> 88033.6711 </t>
  </si>
  <si>
    <t xml:space="preserve"> 44.9727 </t>
  </si>
  <si>
    <t xml:space="preserve">C:\Users\andre\Desktop\REACTIV CEFAS\Cromolyn\Cromolyn/20201217_Cefas_Test10_Run1/Plate 1/@5/G5_01.tif </t>
  </si>
  <si>
    <t xml:space="preserve"> 13497.0542 </t>
  </si>
  <si>
    <t xml:space="preserve"> 33.8766 </t>
  </si>
  <si>
    <t xml:space="preserve">C:\Users\andre\Desktop\REACTIV CEFAS\Cromolyn\Cromolyn/20201217_Cefas_Test10_Run1/Plate 1/@5/G5_02.tif </t>
  </si>
  <si>
    <t xml:space="preserve"> 37073.6394 </t>
  </si>
  <si>
    <t xml:space="preserve"> 36.0963 </t>
  </si>
  <si>
    <t xml:space="preserve">C:\Users\andre\Desktop\REACTIV CEFAS\Cromolyn\Cromolyn/20201217_Cefas_Test10_Run1/Plate 1/@5/G5_03.tif </t>
  </si>
  <si>
    <t xml:space="preserve"> 34867.3901 </t>
  </si>
  <si>
    <t xml:space="preserve"> 36.9082 </t>
  </si>
  <si>
    <t xml:space="preserve">C:\Users\andre\Desktop\REACTIV CEFAS\Cromolyn\Cromolyn/20201217_Cefas_Test10_Run1/Plate 1/@5/G5_04.tif </t>
  </si>
  <si>
    <t xml:space="preserve"> 33.6591 </t>
  </si>
  <si>
    <t xml:space="preserve">C:\Users\andre\Desktop\REACTIV CEFAS\Cromolyn\Cromolyn/20201217_Cefas_Test10_Run1/Plate 1/@5/H5_01.tif </t>
  </si>
  <si>
    <t xml:space="preserve"> 31.3556 </t>
  </si>
  <si>
    <t>C:\Users\andre\Desktop\REACTIV CEFAS\Cromolyn\Cromolyn/20201217_Cefas_Test10_Run1/Plate 1/@5/H5_02- exclu.tif</t>
  </si>
  <si>
    <t>C:\Users\andre\Desktop\REACTIV CEFAS\Cromolyn\Cromolyn/20201217_Cefas_Test10_Run1/Plate 1/@5/H5_03- exclu.tif</t>
  </si>
  <si>
    <t>C:\Users\andre\Desktop\REACTIV CEFAS\Cromolyn\Cromolyn/20201217_Cefas_Test10_Run1/Plate 1/@5/H5_04- exclu.tif</t>
  </si>
  <si>
    <t xml:space="preserve">C:\Users\andre\Desktop\REACTIV CEFAS\Cromolyn\Cromolyn/20201217_Cefas_Test10_Run1/Plate 1/@5/ </t>
  </si>
  <si>
    <t xml:space="preserve"> 41.1186 </t>
  </si>
  <si>
    <t xml:space="preserve"> 3.874 </t>
  </si>
  <si>
    <t xml:space="preserve"> 2178940.12 </t>
  </si>
  <si>
    <t xml:space="preserve"> 1120797.4 </t>
  </si>
  <si>
    <t xml:space="preserve">C:\Users\andre\Desktop\REACTIV CEFAS\Cromolyn\Cromolyn/20201217_Cefas_Test10_Run1/Plate 1/@6/A6_01.tif </t>
  </si>
  <si>
    <t xml:space="preserve"> 56518.9147 </t>
  </si>
  <si>
    <t xml:space="preserve"> 43.1871 </t>
  </si>
  <si>
    <t xml:space="preserve">C:\Users\andre\Desktop\REACTIV CEFAS\Cromolyn\Cromolyn/20201217_Cefas_Test10_Run1/Plate 1/@6/A6_02.tif </t>
  </si>
  <si>
    <t xml:space="preserve"> 62769.9542 </t>
  </si>
  <si>
    <t xml:space="preserve"> 46.0152 </t>
  </si>
  <si>
    <t xml:space="preserve">C:\Users\andre\Desktop\REACTIV CEFAS\Cromolyn\Cromolyn/20201217_Cefas_Test10_Run1/Plate 1/@6/A6_03.tif </t>
  </si>
  <si>
    <t xml:space="preserve"> 47.2071 </t>
  </si>
  <si>
    <t xml:space="preserve">C:\Users\andre\Desktop\REACTIV CEFAS\Cromolyn\Cromolyn/20201217_Cefas_Test10_Run1/Plate 1/@6/A6_04.tif </t>
  </si>
  <si>
    <t xml:space="preserve"> 64911.3138 </t>
  </si>
  <si>
    <t xml:space="preserve"> 45.5811 </t>
  </si>
  <si>
    <t xml:space="preserve">C:\Users\andre\Desktop\REACTIV CEFAS\Cromolyn\Cromolyn/20201217_Cefas_Test10_Run1/Plate 1/@6/B6_01.tif </t>
  </si>
  <si>
    <t xml:space="preserve"> 53555.6191 </t>
  </si>
  <si>
    <t xml:space="preserve"> 46.3974 </t>
  </si>
  <si>
    <t xml:space="preserve">C:\Users\andre\Desktop\REACTIV CEFAS\Cromolyn\Cromolyn/20201217_Cefas_Test10_Run1/Plate 1/@6/B6_02.tif </t>
  </si>
  <si>
    <t xml:space="preserve"> 53923.3273 </t>
  </si>
  <si>
    <t xml:space="preserve"> 45.7148 </t>
  </si>
  <si>
    <t xml:space="preserve">C:\Users\andre\Desktop\REACTIV CEFAS\Cromolyn\Cromolyn/20201217_Cefas_Test10_Run1/Plate 1/@6/B6_03.tif </t>
  </si>
  <si>
    <t xml:space="preserve"> 55069.7117 </t>
  </si>
  <si>
    <t xml:space="preserve"> 47.9666 </t>
  </si>
  <si>
    <t xml:space="preserve">C:\Users\andre\Desktop\REACTIV CEFAS\Cromolyn\Cromolyn/20201217_Cefas_Test10_Run1/Plate 1/@6/B6_04.tif </t>
  </si>
  <si>
    <t xml:space="preserve"> 57665.2991 </t>
  </si>
  <si>
    <t xml:space="preserve"> 47.323 </t>
  </si>
  <si>
    <t>C:\Users\andre\Desktop\REACTIV CEFAS\Cromolyn\Cromolyn/20201217_Cefas_Test10_Run1/Plate 1/@6/C6_01- exclu.tif</t>
  </si>
  <si>
    <t>C:\Users\andre\Desktop\REACTIV CEFAS\Cromolyn\Cromolyn/20201217_Cefas_Test10_Run1/Plate 1/@6/C6_02- exclu.tif</t>
  </si>
  <si>
    <t xml:space="preserve">C:\Users\andre\Desktop\REACTIV CEFAS\Cromolyn\Cromolyn/20201217_Cefas_Test10_Run1/Plate 1/@6/C6_03.tif </t>
  </si>
  <si>
    <t xml:space="preserve"> 73000.8944 </t>
  </si>
  <si>
    <t xml:space="preserve"> 43.1292 </t>
  </si>
  <si>
    <t xml:space="preserve">C:\Users\andre\Desktop\REACTIV CEFAS\Cromolyn\Cromolyn/20201217_Cefas_Test10_Run1/Plate 1/@6/C6_04.tif </t>
  </si>
  <si>
    <t xml:space="preserve"> 82539.6779 </t>
  </si>
  <si>
    <t xml:space="preserve"> 41.5629 </t>
  </si>
  <si>
    <t xml:space="preserve">C:\Users\andre\Desktop\REACTIV CEFAS\Cromolyn\Cromolyn/20201217_Cefas_Test10_Run1/Plate 1/@6/D6_01.tif </t>
  </si>
  <si>
    <t xml:space="preserve"> 63202.5521 </t>
  </si>
  <si>
    <t xml:space="preserve"> 47.8409 </t>
  </si>
  <si>
    <t xml:space="preserve">C:\Users\andre\Desktop\REACTIV CEFAS\Cromolyn\Cromolyn/20201217_Cefas_Test10_Run1/Plate 1/@6/D6_02.tif </t>
  </si>
  <si>
    <t xml:space="preserve"> 62034.5378 </t>
  </si>
  <si>
    <t xml:space="preserve"> 46.6974 </t>
  </si>
  <si>
    <t xml:space="preserve">C:\Users\andre\Desktop\REACTIV CEFAS\Cromolyn\Cromolyn/20201217_Cefas_Test10_Run1/Plate 1/@6/D6_03.tif </t>
  </si>
  <si>
    <t xml:space="preserve"> 65495.3209 </t>
  </si>
  <si>
    <t xml:space="preserve"> 47.0337 </t>
  </si>
  <si>
    <t xml:space="preserve">C:\Users\andre\Desktop\REACTIV CEFAS\Cromolyn\Cromolyn/20201217_Cefas_Test10_Run1/Plate 1/@6/D6_04.tif </t>
  </si>
  <si>
    <t xml:space="preserve"> 64219.1572 </t>
  </si>
  <si>
    <t xml:space="preserve"> 46.7686 </t>
  </si>
  <si>
    <t xml:space="preserve">C:\Users\andre\Desktop\REACTIV CEFAS\Cromolyn\Cromolyn/20201217_Cefas_Test10_Run1/Plate 1/@6/E6_01.tif </t>
  </si>
  <si>
    <t xml:space="preserve"> 50938.4019 </t>
  </si>
  <si>
    <t xml:space="preserve"> 43.0047 </t>
  </si>
  <si>
    <t xml:space="preserve">C:\Users\andre\Desktop\REACTIV CEFAS\Cromolyn\Cromolyn/20201217_Cefas_Test10_Run1/Plate 1/@6/E6_02.tif </t>
  </si>
  <si>
    <t xml:space="preserve"> 57859.9681 </t>
  </si>
  <si>
    <t xml:space="preserve"> 44.5607 </t>
  </si>
  <si>
    <t xml:space="preserve">C:\Users\andre\Desktop\REACTIV CEFAS\Cromolyn\Cromolyn/20201217_Cefas_Test10_Run1/Plate 1/@6/E6_03.tif </t>
  </si>
  <si>
    <t xml:space="preserve"> 48213.0351 </t>
  </si>
  <si>
    <t xml:space="preserve"> 44.4154 </t>
  </si>
  <si>
    <t xml:space="preserve">C:\Users\andre\Desktop\REACTIV CEFAS\Cromolyn\Cromolyn/20201217_Cefas_Test10_Run1/Plate 1/@6/E6_04.tif </t>
  </si>
  <si>
    <t xml:space="preserve"> 56605.4342 </t>
  </si>
  <si>
    <t xml:space="preserve"> 43.3481 </t>
  </si>
  <si>
    <t xml:space="preserve">C:\Users\andre\Desktop\REACTIV CEFAS\Cromolyn\Cromolyn/20201217_Cefas_Test10_Run1/Plate 1/@6/F6_01.tif </t>
  </si>
  <si>
    <t xml:space="preserve"> 78451.6278 </t>
  </si>
  <si>
    <t xml:space="preserve"> 45.0543 </t>
  </si>
  <si>
    <t xml:space="preserve">C:\Users\andre\Desktop\REACTIV CEFAS\Cromolyn\Cromolyn/20201217_Cefas_Test10_Run1/Plate 1/@6/F6_02.tif </t>
  </si>
  <si>
    <t xml:space="preserve"> 45.7179 </t>
  </si>
  <si>
    <t xml:space="preserve">C:\Users\andre\Desktop\REACTIV CEFAS\Cromolyn\Cromolyn/20201217_Cefas_Test10_Run1/Plate 1/@6/F6_03.tif </t>
  </si>
  <si>
    <t xml:space="preserve"> 79078.8948 </t>
  </si>
  <si>
    <t xml:space="preserve"> 43.8072 </t>
  </si>
  <si>
    <t xml:space="preserve">C:\Users\andre\Desktop\REACTIV CEFAS\Cromolyn\Cromolyn/20201217_Cefas_Test10_Run1/Plate 1/@6/F6_04.tif </t>
  </si>
  <si>
    <t xml:space="preserve"> 82345.0089 </t>
  </si>
  <si>
    <t xml:space="preserve"> 48.0029 </t>
  </si>
  <si>
    <t xml:space="preserve">C:\Users\andre\Desktop\REACTIV CEFAS\Cromolyn\Cromolyn/20201217_Cefas_Test10_Run1/Plate 1/@6/G6_01.tif </t>
  </si>
  <si>
    <t xml:space="preserve"> 66165.8477 </t>
  </si>
  <si>
    <t xml:space="preserve"> 38.8173 </t>
  </si>
  <si>
    <t xml:space="preserve">C:\Users\andre\Desktop\REACTIV CEFAS\Cromolyn\Cromolyn/20201217_Cefas_Test10_Run1/Plate 1/@6/G6_02.tif </t>
  </si>
  <si>
    <t xml:space="preserve"> 70426.9369 </t>
  </si>
  <si>
    <t xml:space="preserve"> 40.8707 </t>
  </si>
  <si>
    <t xml:space="preserve">C:\Users\andre\Desktop\REACTIV CEFAS\Cromolyn\Cromolyn/20201217_Cefas_Test10_Run1/Plate 1/@6/G6_03.tif </t>
  </si>
  <si>
    <t xml:space="preserve"> 70578.3462 </t>
  </si>
  <si>
    <t xml:space="preserve"> 40.2626 </t>
  </si>
  <si>
    <t xml:space="preserve">C:\Users\andre\Desktop\REACTIV CEFAS\Cromolyn\Cromolyn/20201217_Cefas_Test10_Run1/Plate 1/@6/G6_04.tif </t>
  </si>
  <si>
    <t xml:space="preserve"> 75315.2931 </t>
  </si>
  <si>
    <t xml:space="preserve"> 43.5063 </t>
  </si>
  <si>
    <t xml:space="preserve">C:\Users\andre\Desktop\REACTIV CEFAS\Cromolyn\Cromolyn/20201217_Cefas_Test10_Run1/Plate 1/@6/H6_01.tif </t>
  </si>
  <si>
    <t xml:space="preserve"> 58422.3454 </t>
  </si>
  <si>
    <t xml:space="preserve"> 46.3776 </t>
  </si>
  <si>
    <t xml:space="preserve">C:\Users\andre\Desktop\REACTIV CEFAS\Cromolyn\Cromolyn/20201217_Cefas_Test10_Run1/Plate 1/@6/H6_02.tif </t>
  </si>
  <si>
    <t xml:space="preserve"> 57124.5517 </t>
  </si>
  <si>
    <t xml:space="preserve"> 49.4317 </t>
  </si>
  <si>
    <t xml:space="preserve">C:\Users\andre\Desktop\REACTIV CEFAS\Cromolyn\Cromolyn/20201217_Cefas_Test10_Run1/Plate 1/@6/H6_03.tif </t>
  </si>
  <si>
    <t xml:space="preserve"> 52928.3522 </t>
  </si>
  <si>
    <t xml:space="preserve"> 45.4103 </t>
  </si>
  <si>
    <t xml:space="preserve">C:\Users\andre\Desktop\REACTIV CEFAS\Cromolyn\Cromolyn/20201217_Cefas_Test10_Run1/Plate 1/@6/H6_04.tif </t>
  </si>
  <si>
    <t xml:space="preserve"> 58660.2742 </t>
  </si>
  <si>
    <t xml:space="preserve"> 44.1221 </t>
  </si>
  <si>
    <t xml:space="preserve">C:\Users\andre\Desktop\REACTIV CEFAS\Cromolyn\Cromolyn/20201217_Cefas_Test10_Run1/Plate 1/@6/ </t>
  </si>
  <si>
    <t xml:space="preserve"> 45.0437 </t>
  </si>
  <si>
    <t xml:space="preserve"> 2.8049 </t>
  </si>
  <si>
    <t xml:space="preserve"> 2838848.66 </t>
  </si>
  <si>
    <t xml:space="preserve"> 410328.876 </t>
  </si>
  <si>
    <t xml:space="preserve">C:\Users\andre\Desktop\REACTIV CEFAS\Cromolyn\Cromolyn/20201217_Cefas_Test10_Run1/Plate 1/@7/A7_01.tif </t>
  </si>
  <si>
    <t xml:space="preserve"> 102309.402 </t>
  </si>
  <si>
    <t xml:space="preserve"> 58.3159 </t>
  </si>
  <si>
    <t>C:\Users\andre\Desktop\REACTIV CEFAS\Cromolyn\Cromolyn/20201217_Cefas_Test10_Run1/Plate 1/@7/A7_02- exclu.tif</t>
  </si>
  <si>
    <t>C:\Users\andre\Desktop\REACTIV CEFAS\Cromolyn\Cromolyn/20201217_Cefas_Test10_Run1/Plate 1/@7/A7_03- exclu.tif</t>
  </si>
  <si>
    <t>C:\Users\andre\Desktop\REACTIV CEFAS\Cromolyn\Cromolyn/20201217_Cefas_Test10_Run1/Plate 1/@7/A7_04- exclu.tif</t>
  </si>
  <si>
    <t xml:space="preserve">C:\Users\andre\Desktop\REACTIV CEFAS\Cromolyn\Cromolyn/20201217_Cefas_Test10_Run1/Plate 1/@7/B7_01.tif </t>
  </si>
  <si>
    <t xml:space="preserve"> 91472.8244 </t>
  </si>
  <si>
    <t xml:space="preserve"> 58.458 </t>
  </si>
  <si>
    <t xml:space="preserve">C:\Users\andre\Desktop\REACTIV CEFAS\Cromolyn\Cromolyn/20201217_Cefas_Test10_Run1/Plate 1/@7/B7_02.tif </t>
  </si>
  <si>
    <t xml:space="preserve"> 81955.6707 </t>
  </si>
  <si>
    <t xml:space="preserve"> 61.5864 </t>
  </si>
  <si>
    <t xml:space="preserve">C:\Users\andre\Desktop\REACTIV CEFAS\Cromolyn\Cromolyn/20201217_Cefas_Test10_Run1/Plate 1/@7/B7_03.tif </t>
  </si>
  <si>
    <t xml:space="preserve"> 69648.2607 </t>
  </si>
  <si>
    <t xml:space="preserve"> 67.6575 </t>
  </si>
  <si>
    <t xml:space="preserve">C:\Users\andre\Desktop\REACTIV CEFAS\Cromolyn\Cromolyn/20201217_Cefas_Test10_Run1/Plate 1/@7/B7_04.tif </t>
  </si>
  <si>
    <t xml:space="preserve"> 87774.1124 </t>
  </si>
  <si>
    <t xml:space="preserve"> 64.1402 </t>
  </si>
  <si>
    <t>C:\Users\andre\Desktop\REACTIV CEFAS\Cromolyn\Cromolyn/20201217_Cefas_Test10_Run1/Plate 1/@7/C7_01- exclu.tif</t>
  </si>
  <si>
    <t>C:\Users\andre\Desktop\REACTIV CEFAS\Cromolyn\Cromolyn/20201217_Cefas_Test10_Run1/Plate 1/@7/C7_02- exclu.tif</t>
  </si>
  <si>
    <t xml:space="preserve">C:\Users\andre\Desktop\REACTIV CEFAS\Cromolyn\Cromolyn/20201217_Cefas_Test10_Run1/Plate 1/@7/C7_03.tif </t>
  </si>
  <si>
    <t xml:space="preserve"> 81047.2152 </t>
  </si>
  <si>
    <t xml:space="preserve"> 58.731 </t>
  </si>
  <si>
    <t xml:space="preserve">C:\Users\andre\Desktop\REACTIV CEFAS\Cromolyn\Cromolyn/20201217_Cefas_Test10_Run1/Plate 1/@7/C7_04.tif </t>
  </si>
  <si>
    <t xml:space="preserve"> 79446.603 </t>
  </si>
  <si>
    <t xml:space="preserve"> 58.6973 </t>
  </si>
  <si>
    <t xml:space="preserve">C:\Users\andre\Desktop\REACTIV CEFAS\Cromolyn\Cromolyn/20201217_Cefas_Test10_Run1/Plate 1/@7/D7_01.tif </t>
  </si>
  <si>
    <t xml:space="preserve"> 82864.1263 </t>
  </si>
  <si>
    <t xml:space="preserve"> 57.3566 </t>
  </si>
  <si>
    <t xml:space="preserve">C:\Users\andre\Desktop\REACTIV CEFAS\Cromolyn\Cromolyn/20201217_Cefas_Test10_Run1/Plate 1/@7/D7_02.tif </t>
  </si>
  <si>
    <t xml:space="preserve"> 83339.984 </t>
  </si>
  <si>
    <t xml:space="preserve"> 51.605 </t>
  </si>
  <si>
    <t xml:space="preserve">C:\Users\andre\Desktop\REACTIV CEFAS\Cromolyn\Cromolyn/20201217_Cefas_Test10_Run1/Plate 1/@7/D7_03.tif </t>
  </si>
  <si>
    <t xml:space="preserve"> 79468.2329 </t>
  </si>
  <si>
    <t xml:space="preserve"> 54.6339 </t>
  </si>
  <si>
    <t xml:space="preserve">C:\Users\andre\Desktop\REACTIV CEFAS\Cromolyn\Cromolyn/20201217_Cefas_Test10_Run1/Plate 1/@7/D7_04.tif </t>
  </si>
  <si>
    <t xml:space="preserve"> 80787.6564 </t>
  </si>
  <si>
    <t xml:space="preserve"> 50.7609 </t>
  </si>
  <si>
    <t xml:space="preserve">C:\Users\andre\Desktop\REACTIV CEFAS\Cromolyn\Cromolyn/20201217_Cefas_Test10_Run1/Plate 1/@7/E7_01.tif </t>
  </si>
  <si>
    <t xml:space="preserve"> 83729.3221 </t>
  </si>
  <si>
    <t xml:space="preserve"> 53.6329 </t>
  </si>
  <si>
    <t xml:space="preserve">C:\Users\andre\Desktop\REACTIV CEFAS\Cromolyn\Cromolyn/20201217_Cefas_Test10_Run1/Plate 1/@7/E7_02.tif </t>
  </si>
  <si>
    <t xml:space="preserve"> 81717.7419 </t>
  </si>
  <si>
    <t xml:space="preserve"> 53.5005 </t>
  </si>
  <si>
    <t xml:space="preserve">C:\Users\andre\Desktop\REACTIV CEFAS\Cromolyn\Cromolyn/20201217_Cefas_Test10_Run1/Plate 1/@7/E7_03.tif </t>
  </si>
  <si>
    <t xml:space="preserve"> 86714.2476 </t>
  </si>
  <si>
    <t xml:space="preserve"> 57.0304 </t>
  </si>
  <si>
    <t xml:space="preserve">C:\Users\andre\Desktop\REACTIV CEFAS\Cromolyn\Cromolyn/20201217_Cefas_Test10_Run1/Plate 1/@7/E7_04.tif </t>
  </si>
  <si>
    <t xml:space="preserve"> 84097.0303 </t>
  </si>
  <si>
    <t xml:space="preserve"> 56.6847 </t>
  </si>
  <si>
    <t xml:space="preserve">C:\Users\andre\Desktop\REACTIV CEFAS\Cromolyn\Cromolyn/20201217_Cefas_Test10_Run1/Plate 1/@7/F7_01.tif </t>
  </si>
  <si>
    <t xml:space="preserve"> 108755.11 </t>
  </si>
  <si>
    <t xml:space="preserve"> 59.1337 </t>
  </si>
  <si>
    <t xml:space="preserve">C:\Users\andre\Desktop\REACTIV CEFAS\Cromolyn\Cromolyn/20201217_Cefas_Test10_Run1/Plate 1/@7/F7_02.tif </t>
  </si>
  <si>
    <t xml:space="preserve"> 106289.302 </t>
  </si>
  <si>
    <t xml:space="preserve"> 61.6764 </t>
  </si>
  <si>
    <t xml:space="preserve">C:\Users\andre\Desktop\REACTIV CEFAS\Cromolyn\Cromolyn/20201217_Cefas_Test10_Run1/Plate 1/@7/F7_03.tif </t>
  </si>
  <si>
    <t xml:space="preserve"> 110680.171 </t>
  </si>
  <si>
    <t xml:space="preserve"> 58.6074 </t>
  </si>
  <si>
    <t xml:space="preserve">C:\Users\andre\Desktop\REACTIV CEFAS\Cromolyn\Cromolyn/20201217_Cefas_Test10_Run1/Plate 1/@7/F7_04.tif </t>
  </si>
  <si>
    <t xml:space="preserve"> 111026.249 </t>
  </si>
  <si>
    <t xml:space="preserve"> 60.3493 </t>
  </si>
  <si>
    <t xml:space="preserve">C:\Users\andre\Desktop\REACTIV CEFAS\Cromolyn\Cromolyn/20201217_Cefas_Test10_Run1/Plate 1/@7/G7_01.tif </t>
  </si>
  <si>
    <t xml:space="preserve"> 54.8851 </t>
  </si>
  <si>
    <t xml:space="preserve">C:\Users\andre\Desktop\REACTIV CEFAS\Cromolyn\Cromolyn/20201217_Cefas_Test10_Run1/Plate 1/@7/G7_02.tif </t>
  </si>
  <si>
    <t xml:space="preserve"> 85005.4859 </t>
  </si>
  <si>
    <t xml:space="preserve"> 55.3196 </t>
  </si>
  <si>
    <t xml:space="preserve">C:\Users\andre\Desktop\REACTIV CEFAS\Cromolyn\Cromolyn/20201217_Cefas_Test10_Run1/Plate 1/@7/G7_03.tif </t>
  </si>
  <si>
    <t xml:space="preserve"> 83621.1726 </t>
  </si>
  <si>
    <t xml:space="preserve"> 54.2794 </t>
  </si>
  <si>
    <t xml:space="preserve">C:\Users\andre\Desktop\REACTIV CEFAS\Cromolyn\Cromolyn/20201217_Cefas_Test10_Run1/Plate 1/@7/G7_04.tif </t>
  </si>
  <si>
    <t xml:space="preserve"> 86908.9166 </t>
  </si>
  <si>
    <t xml:space="preserve"> 50.506 </t>
  </si>
  <si>
    <t xml:space="preserve">C:\Users\andre\Desktop\REACTIV CEFAS\Cromolyn\Cromolyn/20201217_Cefas_Test10_Run1/Plate 1/@7/H7_01.tif </t>
  </si>
  <si>
    <t xml:space="preserve"> 101206.277 </t>
  </si>
  <si>
    <t xml:space="preserve"> 61.2533 </t>
  </si>
  <si>
    <t xml:space="preserve">C:\Users\andre\Desktop\REACTIV CEFAS\Cromolyn\Cromolyn/20201217_Cefas_Test10_Run1/Plate 1/@7/H7_02.tif </t>
  </si>
  <si>
    <t xml:space="preserve"> 101509.095 </t>
  </si>
  <si>
    <t xml:space="preserve"> 58.3718 </t>
  </si>
  <si>
    <t xml:space="preserve">C:\Users\andre\Desktop\REACTIV CEFAS\Cromolyn\Cromolyn/20201217_Cefas_Test10_Run1/Plate 1/@7/H7_03.tif </t>
  </si>
  <si>
    <t xml:space="preserve"> 95149.9065 </t>
  </si>
  <si>
    <t xml:space="preserve"> 56.1796 </t>
  </si>
  <si>
    <t xml:space="preserve">C:\Users\andre\Desktop\REACTIV CEFAS\Cromolyn\Cromolyn/20201217_Cefas_Test10_Run1/Plate 1/@7/H7_04.tif </t>
  </si>
  <si>
    <t xml:space="preserve"> 106873.309 </t>
  </si>
  <si>
    <t xml:space="preserve"> 59.8116 </t>
  </si>
  <si>
    <t xml:space="preserve">C:\Users\andre\Desktop\REACTIV CEFAS\Cromolyn\Cromolyn/20201217_Cefas_Test10_Run1/Plate 1/@7/ </t>
  </si>
  <si>
    <t xml:space="preserve"> 57.2091 </t>
  </si>
  <si>
    <t xml:space="preserve"> 3.8689 </t>
  </si>
  <si>
    <t xml:space="preserve"> 5095755.12 </t>
  </si>
  <si>
    <t xml:space="preserve"> 1021359.18 </t>
  </si>
  <si>
    <t xml:space="preserve">C:\Users\andre\Desktop\REACTIV CEFAS\Cromolyn\Cromolyn/20201217_Cefas_Test10_Run1/Plate 4/@10/A4_01.tif </t>
  </si>
  <si>
    <t>C:\Users\andre\Desktop\REACTIV CEFAS\Cromolyn\Cromolyn/20201217_Cefas_Test10_Run1/Plate 4/@10/A4_02- exclu.tif</t>
  </si>
  <si>
    <t xml:space="preserve">C:\Users\andre\Desktop\REACTIV CEFAS\Cromolyn\Cromolyn/20201217_Cefas_Test10_Run1/Plate 4/@10/A4_03.tif </t>
  </si>
  <si>
    <t xml:space="preserve"> 3633.8223 </t>
  </si>
  <si>
    <t xml:space="preserve"> 33.7024 </t>
  </si>
  <si>
    <t xml:space="preserve">C:\Users\andre\Desktop\REACTIV CEFAS\Cromolyn\Cromolyn/20201217_Cefas_Test10_Run1/Plate 4/@10/A4_04.tif </t>
  </si>
  <si>
    <t xml:space="preserve"> 37.438 </t>
  </si>
  <si>
    <t xml:space="preserve">C:\Users\andre\Desktop\REACTIV CEFAS\Cromolyn\Cromolyn/20201217_Cefas_Test10_Run1/Plate 4/@10/B4_01.tif </t>
  </si>
  <si>
    <t xml:space="preserve"> 32.4529 </t>
  </si>
  <si>
    <t xml:space="preserve">C:\Users\andre\Desktop\REACTIV CEFAS\Cromolyn\Cromolyn/20201217_Cefas_Test10_Run1/Plate 4/@10/B4_02.tif </t>
  </si>
  <si>
    <t xml:space="preserve">C:\Users\andre\Desktop\REACTIV CEFAS\Cromolyn\Cromolyn/20201217_Cefas_Test10_Run1/Plate 4/@10/B4_03.tif </t>
  </si>
  <si>
    <t>C:\Users\andre\Desktop\REACTIV CEFAS\Cromolyn\Cromolyn/20201217_Cefas_Test10_Run1/Plate 4/@10/B4_04- exclu.tif</t>
  </si>
  <si>
    <t xml:space="preserve">C:\Users\andre\Desktop\REACTIV CEFAS\Cromolyn\Cromolyn/20201217_Cefas_Test10_Run1/Plate 4/@10/C4_01.tif </t>
  </si>
  <si>
    <t xml:space="preserve"> 9906.4917 </t>
  </si>
  <si>
    <t xml:space="preserve"> 42.286 </t>
  </si>
  <si>
    <t xml:space="preserve">C:\Users\andre\Desktop\REACTIV CEFAS\Cromolyn\Cromolyn/20201217_Cefas_Test10_Run1/Plate 4/@10/C4_02.tif </t>
  </si>
  <si>
    <t xml:space="preserve"> 13972.9119 </t>
  </si>
  <si>
    <t xml:space="preserve"> 41.3638 </t>
  </si>
  <si>
    <t xml:space="preserve">C:\Users\andre\Desktop\REACTIV CEFAS\Cromolyn\Cromolyn/20201217_Cefas_Test10_Run1/Plate 4/@10/C4_03.tif </t>
  </si>
  <si>
    <t xml:space="preserve"> 39.9832 </t>
  </si>
  <si>
    <t xml:space="preserve">C:\Users\andre\Desktop\REACTIV CEFAS\Cromolyn\Cromolyn/20201217_Cefas_Test10_Run1/Plate 4/@10/C4_04.tif </t>
  </si>
  <si>
    <t xml:space="preserve"> 9603.6732 </t>
  </si>
  <si>
    <t xml:space="preserve"> 41.2117 </t>
  </si>
  <si>
    <t xml:space="preserve">C:\Users\andre\Desktop\REACTIV CEFAS\Cromolyn\Cromolyn/20201217_Cefas_Test10_Run1/Plate 4/@10/D4_01.tif </t>
  </si>
  <si>
    <t xml:space="preserve"> 562.3773 </t>
  </si>
  <si>
    <t xml:space="preserve">C:\Users\andre\Desktop\REACTIV CEFAS\Cromolyn\Cromolyn/20201217_Cefas_Test10_Run1/Plate 4/@10/D4_02.tif </t>
  </si>
  <si>
    <t xml:space="preserve"> 31.9 </t>
  </si>
  <si>
    <t xml:space="preserve">C:\Users\andre\Desktop\REACTIV CEFAS\Cromolyn\Cromolyn/20201217_Cefas_Test10_Run1/Plate 4/@10/D4_03.tif </t>
  </si>
  <si>
    <t xml:space="preserve"> 34.7639 </t>
  </si>
  <si>
    <t xml:space="preserve">C:\Users\andre\Desktop\REACTIV CEFAS\Cromolyn\Cromolyn/20201217_Cefas_Test10_Run1/Plate 4/@10/D4_04.tif </t>
  </si>
  <si>
    <t xml:space="preserve">C:\Users\andre\Desktop\REACTIV CEFAS\Cromolyn\Cromolyn/20201217_Cefas_Test10_Run1/Plate 4/@10/E4_01.tif </t>
  </si>
  <si>
    <t xml:space="preserve"> 32.7045 </t>
  </si>
  <si>
    <t xml:space="preserve">C:\Users\andre\Desktop\REACTIV CEFAS\Cromolyn\Cromolyn/20201217_Cefas_Test10_Run1/Plate 4/@10/E4_02.tif </t>
  </si>
  <si>
    <t xml:space="preserve">C:\Users\andre\Desktop\REACTIV CEFAS\Cromolyn\Cromolyn/20201217_Cefas_Test10_Run1/Plate 4/@10/E4_03.tif </t>
  </si>
  <si>
    <t xml:space="preserve"> 35.0306 </t>
  </si>
  <si>
    <t xml:space="preserve">C:\Users\andre\Desktop\REACTIV CEFAS\Cromolyn\Cromolyn/20201217_Cefas_Test10_Run1/Plate 4/@10/E4_04.tif </t>
  </si>
  <si>
    <t xml:space="preserve"> 475.8577 </t>
  </si>
  <si>
    <t xml:space="preserve"> 33.7727 </t>
  </si>
  <si>
    <t xml:space="preserve">C:\Users\andre\Desktop\REACTIV CEFAS\Cromolyn\Cromolyn/20201217_Cefas_Test10_Run1/Plate 4/@10/F4_01.tif </t>
  </si>
  <si>
    <t xml:space="preserve"> 33.3212 </t>
  </si>
  <si>
    <t xml:space="preserve">C:\Users\andre\Desktop\REACTIV CEFAS\Cromolyn\Cromolyn/20201217_Cefas_Test10_Run1/Plate 4/@10/F4_02.tif </t>
  </si>
  <si>
    <t xml:space="preserve"> 38.4911 </t>
  </si>
  <si>
    <t xml:space="preserve">C:\Users\andre\Desktop\REACTIV CEFAS\Cromolyn\Cromolyn/20201217_Cefas_Test10_Run1/Plate 4/@10/F4_03.tif </t>
  </si>
  <si>
    <t xml:space="preserve"> 12675.1183 </t>
  </si>
  <si>
    <t xml:space="preserve"> 39.3515 </t>
  </si>
  <si>
    <t xml:space="preserve">C:\Users\andre\Desktop\REACTIV CEFAS\Cromolyn\Cromolyn/20201217_Cefas_Test10_Run1/Plate 4/@10/F4_04.tif </t>
  </si>
  <si>
    <t xml:space="preserve"> 9711.8227 </t>
  </si>
  <si>
    <t xml:space="preserve">C:\Users\andre\Desktop\REACTIV CEFAS\Cromolyn\Cromolyn/20201217_Cefas_Test10_Run1/Plate 4/@10/G4_01.tif </t>
  </si>
  <si>
    <t xml:space="preserve"> 7202.7549 </t>
  </si>
  <si>
    <t xml:space="preserve"> 41.1231 </t>
  </si>
  <si>
    <t>C:\Users\andre\Desktop\REACTIV CEFAS\Cromolyn\Cromolyn/20201217_Cefas_Test10_Run1/Plate 4/@10/G4_02- exclu.tif</t>
  </si>
  <si>
    <t xml:space="preserve">C:\Users\andre\Desktop\REACTIV CEFAS\Cromolyn\Cromolyn/20201217_Cefas_Test10_Run1/Plate 4/@10/G4_03.tif </t>
  </si>
  <si>
    <t xml:space="preserve"> 39.9854 </t>
  </si>
  <si>
    <t xml:space="preserve">C:\Users\andre\Desktop\REACTIV CEFAS\Cromolyn\Cromolyn/20201217_Cefas_Test10_Run1/Plate 4/@10/G4_04.tif </t>
  </si>
  <si>
    <t xml:space="preserve"> 37.4101 </t>
  </si>
  <si>
    <t xml:space="preserve">C:\Users\andre\Desktop\REACTIV CEFAS\Cromolyn\Cromolyn/20201217_Cefas_Test10_Run1/Plate 4/@10/H4_01.tif </t>
  </si>
  <si>
    <t xml:space="preserve"> 3655.4522 </t>
  </si>
  <si>
    <t xml:space="preserve"> 39.3373 </t>
  </si>
  <si>
    <t xml:space="preserve">C:\Users\andre\Desktop\REACTIV CEFAS\Cromolyn\Cromolyn/20201217_Cefas_Test10_Run1/Plate 4/@10/H4_02.tif </t>
  </si>
  <si>
    <t xml:space="preserve"> 37.156 </t>
  </si>
  <si>
    <t xml:space="preserve">C:\Users\andre\Desktop\REACTIV CEFAS\Cromolyn\Cromolyn/20201217_Cefas_Test10_Run1/Plate 4/@10/H4_03.tif </t>
  </si>
  <si>
    <t xml:space="preserve"> 3136.3347 </t>
  </si>
  <si>
    <t xml:space="preserve"> 39.5517 </t>
  </si>
  <si>
    <t xml:space="preserve">C:\Users\andre\Desktop\REACTIV CEFAS\Cromolyn\Cromolyn/20201217_Cefas_Test10_Run1/Plate 4/@10/H4_04.tif </t>
  </si>
  <si>
    <t xml:space="preserve"> 34.1 </t>
  </si>
  <si>
    <t xml:space="preserve">C:\Users\andre\Desktop\REACTIV CEFAS\Cromolyn\Cromolyn/20201217_Cefas_Test10_Run1/Plate 4/@10/ </t>
  </si>
  <si>
    <t xml:space="preserve"> 34.6747 </t>
  </si>
  <si>
    <t xml:space="preserve"> 7.4843 </t>
  </si>
  <si>
    <t xml:space="preserve"> 164467.531 </t>
  </si>
  <si>
    <t xml:space="preserve"> 172117.98 </t>
  </si>
  <si>
    <t xml:space="preserve">C:\Users\andre\Desktop\REACTIV CEFAS\Cromolyn\Cromolyn/20201217_Cefas_Test10_Run1/Plate 4/@11/A5_01.tif </t>
  </si>
  <si>
    <t xml:space="preserve"> 30.75 </t>
  </si>
  <si>
    <t xml:space="preserve">C:\Users\andre\Desktop\REACTIV CEFAS\Cromolyn\Cromolyn/20201217_Cefas_Test10_Run1/Plate 4/@11/A5_02.tif </t>
  </si>
  <si>
    <t xml:space="preserve">C:\Users\andre\Desktop\REACTIV CEFAS\Cromolyn\Cromolyn/20201217_Cefas_Test10_Run1/Plate 4/@11/A5_03.tif </t>
  </si>
  <si>
    <t xml:space="preserve"> 1276.1638 </t>
  </si>
  <si>
    <t xml:space="preserve"> 33.5593 </t>
  </si>
  <si>
    <t xml:space="preserve">C:\Users\andre\Desktop\REACTIV CEFAS\Cromolyn\Cromolyn/20201217_Cefas_Test10_Run1/Plate 4/@11/A5_04.tif </t>
  </si>
  <si>
    <t xml:space="preserve"> 34.5584 </t>
  </si>
  <si>
    <t>C:\Users\andre\Desktop\REACTIV CEFAS\Cromolyn\Cromolyn/20201217_Cefas_Test10_Run1/Plate 4/@11/B5_01- exclu.tif</t>
  </si>
  <si>
    <t xml:space="preserve">C:\Users\andre\Desktop\REACTIV CEFAS\Cromolyn\Cromolyn/20201217_Cefas_Test10_Run1/Plate 4/@11/B5_02.tif </t>
  </si>
  <si>
    <t xml:space="preserve"> 3071.445 </t>
  </si>
  <si>
    <t xml:space="preserve"> 37.6901 </t>
  </si>
  <si>
    <t xml:space="preserve">C:\Users\andre\Desktop\REACTIV CEFAS\Cromolyn\Cromolyn/20201217_Cefas_Test10_Run1/Plate 4/@11/B5_03.tif </t>
  </si>
  <si>
    <t xml:space="preserve">C:\Users\andre\Desktop\REACTIV CEFAS\Cromolyn\Cromolyn/20201217_Cefas_Test10_Run1/Plate 4/@11/B5_04.tif </t>
  </si>
  <si>
    <t xml:space="preserve"> 4780.2067 </t>
  </si>
  <si>
    <t xml:space="preserve"> 39.8959 </t>
  </si>
  <si>
    <t xml:space="preserve">C:\Users\andre\Desktop\REACTIV CEFAS\Cromolyn\Cromolyn/20201217_Cefas_Test10_Run1/Plate 4/@11/C5_01.tif </t>
  </si>
  <si>
    <t xml:space="preserve">C:\Users\andre\Desktop\REACTIV CEFAS\Cromolyn\Cromolyn/20201217_Cefas_Test10_Run1/Plate 4/@11/C5_02.tif </t>
  </si>
  <si>
    <t xml:space="preserve"> 30.5526 </t>
  </si>
  <si>
    <t xml:space="preserve">C:\Users\andre\Desktop\REACTIV CEFAS\Cromolyn\Cromolyn/20201217_Cefas_Test10_Run1/Plate 4/@11/C5_03.tif </t>
  </si>
  <si>
    <t xml:space="preserve"> 4434.1284 </t>
  </si>
  <si>
    <t xml:space="preserve"> 37.3317 </t>
  </si>
  <si>
    <t xml:space="preserve">C:\Users\andre\Desktop\REACTIV CEFAS\Cromolyn\Cromolyn/20201217_Cefas_Test10_Run1/Plate 4/@11/C5_04.tif </t>
  </si>
  <si>
    <t xml:space="preserve"> 7332.5343 </t>
  </si>
  <si>
    <t xml:space="preserve"> 42.646 </t>
  </si>
  <si>
    <t xml:space="preserve">C:\Users\andre\Desktop\REACTIV CEFAS\Cromolyn\Cromolyn/20201217_Cefas_Test10_Run1/Plate 4/@11/D5_01.tif </t>
  </si>
  <si>
    <t xml:space="preserve"> 39.412 </t>
  </si>
  <si>
    <t>C:\Users\andre\Desktop\REACTIV CEFAS\Cromolyn\Cromolyn/20201217_Cefas_Test10_Run1/Plate 4/@11/D5_02- exclu.tif</t>
  </si>
  <si>
    <t>C:\Users\andre\Desktop\REACTIV CEFAS\Cromolyn\Cromolyn/20201217_Cefas_Test10_Run1/Plate 4/@11/D5_03- exclu.tif</t>
  </si>
  <si>
    <t xml:space="preserve">C:\Users\andre\Desktop\REACTIV CEFAS\Cromolyn\Cromolyn/20201217_Cefas_Test10_Run1/Plate 4/@11/D5_04.tif </t>
  </si>
  <si>
    <t xml:space="preserve"> 8240.9899 </t>
  </si>
  <si>
    <t xml:space="preserve"> 43.0525 </t>
  </si>
  <si>
    <t xml:space="preserve">C:\Users\andre\Desktop\REACTIV CEFAS\Cromolyn\Cromolyn/20201217_Cefas_Test10_Run1/Plate 4/@11/E5_01.tif </t>
  </si>
  <si>
    <t xml:space="preserve"> 38.9194 </t>
  </si>
  <si>
    <t>C:\Users\andre\Desktop\REACTIV CEFAS\Cromolyn\Cromolyn/20201217_Cefas_Test10_Run1/Plate 4/@11/E5_02- exclu.tif</t>
  </si>
  <si>
    <t xml:space="preserve">C:\Users\andre\Desktop\REACTIV CEFAS\Cromolyn\Cromolyn/20201217_Cefas_Test10_Run1/Plate 4/@11/E5_03.tif </t>
  </si>
  <si>
    <t xml:space="preserve"> 8716.8475 </t>
  </si>
  <si>
    <t xml:space="preserve"> 42.4268 </t>
  </si>
  <si>
    <t xml:space="preserve">C:\Users\andre\Desktop\REACTIV CEFAS\Cromolyn\Cromolyn/20201217_Cefas_Test10_Run1/Plate 4/@11/E5_04.tif </t>
  </si>
  <si>
    <t xml:space="preserve"> 3331.0038 </t>
  </si>
  <si>
    <t xml:space="preserve"> 37.2078 </t>
  </si>
  <si>
    <t xml:space="preserve">C:\Users\andre\Desktop\REACTIV CEFAS\Cromolyn\Cromolyn/20201217_Cefas_Test10_Run1/Plate 4/@11/F5_01.tif </t>
  </si>
  <si>
    <t xml:space="preserve"> 36.5 </t>
  </si>
  <si>
    <t xml:space="preserve">C:\Users\andre\Desktop\REACTIV CEFAS\Cromolyn\Cromolyn/20201217_Cefas_Test10_Run1/Plate 4/@11/F5_02.tif </t>
  </si>
  <si>
    <t xml:space="preserve"> 41.6361 </t>
  </si>
  <si>
    <t xml:space="preserve">C:\Users\andre\Desktop\REACTIV CEFAS\Cromolyn\Cromolyn/20201217_Cefas_Test10_Run1/Plate 4/@11/F5_03.tif </t>
  </si>
  <si>
    <t xml:space="preserve"> 36.8031 </t>
  </si>
  <si>
    <t xml:space="preserve">C:\Users\andre\Desktop\REACTIV CEFAS\Cromolyn\Cromolyn/20201217_Cefas_Test10_Run1/Plate 4/@11/F5_04.tif </t>
  </si>
  <si>
    <t xml:space="preserve"> 4152.9398 </t>
  </si>
  <si>
    <t xml:space="preserve"> 35.4844 </t>
  </si>
  <si>
    <t xml:space="preserve">C:\Users\andre\Desktop\REACTIV CEFAS\Cromolyn\Cromolyn/20201217_Cefas_Test10_Run1/Plate 4/@11/G5_01.tif </t>
  </si>
  <si>
    <t xml:space="preserve"> 34.6515 </t>
  </si>
  <si>
    <t xml:space="preserve">C:\Users\andre\Desktop\REACTIV CEFAS\Cromolyn\Cromolyn/20201217_Cefas_Test10_Run1/Plate 4/@11/G5_02.tif </t>
  </si>
  <si>
    <t xml:space="preserve"> 42.0172 </t>
  </si>
  <si>
    <t xml:space="preserve">C:\Users\andre\Desktop\REACTIV CEFAS\Cromolyn\Cromolyn/20201217_Cefas_Test10_Run1/Plate 4/@11/G5_03.tif </t>
  </si>
  <si>
    <t xml:space="preserve"> 9863.232 </t>
  </si>
  <si>
    <t xml:space="preserve"> 40.8575 </t>
  </si>
  <si>
    <t xml:space="preserve">C:\Users\andre\Desktop\REACTIV CEFAS\Cromolyn\Cromolyn/20201217_Cefas_Test10_Run1/Plate 4/@11/G5_04.tif </t>
  </si>
  <si>
    <t xml:space="preserve"> 35.981 </t>
  </si>
  <si>
    <t xml:space="preserve">C:\Users\andre\Desktop\REACTIV CEFAS\Cromolyn\Cromolyn/20201217_Cefas_Test10_Run1/Plate 4/@11/H5_01.tif </t>
  </si>
  <si>
    <t xml:space="preserve"> 6099.6303 </t>
  </si>
  <si>
    <t xml:space="preserve"> 42.9043 </t>
  </si>
  <si>
    <t xml:space="preserve">C:\Users\andre\Desktop\REACTIV CEFAS\Cromolyn\Cromolyn/20201217_Cefas_Test10_Run1/Plate 4/@11/H5_02.tif </t>
  </si>
  <si>
    <t xml:space="preserve"> 42.4247 </t>
  </si>
  <si>
    <t xml:space="preserve">C:\Users\andre\Desktop\REACTIV CEFAS\Cromolyn\Cromolyn/20201217_Cefas_Test10_Run1/Plate 4/@11/H5_03.tif </t>
  </si>
  <si>
    <t xml:space="preserve"> 10209.3103 </t>
  </si>
  <si>
    <t xml:space="preserve"> 44.6928 </t>
  </si>
  <si>
    <t xml:space="preserve">C:\Users\andre\Desktop\REACTIV CEFAS\Cromolyn\Cromolyn/20201217_Cefas_Test10_Run1/Plate 4/@11/H5_04.tif </t>
  </si>
  <si>
    <t xml:space="preserve"> 49.0421 </t>
  </si>
  <si>
    <t xml:space="preserve">C:\Users\andre\Desktop\REACTIV CEFAS\Cromolyn\Cromolyn/20201217_Cefas_Test10_Run1/Plate 4/@11/ </t>
  </si>
  <si>
    <t xml:space="preserve"> 33.9954 </t>
  </si>
  <si>
    <t xml:space="preserve"> 13.7852 </t>
  </si>
  <si>
    <t xml:space="preserve"> 210079.656 </t>
  </si>
  <si>
    <t xml:space="preserve"> 173918.927 </t>
  </si>
  <si>
    <t xml:space="preserve">C:\Users\andre\Desktop\REACTIV CEFAS\Cromolyn\Cromolyn/20201217_Cefas_Test10_Run1/Plate 4/@12/A6_01.tif </t>
  </si>
  <si>
    <t xml:space="preserve"> 12069.4812 </t>
  </si>
  <si>
    <t xml:space="preserve"> 49.5197 </t>
  </si>
  <si>
    <t xml:space="preserve">C:\Users\andre\Desktop\REACTIV CEFAS\Cromolyn\Cromolyn/20201217_Cefas_Test10_Run1/Plate 4/@12/A6_02.tif </t>
  </si>
  <si>
    <t xml:space="preserve"> 44.342 </t>
  </si>
  <si>
    <t xml:space="preserve">C:\Users\andre\Desktop\REACTIV CEFAS\Cromolyn\Cromolyn/20201217_Cefas_Test10_Run1/Plate 4/@12/A6_03.tif </t>
  </si>
  <si>
    <t xml:space="preserve"> 12156.0008 </t>
  </si>
  <si>
    <t xml:space="preserve"> 47.3416 </t>
  </si>
  <si>
    <t xml:space="preserve">C:\Users\andre\Desktop\REACTIV CEFAS\Cromolyn\Cromolyn/20201217_Cefas_Test10_Run1/Plate 4/@12/A6_04.tif </t>
  </si>
  <si>
    <t xml:space="preserve"> 11982.9616 </t>
  </si>
  <si>
    <t xml:space="preserve"> 46.296 </t>
  </si>
  <si>
    <t xml:space="preserve">C:\Users\andre\Desktop\REACTIV CEFAS\Cromolyn\Cromolyn/20201217_Cefas_Test10_Run1/Plate 4/@12/B6_01.tif </t>
  </si>
  <si>
    <t xml:space="preserve"> 33.6077 </t>
  </si>
  <si>
    <t xml:space="preserve">C:\Users\andre\Desktop\REACTIV CEFAS\Cromolyn\Cromolyn/20201217_Cefas_Test10_Run1/Plate 4/@12/B6_02.tif </t>
  </si>
  <si>
    <t xml:space="preserve"> 3806.8615 </t>
  </si>
  <si>
    <t xml:space="preserve"> 32.4489 </t>
  </si>
  <si>
    <t xml:space="preserve">C:\Users\andre\Desktop\REACTIV CEFAS\Cromolyn\Cromolyn/20201217_Cefas_Test10_Run1/Plate 4/@12/B6_03.tif </t>
  </si>
  <si>
    <t xml:space="preserve"> 34.8441 </t>
  </si>
  <si>
    <t xml:space="preserve">C:\Users\andre\Desktop\REACTIV CEFAS\Cromolyn\Cromolyn/20201217_Cefas_Test10_Run1/Plate 4/@12/B6_04.tif </t>
  </si>
  <si>
    <t xml:space="preserve"> 2898.4059 </t>
  </si>
  <si>
    <t xml:space="preserve"> 32.9851 </t>
  </si>
  <si>
    <t xml:space="preserve">C:\Users\andre\Desktop\REACTIV CEFAS\Cromolyn\Cromolyn/20201217_Cefas_Test10_Run1/Plate 4/@12/C6_01.tif </t>
  </si>
  <si>
    <t xml:space="preserve"> 33.2059 </t>
  </si>
  <si>
    <t xml:space="preserve">C:\Users\andre\Desktop\REACTIV CEFAS\Cromolyn\Cromolyn/20201217_Cefas_Test10_Run1/Plate 4/@12/C6_02.tif </t>
  </si>
  <si>
    <t xml:space="preserve"> 3309.3739 </t>
  </si>
  <si>
    <t xml:space="preserve"> 32.9935 </t>
  </si>
  <si>
    <t xml:space="preserve">C:\Users\andre\Desktop\REACTIV CEFAS\Cromolyn\Cromolyn/20201217_Cefas_Test10_Run1/Plate 4/@12/C6_03.tif </t>
  </si>
  <si>
    <t xml:space="preserve"> 2141.3596 </t>
  </si>
  <si>
    <t xml:space="preserve"> 32.4242 </t>
  </si>
  <si>
    <t xml:space="preserve">C:\Users\andre\Desktop\REACTIV CEFAS\Cromolyn\Cromolyn/20201217_Cefas_Test10_Run1/Plate 4/@12/C6_04.tif </t>
  </si>
  <si>
    <t xml:space="preserve"> 2855.1461 </t>
  </si>
  <si>
    <t xml:space="preserve"> 33.25 </t>
  </si>
  <si>
    <t xml:space="preserve">C:\Users\andre\Desktop\REACTIV CEFAS\Cromolyn\Cromolyn/20201217_Cefas_Test10_Run1/Plate 4/@12/D6_01.tif </t>
  </si>
  <si>
    <t xml:space="preserve"> 35.29 </t>
  </si>
  <si>
    <t xml:space="preserve">C:\Users\andre\Desktop\REACTIV CEFAS\Cromolyn\Cromolyn/20201217_Cefas_Test10_Run1/Plate 4/@12/D6_02.tif </t>
  </si>
  <si>
    <t xml:space="preserve"> 36.3368 </t>
  </si>
  <si>
    <t xml:space="preserve">C:\Users\andre\Desktop\REACTIV CEFAS\Cromolyn\Cromolyn/20201217_Cefas_Test10_Run1/Plate 4/@12/D6_03.tif </t>
  </si>
  <si>
    <t xml:space="preserve"> 6142.8901 </t>
  </si>
  <si>
    <t xml:space="preserve"> 37.1338 </t>
  </si>
  <si>
    <t xml:space="preserve">C:\Users\andre\Desktop\REACTIV CEFAS\Cromolyn\Cromolyn/20201217_Cefas_Test10_Run1/Plate 4/@12/D6_04.tif </t>
  </si>
  <si>
    <t xml:space="preserve"> 38.0909 </t>
  </si>
  <si>
    <t xml:space="preserve">C:\Users\andre\Desktop\REACTIV CEFAS\Cromolyn\Cromolyn/20201217_Cefas_Test10_Run1/Plate 4/@12/E6_01.tif </t>
  </si>
  <si>
    <t xml:space="preserve"> 4758.5768 </t>
  </si>
  <si>
    <t xml:space="preserve"> 37.1136 </t>
  </si>
  <si>
    <t xml:space="preserve">C:\Users\andre\Desktop\REACTIV CEFAS\Cromolyn\Cromolyn/20201217_Cefas_Test10_Run1/Plate 4/@12/E6_02.tif </t>
  </si>
  <si>
    <t xml:space="preserve"> 32.5529 </t>
  </si>
  <si>
    <t xml:space="preserve">C:\Users\andre\Desktop\REACTIV CEFAS\Cromolyn\Cromolyn/20201217_Cefas_Test10_Run1/Plate 4/@12/E6_03.tif </t>
  </si>
  <si>
    <t xml:space="preserve"> 33.3223 </t>
  </si>
  <si>
    <t xml:space="preserve">C:\Users\andre\Desktop\REACTIV CEFAS\Cromolyn\Cromolyn/20201217_Cefas_Test10_Run1/Plate 4/@12/E6_04.tif </t>
  </si>
  <si>
    <t xml:space="preserve"> 2768.6265 </t>
  </si>
  <si>
    <t xml:space="preserve"> 34.9297 </t>
  </si>
  <si>
    <t xml:space="preserve">C:\Users\andre\Desktop\REACTIV CEFAS\Cromolyn\Cromolyn/20201217_Cefas_Test10_Run1/Plate 4/@12/F6_01.tif </t>
  </si>
  <si>
    <t xml:space="preserve">C:\Users\andre\Desktop\REACTIV CEFAS\Cromolyn\Cromolyn/20201217_Cefas_Test10_Run1/Plate 4/@12/F6_02.tif </t>
  </si>
  <si>
    <t xml:space="preserve"> 35.9576 </t>
  </si>
  <si>
    <t xml:space="preserve">C:\Users\andre\Desktop\REACTIV CEFAS\Cromolyn\Cromolyn/20201217_Cefas_Test10_Run1/Plate 4/@12/F6_03.tif </t>
  </si>
  <si>
    <t xml:space="preserve">C:\Users\andre\Desktop\REACTIV CEFAS\Cromolyn\Cromolyn/20201217_Cefas_Test10_Run1/Plate 4/@12/F6_04.tif </t>
  </si>
  <si>
    <t xml:space="preserve"> 36.9718 </t>
  </si>
  <si>
    <t xml:space="preserve">C:\Users\andre\Desktop\REACTIV CEFAS\Cromolyn\Cromolyn/20201217_Cefas_Test10_Run1/Plate 4/@12/G6_01.tif </t>
  </si>
  <si>
    <t xml:space="preserve"> 8933.1465 </t>
  </si>
  <si>
    <t xml:space="preserve"> 39.2591 </t>
  </si>
  <si>
    <t xml:space="preserve">C:\Users\andre\Desktop\REACTIV CEFAS\Cromolyn\Cromolyn/20201217_Cefas_Test10_Run1/Plate 4/@12/G6_02.tif </t>
  </si>
  <si>
    <t xml:space="preserve"> 37.6207 </t>
  </si>
  <si>
    <t xml:space="preserve">C:\Users\andre\Desktop\REACTIV CEFAS\Cromolyn\Cromolyn/20201217_Cefas_Test10_Run1/Plate 4/@12/G6_03.tif </t>
  </si>
  <si>
    <t xml:space="preserve"> 37.2049 </t>
  </si>
  <si>
    <t xml:space="preserve">C:\Users\andre\Desktop\REACTIV CEFAS\Cromolyn\Cromolyn/20201217_Cefas_Test10_Run1/Plate 4/@12/G6_04.tif </t>
  </si>
  <si>
    <t xml:space="preserve"> 40.0215 </t>
  </si>
  <si>
    <t xml:space="preserve">C:\Users\andre\Desktop\REACTIV CEFAS\Cromolyn\Cromolyn/20201217_Cefas_Test10_Run1/Plate 4/@12/H6_01.tif </t>
  </si>
  <si>
    <t xml:space="preserve">C:\Users\andre\Desktop\REACTIV CEFAS\Cromolyn\Cromolyn/20201217_Cefas_Test10_Run1/Plate 4/@12/H6_02.tif </t>
  </si>
  <si>
    <t xml:space="preserve"> 32.0656 </t>
  </si>
  <si>
    <t xml:space="preserve">C:\Users\andre\Desktop\REACTIV CEFAS\Cromolyn\Cromolyn/20201217_Cefas_Test10_Run1/Plate 4/@12/H6_03.tif </t>
  </si>
  <si>
    <t xml:space="preserve"> 9452.264 </t>
  </si>
  <si>
    <t xml:space="preserve"> 40.9542 </t>
  </si>
  <si>
    <t>C:\Users\andre\Desktop\REACTIV CEFAS\Cromolyn\Cromolyn/20201217_Cefas_Test10_Run1/Plate 4/@12/H6_04- exclu.tif</t>
  </si>
  <si>
    <t xml:space="preserve">C:\Users\andre\Desktop\REACTIV CEFAS\Cromolyn\Cromolyn/20201217_Cefas_Test10_Run1/Plate 4/@12/ </t>
  </si>
  <si>
    <t xml:space="preserve"> 36.6991 </t>
  </si>
  <si>
    <t xml:space="preserve"> 4.9108 </t>
  </si>
  <si>
    <t xml:space="preserve"> 219972.688 </t>
  </si>
  <si>
    <t xml:space="preserve"> 164034.591 </t>
  </si>
  <si>
    <t xml:space="preserve">C:\Users\andre\Desktop\REACTIV CEFAS\Cromolyn\Cromolyn/20201217_Cefas_Test10_Run1/Plate 4/@17/A8_01.tif </t>
  </si>
  <si>
    <t xml:space="preserve"> 17736.5136 </t>
  </si>
  <si>
    <t xml:space="preserve"> 34.3671 </t>
  </si>
  <si>
    <t xml:space="preserve">C:\Users\andre\Desktop\REACTIV CEFAS\Cromolyn\Cromolyn/20201217_Cefas_Test10_Run1/Plate 4/@17/A8_02.tif </t>
  </si>
  <si>
    <t xml:space="preserve"> 33.9225 </t>
  </si>
  <si>
    <t xml:space="preserve">C:\Users\andre\Desktop\REACTIV CEFAS\Cromolyn\Cromolyn/20201217_Cefas_Test10_Run1/Plate 4/@17/A8_03.tif </t>
  </si>
  <si>
    <t xml:space="preserve"> 16676.6488 </t>
  </si>
  <si>
    <t xml:space="preserve"> 33.6693 </t>
  </si>
  <si>
    <t xml:space="preserve">C:\Users\andre\Desktop\REACTIV CEFAS\Cromolyn\Cromolyn/20201217_Cefas_Test10_Run1/Plate 4/@17/A8_04.tif </t>
  </si>
  <si>
    <t xml:space="preserve"> 32.5658 </t>
  </si>
  <si>
    <t xml:space="preserve">C:\Users\andre\Desktop\REACTIV CEFAS\Cromolyn\Cromolyn/20201217_Cefas_Test10_Run1/Plate 4/@17/B8_01.tif </t>
  </si>
  <si>
    <t xml:space="preserve"> 46136.5652 </t>
  </si>
  <si>
    <t xml:space="preserve"> 44.6095 </t>
  </si>
  <si>
    <t xml:space="preserve">C:\Users\andre\Desktop\REACTIV CEFAS\Cromolyn\Cromolyn/20201217_Cefas_Test10_Run1/Plate 4/@17/B8_02.tif </t>
  </si>
  <si>
    <t xml:space="preserve"> 42394.5935 </t>
  </si>
  <si>
    <t xml:space="preserve"> 43.4633 </t>
  </si>
  <si>
    <t xml:space="preserve">C:\Users\andre\Desktop\REACTIV CEFAS\Cromolyn\Cromolyn/20201217_Cefas_Test10_Run1/Plate 4/@17/B8_03.tif </t>
  </si>
  <si>
    <t xml:space="preserve"> 40.6594 </t>
  </si>
  <si>
    <t xml:space="preserve">C:\Users\andre\Desktop\REACTIV CEFAS\Cromolyn\Cromolyn/20201217_Cefas_Test10_Run1/Plate 4/@17/B8_04.tif </t>
  </si>
  <si>
    <t xml:space="preserve"> 42.9445 </t>
  </si>
  <si>
    <t xml:space="preserve">C:\Users\andre\Desktop\REACTIV CEFAS\Cromolyn\Cromolyn/20201217_Cefas_Test10_Run1/Plate 4/@17/C8_01.tif </t>
  </si>
  <si>
    <t xml:space="preserve"> 33266.7779 </t>
  </si>
  <si>
    <t xml:space="preserve"> 35.604 </t>
  </si>
  <si>
    <t xml:space="preserve">C:\Users\andre\Desktop\REACTIV CEFAS\Cromolyn\Cromolyn/20201217_Cefas_Test10_Run1/Plate 4/@17/C8_02.tif </t>
  </si>
  <si>
    <t xml:space="preserve"> 29654.5855 </t>
  </si>
  <si>
    <t xml:space="preserve"> 37.5915 </t>
  </si>
  <si>
    <t xml:space="preserve">C:\Users\andre\Desktop\REACTIV CEFAS\Cromolyn\Cromolyn/20201217_Cefas_Test10_Run1/Plate 4/@17/C8_03.tif </t>
  </si>
  <si>
    <t xml:space="preserve"> 29373.3969 </t>
  </si>
  <si>
    <t xml:space="preserve"> 35.6009 </t>
  </si>
  <si>
    <t xml:space="preserve">C:\Users\andre\Desktop\REACTIV CEFAS\Cromolyn\Cromolyn/20201217_Cefas_Test10_Run1/Plate 4/@17/C8_04.tif </t>
  </si>
  <si>
    <t xml:space="preserve"> 30736.0803 </t>
  </si>
  <si>
    <t xml:space="preserve"> 38.0091 </t>
  </si>
  <si>
    <t>C:\Users\andre\Desktop\REACTIV CEFAS\Cromolyn\Cromolyn/20201217_Cefas_Test10_Run1/Plate 4/@17/D8_01- exclu.tif</t>
  </si>
  <si>
    <t xml:space="preserve">C:\Users\andre\Desktop\REACTIV CEFAS\Cromolyn\Cromolyn/20201217_Cefas_Test10_Run1/Plate 4/@17/D8_02.tif </t>
  </si>
  <si>
    <t xml:space="preserve"> 50138.0957 </t>
  </si>
  <si>
    <t xml:space="preserve"> 42.7968 </t>
  </si>
  <si>
    <t xml:space="preserve">C:\Users\andre\Desktop\REACTIV CEFAS\Cromolyn\Cromolyn/20201217_Cefas_Test10_Run1/Plate 4/@17/D8_03.tif </t>
  </si>
  <si>
    <t xml:space="preserve"> 38.1545 </t>
  </si>
  <si>
    <t xml:space="preserve">C:\Users\andre\Desktop\REACTIV CEFAS\Cromolyn\Cromolyn/20201217_Cefas_Test10_Run1/Plate 4/@17/D8_04.tif </t>
  </si>
  <si>
    <t xml:space="preserve"> 66079.3281 </t>
  </si>
  <si>
    <t xml:space="preserve"> 42.0429 </t>
  </si>
  <si>
    <t xml:space="preserve">C:\Users\andre\Desktop\REACTIV CEFAS\Cromolyn\Cromolyn/20201217_Cefas_Test10_Run1/Plate 4/@17/E8_01.tif </t>
  </si>
  <si>
    <t xml:space="preserve"> 36.0562 </t>
  </si>
  <si>
    <t xml:space="preserve">C:\Users\andre\Desktop\REACTIV CEFAS\Cromolyn\Cromolyn/20201217_Cefas_Test10_Run1/Plate 4/@17/E8_02.tif </t>
  </si>
  <si>
    <t xml:space="preserve"> 36.809 </t>
  </si>
  <si>
    <t xml:space="preserve">C:\Users\andre\Desktop\REACTIV CEFAS\Cromolyn\Cromolyn/20201217_Cefas_Test10_Run1/Plate 4/@17/E8_03.tif </t>
  </si>
  <si>
    <t xml:space="preserve"> 19315.4959 </t>
  </si>
  <si>
    <t xml:space="preserve"> 34.0493 </t>
  </si>
  <si>
    <t>C:\Users\andre\Desktop\REACTIV CEFAS\Cromolyn\Cromolyn/20201217_Cefas_Test10_Run1/Plate 4/@17/E8_04- exclu.tif</t>
  </si>
  <si>
    <t xml:space="preserve">C:\Users\andre\Desktop\REACTIV CEFAS\Cromolyn\Cromolyn/20201217_Cefas_Test10_Run1/Plate 4/@17/F8_01.tif </t>
  </si>
  <si>
    <t xml:space="preserve"> 21651.5245 </t>
  </si>
  <si>
    <t xml:space="preserve"> 33.2188 </t>
  </si>
  <si>
    <t xml:space="preserve">C:\Users\andre\Desktop\REACTIV CEFAS\Cromolyn\Cromolyn/20201217_Cefas_Test10_Run1/Plate 4/@17/F8_02.tif </t>
  </si>
  <si>
    <t xml:space="preserve"> 38695.8815 </t>
  </si>
  <si>
    <t xml:space="preserve"> 35.7177 </t>
  </si>
  <si>
    <t xml:space="preserve">C:\Users\andre\Desktop\REACTIV CEFAS\Cromolyn\Cromolyn/20201217_Cefas_Test10_Run1/Plate 4/@17/F8_03.tif </t>
  </si>
  <si>
    <t xml:space="preserve"> 25977.5034 </t>
  </si>
  <si>
    <t xml:space="preserve"> 33.7977 </t>
  </si>
  <si>
    <t xml:space="preserve">C:\Users\andre\Desktop\REACTIV CEFAS\Cromolyn\Cromolyn/20201217_Cefas_Test10_Run1/Plate 4/@17/F8_04.tif </t>
  </si>
  <si>
    <t xml:space="preserve"> 39950.4154 </t>
  </si>
  <si>
    <t xml:space="preserve"> 35.2263 </t>
  </si>
  <si>
    <t xml:space="preserve">C:\Users\andre\Desktop\REACTIV CEFAS\Cromolyn\Cromolyn/20201217_Cefas_Test10_Run1/Plate 4/@17/G8_01.tif </t>
  </si>
  <si>
    <t xml:space="preserve"> 39.7812 </t>
  </si>
  <si>
    <t xml:space="preserve">C:\Users\andre\Desktop\REACTIV CEFAS\Cromolyn\Cromolyn/20201217_Cefas_Test10_Run1/Plate 4/@17/G8_02.tif </t>
  </si>
  <si>
    <t xml:space="preserve"> 66447.0363 </t>
  </si>
  <si>
    <t xml:space="preserve"> 41.7425 </t>
  </si>
  <si>
    <t xml:space="preserve">C:\Users\andre\Desktop\REACTIV CEFAS\Cromolyn\Cromolyn/20201217_Cefas_Test10_Run1/Plate 4/@17/G8_03.tif </t>
  </si>
  <si>
    <t xml:space="preserve"> 55978.1673 </t>
  </si>
  <si>
    <t xml:space="preserve"> 40.2929 </t>
  </si>
  <si>
    <t xml:space="preserve">C:\Users\andre\Desktop\REACTIV CEFAS\Cromolyn\Cromolyn/20201217_Cefas_Test10_Run1/Plate 4/@17/G8_04.tif </t>
  </si>
  <si>
    <t xml:space="preserve"> 69799.67 </t>
  </si>
  <si>
    <t xml:space="preserve"> 44.0062 </t>
  </si>
  <si>
    <t xml:space="preserve">C:\Users\andre\Desktop\REACTIV CEFAS\Cromolyn\Cromolyn/20201217_Cefas_Test10_Run1/Plate 4/@17/H8_01.tif </t>
  </si>
  <si>
    <t xml:space="preserve"> 71270.5028 </t>
  </si>
  <si>
    <t xml:space="preserve"> 46.8331 </t>
  </si>
  <si>
    <t>C:\Users\andre\Desktop\REACTIV CEFAS\Cromolyn\Cromolyn/20201217_Cefas_Test10_Run1/Plate 4/@17/H8_02- exclu.tif</t>
  </si>
  <si>
    <t xml:space="preserve">C:\Users\andre\Desktop\REACTIV CEFAS\Cromolyn\Cromolyn/20201217_Cefas_Test10_Run1/Plate 4/@17/H8_03.tif </t>
  </si>
  <si>
    <t xml:space="preserve"> 74709.656 </t>
  </si>
  <si>
    <t xml:space="preserve"> 46.7583 </t>
  </si>
  <si>
    <t xml:space="preserve">C:\Users\andre\Desktop\REACTIV CEFAS\Cromolyn\Cromolyn/20201217_Cefas_Test10_Run1/Plate 4/@17/H8_04.tif </t>
  </si>
  <si>
    <t xml:space="preserve"> 76742.8661 </t>
  </si>
  <si>
    <t xml:space="preserve"> 42.1674 </t>
  </si>
  <si>
    <t xml:space="preserve">C:\Users\andre\Desktop\REACTIV CEFAS\Cromolyn\Cromolyn/20201217_Cefas_Test10_Run1/Plate 4/@17/ </t>
  </si>
  <si>
    <t xml:space="preserve"> 4.6713 </t>
  </si>
  <si>
    <t xml:space="preserve"> 1637963.66 </t>
  </si>
  <si>
    <t xml:space="preserve"> 992825.362 </t>
  </si>
  <si>
    <t xml:space="preserve">C:\Users\andre\Desktop\REACTIV CEFAS\Cromolyn\Cromolyn/20201217_Cefas_Test10_Run1/Plate 4/@18/A9_01.tif </t>
  </si>
  <si>
    <t xml:space="preserve"> 32.3964 </t>
  </si>
  <si>
    <t xml:space="preserve">C:\Users\andre\Desktop\REACTIV CEFAS\Cromolyn\Cromolyn/20201217_Cefas_Test10_Run1/Plate 4/@18/A9_02.tif </t>
  </si>
  <si>
    <t xml:space="preserve"> 994.9752 </t>
  </si>
  <si>
    <t xml:space="preserve">C:\Users\andre\Desktop\REACTIV CEFAS\Cromolyn\Cromolyn/20201217_Cefas_Test10_Run1/Plate 4/@18/A9_03.tif </t>
  </si>
  <si>
    <t xml:space="preserve"> 31.858 </t>
  </si>
  <si>
    <t xml:space="preserve">C:\Users\andre\Desktop\REACTIV CEFAS\Cromolyn\Cromolyn/20201217_Cefas_Test10_Run1/Plate 4/@18/A9_04.tif </t>
  </si>
  <si>
    <t xml:space="preserve"> 32.7818 </t>
  </si>
  <si>
    <t xml:space="preserve">C:\Users\andre\Desktop\REACTIV CEFAS\Cromolyn\Cromolyn/20201217_Cefas_Test10_Run1/Plate 4/@18/B9_01.tif </t>
  </si>
  <si>
    <t xml:space="preserve"> 29481.5464 </t>
  </si>
  <si>
    <t xml:space="preserve"> 34.777 </t>
  </si>
  <si>
    <t xml:space="preserve">C:\Users\andre\Desktop\REACTIV CEFAS\Cromolyn\Cromolyn/20201217_Cefas_Test10_Run1/Plate 4/@18/B9_02.tif </t>
  </si>
  <si>
    <t xml:space="preserve"> 46504.2735 </t>
  </si>
  <si>
    <t xml:space="preserve"> 38.8526 </t>
  </si>
  <si>
    <t>C:\Users\andre\Desktop\REACTIV CEFAS\Cromolyn\Cromolyn/20201217_Cefas_Test10_Run1/Plate 4/@18/B9_03- exclu.tif</t>
  </si>
  <si>
    <t xml:space="preserve">C:\Users\andre\Desktop\REACTIV CEFAS\Cromolyn\Cromolyn/20201217_Cefas_Test10_Run1/Plate 4/@18/B9_04.tif </t>
  </si>
  <si>
    <t xml:space="preserve"> 37095.2693 </t>
  </si>
  <si>
    <t xml:space="preserve"> 36.5819 </t>
  </si>
  <si>
    <t xml:space="preserve">C:\Users\andre\Desktop\REACTIV CEFAS\Cromolyn\Cromolyn/20201217_Cefas_Test10_Run1/Plate 4/@18/C9_01.tif </t>
  </si>
  <si>
    <t xml:space="preserve"> 60823.2637 </t>
  </si>
  <si>
    <t xml:space="preserve"> 42.3055 </t>
  </si>
  <si>
    <t xml:space="preserve">C:\Users\andre\Desktop\REACTIV CEFAS\Cromolyn\Cromolyn/20201217_Cefas_Test10_Run1/Plate 4/@18/C9_02.tif </t>
  </si>
  <si>
    <t xml:space="preserve"> 63072.7727 </t>
  </si>
  <si>
    <t xml:space="preserve"> 43.203 </t>
  </si>
  <si>
    <t xml:space="preserve">C:\Users\andre\Desktop\REACTIV CEFAS\Cromolyn\Cromolyn/20201217_Cefas_Test10_Run1/Plate 4/@18/C9_03.tif </t>
  </si>
  <si>
    <t xml:space="preserve"> 66403.7765 </t>
  </si>
  <si>
    <t xml:space="preserve"> 43.3792 </t>
  </si>
  <si>
    <t xml:space="preserve">C:\Users\andre\Desktop\REACTIV CEFAS\Cromolyn\Cromolyn/20201217_Cefas_Test10_Run1/Plate 4/@18/C9_04.tif </t>
  </si>
  <si>
    <t xml:space="preserve"> 54939.9324 </t>
  </si>
  <si>
    <t xml:space="preserve"> 36.3846 </t>
  </si>
  <si>
    <t xml:space="preserve">C:\Users\andre\Desktop\REACTIV CEFAS\Cromolyn\Cromolyn/20201217_Cefas_Test10_Run1/Plate 4/@18/D9_01.tif </t>
  </si>
  <si>
    <t xml:space="preserve"> 35.963 </t>
  </si>
  <si>
    <t xml:space="preserve">C:\Users\andre\Desktop\REACTIV CEFAS\Cromolyn\Cromolyn/20201217_Cefas_Test10_Run1/Plate 4/@18/D9_02.tif </t>
  </si>
  <si>
    <t xml:space="preserve"> 31147.0483 </t>
  </si>
  <si>
    <t xml:space="preserve"> 35.8444 </t>
  </si>
  <si>
    <t xml:space="preserve">C:\Users\andre\Desktop\REACTIV CEFAS\Cromolyn\Cromolyn/20201217_Cefas_Test10_Run1/Plate 4/@18/D9_03.tif </t>
  </si>
  <si>
    <t xml:space="preserve"> 38.5981 </t>
  </si>
  <si>
    <t xml:space="preserve">C:\Users\andre\Desktop\REACTIV CEFAS\Cromolyn\Cromolyn/20201217_Cefas_Test10_Run1/Plate 4/@18/D9_04.tif </t>
  </si>
  <si>
    <t xml:space="preserve"> 37895.5754 </t>
  </si>
  <si>
    <t xml:space="preserve"> 38.5982 </t>
  </si>
  <si>
    <t xml:space="preserve">C:\Users\andre\Desktop\REACTIV CEFAS\Cromolyn\Cromolyn/20201217_Cefas_Test10_Run1/Plate 4/@18/E9_01.tif </t>
  </si>
  <si>
    <t xml:space="preserve"> 22949.3182 </t>
  </si>
  <si>
    <t xml:space="preserve"> 36.0358 </t>
  </si>
  <si>
    <t xml:space="preserve">C:\Users\andre\Desktop\REACTIV CEFAS\Cromolyn\Cromolyn/20201217_Cefas_Test10_Run1/Plate 4/@18/E9_02.tif </t>
  </si>
  <si>
    <t xml:space="preserve"> 9495.5237 </t>
  </si>
  <si>
    <t xml:space="preserve"> 33.8633 </t>
  </si>
  <si>
    <t xml:space="preserve">C:\Users\andre\Desktop\REACTIV CEFAS\Cromolyn\Cromolyn/20201217_Cefas_Test10_Run1/Plate 4/@18/E9_03.tif </t>
  </si>
  <si>
    <t xml:space="preserve"> 25069.0479 </t>
  </si>
  <si>
    <t xml:space="preserve"> 37.3261 </t>
  </si>
  <si>
    <t xml:space="preserve">C:\Users\andre\Desktop\REACTIV CEFAS\Cromolyn\Cromolyn/20201217_Cefas_Test10_Run1/Plate 4/@18/E9_04.tif </t>
  </si>
  <si>
    <t xml:space="preserve"> 22495.0904 </t>
  </si>
  <si>
    <t xml:space="preserve"> 36.9519 </t>
  </si>
  <si>
    <t>C:\Users\andre\Desktop\REACTIV CEFAS\Cromolyn\Cromolyn/20201217_Cefas_Test10_Run1/Plate 4/@18/F9_01- exclu.tif</t>
  </si>
  <si>
    <t xml:space="preserve">C:\Users\andre\Desktop\REACTIV CEFAS\Cromolyn\Cromolyn/20201217_Cefas_Test10_Run1/Plate 4/@18/F9_02.tif </t>
  </si>
  <si>
    <t xml:space="preserve"> 27253.6672 </t>
  </si>
  <si>
    <t xml:space="preserve"> 33.7357 </t>
  </si>
  <si>
    <t xml:space="preserve">C:\Users\andre\Desktop\REACTIV CEFAS\Cromolyn\Cromolyn/20201217_Cefas_Test10_Run1/Plate 4/@18/F9_03.tif </t>
  </si>
  <si>
    <t xml:space="preserve"> 33.3941 </t>
  </si>
  <si>
    <t xml:space="preserve">C:\Users\andre\Desktop\REACTIV CEFAS\Cromolyn\Cromolyn/20201217_Cefas_Test10_Run1/Plate 4/@18/F9_04.tif </t>
  </si>
  <si>
    <t xml:space="preserve"> 39972.0453 </t>
  </si>
  <si>
    <t xml:space="preserve"> 34.0065 </t>
  </si>
  <si>
    <t xml:space="preserve">C:\Users\andre\Desktop\REACTIV CEFAS\Cromolyn\Cromolyn/20201217_Cefas_Test10_Run1/Plate 4/@18/G9_01.tif </t>
  </si>
  <si>
    <t xml:space="preserve"> 89699.173 </t>
  </si>
  <si>
    <t xml:space="preserve"> 46.6962 </t>
  </si>
  <si>
    <t xml:space="preserve">C:\Users\andre\Desktop\REACTIV CEFAS\Cromolyn\Cromolyn/20201217_Cefas_Test10_Run1/Plate 4/@18/G9_02.tif </t>
  </si>
  <si>
    <t xml:space="preserve"> 89655.9132 </t>
  </si>
  <si>
    <t xml:space="preserve"> 47.9119 </t>
  </si>
  <si>
    <t xml:space="preserve">C:\Users\andre\Desktop\REACTIV CEFAS\Cromolyn\Cromolyn/20201217_Cefas_Test10_Run1/Plate 4/@18/G9_03.tif </t>
  </si>
  <si>
    <t xml:space="preserve"> 94306.3406 </t>
  </si>
  <si>
    <t xml:space="preserve"> 48.3138 </t>
  </si>
  <si>
    <t xml:space="preserve">C:\Users\andre\Desktop\REACTIV CEFAS\Cromolyn\Cromolyn/20201217_Cefas_Test10_Run1/Plate 4/@18/G9_04.tif </t>
  </si>
  <si>
    <t xml:space="preserve"> 103455.786 </t>
  </si>
  <si>
    <t xml:space="preserve"> 49.1896 </t>
  </si>
  <si>
    <t xml:space="preserve">C:\Users\andre\Desktop\REACTIV CEFAS\Cromolyn\Cromolyn/20201217_Cefas_Test10_Run1/Plate 4/@18/H9_01.tif </t>
  </si>
  <si>
    <t xml:space="preserve"> 32.7246 </t>
  </si>
  <si>
    <t xml:space="preserve">C:\Users\andre\Desktop\REACTIV CEFAS\Cromolyn\Cromolyn/20201217_Cefas_Test10_Run1/Plate 4/@18/H9_02.tif </t>
  </si>
  <si>
    <t xml:space="preserve"> 38.6743 </t>
  </si>
  <si>
    <t xml:space="preserve">C:\Users\andre\Desktop\REACTIV CEFAS\Cromolyn\Cromolyn/20201217_Cefas_Test10_Run1/Plate 4/@18/H9_03.tif </t>
  </si>
  <si>
    <t xml:space="preserve"> 13713.3532 </t>
  </si>
  <si>
    <t xml:space="preserve"> 39.9385 </t>
  </si>
  <si>
    <t xml:space="preserve">C:\Users\andre\Desktop\REACTIV CEFAS\Cromolyn\Cromolyn/20201217_Cefas_Test10_Run1/Plate 4/@18/H9_04.tif </t>
  </si>
  <si>
    <t xml:space="preserve"> 11636.8833 </t>
  </si>
  <si>
    <t xml:space="preserve"> 38.7286 </t>
  </si>
  <si>
    <t xml:space="preserve">C:\Users\andre\Desktop\REACTIV CEFAS\Cromolyn\Cromolyn/20201217_Cefas_Test10_Run1/Plate 4/@18/ </t>
  </si>
  <si>
    <t xml:space="preserve"> 37.9393 </t>
  </si>
  <si>
    <t xml:space="preserve"> 5.0957 </t>
  </si>
  <si>
    <t xml:space="preserve"> 1509593.56 </t>
  </si>
  <si>
    <t xml:space="preserve"> 1404750.54 </t>
  </si>
  <si>
    <t>C:\Users\andre\Desktop\REACTIV CEFAS\Cromolyn\Cromolyn/20201217_Cefas_Test10_Run1/Plate 4/@19/A10_01- exclu.tif</t>
  </si>
  <si>
    <t xml:space="preserve">C:\Users\andre\Desktop\REACTIV CEFAS\Cromolyn\Cromolyn/20201217_Cefas_Test10_Run1/Plate 4/@19/A10_02.tif </t>
  </si>
  <si>
    <t xml:space="preserve"> 49770.3875 </t>
  </si>
  <si>
    <t xml:space="preserve"> 38.4355 </t>
  </si>
  <si>
    <t xml:space="preserve">C:\Users\andre\Desktop\REACTIV CEFAS\Cromolyn\Cromolyn/20201217_Cefas_Test10_Run1/Plate 4/@19/A10_03.tif </t>
  </si>
  <si>
    <t xml:space="preserve"> 45941.8962 </t>
  </si>
  <si>
    <t xml:space="preserve"> 37.1445 </t>
  </si>
  <si>
    <t xml:space="preserve">C:\Users\andre\Desktop\REACTIV CEFAS\Cromolyn\Cromolyn/20201217_Cefas_Test10_Run1/Plate 4/@19/A10_04.tif </t>
  </si>
  <si>
    <t xml:space="preserve"> 52474.1244 </t>
  </si>
  <si>
    <t xml:space="preserve"> 37.8298 </t>
  </si>
  <si>
    <t xml:space="preserve">C:\Users\andre\Desktop\REACTIV CEFAS\Cromolyn\Cromolyn/20201217_Cefas_Test10_Run1/Plate 4/@19/B10_01.tif </t>
  </si>
  <si>
    <t xml:space="preserve"> 42481.1131 </t>
  </si>
  <si>
    <t xml:space="preserve"> 36.9073 </t>
  </si>
  <si>
    <t xml:space="preserve">C:\Users\andre\Desktop\REACTIV CEFAS\Cromolyn\Cromolyn/20201217_Cefas_Test10_Run1/Plate 4/@19/B10_02.tif </t>
  </si>
  <si>
    <t xml:space="preserve"> 37.5178 </t>
  </si>
  <si>
    <t xml:space="preserve">C:\Users\andre\Desktop\REACTIV CEFAS\Cromolyn\Cromolyn/20201217_Cefas_Test10_Run1/Plate 4/@19/B10_03.tif </t>
  </si>
  <si>
    <t xml:space="preserve"> 50700.473 </t>
  </si>
  <si>
    <t xml:space="preserve"> 39.1224 </t>
  </si>
  <si>
    <t xml:space="preserve">C:\Users\andre\Desktop\REACTIV CEFAS\Cromolyn\Cromolyn/20201217_Cefas_Test10_Run1/Plate 4/@19/B10_04.tif </t>
  </si>
  <si>
    <t xml:space="preserve"> 31860.8348 </t>
  </si>
  <si>
    <t xml:space="preserve"> 34.8425 </t>
  </si>
  <si>
    <t xml:space="preserve">C:\Users\andre\Desktop\REACTIV CEFAS\Cromolyn\Cromolyn/20201217_Cefas_Test10_Run1/Plate 4/@19/C10_01.tif </t>
  </si>
  <si>
    <t xml:space="preserve"> 49510.8288 </t>
  </si>
  <si>
    <t xml:space="preserve"> 37.7025 </t>
  </si>
  <si>
    <t xml:space="preserve">C:\Users\andre\Desktop\REACTIV CEFAS\Cromolyn\Cromolyn/20201217_Cefas_Test10_Run1/Plate 4/@19/C10_02.tif </t>
  </si>
  <si>
    <t xml:space="preserve"> 57773.4486 </t>
  </si>
  <si>
    <t xml:space="preserve"> 39.0213 </t>
  </si>
  <si>
    <t xml:space="preserve">C:\Users\andre\Desktop\REACTIV CEFAS\Cromolyn\Cromolyn/20201217_Cefas_Test10_Run1/Plate 4/@19/C10_03.tif </t>
  </si>
  <si>
    <t xml:space="preserve"> 50246.2452 </t>
  </si>
  <si>
    <t xml:space="preserve"> 39.5415 </t>
  </si>
  <si>
    <t xml:space="preserve">C:\Users\andre\Desktop\REACTIV CEFAS\Cromolyn\Cromolyn/20201217_Cefas_Test10_Run1/Plate 4/@19/C10_04.tif </t>
  </si>
  <si>
    <t xml:space="preserve"> 52603.9037 </t>
  </si>
  <si>
    <t xml:space="preserve"> 37.9005 </t>
  </si>
  <si>
    <t xml:space="preserve">C:\Users\andre\Desktop\REACTIV CEFAS\Cromolyn\Cromolyn/20201217_Cefas_Test10_Run1/Plate 4/@19/D10_01.tif </t>
  </si>
  <si>
    <t xml:space="preserve"> 85265.0446 </t>
  </si>
  <si>
    <t xml:space="preserve"> 44.3351 </t>
  </si>
  <si>
    <t xml:space="preserve">C:\Users\andre\Desktop\REACTIV CEFAS\Cromolyn\Cromolyn/20201217_Cefas_Test10_Run1/Plate 4/@19/D10_02.tif </t>
  </si>
  <si>
    <t xml:space="preserve"> 86238.3899 </t>
  </si>
  <si>
    <t xml:space="preserve"> 40.0594 </t>
  </si>
  <si>
    <t xml:space="preserve">C:\Users\andre\Desktop\REACTIV CEFAS\Cromolyn\Cromolyn/20201217_Cefas_Test10_Run1/Plate 4/@19/D10_03.tif </t>
  </si>
  <si>
    <t xml:space="preserve"> 89136.7958 </t>
  </si>
  <si>
    <t xml:space="preserve"> 41.5518 </t>
  </si>
  <si>
    <t>C:\Users\andre\Desktop\REACTIV CEFAS\Cromolyn\Cromolyn/20201217_Cefas_Test10_Run1/Plate 4/@19/D10_04- exclu.tif</t>
  </si>
  <si>
    <t xml:space="preserve">C:\Users\andre\Desktop\REACTIV CEFAS\Cromolyn\Cromolyn/20201217_Cefas_Test10_Run1/Plate 4/@19/E10_01.tif </t>
  </si>
  <si>
    <t xml:space="preserve"> 30563.0411 </t>
  </si>
  <si>
    <t xml:space="preserve"> 35.5117 </t>
  </si>
  <si>
    <t xml:space="preserve">C:\Users\andre\Desktop\REACTIV CEFAS\Cromolyn\Cromolyn/20201217_Cefas_Test10_Run1/Plate 4/@19/E10_02.tif </t>
  </si>
  <si>
    <t xml:space="preserve"> 31882.4647 </t>
  </si>
  <si>
    <t xml:space="preserve"> 35.5862 </t>
  </si>
  <si>
    <t xml:space="preserve">C:\Users\andre\Desktop\REACTIV CEFAS\Cromolyn\Cromolyn/20201217_Cefas_Test10_Run1/Plate 4/@19/E10_03.tif </t>
  </si>
  <si>
    <t xml:space="preserve"> 31493.1266 </t>
  </si>
  <si>
    <t xml:space="preserve"> 35.4416 </t>
  </si>
  <si>
    <t xml:space="preserve">C:\Users\andre\Desktop\REACTIV CEFAS\Cromolyn\Cromolyn/20201217_Cefas_Test10_Run1/Plate 4/@19/E10_04.tif </t>
  </si>
  <si>
    <t xml:space="preserve"> 40015.3051 </t>
  </si>
  <si>
    <t xml:space="preserve"> 37.1703 </t>
  </si>
  <si>
    <t xml:space="preserve">C:\Users\andre\Desktop\REACTIV CEFAS\Cromolyn\Cromolyn/20201217_Cefas_Test10_Run1/Plate 4/@19/F10_01.tif </t>
  </si>
  <si>
    <t xml:space="preserve"> 57600.4094 </t>
  </si>
  <si>
    <t xml:space="preserve"> 35.6737 </t>
  </si>
  <si>
    <t xml:space="preserve">C:\Users\andre\Desktop\REACTIV CEFAS\Cromolyn\Cromolyn/20201217_Cefas_Test10_Run1/Plate 4/@19/F10_02.tif </t>
  </si>
  <si>
    <t xml:space="preserve"> 61320.7513 </t>
  </si>
  <si>
    <t xml:space="preserve"> 36.1108 </t>
  </si>
  <si>
    <t xml:space="preserve">C:\Users\andre\Desktop\REACTIV CEFAS\Cromolyn\Cromolyn/20201217_Cefas_Test10_Run1/Plate 4/@19/F10_03.tif </t>
  </si>
  <si>
    <t xml:space="preserve"> 64781.5344 </t>
  </si>
  <si>
    <t xml:space="preserve"> 35.9516 </t>
  </si>
  <si>
    <t xml:space="preserve">C:\Users\andre\Desktop\REACTIV CEFAS\Cromolyn\Cromolyn/20201217_Cefas_Test10_Run1/Plate 4/@19/F10_04.tif </t>
  </si>
  <si>
    <t xml:space="preserve"> 49143.1206 </t>
  </si>
  <si>
    <t xml:space="preserve"> 33.5814 </t>
  </si>
  <si>
    <t xml:space="preserve">C:\Users\andre\Desktop\REACTIV CEFAS\Cromolyn\Cromolyn/20201217_Cefas_Test10_Run1/Plate 4/@19/G10_01.tif </t>
  </si>
  <si>
    <t xml:space="preserve"> 33.3949 </t>
  </si>
  <si>
    <t xml:space="preserve">C:\Users\andre\Desktop\REACTIV CEFAS\Cromolyn\Cromolyn/20201217_Cefas_Test10_Run1/Plate 4/@19/G10_02.tif </t>
  </si>
  <si>
    <t xml:space="preserve"> 35.8067 </t>
  </si>
  <si>
    <t xml:space="preserve">C:\Users\andre\Desktop\REACTIV CEFAS\Cromolyn\Cromolyn/20201217_Cefas_Test10_Run1/Plate 4/@19/G10_03.tif </t>
  </si>
  <si>
    <t xml:space="preserve"> 30800.97 </t>
  </si>
  <si>
    <t xml:space="preserve"> 36.1299 </t>
  </si>
  <si>
    <t xml:space="preserve">C:\Users\andre\Desktop\REACTIV CEFAS\Cromolyn\Cromolyn/20201217_Cefas_Test10_Run1/Plate 4/@19/G10_04.tif </t>
  </si>
  <si>
    <t xml:space="preserve"> 11269.1751 </t>
  </si>
  <si>
    <t xml:space="preserve"> 33.0883 </t>
  </si>
  <si>
    <t>C:\Users\andre\Desktop\REACTIV CEFAS\Cromolyn\Cromolyn/20201217_Cefas_Test10_Run1/Plate 4/@19/H10_01- exclu.tif</t>
  </si>
  <si>
    <t>C:\Users\andre\Desktop\REACTIV CEFAS\Cromolyn\Cromolyn/20201217_Cefas_Test10_Run1/Plate 4/@19/H10_02- exclu.tif</t>
  </si>
  <si>
    <t>C:\Users\andre\Desktop\REACTIV CEFAS\Cromolyn\Cromolyn/20201217_Cefas_Test10_Run1/Plate 4/@19/H10_03- exclu.tif</t>
  </si>
  <si>
    <t xml:space="preserve">C:\Users\andre\Desktop\REACTIV CEFAS\Cromolyn\Cromolyn/20201217_Cefas_Test10_Run1/Plate 4/@19/H10_04.tif </t>
  </si>
  <si>
    <t xml:space="preserve"> 55913.2776 </t>
  </si>
  <si>
    <t xml:space="preserve"> 42.2414 </t>
  </si>
  <si>
    <t xml:space="preserve">C:\Users\andre\Desktop\REACTIV CEFAS\Cromolyn\Cromolyn/20201217_Cefas_Test10_Run1/Plate 4/@19/ </t>
  </si>
  <si>
    <t xml:space="preserve"> 37.0696 </t>
  </si>
  <si>
    <t xml:space="preserve"> 3.4775 </t>
  </si>
  <si>
    <t xml:space="preserve"> 955046.248 </t>
  </si>
  <si>
    <t xml:space="preserve">C:\Users\andre\Desktop\REACTIV CEFAS\Cromolyn\Cromolyn/20201217_Cefas_Test10_Run1/Plate 4/@20/A11_01.tif </t>
  </si>
  <si>
    <t xml:space="preserve"> 22300.4214 </t>
  </si>
  <si>
    <t xml:space="preserve"> 34.1154 </t>
  </si>
  <si>
    <t xml:space="preserve">C:\Users\andre\Desktop\REACTIV CEFAS\Cromolyn\Cromolyn/20201217_Cefas_Test10_Run1/Plate 4/@20/A11_02.tif </t>
  </si>
  <si>
    <t xml:space="preserve"> 24896.0087 </t>
  </si>
  <si>
    <t xml:space="preserve"> 33.7089 </t>
  </si>
  <si>
    <t xml:space="preserve">C:\Users\andre\Desktop\REACTIV CEFAS\Cromolyn\Cromolyn/20201217_Cefas_Test10_Run1/Plate 4/@20/A11_03.tif </t>
  </si>
  <si>
    <t xml:space="preserve"> 32423.212 </t>
  </si>
  <si>
    <t xml:space="preserve"> 34.3803 </t>
  </si>
  <si>
    <t xml:space="preserve">C:\Users\andre\Desktop\REACTIV CEFAS\Cromolyn\Cromolyn/20201217_Cefas_Test10_Run1/Plate 4/@20/A11_04.tif </t>
  </si>
  <si>
    <t xml:space="preserve"> 50916.772 </t>
  </si>
  <si>
    <t xml:space="preserve"> 35.7222 </t>
  </si>
  <si>
    <t xml:space="preserve">C:\Users\andre\Desktop\REACTIV CEFAS\Cromolyn\Cromolyn/20201217_Cefas_Test10_Run1/Plate 4/@20/B11_01.tif </t>
  </si>
  <si>
    <t xml:space="preserve"> 41875.476 </t>
  </si>
  <si>
    <t xml:space="preserve"> 37.9969 </t>
  </si>
  <si>
    <t xml:space="preserve">C:\Users\andre\Desktop\REACTIV CEFAS\Cromolyn\Cromolyn/20201217_Cefas_Test10_Run1/Plate 4/@20/B11_02.tif </t>
  </si>
  <si>
    <t xml:space="preserve"> 63894.7087 </t>
  </si>
  <si>
    <t xml:space="preserve"> 39.1391 </t>
  </si>
  <si>
    <t xml:space="preserve">C:\Users\andre\Desktop\REACTIV CEFAS\Cromolyn\Cromolyn/20201217_Cefas_Test10_Run1/Plate 4/@20/B11_03.tif </t>
  </si>
  <si>
    <t xml:space="preserve"> 70773.0152 </t>
  </si>
  <si>
    <t xml:space="preserve"> 40.0034 </t>
  </si>
  <si>
    <t xml:space="preserve">C:\Users\andre\Desktop\REACTIV CEFAS\Cromolyn\Cromolyn/20201217_Cefas_Test10_Run1/Plate 4/@20/B11_04.tif </t>
  </si>
  <si>
    <t xml:space="preserve"> 59590.3597 </t>
  </si>
  <si>
    <t xml:space="preserve"> 39.3525 </t>
  </si>
  <si>
    <t xml:space="preserve">C:\Users\andre\Desktop\REACTIV CEFAS\Cromolyn\Cromolyn/20201217_Cefas_Test10_Run1/Plate 4/@20/C11_01.tif </t>
  </si>
  <si>
    <t xml:space="preserve"> 23554.9553 </t>
  </si>
  <si>
    <t xml:space="preserve"> 33.2792 </t>
  </si>
  <si>
    <t xml:space="preserve">C:\Users\andre\Desktop\REACTIV CEFAS\Cromolyn\Cromolyn/20201217_Cefas_Test10_Run1/Plate 4/@20/C11_02.tif </t>
  </si>
  <si>
    <t xml:space="preserve"> 20894.4782 </t>
  </si>
  <si>
    <t xml:space="preserve"> 32.6646 </t>
  </si>
  <si>
    <t xml:space="preserve">C:\Users\andre\Desktop\REACTIV CEFAS\Cromolyn\Cromolyn/20201217_Cefas_Test10_Run1/Plate 4/@20/C11_03.tif </t>
  </si>
  <si>
    <t xml:space="preserve"> 16633.389 </t>
  </si>
  <si>
    <t xml:space="preserve"> 32.2432 </t>
  </si>
  <si>
    <t xml:space="preserve">C:\Users\andre\Desktop\REACTIV CEFAS\Cromolyn\Cromolyn/20201217_Cefas_Test10_Run1/Plate 4/@20/C11_04.tif </t>
  </si>
  <si>
    <t xml:space="preserve"> 20332.101 </t>
  </si>
  <si>
    <t xml:space="preserve"> 32.7436 </t>
  </si>
  <si>
    <t xml:space="preserve">C:\Users\andre\Desktop\REACTIV CEFAS\Cromolyn\Cromolyn/20201217_Cefas_Test10_Run1/Plate 4/@20/D11_01.tif </t>
  </si>
  <si>
    <t xml:space="preserve"> 31.6941 </t>
  </si>
  <si>
    <t xml:space="preserve">C:\Users\andre\Desktop\REACTIV CEFAS\Cromolyn\Cromolyn/20201217_Cefas_Test10_Run1/Plate 4/@20/D11_02.tif </t>
  </si>
  <si>
    <t xml:space="preserve"> 10944.7267 </t>
  </si>
  <si>
    <t xml:space="preserve"> 32.332 </t>
  </si>
  <si>
    <t xml:space="preserve">C:\Users\andre\Desktop\REACTIV CEFAS\Cromolyn\Cromolyn/20201217_Cefas_Test10_Run1/Plate 4/@20/D11_03.tif </t>
  </si>
  <si>
    <t xml:space="preserve"> 32.256 </t>
  </si>
  <si>
    <t xml:space="preserve">C:\Users\andre\Desktop\REACTIV CEFAS\Cromolyn\Cromolyn/20201217_Cefas_Test10_Run1/Plate 4/@20/D11_04.tif </t>
  </si>
  <si>
    <t xml:space="preserve"> 10382.3494 </t>
  </si>
  <si>
    <t xml:space="preserve"> 31.6042 </t>
  </si>
  <si>
    <t xml:space="preserve">C:\Users\andre\Desktop\REACTIV CEFAS\Cromolyn\Cromolyn/20201217_Cefas_Test10_Run1/Plate 4/@20/E11_01.tif </t>
  </si>
  <si>
    <t xml:space="preserve"> 37.5783 </t>
  </si>
  <si>
    <t xml:space="preserve">C:\Users\andre\Desktop\REACTIV CEFAS\Cromolyn\Cromolyn/20201217_Cefas_Test10_Run1/Plate 4/@20/E11_02.tif </t>
  </si>
  <si>
    <t xml:space="preserve"> 39.2744 </t>
  </si>
  <si>
    <t xml:space="preserve">C:\Users\andre\Desktop\REACTIV CEFAS\Cromolyn\Cromolyn/20201217_Cefas_Test10_Run1/Plate 4/@20/E11_03.tif </t>
  </si>
  <si>
    <t xml:space="preserve"> 41291.4688 </t>
  </si>
  <si>
    <t xml:space="preserve"> 40.0948 </t>
  </si>
  <si>
    <t xml:space="preserve">C:\Users\andre\Desktop\REACTIV CEFAS\Cromolyn\Cromolyn/20201217_Cefas_Test10_Run1/Plate 4/@20/E11_04.tif </t>
  </si>
  <si>
    <t xml:space="preserve"> 37938.8352 </t>
  </si>
  <si>
    <t xml:space="preserve"> 38.6836 </t>
  </si>
  <si>
    <t xml:space="preserve">C:\Users\andre\Desktop\REACTIV CEFAS\Cromolyn\Cromolyn/20201217_Cefas_Test10_Run1/Plate 4/@20/F11_01.tif </t>
  </si>
  <si>
    <t xml:space="preserve"> 36.8585 </t>
  </si>
  <si>
    <t xml:space="preserve">C:\Users\andre\Desktop\REACTIV CEFAS\Cromolyn\Cromolyn/20201217_Cefas_Test10_Run1/Plate 4/@20/F11_02.tif </t>
  </si>
  <si>
    <t xml:space="preserve"> 44081.7253 </t>
  </si>
  <si>
    <t xml:space="preserve"> 37.9647 </t>
  </si>
  <si>
    <t xml:space="preserve">C:\Users\andre\Desktop\REACTIV CEFAS\Cromolyn\Cromolyn/20201217_Cefas_Test10_Run1/Plate 4/@20/F11_03.tif </t>
  </si>
  <si>
    <t xml:space="preserve"> 38544.4722 </t>
  </si>
  <si>
    <t xml:space="preserve"> 34.9169 </t>
  </si>
  <si>
    <t xml:space="preserve">C:\Users\andre\Desktop\REACTIV CEFAS\Cromolyn\Cromolyn/20201217_Cefas_Test10_Run1/Plate 4/@20/F11_04.tif </t>
  </si>
  <si>
    <t xml:space="preserve"> 56756.8435 </t>
  </si>
  <si>
    <t xml:space="preserve"> 37.2458 </t>
  </si>
  <si>
    <t xml:space="preserve">C:\Users\andre\Desktop\REACTIV CEFAS\Cromolyn\Cromolyn/20201217_Cefas_Test10_Run1/Plate 4/@20/G11_01.tif </t>
  </si>
  <si>
    <t xml:space="preserve"> 72525.0367 </t>
  </si>
  <si>
    <t xml:space="preserve"> 42.7933 </t>
  </si>
  <si>
    <t xml:space="preserve">C:\Users\andre\Desktop\REACTIV CEFAS\Cromolyn\Cromolyn/20201217_Cefas_Test10_Run1/Plate 4/@20/G11_02.tif </t>
  </si>
  <si>
    <t xml:space="preserve"> 70664.8658 </t>
  </si>
  <si>
    <t xml:space="preserve"> 42.6654 </t>
  </si>
  <si>
    <t xml:space="preserve">C:\Users\andre\Desktop\REACTIV CEFAS\Cromolyn\Cromolyn/20201217_Cefas_Test10_Run1/Plate 4/@20/G11_03.tif </t>
  </si>
  <si>
    <t xml:space="preserve"> 60239.2565 </t>
  </si>
  <si>
    <t xml:space="preserve"> 40.0779 </t>
  </si>
  <si>
    <t xml:space="preserve">C:\Users\andre\Desktop\REACTIV CEFAS\Cromolyn\Cromolyn/20201217_Cefas_Test10_Run1/Plate 4/@20/G11_04.tif </t>
  </si>
  <si>
    <t xml:space="preserve"> 38.8995 </t>
  </si>
  <si>
    <t xml:space="preserve">C:\Users\andre\Desktop\REACTIV CEFAS\Cromolyn\Cromolyn/20201217_Cefas_Test10_Run1/Plate 4/@20/H11_01.tif </t>
  </si>
  <si>
    <t xml:space="preserve"> 47996.7362 </t>
  </si>
  <si>
    <t xml:space="preserve"> 43.1361 </t>
  </si>
  <si>
    <t xml:space="preserve">C:\Users\andre\Desktop\REACTIV CEFAS\Cromolyn\Cromolyn/20201217_Cefas_Test10_Run1/Plate 4/@20/H11_02.tif </t>
  </si>
  <si>
    <t xml:space="preserve"> 47693.9177 </t>
  </si>
  <si>
    <t xml:space="preserve"> 41.049 </t>
  </si>
  <si>
    <t xml:space="preserve">C:\Users\andre\Desktop\REACTIV CEFAS\Cromolyn\Cromolyn/20201217_Cefas_Test10_Run1/Plate 4/@20/H11_03.tif </t>
  </si>
  <si>
    <t xml:space="preserve"> 52647.1635 </t>
  </si>
  <si>
    <t xml:space="preserve"> 45.9733 </t>
  </si>
  <si>
    <t xml:space="preserve">C:\Users\andre\Desktop\REACTIV CEFAS\Cromolyn\Cromolyn/20201217_Cefas_Test10_Run1/Plate 4/@20/H11_04.tif </t>
  </si>
  <si>
    <t xml:space="preserve"> 54355.9252 </t>
  </si>
  <si>
    <t xml:space="preserve"> 44.5945 </t>
  </si>
  <si>
    <t xml:space="preserve">C:\Users\andre\Desktop\REACTIV CEFAS\Cromolyn\Cromolyn/20201217_Cefas_Test10_Run1/Plate 4/@20/ </t>
  </si>
  <si>
    <t xml:space="preserve"> 37.345 </t>
  </si>
  <si>
    <t xml:space="preserve"> 4.0686 </t>
  </si>
  <si>
    <t xml:space="preserve"> 1569724.09 </t>
  </si>
  <si>
    <t xml:space="preserve"> 868706.262 </t>
  </si>
  <si>
    <t>C:\Users\andre\Desktop\REACTIV CEFAS\Cromolyn\Cromolyn/20201217_Cefas_Test10_Run1/Plate 4/@21/A12_01- exclu.tif</t>
  </si>
  <si>
    <t xml:space="preserve">C:\Users\andre\Desktop\REACTIV CEFAS\Cromolyn\Cromolyn/20201217_Cefas_Test10_Run1/Plate 4/@21/A12_02.tif </t>
  </si>
  <si>
    <t xml:space="preserve"> 28811.0196 </t>
  </si>
  <si>
    <t xml:space="preserve"> 39.6577 </t>
  </si>
  <si>
    <t xml:space="preserve">C:\Users\andre\Desktop\REACTIV CEFAS\Cromolyn\Cromolyn/20201217_Cefas_Test10_Run1/Plate 4/@21/A12_03.tif </t>
  </si>
  <si>
    <t xml:space="preserve"> 28053.9733 </t>
  </si>
  <si>
    <t xml:space="preserve"> 39.1056 </t>
  </si>
  <si>
    <t xml:space="preserve">C:\Users\andre\Desktop\REACTIV CEFAS\Cromolyn\Cromolyn/20201217_Cefas_Test10_Run1/Plate 4/@21/A12_04.tif </t>
  </si>
  <si>
    <t xml:space="preserve"> 23230.5068 </t>
  </si>
  <si>
    <t xml:space="preserve"> 36.9088 </t>
  </si>
  <si>
    <t xml:space="preserve">C:\Users\andre\Desktop\REACTIV CEFAS\Cromolyn\Cromolyn/20201217_Cefas_Test10_Run1/Plate 4/@21/B12_01.tif </t>
  </si>
  <si>
    <t xml:space="preserve"> 58379.0856 </t>
  </si>
  <si>
    <t xml:space="preserve"> 37.6884 </t>
  </si>
  <si>
    <t xml:space="preserve">C:\Users\andre\Desktop\REACTIV CEFAS\Cromolyn\Cromolyn/20201217_Cefas_Test10_Run1/Plate 4/@21/B12_02.tif </t>
  </si>
  <si>
    <t xml:space="preserve"> 60412.2957 </t>
  </si>
  <si>
    <t xml:space="preserve"> 37.4436 </t>
  </si>
  <si>
    <t xml:space="preserve">C:\Users\andre\Desktop\REACTIV CEFAS\Cromolyn\Cromolyn/20201217_Cefas_Test10_Run1/Plate 4/@21/B12_03.tif </t>
  </si>
  <si>
    <t xml:space="preserve"> 60217.6266 </t>
  </si>
  <si>
    <t xml:space="preserve"> 38.629 </t>
  </si>
  <si>
    <t xml:space="preserve">C:\Users\andre\Desktop\REACTIV CEFAS\Cromolyn\Cromolyn/20201217_Cefas_Test10_Run1/Plate 4/@21/B12_04.tif </t>
  </si>
  <si>
    <t xml:space="preserve"> 55675.3488 </t>
  </si>
  <si>
    <t xml:space="preserve"> 38.0245 </t>
  </si>
  <si>
    <t xml:space="preserve">C:\Users\andre\Desktop\REACTIV CEFAS\Cromolyn\Cromolyn/20201217_Cefas_Test10_Run1/Plate 4/@21/C12_01.tif </t>
  </si>
  <si>
    <t xml:space="preserve"> 73628.1613 </t>
  </si>
  <si>
    <t xml:space="preserve"> 42.9392 </t>
  </si>
  <si>
    <t xml:space="preserve">C:\Users\andre\Desktop\REACTIV CEFAS\Cromolyn\Cromolyn/20201217_Cefas_Test10_Run1/Plate 4/@21/C12_02.tif </t>
  </si>
  <si>
    <t xml:space="preserve"> 70102.4885 </t>
  </si>
  <si>
    <t xml:space="preserve"> 42.3428 </t>
  </si>
  <si>
    <t xml:space="preserve">C:\Users\andre\Desktop\REACTIV CEFAS\Cromolyn\Cromolyn/20201217_Cefas_Test10_Run1/Plate 4/@21/C12_03.tif </t>
  </si>
  <si>
    <t xml:space="preserve"> 72287.1078 </t>
  </si>
  <si>
    <t xml:space="preserve"> 40.8986 </t>
  </si>
  <si>
    <t xml:space="preserve">C:\Users\andre\Desktop\REACTIV CEFAS\Cromolyn\Cromolyn/20201217_Cefas_Test10_Run1/Plate 4/@21/C12_04.tif </t>
  </si>
  <si>
    <t xml:space="preserve"> 74168.9087 </t>
  </si>
  <si>
    <t xml:space="preserve"> 42.2406 </t>
  </si>
  <si>
    <t xml:space="preserve">C:\Users\andre\Desktop\REACTIV CEFAS\Cromolyn\Cromolyn/20201217_Cefas_Test10_Run1/Plate 4/@21/D12_01.tif </t>
  </si>
  <si>
    <t xml:space="preserve"> 64695.0148 </t>
  </si>
  <si>
    <t xml:space="preserve"> 37.1702 </t>
  </si>
  <si>
    <t xml:space="preserve">C:\Users\andre\Desktop\REACTIV CEFAS\Cromolyn\Cromolyn/20201217_Cefas_Test10_Run1/Plate 4/@21/D12_02.tif </t>
  </si>
  <si>
    <t xml:space="preserve"> 77651.3217 </t>
  </si>
  <si>
    <t xml:space="preserve"> 40.7621 </t>
  </si>
  <si>
    <t xml:space="preserve">C:\Users\andre\Desktop\REACTIV CEFAS\Cromolyn\Cromolyn/20201217_Cefas_Test10_Run1/Plate 4/@21/D12_03.tif </t>
  </si>
  <si>
    <t xml:space="preserve"> 67355.4919 </t>
  </si>
  <si>
    <t xml:space="preserve"> 37.49 </t>
  </si>
  <si>
    <t xml:space="preserve">C:\Users\andre\Desktop\REACTIV CEFAS\Cromolyn\Cromolyn/20201217_Cefas_Test10_Run1/Plate 4/@21/D12_04.tif </t>
  </si>
  <si>
    <t xml:space="preserve"> 81371.6636 </t>
  </si>
  <si>
    <t xml:space="preserve"> 40.1661 </t>
  </si>
  <si>
    <t xml:space="preserve">C:\Users\andre\Desktop\REACTIV CEFAS\Cromolyn\Cromolyn/20201217_Cefas_Test10_Run1/Plate 4/@21/E12_01.tif </t>
  </si>
  <si>
    <t xml:space="preserve"> 11701.773 </t>
  </si>
  <si>
    <t xml:space="preserve"> 33.7597 </t>
  </si>
  <si>
    <t xml:space="preserve">C:\Users\andre\Desktop\REACTIV CEFAS\Cromolyn\Cromolyn/20201217_Cefas_Test10_Run1/Plate 4/@21/E12_02.tif </t>
  </si>
  <si>
    <t xml:space="preserve"> 34.25 </t>
  </si>
  <si>
    <t xml:space="preserve">C:\Users\andre\Desktop\REACTIV CEFAS\Cromolyn\Cromolyn/20201217_Cefas_Test10_Run1/Plate 4/@21/E12_03.tif </t>
  </si>
  <si>
    <t xml:space="preserve"> 19250.6062 </t>
  </si>
  <si>
    <t xml:space="preserve"> 33.8539 </t>
  </si>
  <si>
    <t xml:space="preserve">C:\Users\andre\Desktop\REACTIV CEFAS\Cromolyn\Cromolyn/20201217_Cefas_Test10_Run1/Plate 4/@21/E12_04.tif </t>
  </si>
  <si>
    <t xml:space="preserve"> 30022.2937 </t>
  </si>
  <si>
    <t xml:space="preserve"> 35.3192 </t>
  </si>
  <si>
    <t xml:space="preserve">C:\Users\andre\Desktop\REACTIV CEFAS\Cromolyn\Cromolyn/20201217_Cefas_Test10_Run1/Plate 4/@21/F12_01.tif </t>
  </si>
  <si>
    <t xml:space="preserve"> 49597.3484 </t>
  </si>
  <si>
    <t xml:space="preserve"> 35.3027 </t>
  </si>
  <si>
    <t xml:space="preserve">C:\Users\andre\Desktop\REACTIV CEFAS\Cromolyn\Cromolyn/20201217_Cefas_Test10_Run1/Plate 4/@21/F12_02.tif </t>
  </si>
  <si>
    <t xml:space="preserve"> 37.3522 </t>
  </si>
  <si>
    <t xml:space="preserve">C:\Users\andre\Desktop\REACTIV CEFAS\Cromolyn\Cromolyn/20201217_Cefas_Test10_Run1/Plate 4/@21/F12_03.tif </t>
  </si>
  <si>
    <t xml:space="preserve"> 61601.9399 </t>
  </si>
  <si>
    <t xml:space="preserve"> 38.0772 </t>
  </si>
  <si>
    <t xml:space="preserve">C:\Users\andre\Desktop\REACTIV CEFAS\Cromolyn\Cromolyn/20201217_Cefas_Test10_Run1/Plate 4/@21/F12_04.tif </t>
  </si>
  <si>
    <t xml:space="preserve"> 52668.7934 </t>
  </si>
  <si>
    <t xml:space="preserve">C:\Users\andre\Desktop\REACTIV CEFAS\Cromolyn\Cromolyn/20201217_Cefas_Test10_Run1/Plate 4/@21/G12_01.tif </t>
  </si>
  <si>
    <t xml:space="preserve"> 10468.869 </t>
  </si>
  <si>
    <t xml:space="preserve"> 36.9917 </t>
  </si>
  <si>
    <t xml:space="preserve">C:\Users\andre\Desktop\REACTIV CEFAS\Cromolyn\Cromolyn/20201217_Cefas_Test10_Run1/Plate 4/@21/G12_02.tif </t>
  </si>
  <si>
    <t xml:space="preserve"> 8651.9579 </t>
  </si>
  <si>
    <t xml:space="preserve"> 41.6725 </t>
  </si>
  <si>
    <t xml:space="preserve">C:\Users\andre\Desktop\REACTIV CEFAS\Cromolyn\Cromolyn/20201217_Cefas_Test10_Run1/Plate 4/@21/G12_03.tif </t>
  </si>
  <si>
    <t xml:space="preserve"> 42.507 </t>
  </si>
  <si>
    <t xml:space="preserve">C:\Users\andre\Desktop\REACTIV CEFAS\Cromolyn\Cromolyn/20201217_Cefas_Test10_Run1/Plate 4/@21/G12_04.tif </t>
  </si>
  <si>
    <t xml:space="preserve"> 41.5516 </t>
  </si>
  <si>
    <t xml:space="preserve">C:\Users\andre\Desktop\REACTIV CEFAS\Cromolyn\Cromolyn/20201217_Cefas_Test10_Run1/Plate 4/@21/H12_01.tif </t>
  </si>
  <si>
    <t xml:space="preserve"> 49554.0886 </t>
  </si>
  <si>
    <t xml:space="preserve"> 36.7739 </t>
  </si>
  <si>
    <t xml:space="preserve">C:\Users\andre\Desktop\REACTIV CEFAS\Cromolyn\Cromolyn/20201217_Cefas_Test10_Run1/Plate 4/@21/H12_02.tif </t>
  </si>
  <si>
    <t xml:space="preserve"> 35.4191 </t>
  </si>
  <si>
    <t>C:\Users\andre\Desktop\REACTIV CEFAS\Cromolyn\Cromolyn/20201217_Cefas_Test10_Run1/Plate 4/@21/H12_03- exclu.tif</t>
  </si>
  <si>
    <t>C:\Users\andre\Desktop\REACTIV CEFAS\Cromolyn\Cromolyn/20201217_Cefas_Test10_Run1/Plate 4/@21/H12_04- exclu.tif</t>
  </si>
  <si>
    <t xml:space="preserve">C:\Users\andre\Desktop\REACTIV CEFAS\Cromolyn\Cromolyn/20201217_Cefas_Test10_Run1/Plate 4/@21/ </t>
  </si>
  <si>
    <t xml:space="preserve"> 36.9239 </t>
  </si>
  <si>
    <t xml:space="preserve"> 7.2625 </t>
  </si>
  <si>
    <t xml:space="preserve"> 1659877.41 </t>
  </si>
  <si>
    <t xml:space="preserve"> 1033394.96 </t>
  </si>
  <si>
    <t xml:space="preserve">C:\Users\andre\Desktop\REACTIV CEFAS\Cromolyn\Cromolyn/20201217_Cefas_Test10_Run1/Plate 4/@8/A2_01.tif </t>
  </si>
  <si>
    <t xml:space="preserve"> 36.5926 </t>
  </si>
  <si>
    <t xml:space="preserve">C:\Users\andre\Desktop\REACTIV CEFAS\Cromolyn\Cromolyn/20201217_Cefas_Test10_Run1/Plate 4/@8/A2_02.tif </t>
  </si>
  <si>
    <t xml:space="preserve"> 37.2366 </t>
  </si>
  <si>
    <t xml:space="preserve">C:\Users\andre\Desktop\REACTIV CEFAS\Cromolyn\Cromolyn/20201217_Cefas_Test10_Run1/Plate 4/@8/A2_03.tif </t>
  </si>
  <si>
    <t xml:space="preserve"> 1578.9823 </t>
  </si>
  <si>
    <t xml:space="preserve"> 34.4384 </t>
  </si>
  <si>
    <t xml:space="preserve">C:\Users\andre\Desktop\REACTIV CEFAS\Cromolyn\Cromolyn/20201217_Cefas_Test10_Run1/Plate 4/@8/A2_04.tif </t>
  </si>
  <si>
    <t xml:space="preserve"> 35.6723 </t>
  </si>
  <si>
    <t xml:space="preserve">C:\Users\andre\Desktop\REACTIV CEFAS\Cromolyn\Cromolyn/20201217_Cefas_Test10_Run1/Plate 4/@8/B2_01.tif </t>
  </si>
  <si>
    <t xml:space="preserve"> 32.3464 </t>
  </si>
  <si>
    <t xml:space="preserve">C:\Users\andre\Desktop\REACTIV CEFAS\Cromolyn\Cromolyn/20201217_Cefas_Test10_Run1/Plate 4/@8/B2_02.tif </t>
  </si>
  <si>
    <t xml:space="preserve"> 31.2 </t>
  </si>
  <si>
    <t xml:space="preserve">C:\Users\andre\Desktop\REACTIV CEFAS\Cromolyn\Cromolyn/20201217_Cefas_Test10_Run1/Plate 4/@8/B2_03.tif </t>
  </si>
  <si>
    <t xml:space="preserve"> 38.75 </t>
  </si>
  <si>
    <t>C:\Users\andre\Desktop\REACTIV CEFAS\Cromolyn\Cromolyn/20201217_Cefas_Test10_Run1/Plate 4/@8/B2_04- exclu.tif</t>
  </si>
  <si>
    <t xml:space="preserve">C:\Users\andre\Desktop\REACTIV CEFAS\Cromolyn\Cromolyn/20201217_Cefas_Test10_Run1/Plate 4/@8/C2_01.tif </t>
  </si>
  <si>
    <t xml:space="preserve"> 5645.4025 </t>
  </si>
  <si>
    <t xml:space="preserve"> 39.6858 </t>
  </si>
  <si>
    <t xml:space="preserve">C:\Users\andre\Desktop\REACTIV CEFAS\Cromolyn\Cromolyn/20201217_Cefas_Test10_Run1/Plate 4/@8/C2_02.tif </t>
  </si>
  <si>
    <t xml:space="preserve"> 38.2797 </t>
  </si>
  <si>
    <t xml:space="preserve">C:\Users\andre\Desktop\REACTIV CEFAS\Cromolyn\Cromolyn/20201217_Cefas_Test10_Run1/Plate 4/@8/C2_03.tif </t>
  </si>
  <si>
    <t xml:space="preserve"> 5688.6623 </t>
  </si>
  <si>
    <t xml:space="preserve"> 36.6692 </t>
  </si>
  <si>
    <t xml:space="preserve">C:\Users\andre\Desktop\REACTIV CEFAS\Cromolyn\Cromolyn/20201217_Cefas_Test10_Run1/Plate 4/@8/C2_04.tif </t>
  </si>
  <si>
    <t xml:space="preserve"> 7375.7941 </t>
  </si>
  <si>
    <t xml:space="preserve"> 46.1085 </t>
  </si>
  <si>
    <t xml:space="preserve">C:\Users\andre\Desktop\REACTIV CEFAS\Cromolyn\Cromolyn/20201217_Cefas_Test10_Run1/Plate 4/@8/D2_01.tif </t>
  </si>
  <si>
    <t xml:space="preserve"> 41.849 </t>
  </si>
  <si>
    <t xml:space="preserve">C:\Users\andre\Desktop\REACTIV CEFAS\Cromolyn\Cromolyn/20201217_Cefas_Test10_Run1/Plate 4/@8/D2_02.tif </t>
  </si>
  <si>
    <t xml:space="preserve"> 38.8962 </t>
  </si>
  <si>
    <t xml:space="preserve">C:\Users\andre\Desktop\REACTIV CEFAS\Cromolyn\Cromolyn/20201217_Cefas_Test10_Run1/Plate 4/@8/D2_03.tif </t>
  </si>
  <si>
    <t xml:space="preserve"> 36.8763 </t>
  </si>
  <si>
    <t xml:space="preserve">C:\Users\andre\Desktop\REACTIV CEFAS\Cromolyn\Cromolyn/20201217_Cefas_Test10_Run1/Plate 4/@8/D2_04.tif </t>
  </si>
  <si>
    <t xml:space="preserve"> 32.8046 </t>
  </si>
  <si>
    <t xml:space="preserve">C:\Users\andre\Desktop\REACTIV CEFAS\Cromolyn\Cromolyn/20201217_Cefas_Test10_Run1/Plate 4/@8/E2_01.tif </t>
  </si>
  <si>
    <t xml:space="preserve"> 36.0402 </t>
  </si>
  <si>
    <t xml:space="preserve">C:\Users\andre\Desktop\REACTIV CEFAS\Cromolyn\Cromolyn/20201217_Cefas_Test10_Run1/Plate 4/@8/E2_02.tif </t>
  </si>
  <si>
    <t xml:space="preserve"> 35.457 </t>
  </si>
  <si>
    <t xml:space="preserve">C:\Users\andre\Desktop\REACTIV CEFAS\Cromolyn\Cromolyn/20201217_Cefas_Test10_Run1/Plate 4/@8/E2_03.tif </t>
  </si>
  <si>
    <t xml:space="preserve"> 7851.6518 </t>
  </si>
  <si>
    <t xml:space="preserve"> 38.6198 </t>
  </si>
  <si>
    <t xml:space="preserve">C:\Users\andre\Desktop\REACTIV CEFAS\Cromolyn\Cromolyn/20201217_Cefas_Test10_Run1/Plate 4/@8/E2_04.tif </t>
  </si>
  <si>
    <t xml:space="preserve"> 34.4703 </t>
  </si>
  <si>
    <t>C:\Users\andre\Desktop\REACTIV CEFAS\Cromolyn\Cromolyn/20201217_Cefas_Test10_Run1/Plate 4/@8/F2_01- exclu.tif</t>
  </si>
  <si>
    <t>C:\Users\andre\Desktop\REACTIV CEFAS\Cromolyn\Cromolyn/20201217_Cefas_Test10_Run1/Plate 4/@8/F2_02- exclu.tif</t>
  </si>
  <si>
    <t>C:\Users\andre\Desktop\REACTIV CEFAS\Cromolyn\Cromolyn/20201217_Cefas_Test10_Run1/Plate 4/@8/F2_03- exclu.tif</t>
  </si>
  <si>
    <t xml:space="preserve">C:\Users\andre\Desktop\REACTIV CEFAS\Cromolyn\Cromolyn/20201217_Cefas_Test10_Run1/Plate 4/@8/F2_04.tif </t>
  </si>
  <si>
    <t xml:space="preserve"> 36.715 </t>
  </si>
  <si>
    <t xml:space="preserve">C:\Users\andre\Desktop\REACTIV CEFAS\Cromolyn\Cromolyn/20201217_Cefas_Test10_Run1/Plate 4/@8/G2_01.tif </t>
  </si>
  <si>
    <t xml:space="preserve"> 39.7984 </t>
  </si>
  <si>
    <t xml:space="preserve">C:\Users\andre\Desktop\REACTIV CEFAS\Cromolyn\Cromolyn/20201217_Cefas_Test10_Run1/Plate 4/@8/G2_02.tif </t>
  </si>
  <si>
    <t xml:space="preserve"> 41.1751 </t>
  </si>
  <si>
    <t xml:space="preserve">C:\Users\andre\Desktop\REACTIV CEFAS\Cromolyn\Cromolyn/20201217_Cefas_Test10_Run1/Plate 4/@8/G2_03.tif </t>
  </si>
  <si>
    <t xml:space="preserve"> 43.1989 </t>
  </si>
  <si>
    <t xml:space="preserve">C:\Users\andre\Desktop\REACTIV CEFAS\Cromolyn\Cromolyn/20201217_Cefas_Test10_Run1/Plate 4/@8/G2_04.tif </t>
  </si>
  <si>
    <t xml:space="preserve"> 2487.4379 </t>
  </si>
  <si>
    <t xml:space="preserve"> 35.4087 </t>
  </si>
  <si>
    <t>C:\Users\andre\Desktop\REACTIV CEFAS\Cromolyn\Cromolyn/20201217_Cefas_Test10_Run1/Plate 4/@8/H2_01- exclu.tif</t>
  </si>
  <si>
    <t xml:space="preserve">C:\Users\andre\Desktop\REACTIV CEFAS\Cromolyn\Cromolyn/20201217_Cefas_Test10_Run1/Plate 4/@8/H2_02.tif </t>
  </si>
  <si>
    <t xml:space="preserve"> 5126.285 </t>
  </si>
  <si>
    <t xml:space="preserve"> 41.4557 </t>
  </si>
  <si>
    <t xml:space="preserve">C:\Users\andre\Desktop\REACTIV CEFAS\Cromolyn\Cromolyn/20201217_Cefas_Test10_Run1/Plate 4/@8/H2_03.tif </t>
  </si>
  <si>
    <t xml:space="preserve"> 38.7325 </t>
  </si>
  <si>
    <t xml:space="preserve">C:\Users\andre\Desktop\REACTIV CEFAS\Cromolyn\Cromolyn/20201217_Cefas_Test10_Run1/Plate 4/@8/H2_04.tif </t>
  </si>
  <si>
    <t xml:space="preserve"> 6251.0395 </t>
  </si>
  <si>
    <t xml:space="preserve"> 42.2526 </t>
  </si>
  <si>
    <t xml:space="preserve">C:\Users\andre\Desktop\REACTIV CEFAS\Cromolyn\Cromolyn/20201217_Cefas_Test10_Run1/Plate 4/@8/ </t>
  </si>
  <si>
    <t xml:space="preserve"> 38.3791 </t>
  </si>
  <si>
    <t xml:space="preserve"> 4.1014 </t>
  </si>
  <si>
    <t xml:space="preserve"> 232626.812 </t>
  </si>
  <si>
    <t xml:space="preserve"> 151313.615 </t>
  </si>
  <si>
    <t>C:\Users\andre\Desktop\REACTIV CEFAS\Cromolyn\Cromolyn/20201217_Cefas_Test10_Run1/Plate 4/@9/A3_01- exclu.tif</t>
  </si>
  <si>
    <t xml:space="preserve">C:\Users\andre\Desktop\REACTIV CEFAS\Cromolyn\Cromolyn/20201217_Cefas_Test10_Run1/Plate 4/@9/A3_02.tif </t>
  </si>
  <si>
    <t xml:space="preserve"> 33.0217 </t>
  </si>
  <si>
    <t xml:space="preserve">C:\Users\andre\Desktop\REACTIV CEFAS\Cromolyn\Cromolyn/20201217_Cefas_Test10_Run1/Plate 4/@9/A3_03.tif </t>
  </si>
  <si>
    <t xml:space="preserve"> 34.8846 </t>
  </si>
  <si>
    <t>C:\Users\andre\Desktop\REACTIV CEFAS\Cromolyn\Cromolyn/20201217_Cefas_Test10_Run1/Plate 4/@9/A3_04- exclu.tif</t>
  </si>
  <si>
    <t xml:space="preserve">C:\Users\andre\Desktop\REACTIV CEFAS\Cromolyn\Cromolyn/20201217_Cefas_Test10_Run1/Plate 4/@9/B3_01.tif </t>
  </si>
  <si>
    <t xml:space="preserve"> 713.7865 </t>
  </si>
  <si>
    <t xml:space="preserve">C:\Users\andre\Desktop\REACTIV CEFAS\Cromolyn\Cromolyn/20201217_Cefas_Test10_Run1/Plate 4/@9/B3_02.tif </t>
  </si>
  <si>
    <t xml:space="preserve"> 1730.3916 </t>
  </si>
  <si>
    <t xml:space="preserve"> 32.0875 </t>
  </si>
  <si>
    <t xml:space="preserve">C:\Users\andre\Desktop\REACTIV CEFAS\Cromolyn\Cromolyn/20201217_Cefas_Test10_Run1/Plate 4/@9/B3_03.tif </t>
  </si>
  <si>
    <t xml:space="preserve"> 32.087 </t>
  </si>
  <si>
    <t xml:space="preserve">C:\Users\andre\Desktop\REACTIV CEFAS\Cromolyn\Cromolyn/20201217_Cefas_Test10_Run1/Plate 4/@9/B3_04.tif </t>
  </si>
  <si>
    <t xml:space="preserve"> 1968.3204 </t>
  </si>
  <si>
    <t xml:space="preserve"> 32.6264 </t>
  </si>
  <si>
    <t xml:space="preserve">C:\Users\andre\Desktop\REACTIV CEFAS\Cromolyn\Cromolyn/20201217_Cefas_Test10_Run1/Plate 4/@9/C3_01.tif </t>
  </si>
  <si>
    <t xml:space="preserve"> 31.7 </t>
  </si>
  <si>
    <t xml:space="preserve">C:\Users\andre\Desktop\REACTIV CEFAS\Cromolyn\Cromolyn/20201217_Cefas_Test10_Run1/Plate 4/@9/C3_02.tif </t>
  </si>
  <si>
    <t xml:space="preserve"> 34.2718 </t>
  </si>
  <si>
    <t xml:space="preserve">C:\Users\andre\Desktop\REACTIV CEFAS\Cromolyn\Cromolyn/20201217_Cefas_Test10_Run1/Plate 4/@9/C3_03.tif </t>
  </si>
  <si>
    <t xml:space="preserve"> 35.179 </t>
  </si>
  <si>
    <t xml:space="preserve">C:\Users\andre\Desktop\REACTIV CEFAS\Cromolyn\Cromolyn/20201217_Cefas_Test10_Run1/Plate 4/@9/C3_04.tif </t>
  </si>
  <si>
    <t xml:space="preserve"> 34.5211 </t>
  </si>
  <si>
    <t xml:space="preserve">C:\Users\andre\Desktop\REACTIV CEFAS\Cromolyn\Cromolyn/20201217_Cefas_Test10_Run1/Plate 4/@9/D3_01.tif </t>
  </si>
  <si>
    <t xml:space="preserve"> 3893.381 </t>
  </si>
  <si>
    <t xml:space="preserve"> 35.3167 </t>
  </si>
  <si>
    <t>C:\Users\andre\Desktop\REACTIV CEFAS\Cromolyn\Cromolyn/20201217_Cefas_Test10_Run1/Plate 4/@9/D3_02- exclu.tif</t>
  </si>
  <si>
    <t>C:\Users\andre\Desktop\REACTIV CEFAS\Cromolyn\Cromolyn/20201217_Cefas_Test10_Run1/Plate 4/@9/D3_03- exclu.tif</t>
  </si>
  <si>
    <t>C:\Users\andre\Desktop\REACTIV CEFAS\Cromolyn\Cromolyn/20201217_Cefas_Test10_Run1/Plate 4/@9/D3_04- exclu.tif</t>
  </si>
  <si>
    <t xml:space="preserve">C:\Users\andre\Desktop\REACTIV CEFAS\Cromolyn\Cromolyn/20201217_Cefas_Test10_Run1/Plate 4/@9/E3_01.tif </t>
  </si>
  <si>
    <t xml:space="preserve"> 35.4247 </t>
  </si>
  <si>
    <t xml:space="preserve">C:\Users\andre\Desktop\REACTIV CEFAS\Cromolyn\Cromolyn/20201217_Cefas_Test10_Run1/Plate 4/@9/E3_02.tif </t>
  </si>
  <si>
    <t xml:space="preserve"> 627.2669 </t>
  </si>
  <si>
    <t xml:space="preserve">C:\Users\andre\Desktop\REACTIV CEFAS\Cromolyn\Cromolyn/20201217_Cefas_Test10_Run1/Plate 4/@9/E3_03.tif </t>
  </si>
  <si>
    <t xml:space="preserve"> 1168.0143 </t>
  </si>
  <si>
    <t xml:space="preserve"> 32.4259 </t>
  </si>
  <si>
    <t xml:space="preserve">C:\Users\andre\Desktop\REACTIV CEFAS\Cromolyn\Cromolyn/20201217_Cefas_Test10_Run1/Plate 4/@9/E3_04.tif </t>
  </si>
  <si>
    <t xml:space="preserve"> 31.913 </t>
  </si>
  <si>
    <t xml:space="preserve">C:\Users\andre\Desktop\REACTIV CEFAS\Cromolyn\Cromolyn/20201217_Cefas_Test10_Run1/Plate 4/@9/F3_01.tif </t>
  </si>
  <si>
    <t xml:space="preserve"> 6402.4488 </t>
  </si>
  <si>
    <t xml:space="preserve"> 38.4493 </t>
  </si>
  <si>
    <t xml:space="preserve">C:\Users\andre\Desktop\REACTIV CEFAS\Cromolyn\Cromolyn/20201217_Cefas_Test10_Run1/Plate 4/@9/F3_02.tif </t>
  </si>
  <si>
    <t xml:space="preserve"> 8976.4063 </t>
  </si>
  <si>
    <t xml:space="preserve"> 37.7735 </t>
  </si>
  <si>
    <t xml:space="preserve">C:\Users\andre\Desktop\REACTIV CEFAS\Cromolyn\Cromolyn/20201217_Cefas_Test10_Run1/Plate 4/@9/F3_03.tif </t>
  </si>
  <si>
    <t xml:space="preserve"> 36.1346 </t>
  </si>
  <si>
    <t xml:space="preserve">C:\Users\andre\Desktop\REACTIV CEFAS\Cromolyn\Cromolyn/20201217_Cefas_Test10_Run1/Plate 4/@9/F3_04.tif </t>
  </si>
  <si>
    <t xml:space="preserve"> 10403.9793 </t>
  </si>
  <si>
    <t xml:space="preserve"> 41.2952 </t>
  </si>
  <si>
    <t xml:space="preserve">C:\Users\andre\Desktop\REACTIV CEFAS\Cromolyn\Cromolyn/20201217_Cefas_Test10_Run1/Plate 4/@9/G3_01.tif </t>
  </si>
  <si>
    <t xml:space="preserve"> 36.076 </t>
  </si>
  <si>
    <t xml:space="preserve">C:\Users\andre\Desktop\REACTIV CEFAS\Cromolyn\Cromolyn/20201217_Cefas_Test10_Run1/Plate 4/@9/G3_02.tif </t>
  </si>
  <si>
    <t xml:space="preserve"> 37.4657 </t>
  </si>
  <si>
    <t xml:space="preserve">C:\Users\andre\Desktop\REACTIV CEFAS\Cromolyn\Cromolyn/20201217_Cefas_Test10_Run1/Plate 4/@9/G3_03.tif </t>
  </si>
  <si>
    <t xml:space="preserve"> 38.886 </t>
  </si>
  <si>
    <t xml:space="preserve">C:\Users\andre\Desktop\REACTIV CEFAS\Cromolyn\Cromolyn/20201217_Cefas_Test10_Run1/Plate 4/@9/G3_04.tif </t>
  </si>
  <si>
    <t xml:space="preserve"> 40.1265 </t>
  </si>
  <si>
    <t xml:space="preserve">C:\Users\andre\Desktop\REACTIV CEFAS\Cromolyn\Cromolyn/20201217_Cefas_Test10_Run1/Plate 4/@9/H3_01.tif </t>
  </si>
  <si>
    <t xml:space="preserve"> 35.7952 </t>
  </si>
  <si>
    <t xml:space="preserve">C:\Users\andre\Desktop\REACTIV CEFAS\Cromolyn\Cromolyn/20201217_Cefas_Test10_Run1/Plate 4/@9/H3_02.tif </t>
  </si>
  <si>
    <t xml:space="preserve"> 4953.2459 </t>
  </si>
  <si>
    <t xml:space="preserve"> 35.1223 </t>
  </si>
  <si>
    <t xml:space="preserve">C:\Users\andre\Desktop\REACTIV CEFAS\Cromolyn\Cromolyn/20201217_Cefas_Test10_Run1/Plate 4/@9/H3_03.tif </t>
  </si>
  <si>
    <t xml:space="preserve">C:\Users\andre\Desktop\REACTIV CEFAS\Cromolyn\Cromolyn/20201217_Cefas_Test10_Run1/Plate 4/@9/H3_04.tif </t>
  </si>
  <si>
    <t xml:space="preserve"> 37.8061 </t>
  </si>
  <si>
    <t xml:space="preserve">C:\Users\andre\Desktop\REACTIV CEFAS\Cromolyn\Cromolyn/20201217_Cefas_Test10_Run1/Plate 4/@9/ </t>
  </si>
  <si>
    <t xml:space="preserve"> 33.0193 </t>
  </si>
  <si>
    <t xml:space="preserve"> 9.1012 </t>
  </si>
  <si>
    <t xml:space="preserve"> 140156.281 </t>
  </si>
  <si>
    <t xml:space="preserve"> 128806.28 </t>
  </si>
  <si>
    <t>CRO-0.1µg/L</t>
  </si>
  <si>
    <t>Chemical</t>
  </si>
  <si>
    <t>CRO</t>
  </si>
  <si>
    <t>CRO-1µg/L</t>
  </si>
  <si>
    <t>CRO-10µg/L</t>
  </si>
  <si>
    <t>CRO-100µg/L</t>
  </si>
  <si>
    <t>CRO-1000µg/L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</si>
</sst>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5">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2" fillId="0" borderId="1" xfId="0" applyFont="1" applyBorder="1" applyAlignment="1">
      <alignment horizontal="right"/>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0" fillId="0" borderId="0" xfId="0" pivotButton="1" applyAlignment="1">
      <alignment horizontal="center"/>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alignment horizontal="center"/>
    </dxf>
    <dxf>
      <alignment horizontal="center"/>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0.xml"/><Relationship Id="rId18" Type="http://schemas.openxmlformats.org/officeDocument/2006/relationships/worksheet" Target="worksheets/sheet1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6.xml"/><Relationship Id="rId12" Type="http://schemas.openxmlformats.org/officeDocument/2006/relationships/chartsheet" Target="chartsheets/sheet3.xml"/><Relationship Id="rId17" Type="http://schemas.openxmlformats.org/officeDocument/2006/relationships/worksheet" Target="worksheets/sheet1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externalLink" Target="externalLinks/externalLink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9.xml"/><Relationship Id="rId24" Type="http://schemas.openxmlformats.org/officeDocument/2006/relationships/pivotCacheDefinition" Target="pivotCache/pivotCacheDefinition4.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3.xml"/><Relationship Id="rId28" Type="http://schemas.openxmlformats.org/officeDocument/2006/relationships/calcChain" Target="calcChain.xml"/><Relationship Id="rId10" Type="http://schemas.openxmlformats.org/officeDocument/2006/relationships/worksheet" Target="worksheets/sheet8.xml"/><Relationship Id="rId19" Type="http://schemas.openxmlformats.org/officeDocument/2006/relationships/worksheet" Target="worksheets/sheet15.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chartsheet" Target="chartsheets/sheet4.xml"/><Relationship Id="rId22" Type="http://schemas.openxmlformats.org/officeDocument/2006/relationships/pivotCacheDefinition" Target="pivotCache/pivotCacheDefinition2.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0.1366958431790255</c:v>
                  </c:pt>
                  <c:pt idx="2">
                    <c:v>0.15717207437217215</c:v>
                  </c:pt>
                  <c:pt idx="3">
                    <c:v>2.6199819732474188E-2</c:v>
                  </c:pt>
                  <c:pt idx="4">
                    <c:v>0.18848164277251764</c:v>
                  </c:pt>
                  <c:pt idx="5">
                    <c:v>0.26602527498384454</c:v>
                  </c:pt>
                  <c:pt idx="6">
                    <c:v>0.16257108741598286</c:v>
                  </c:pt>
                  <c:pt idx="7">
                    <c:v>0.16006057340865937</c:v>
                  </c:pt>
                  <c:pt idx="8">
                    <c:v>0.18571565276118779</c:v>
                  </c:pt>
                </c:numCache>
              </c:numRef>
            </c:plus>
            <c:minus>
              <c:numRef>
                <c:f>'R1'!$N$48:$V$48</c:f>
                <c:numCache>
                  <c:formatCode>General</c:formatCode>
                  <c:ptCount val="9"/>
                  <c:pt idx="0">
                    <c:v>0</c:v>
                  </c:pt>
                  <c:pt idx="1">
                    <c:v>0.1366958431790255</c:v>
                  </c:pt>
                  <c:pt idx="2">
                    <c:v>0.15717207437217215</c:v>
                  </c:pt>
                  <c:pt idx="3">
                    <c:v>2.6199819732474188E-2</c:v>
                  </c:pt>
                  <c:pt idx="4">
                    <c:v>0.18848164277251764</c:v>
                  </c:pt>
                  <c:pt idx="5">
                    <c:v>0.26602527498384454</c:v>
                  </c:pt>
                  <c:pt idx="6">
                    <c:v>0.16257108741598286</c:v>
                  </c:pt>
                  <c:pt idx="7">
                    <c:v>0.16006057340865937</c:v>
                  </c:pt>
                  <c:pt idx="8">
                    <c:v>0.18571565276118779</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CRO-0.1µg/L</c:v>
                </c:pt>
                <c:pt idx="8">
                  <c:v>CRO-1µg/L</c:v>
                </c:pt>
                <c:pt idx="9">
                  <c:v>CRO-10µg/L</c:v>
                </c:pt>
                <c:pt idx="10">
                  <c:v>CRO-100µg/L</c:v>
                </c:pt>
                <c:pt idx="11">
                  <c:v>CRO-1000µg/L</c:v>
                </c:pt>
                <c:pt idx="13">
                  <c:v>Testo -30µg/L</c:v>
                </c:pt>
                <c:pt idx="14">
                  <c:v>Testo 30µg/L + EE2 -64ng/L</c:v>
                </c:pt>
                <c:pt idx="15">
                  <c:v>Testo 30µg/L + FAD-10mg/L</c:v>
                </c:pt>
                <c:pt idx="16">
                  <c:v>CRO-0,1µg/L + Testostérone</c:v>
                </c:pt>
                <c:pt idx="17">
                  <c:v>CRO-1µg/L + Testostérone</c:v>
                </c:pt>
                <c:pt idx="18">
                  <c:v>CRO-10µg/L + Testostérone</c:v>
                </c:pt>
                <c:pt idx="19">
                  <c:v>CRO-100µg/L + Testostérone</c:v>
                </c:pt>
                <c:pt idx="20">
                  <c:v>CRO-1000µg/L + Testostérone</c:v>
                </c:pt>
              </c:strCache>
            </c:strRef>
          </c:cat>
          <c:val>
            <c:numRef>
              <c:f>'R1'!$B$53:$V$53</c:f>
              <c:numCache>
                <c:formatCode>0.0000</c:formatCode>
                <c:ptCount val="21"/>
                <c:pt idx="0">
                  <c:v>0.12663860338043909</c:v>
                </c:pt>
                <c:pt idx="1">
                  <c:v>0.21837829933862951</c:v>
                </c:pt>
                <c:pt idx="2">
                  <c:v>0.16142842677982053</c:v>
                </c:pt>
                <c:pt idx="3">
                  <c:v>0.4622823800266177</c:v>
                </c:pt>
                <c:pt idx="4">
                  <c:v>1.0957576604969597</c:v>
                </c:pt>
                <c:pt idx="5">
                  <c:v>1.5118614229605791</c:v>
                </c:pt>
                <c:pt idx="6">
                  <c:v>2.7467237123179684</c:v>
                </c:pt>
                <c:pt idx="7">
                  <c:v>0.10155621621173325</c:v>
                </c:pt>
                <c:pt idx="8">
                  <c:v>7.0557012153105045E-2</c:v>
                </c:pt>
                <c:pt idx="9">
                  <c:v>9.1828260250369803E-2</c:v>
                </c:pt>
                <c:pt idx="10">
                  <c:v>0.10671297944065075</c:v>
                </c:pt>
                <c:pt idx="11">
                  <c:v>0.11080655116892796</c:v>
                </c:pt>
                <c:pt idx="13">
                  <c:v>1</c:v>
                </c:pt>
                <c:pt idx="14">
                  <c:v>1.7931633728185332</c:v>
                </c:pt>
                <c:pt idx="15">
                  <c:v>0.13879662017563141</c:v>
                </c:pt>
                <c:pt idx="16">
                  <c:v>0.87841202942321017</c:v>
                </c:pt>
                <c:pt idx="17">
                  <c:v>0.78187666731504912</c:v>
                </c:pt>
                <c:pt idx="18">
                  <c:v>1.010098535643128</c:v>
                </c:pt>
                <c:pt idx="19">
                  <c:v>0.8219538285932515</c:v>
                </c:pt>
                <c:pt idx="20">
                  <c:v>0.91025557512751076</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3.4277954043025673E-2</c:v>
                  </c:pt>
                  <c:pt idx="1">
                    <c:v>6.7648670219763521E-2</c:v>
                  </c:pt>
                  <c:pt idx="2">
                    <c:v>4.5270197759403663E-2</c:v>
                  </c:pt>
                  <c:pt idx="3">
                    <c:v>0.25167651496978949</c:v>
                  </c:pt>
                  <c:pt idx="4">
                    <c:v>0.15579820353462792</c:v>
                  </c:pt>
                  <c:pt idx="5">
                    <c:v>0.24706222600268796</c:v>
                  </c:pt>
                  <c:pt idx="6">
                    <c:v>0.27390983926929147</c:v>
                  </c:pt>
                  <c:pt idx="7">
                    <c:v>3.6985305949213731E-2</c:v>
                  </c:pt>
                  <c:pt idx="8">
                    <c:v>6.1457645635485704E-2</c:v>
                  </c:pt>
                  <c:pt idx="9">
                    <c:v>4.769356749664673E-2</c:v>
                  </c:pt>
                  <c:pt idx="10">
                    <c:v>4.8257641303430597E-2</c:v>
                  </c:pt>
                  <c:pt idx="11">
                    <c:v>4.8044390868395327E-2</c:v>
                  </c:pt>
                  <c:pt idx="13">
                    <c:v>0.17317009309945733</c:v>
                  </c:pt>
                  <c:pt idx="14">
                    <c:v>0.42700887765145767</c:v>
                  </c:pt>
                  <c:pt idx="15">
                    <c:v>4.8629271413561027E-2</c:v>
                  </c:pt>
                  <c:pt idx="16">
                    <c:v>0.23053969613032815</c:v>
                  </c:pt>
                  <c:pt idx="17">
                    <c:v>0.14862349585539419</c:v>
                  </c:pt>
                  <c:pt idx="18">
                    <c:v>0.31756560938163692</c:v>
                  </c:pt>
                  <c:pt idx="19">
                    <c:v>0.10542800422751419</c:v>
                  </c:pt>
                  <c:pt idx="20">
                    <c:v>0.18978580207117424</c:v>
                  </c:pt>
                </c:numCache>
              </c:numRef>
            </c:plus>
            <c:minus>
              <c:numRef>
                <c:f>'R1'!$N$48:$V$48</c:f>
                <c:numCache>
                  <c:formatCode>General</c:formatCode>
                  <c:ptCount val="9"/>
                  <c:pt idx="0">
                    <c:v>0</c:v>
                  </c:pt>
                  <c:pt idx="1">
                    <c:v>0.1366958431790255</c:v>
                  </c:pt>
                  <c:pt idx="2">
                    <c:v>0.15717207437217215</c:v>
                  </c:pt>
                  <c:pt idx="3">
                    <c:v>2.6199819732474188E-2</c:v>
                  </c:pt>
                  <c:pt idx="4">
                    <c:v>0.18848164277251764</c:v>
                  </c:pt>
                  <c:pt idx="5">
                    <c:v>0.26602527498384454</c:v>
                  </c:pt>
                  <c:pt idx="6">
                    <c:v>0.16257108741598286</c:v>
                  </c:pt>
                  <c:pt idx="7">
                    <c:v>0.16006057340865937</c:v>
                  </c:pt>
                  <c:pt idx="8">
                    <c:v>0.18571565276118779</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CRO-0.1µg/L</c:v>
                </c:pt>
                <c:pt idx="8">
                  <c:v>CRO-1µg/L</c:v>
                </c:pt>
                <c:pt idx="9">
                  <c:v>CRO-10µg/L</c:v>
                </c:pt>
                <c:pt idx="10">
                  <c:v>CRO-100µg/L</c:v>
                </c:pt>
                <c:pt idx="11">
                  <c:v>CRO-1000µg/L</c:v>
                </c:pt>
                <c:pt idx="13">
                  <c:v>Testo -30µg/L</c:v>
                </c:pt>
                <c:pt idx="14">
                  <c:v>Testo 30µg/L + EE2 -64ng/L</c:v>
                </c:pt>
                <c:pt idx="15">
                  <c:v>Testo 30µg/L + FAD-10mg/L</c:v>
                </c:pt>
                <c:pt idx="16">
                  <c:v>CRO-0,1µg/L + Testostérone</c:v>
                </c:pt>
                <c:pt idx="17">
                  <c:v>CRO-1µg/L + Testostérone</c:v>
                </c:pt>
                <c:pt idx="18">
                  <c:v>CRO-10µg/L + Testostérone</c:v>
                </c:pt>
                <c:pt idx="19">
                  <c:v>CRO-100µg/L + Testostérone</c:v>
                </c:pt>
                <c:pt idx="20">
                  <c:v>CRO-1000µg/L + Testostérone</c:v>
                </c:pt>
              </c:strCache>
            </c:strRef>
          </c:cat>
          <c:val>
            <c:numRef>
              <c:f>'R2'!$B$53:$V$53</c:f>
              <c:numCache>
                <c:formatCode>0.0000</c:formatCode>
                <c:ptCount val="21"/>
                <c:pt idx="0">
                  <c:v>0.12553653297990469</c:v>
                </c:pt>
                <c:pt idx="1">
                  <c:v>0.16391186394407531</c:v>
                </c:pt>
                <c:pt idx="2">
                  <c:v>0.11262554866886036</c:v>
                </c:pt>
                <c:pt idx="3">
                  <c:v>1.0654995900328403</c:v>
                </c:pt>
                <c:pt idx="4">
                  <c:v>1.4868828692807552</c:v>
                </c:pt>
                <c:pt idx="5">
                  <c:v>2.5974847688463529</c:v>
                </c:pt>
                <c:pt idx="6">
                  <c:v>3.7594601842014064</c:v>
                </c:pt>
                <c:pt idx="7">
                  <c:v>0.17406876479411271</c:v>
                </c:pt>
                <c:pt idx="8">
                  <c:v>0.24751944926453665</c:v>
                </c:pt>
                <c:pt idx="9">
                  <c:v>0.14737601440467038</c:v>
                </c:pt>
                <c:pt idx="10">
                  <c:v>0.13266657837531662</c:v>
                </c:pt>
                <c:pt idx="11">
                  <c:v>0.15952703233325799</c:v>
                </c:pt>
                <c:pt idx="13">
                  <c:v>1</c:v>
                </c:pt>
                <c:pt idx="14">
                  <c:v>3.1020010053684497</c:v>
                </c:pt>
                <c:pt idx="15">
                  <c:v>0.14458884175903031</c:v>
                </c:pt>
                <c:pt idx="16">
                  <c:v>1.2780539587439679</c:v>
                </c:pt>
                <c:pt idx="17">
                  <c:v>0.70684907534583863</c:v>
                </c:pt>
                <c:pt idx="18">
                  <c:v>1.1797933503276536</c:v>
                </c:pt>
                <c:pt idx="19">
                  <c:v>0.83909260648430894</c:v>
                </c:pt>
                <c:pt idx="20">
                  <c:v>1.0448564922651342</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1.8368645847350887E-2</c:v>
                  </c:pt>
                  <c:pt idx="1">
                    <c:v>2.6868972182651139E-2</c:v>
                  </c:pt>
                  <c:pt idx="2">
                    <c:v>3.4077253894085009E-2</c:v>
                  </c:pt>
                  <c:pt idx="3">
                    <c:v>9.4270690684614841E-2</c:v>
                  </c:pt>
                  <c:pt idx="4">
                    <c:v>0.16839135678018669</c:v>
                  </c:pt>
                  <c:pt idx="5">
                    <c:v>0.11106482876520762</c:v>
                  </c:pt>
                  <c:pt idx="6">
                    <c:v>0.15219150894313377</c:v>
                  </c:pt>
                  <c:pt idx="7">
                    <c:v>2.3563942055059836E-2</c:v>
                  </c:pt>
                  <c:pt idx="8">
                    <c:v>3.4317090557866407E-2</c:v>
                  </c:pt>
                  <c:pt idx="9">
                    <c:v>4.2055157302087226E-2</c:v>
                  </c:pt>
                  <c:pt idx="10">
                    <c:v>2.8533952419072348E-2</c:v>
                  </c:pt>
                  <c:pt idx="11">
                    <c:v>1.4804130753325921E-2</c:v>
                  </c:pt>
                  <c:pt idx="13">
                    <c:v>0.13654382495340242</c:v>
                  </c:pt>
                  <c:pt idx="14">
                    <c:v>0.19011224382931713</c:v>
                  </c:pt>
                  <c:pt idx="15">
                    <c:v>1.9410019348010576E-2</c:v>
                  </c:pt>
                  <c:pt idx="16">
                    <c:v>0.20870954438061928</c:v>
                  </c:pt>
                  <c:pt idx="17">
                    <c:v>0.1851396662348663</c:v>
                  </c:pt>
                  <c:pt idx="18">
                    <c:v>0.22890483194797631</c:v>
                  </c:pt>
                  <c:pt idx="19">
                    <c:v>0.12741558090158972</c:v>
                  </c:pt>
                  <c:pt idx="20">
                    <c:v>9.8719760252395677E-2</c:v>
                  </c:pt>
                </c:numCache>
              </c:numRef>
            </c:plus>
            <c:minus>
              <c:numRef>
                <c:f>'R1'!$N$48:$V$48</c:f>
                <c:numCache>
                  <c:formatCode>General</c:formatCode>
                  <c:ptCount val="9"/>
                  <c:pt idx="0">
                    <c:v>0</c:v>
                  </c:pt>
                  <c:pt idx="1">
                    <c:v>0.1366958431790255</c:v>
                  </c:pt>
                  <c:pt idx="2">
                    <c:v>0.15717207437217215</c:v>
                  </c:pt>
                  <c:pt idx="3">
                    <c:v>2.6199819732474188E-2</c:v>
                  </c:pt>
                  <c:pt idx="4">
                    <c:v>0.18848164277251764</c:v>
                  </c:pt>
                  <c:pt idx="5">
                    <c:v>0.26602527498384454</c:v>
                  </c:pt>
                  <c:pt idx="6">
                    <c:v>0.16257108741598286</c:v>
                  </c:pt>
                  <c:pt idx="7">
                    <c:v>0.16006057340865937</c:v>
                  </c:pt>
                  <c:pt idx="8">
                    <c:v>0.18571565276118779</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CRO-0.1µg/L</c:v>
                </c:pt>
                <c:pt idx="8">
                  <c:v>CRO-1µg/L</c:v>
                </c:pt>
                <c:pt idx="9">
                  <c:v>CRO-10µg/L</c:v>
                </c:pt>
                <c:pt idx="10">
                  <c:v>CRO-100µg/L</c:v>
                </c:pt>
                <c:pt idx="11">
                  <c:v>CRO-1000µg/L</c:v>
                </c:pt>
                <c:pt idx="13">
                  <c:v>Testo -30µg/L</c:v>
                </c:pt>
                <c:pt idx="14">
                  <c:v>Testo 30µg/L + EE2 -64ng/L</c:v>
                </c:pt>
                <c:pt idx="15">
                  <c:v>Testo 30µg/L + FAD-10mg/L</c:v>
                </c:pt>
                <c:pt idx="16">
                  <c:v>CRO-0,1µg/L + Testostérone</c:v>
                </c:pt>
                <c:pt idx="17">
                  <c:v>CRO-1µg/L + Testostérone</c:v>
                </c:pt>
                <c:pt idx="18">
                  <c:v>CRO-10µg/L + Testostérone</c:v>
                </c:pt>
                <c:pt idx="19">
                  <c:v>CRO-100µg/L + Testostérone</c:v>
                </c:pt>
                <c:pt idx="20">
                  <c:v>CRO-1000µg/L + Testostérone</c:v>
                </c:pt>
              </c:strCache>
            </c:strRef>
          </c:cat>
          <c:val>
            <c:numRef>
              <c:f>'R3'!$B$53:$V$53</c:f>
              <c:numCache>
                <c:formatCode>0.0000</c:formatCode>
                <c:ptCount val="21"/>
                <c:pt idx="0">
                  <c:v>9.4884034586449964E-2</c:v>
                </c:pt>
                <c:pt idx="1">
                  <c:v>0.11382600753343498</c:v>
                </c:pt>
                <c:pt idx="2">
                  <c:v>0.10396005536908262</c:v>
                </c:pt>
                <c:pt idx="3">
                  <c:v>0.22855800620573716</c:v>
                </c:pt>
                <c:pt idx="4">
                  <c:v>0.73227847326762419</c:v>
                </c:pt>
                <c:pt idx="5">
                  <c:v>1.2086216221284047</c:v>
                </c:pt>
                <c:pt idx="6">
                  <c:v>2.1658192095475717</c:v>
                </c:pt>
                <c:pt idx="7">
                  <c:v>0.11006824007379308</c:v>
                </c:pt>
                <c:pt idx="8">
                  <c:v>9.3102995003026628E-2</c:v>
                </c:pt>
                <c:pt idx="9">
                  <c:v>0.12824670722692219</c:v>
                </c:pt>
                <c:pt idx="10">
                  <c:v>0.13876146394517125</c:v>
                </c:pt>
                <c:pt idx="11">
                  <c:v>9.4048964520949033E-2</c:v>
                </c:pt>
                <c:pt idx="13">
                  <c:v>1.0000000000000002</c:v>
                </c:pt>
                <c:pt idx="14">
                  <c:v>1.5224639492162999</c:v>
                </c:pt>
                <c:pt idx="15">
                  <c:v>5.6783816582915377E-2</c:v>
                </c:pt>
                <c:pt idx="16">
                  <c:v>1.0514473151703603</c:v>
                </c:pt>
                <c:pt idx="17">
                  <c:v>0.76770133060079349</c:v>
                </c:pt>
                <c:pt idx="18">
                  <c:v>0.6814881440743924</c:v>
                </c:pt>
                <c:pt idx="19">
                  <c:v>0.59731976533721598</c:v>
                </c:pt>
                <c:pt idx="20">
                  <c:v>0.88531303246833459</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90E5A2AE-188C-4E8D-845C-6E34F2C6D050}"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6D703FAD-F268-4456-862E-C3E64EE2963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05F29FA2-B830-487D-BEBA-A2A9969F5CE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AA2041AA-BFF1-451D-8BA4-F76AE87E789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CD2B4A54-6238-4170-884A-78B7CF05E38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7344594E-B187-44CB-8087-64E561F75ED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6CDBBEF3-BE34-4A2C-BD70-581AC97F0AF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D34FBC3B-C8A1-4679-B8BC-4B3E179DED5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9AFA19DA-DA29-4406-926C-413A2A5C969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612743D4-4263-4252-A0AE-8C9E8580A46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5185886F-CFC3-4870-B8C9-42B40BF8511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561A653F-D368-47E8-A564-38D624CEB00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D7984EAA-4F41-4E6C-960A-078078B1A20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5DA0B65D-C8C0-4E28-AAFA-3B75B9A6973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F0C201E0-A025-4DE7-B558-BB272F1A105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858BE4CA-4EFD-4B4F-AA71-EFA7C92CFD3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2B769DF4-11FD-4E08-9F7B-1840737F82D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F647C391-60CE-478B-90DC-3D49BD97C55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E904D831-68CD-4A50-B2D3-F3FEB963405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5706CA09-9FAE-4121-8AA8-8CCFA7AAEA0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1.3200263192521685E-2</c:v>
                  </c:pt>
                  <c:pt idx="1">
                    <c:v>2.8255309055669399E-2</c:v>
                  </c:pt>
                  <c:pt idx="2">
                    <c:v>1.9423909389085888E-2</c:v>
                  </c:pt>
                  <c:pt idx="3">
                    <c:v>0.11950222670739469</c:v>
                  </c:pt>
                  <c:pt idx="4">
                    <c:v>0.11949017760378181</c:v>
                  </c:pt>
                  <c:pt idx="5">
                    <c:v>0.15671623422309824</c:v>
                  </c:pt>
                  <c:pt idx="6">
                    <c:v>0.17719828823500292</c:v>
                  </c:pt>
                  <c:pt idx="7">
                    <c:v>1.5992816765383337E-2</c:v>
                  </c:pt>
                  <c:pt idx="8">
                    <c:v>2.6080218393484011E-2</c:v>
                  </c:pt>
                  <c:pt idx="9">
                    <c:v>2.2870932743341312E-2</c:v>
                  </c:pt>
                  <c:pt idx="10">
                    <c:v>1.821459836423869E-2</c:v>
                  </c:pt>
                  <c:pt idx="11">
                    <c:v>1.9841502940601795E-2</c:v>
                  </c:pt>
                  <c:pt idx="13">
                    <c:v>8.4262418710426723E-2</c:v>
                  </c:pt>
                  <c:pt idx="14">
                    <c:v>0.2183843961670896</c:v>
                  </c:pt>
                  <c:pt idx="15">
                    <c:v>2.094289932596146E-2</c:v>
                  </c:pt>
                  <c:pt idx="16">
                    <c:v>0.11976764050048916</c:v>
                  </c:pt>
                  <c:pt idx="17">
                    <c:v>0.11476785323354013</c:v>
                  </c:pt>
                  <c:pt idx="18">
                    <c:v>0.14385378765599266</c:v>
                  </c:pt>
                  <c:pt idx="19">
                    <c:v>7.6819668316290557E-2</c:v>
                  </c:pt>
                  <c:pt idx="20">
                    <c:v>9.1407118893083519E-2</c:v>
                  </c:pt>
                </c:numCache>
              </c:numRef>
            </c:plus>
            <c:minus>
              <c:numRef>
                <c:f>'pooled normalised values'!$B$76:$V$76</c:f>
                <c:numCache>
                  <c:formatCode>General</c:formatCode>
                  <c:ptCount val="21"/>
                  <c:pt idx="0">
                    <c:v>1.3200263192521685E-2</c:v>
                  </c:pt>
                  <c:pt idx="1">
                    <c:v>2.8255309055669399E-2</c:v>
                  </c:pt>
                  <c:pt idx="2">
                    <c:v>1.9423909389085888E-2</c:v>
                  </c:pt>
                  <c:pt idx="3">
                    <c:v>0.11950222670739469</c:v>
                  </c:pt>
                  <c:pt idx="4">
                    <c:v>0.11949017760378181</c:v>
                  </c:pt>
                  <c:pt idx="5">
                    <c:v>0.15671623422309824</c:v>
                  </c:pt>
                  <c:pt idx="6">
                    <c:v>0.17719828823500292</c:v>
                  </c:pt>
                  <c:pt idx="7">
                    <c:v>1.5992816765383337E-2</c:v>
                  </c:pt>
                  <c:pt idx="8">
                    <c:v>2.6080218393484011E-2</c:v>
                  </c:pt>
                  <c:pt idx="9">
                    <c:v>2.2870932743341312E-2</c:v>
                  </c:pt>
                  <c:pt idx="10">
                    <c:v>1.821459836423869E-2</c:v>
                  </c:pt>
                  <c:pt idx="11">
                    <c:v>1.9841502940601795E-2</c:v>
                  </c:pt>
                  <c:pt idx="13">
                    <c:v>8.4262418710426723E-2</c:v>
                  </c:pt>
                  <c:pt idx="14">
                    <c:v>0.2183843961670896</c:v>
                  </c:pt>
                  <c:pt idx="15">
                    <c:v>2.094289932596146E-2</c:v>
                  </c:pt>
                  <c:pt idx="16">
                    <c:v>0.11976764050048916</c:v>
                  </c:pt>
                  <c:pt idx="17">
                    <c:v>0.11476785323354013</c:v>
                  </c:pt>
                  <c:pt idx="18">
                    <c:v>0.14385378765599266</c:v>
                  </c:pt>
                  <c:pt idx="19">
                    <c:v>7.6819668316290557E-2</c:v>
                  </c:pt>
                  <c:pt idx="20">
                    <c:v>9.1407118893083519E-2</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CRO-0.1µg/L</c:v>
                </c:pt>
                <c:pt idx="8">
                  <c:v>CRO-1µg/L</c:v>
                </c:pt>
                <c:pt idx="9">
                  <c:v>CRO-10µg/L</c:v>
                </c:pt>
                <c:pt idx="10">
                  <c:v>CRO-100µg/L</c:v>
                </c:pt>
                <c:pt idx="11">
                  <c:v>CRO-1000µg/L</c:v>
                </c:pt>
                <c:pt idx="13">
                  <c:v>Testo -30µg/L</c:v>
                </c:pt>
                <c:pt idx="14">
                  <c:v>Testo 30µg/L + EE2 -64ng/L</c:v>
                </c:pt>
                <c:pt idx="15">
                  <c:v>Testo 30µg/L + FAD-10mg/L</c:v>
                </c:pt>
                <c:pt idx="16">
                  <c:v>CRO-0,1µg/L + Testostérone</c:v>
                </c:pt>
                <c:pt idx="17">
                  <c:v>CRO-1µg/L + Testostérone</c:v>
                </c:pt>
                <c:pt idx="18">
                  <c:v>CRO-10µg/L + Testostérone</c:v>
                </c:pt>
                <c:pt idx="19">
                  <c:v>CRO-100µg/L + Testostérone</c:v>
                </c:pt>
                <c:pt idx="20">
                  <c:v>CRO-1000µg/L + Testostérone</c:v>
                </c:pt>
              </c:strCache>
            </c:strRef>
          </c:cat>
          <c:val>
            <c:numRef>
              <c:f>'pooled normalised values'!$B$75:$V$75</c:f>
              <c:numCache>
                <c:formatCode>0.0000</c:formatCode>
                <c:ptCount val="21"/>
                <c:pt idx="0">
                  <c:v>0.11525812324323673</c:v>
                </c:pt>
                <c:pt idx="1">
                  <c:v>0.16761318952155149</c:v>
                </c:pt>
                <c:pt idx="2">
                  <c:v>0.12722096132747215</c:v>
                </c:pt>
                <c:pt idx="3">
                  <c:v>0.54180548318435828</c:v>
                </c:pt>
                <c:pt idx="4">
                  <c:v>1.1049730010151129</c:v>
                </c:pt>
                <c:pt idx="5">
                  <c:v>1.7971791691023606</c:v>
                </c:pt>
                <c:pt idx="6">
                  <c:v>2.884124793399391</c:v>
                </c:pt>
                <c:pt idx="7">
                  <c:v>0.1285644070265464</c:v>
                </c:pt>
                <c:pt idx="8">
                  <c:v>0.12701803421983057</c:v>
                </c:pt>
                <c:pt idx="9">
                  <c:v>0.12223309338385988</c:v>
                </c:pt>
                <c:pt idx="10">
                  <c:v>0.12575919981364317</c:v>
                </c:pt>
                <c:pt idx="11">
                  <c:v>0.12265267042017959</c:v>
                </c:pt>
                <c:pt idx="13">
                  <c:v>1.0000000000000002</c:v>
                </c:pt>
                <c:pt idx="14">
                  <c:v>2.1660244639134763</c:v>
                </c:pt>
                <c:pt idx="15">
                  <c:v>0.11585088745903051</c:v>
                </c:pt>
                <c:pt idx="16">
                  <c:v>1.0602283681720146</c:v>
                </c:pt>
                <c:pt idx="17">
                  <c:v>0.75146588067359388</c:v>
                </c:pt>
                <c:pt idx="18">
                  <c:v>0.98218472510057286</c:v>
                </c:pt>
                <c:pt idx="19">
                  <c:v>0.75278873347159203</c:v>
                </c:pt>
                <c:pt idx="20">
                  <c:v>0.94680836662032641</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c:v>
                  </c:pt>
                  <c:pt idx="5">
                    <c:v>***</c:v>
                  </c:pt>
                  <c:pt idx="6">
                    <c:v>***</c:v>
                  </c:pt>
                  <c:pt idx="7">
                    <c:v>ns</c:v>
                  </c:pt>
                  <c:pt idx="8">
                    <c:v>ns</c:v>
                  </c:pt>
                  <c:pt idx="9">
                    <c:v>ns</c:v>
                  </c:pt>
                  <c:pt idx="10">
                    <c:v>ns</c:v>
                  </c:pt>
                  <c:pt idx="11">
                    <c:v>ns</c:v>
                  </c:pt>
                  <c:pt idx="13">
                    <c:v>***</c:v>
                  </c:pt>
                  <c:pt idx="14">
                    <c:v>***</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CRO-0,1µg/L : 0%</c:v>
                  </c:pt>
                  <c:pt idx="1">
                    <c:v>CRO-1µg/L : 0%</c:v>
                  </c:pt>
                  <c:pt idx="2">
                    <c:v>CRO-10µg/L : 0%</c:v>
                  </c:pt>
                  <c:pt idx="3">
                    <c:v>CRO-100µg/L : 0%</c:v>
                  </c:pt>
                  <c:pt idx="4">
                    <c:v>CRO-1000µg/L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CRO-0,1µg/L : 0%</c:v>
                  </c:pt>
                  <c:pt idx="1">
                    <c:v>CRO-1µg/L : 0%</c:v>
                  </c:pt>
                  <c:pt idx="2">
                    <c:v>CRO-10µg/L : 0%</c:v>
                  </c:pt>
                  <c:pt idx="3">
                    <c:v>CRO-100µg/L : 0%</c:v>
                  </c:pt>
                  <c:pt idx="4">
                    <c:v>CRO-1000µg/L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CRO-0,1µg/L : 0%</c:v>
                  </c:pt>
                  <c:pt idx="1">
                    <c:v>CRO-1µg/L : 0%</c:v>
                  </c:pt>
                  <c:pt idx="2">
                    <c:v>CRO-10µg/L : 0%</c:v>
                  </c:pt>
                  <c:pt idx="3">
                    <c:v>CRO-100µg/L : 0%</c:v>
                  </c:pt>
                  <c:pt idx="4">
                    <c:v>CRO-1000µg/L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CRO-0,1µg/L : 0%</c:v>
                  </c:pt>
                  <c:pt idx="1">
                    <c:v>CRO-1µg/L : 0%</c:v>
                  </c:pt>
                  <c:pt idx="2">
                    <c:v>CRO-10µg/L : 0%</c:v>
                  </c:pt>
                  <c:pt idx="3">
                    <c:v>CRO-100µg/L : 0%</c:v>
                  </c:pt>
                  <c:pt idx="4">
                    <c:v>CRO-1000µg/L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CRO-1µg/L</c:v>
                </c:pt>
                <c:pt idx="2">
                  <c:v>CRO-10µg/L</c:v>
                </c:pt>
                <c:pt idx="3">
                  <c:v>CRO-100µg/L</c:v>
                </c:pt>
                <c:pt idx="4">
                  <c:v>CRO-1000µg/L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CRO-1µg/L</c:v>
                </c:pt>
                <c:pt idx="2">
                  <c:v>CRO-10µg/L</c:v>
                </c:pt>
                <c:pt idx="3">
                  <c:v>CRO-100µg/L</c:v>
                </c:pt>
                <c:pt idx="4">
                  <c:v>CRO-1000µg/L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CRO-1µg/L</c:v>
                </c:pt>
                <c:pt idx="2">
                  <c:v>CRO-10µg/L</c:v>
                </c:pt>
                <c:pt idx="3">
                  <c:v>CRO-100µg/L</c:v>
                </c:pt>
                <c:pt idx="4">
                  <c:v>CRO-1000µg/L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B2654534-3153-4053-BD45-664D522A40B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51D12DA5-9449-495D-92B0-FFB0C9B9D06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0F761F33-3BC1-4400-BB3E-E412E70AAAB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E44F75EC-F6BE-4118-9F5F-E0ADE5E2592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1A002C5A-1026-4F47-BC52-AC2B3FB0ED0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651A871F-3140-4B16-80B4-D4583269AF8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5B256615-4D41-40FB-90ED-B93FBF38803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1CB97EF1-32F0-4285-903E-050C9953227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94129559-CBAC-414F-BCA2-9EFDB0E9BA0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5B394AE9-F98A-40D0-9D6F-E44EEE601FF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F622181F-077D-4A18-BB24-28248453A3E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B3C87BD0-BF60-458D-8C5C-08AC98DF0A1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433DDB16-0E9E-4546-988D-0A69FB56653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24D18C7F-3B46-4B16-B114-3279DE39A89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2.6080218393484011E-2</c:v>
                  </c:pt>
                  <c:pt idx="2">
                    <c:v>2.2870932743341312E-2</c:v>
                  </c:pt>
                  <c:pt idx="3">
                    <c:v>1.821459836423869E-2</c:v>
                  </c:pt>
                  <c:pt idx="4">
                    <c:v>1.9841502940601795E-2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2.6080218393484011E-2</c:v>
                  </c:pt>
                  <c:pt idx="2">
                    <c:v>2.2870932743341312E-2</c:v>
                  </c:pt>
                  <c:pt idx="3">
                    <c:v>1.821459836423869E-2</c:v>
                  </c:pt>
                  <c:pt idx="4">
                    <c:v>1.9841502940601795E-2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CRO-1µg/L</c:v>
                </c:pt>
                <c:pt idx="2">
                  <c:v>CRO-10µg/L</c:v>
                </c:pt>
                <c:pt idx="3">
                  <c:v>CRO-100µg/L</c:v>
                </c:pt>
                <c:pt idx="4">
                  <c:v>CRO-1000µg/L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0.12701803421983057</c:v>
                </c:pt>
                <c:pt idx="2">
                  <c:v>0.12223309338385988</c:v>
                </c:pt>
                <c:pt idx="3">
                  <c:v>0.12575919981364317</c:v>
                </c:pt>
                <c:pt idx="4">
                  <c:v>0.12265267042017959</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0.11525812324323673</c:v>
                </c:pt>
                <c:pt idx="1">
                  <c:v>0.11525812324323673</c:v>
                </c:pt>
                <c:pt idx="2">
                  <c:v>0.11525812324323673</c:v>
                </c:pt>
                <c:pt idx="3">
                  <c:v>0.11525812324323673</c:v>
                </c:pt>
                <c:pt idx="4">
                  <c:v>0.11525812324323673</c:v>
                </c:pt>
                <c:pt idx="5">
                  <c:v>0.11525812324323673</c:v>
                </c:pt>
                <c:pt idx="6">
                  <c:v>0.11525812324323673</c:v>
                </c:pt>
                <c:pt idx="7">
                  <c:v>0.11525812324323673</c:v>
                </c:pt>
                <c:pt idx="8">
                  <c:v>0.11525812324323673</c:v>
                </c:pt>
                <c:pt idx="9">
                  <c:v>0.11525812324323673</c:v>
                </c:pt>
                <c:pt idx="10">
                  <c:v>0.11525812324323673</c:v>
                </c:pt>
                <c:pt idx="11">
                  <c:v>0.11525812324323673</c:v>
                </c:pt>
                <c:pt idx="12">
                  <c:v>0.11525812324323673</c:v>
                </c:pt>
                <c:pt idx="13">
                  <c:v>0.11525812324323673</c:v>
                </c:pt>
                <c:pt idx="14">
                  <c:v>0.11525812324323673</c:v>
                </c:pt>
                <c:pt idx="15">
                  <c:v>0.11525812324323673</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CRO-0,1µg/L + Testostérone</c:v>
                </c:pt>
                <c:pt idx="2">
                  <c:v>CRO-1µg/L + Testostérone</c:v>
                </c:pt>
                <c:pt idx="3">
                  <c:v>CRO-10µg/L + Testostérone</c:v>
                </c:pt>
                <c:pt idx="4">
                  <c:v>CRO-100µg/L + Testostérone</c:v>
                </c:pt>
                <c:pt idx="5">
                  <c:v>CRO-1000µg/L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0.11585088745903051</c:v>
                </c:pt>
                <c:pt idx="1">
                  <c:v>0.11585088745903051</c:v>
                </c:pt>
                <c:pt idx="2">
                  <c:v>0.11585088745903051</c:v>
                </c:pt>
                <c:pt idx="3">
                  <c:v>0.11585088745903051</c:v>
                </c:pt>
                <c:pt idx="4">
                  <c:v>0.11585088745903051</c:v>
                </c:pt>
                <c:pt idx="5">
                  <c:v>0.11585088745903051</c:v>
                </c:pt>
                <c:pt idx="6">
                  <c:v>0.11585088745903051</c:v>
                </c:pt>
                <c:pt idx="7">
                  <c:v>0.11585088745903051</c:v>
                </c:pt>
                <c:pt idx="8">
                  <c:v>0.11585088745903051</c:v>
                </c:pt>
                <c:pt idx="9">
                  <c:v>0.11585088745903051</c:v>
                </c:pt>
                <c:pt idx="10">
                  <c:v>0.11585088745903051</c:v>
                </c:pt>
                <c:pt idx="11">
                  <c:v>0.11585088745903051</c:v>
                </c:pt>
                <c:pt idx="12">
                  <c:v>0.11585088745903051</c:v>
                </c:pt>
                <c:pt idx="13">
                  <c:v>0.11585088745903051</c:v>
                </c:pt>
                <c:pt idx="14">
                  <c:v>0.11585088745903051</c:v>
                </c:pt>
                <c:pt idx="15">
                  <c:v>0.11585088745903051</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CRO-0,1µg/L + Testostérone</c:v>
                </c:pt>
                <c:pt idx="2">
                  <c:v>CRO-1µg/L + Testostérone</c:v>
                </c:pt>
                <c:pt idx="3">
                  <c:v>CRO-10µg/L + Testostérone</c:v>
                </c:pt>
                <c:pt idx="4">
                  <c:v>CRO-100µg/L + Testostérone</c:v>
                </c:pt>
                <c:pt idx="5">
                  <c:v>CRO-1000µg/L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2.0501735764544455</c:v>
                </c:pt>
                <c:pt idx="1">
                  <c:v>2.0501735764544455</c:v>
                </c:pt>
                <c:pt idx="2">
                  <c:v>2.0501735764544455</c:v>
                </c:pt>
                <c:pt idx="3">
                  <c:v>2.0501735764544455</c:v>
                </c:pt>
                <c:pt idx="4">
                  <c:v>2.0501735764544455</c:v>
                </c:pt>
                <c:pt idx="5">
                  <c:v>2.0501735764544455</c:v>
                </c:pt>
                <c:pt idx="6">
                  <c:v>2.0501735764544455</c:v>
                </c:pt>
                <c:pt idx="7">
                  <c:v>2.0501735764544455</c:v>
                </c:pt>
                <c:pt idx="8">
                  <c:v>2.0501735764544455</c:v>
                </c:pt>
                <c:pt idx="9">
                  <c:v>2.0501735764544455</c:v>
                </c:pt>
                <c:pt idx="10">
                  <c:v>2.0501735764544455</c:v>
                </c:pt>
                <c:pt idx="11">
                  <c:v>2.0501735764544455</c:v>
                </c:pt>
                <c:pt idx="12">
                  <c:v>2.0501735764544455</c:v>
                </c:pt>
                <c:pt idx="13">
                  <c:v>2.0501735764544455</c:v>
                </c:pt>
                <c:pt idx="14">
                  <c:v>2.0501735764544455</c:v>
                </c:pt>
                <c:pt idx="15">
                  <c:v>2.0501735764544455</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CRO-0,1µg/L + Testostérone</c:v>
                </c:pt>
                <c:pt idx="2">
                  <c:v>CRO-1µg/L + Testostérone</c:v>
                </c:pt>
                <c:pt idx="3">
                  <c:v>CRO-10µg/L + Testostérone</c:v>
                </c:pt>
                <c:pt idx="4">
                  <c:v>CRO-100µg/L + Testostérone</c:v>
                </c:pt>
                <c:pt idx="5">
                  <c:v>CRO-1000µg/L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0.44982642354555447</c:v>
                </c:pt>
                <c:pt idx="1">
                  <c:v>0.44982642354555447</c:v>
                </c:pt>
                <c:pt idx="2">
                  <c:v>0.44982642354555447</c:v>
                </c:pt>
                <c:pt idx="3">
                  <c:v>0.44982642354555447</c:v>
                </c:pt>
                <c:pt idx="4">
                  <c:v>0.44982642354555447</c:v>
                </c:pt>
                <c:pt idx="5">
                  <c:v>0.44982642354555447</c:v>
                </c:pt>
                <c:pt idx="6">
                  <c:v>0.44982642354555447</c:v>
                </c:pt>
                <c:pt idx="7">
                  <c:v>0.44982642354555447</c:v>
                </c:pt>
                <c:pt idx="8">
                  <c:v>0.44982642354555447</c:v>
                </c:pt>
                <c:pt idx="9">
                  <c:v>0.44982642354555447</c:v>
                </c:pt>
                <c:pt idx="10">
                  <c:v>0.44982642354555447</c:v>
                </c:pt>
                <c:pt idx="11">
                  <c:v>0.44982642354555447</c:v>
                </c:pt>
                <c:pt idx="12">
                  <c:v>0.44982642354555447</c:v>
                </c:pt>
                <c:pt idx="13">
                  <c:v>0.44982642354555447</c:v>
                </c:pt>
                <c:pt idx="14">
                  <c:v>0.44982642354555447</c:v>
                </c:pt>
                <c:pt idx="15">
                  <c:v>0.44982642354555447</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2918C1CF-CEDC-4E60-AB06-B5AE0F3781B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5DCCEB19-C8BB-4162-A83B-B537B5B59D2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81550EDC-DB7D-423B-95D5-3C51463BFBA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206C8EA6-7BB7-4A12-AA77-C1FDC25FAC4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50A7D768-7C14-4B16-B261-FB5C31A37ED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AC5DEBE6-4750-4D2D-8B45-6950A6C487A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8BC8A625-7233-46AE-89E1-146FE28F8E6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C020F6A5-80A1-4718-9D37-F1F1D3347BF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BB66F312-6538-4A65-8DB1-F93AF521ADD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0F656E2C-2D19-4AD6-A408-8EC1C8D99F0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71436EDE-93EA-4F1C-BC1C-BF876B09365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BD339591-8E7E-4F78-BFC9-35391E12D45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342E9357-6F81-4ED0-A7C2-B5BD03ADC8E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171773BB-EA6D-44FD-B623-FB65A1A9C11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0.11976764050048916</c:v>
                  </c:pt>
                  <c:pt idx="2">
                    <c:v>0.11476785323354013</c:v>
                  </c:pt>
                  <c:pt idx="3">
                    <c:v>0.14385378765599266</c:v>
                  </c:pt>
                  <c:pt idx="4">
                    <c:v>7.6819668316290557E-2</c:v>
                  </c:pt>
                  <c:pt idx="5">
                    <c:v>9.1407118893083519E-2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0.11976764050048916</c:v>
                  </c:pt>
                  <c:pt idx="2">
                    <c:v>0.11476785323354013</c:v>
                  </c:pt>
                  <c:pt idx="3">
                    <c:v>0.14385378765599266</c:v>
                  </c:pt>
                  <c:pt idx="4">
                    <c:v>7.6819668316290557E-2</c:v>
                  </c:pt>
                  <c:pt idx="5">
                    <c:v>9.1407118893083519E-2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CRO-0,1µg/L + Testostérone</c:v>
                </c:pt>
                <c:pt idx="2">
                  <c:v>CRO-1µg/L + Testostérone</c:v>
                </c:pt>
                <c:pt idx="3">
                  <c:v>CRO-10µg/L + Testostérone</c:v>
                </c:pt>
                <c:pt idx="4">
                  <c:v>CRO-100µg/L + Testostérone</c:v>
                </c:pt>
                <c:pt idx="5">
                  <c:v>CRO-1000µg/L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1.0602283681720146</c:v>
                </c:pt>
                <c:pt idx="2">
                  <c:v>0.75146588067359388</c:v>
                </c:pt>
                <c:pt idx="3">
                  <c:v>0.98218472510057286</c:v>
                </c:pt>
                <c:pt idx="4">
                  <c:v>0.75278873347159203</c:v>
                </c:pt>
                <c:pt idx="5">
                  <c:v>0.94680836662032641</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CRO-0,1µg/L + Testostérone</c:v>
                </c:pt>
                <c:pt idx="2">
                  <c:v>CRO-1µg/L + Testostérone</c:v>
                </c:pt>
                <c:pt idx="3">
                  <c:v>CRO-10µg/L + Testostérone</c:v>
                </c:pt>
                <c:pt idx="4">
                  <c:v>CRO-100µg/L + Testostérone</c:v>
                </c:pt>
                <c:pt idx="5">
                  <c:v>CRO-1000µg/L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CRO-1µg/L</c:v>
                </c:pt>
                <c:pt idx="2">
                  <c:v>CRO-10µg/L</c:v>
                </c:pt>
                <c:pt idx="3">
                  <c:v>CRO-100µg/L</c:v>
                </c:pt>
                <c:pt idx="4">
                  <c:v>CRO-1000µg/L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CRO-1µg/L</c:v>
                </c:pt>
                <c:pt idx="2">
                  <c:v>CRO-10µg/L</c:v>
                </c:pt>
                <c:pt idx="3">
                  <c:v>CRO-100µg/L</c:v>
                </c:pt>
                <c:pt idx="4">
                  <c:v>CRO-1000µg/L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CRO-1µg/L</c:v>
                </c:pt>
                <c:pt idx="2">
                  <c:v>CRO-10µg/L</c:v>
                </c:pt>
                <c:pt idx="3">
                  <c:v>CRO-100µg/L</c:v>
                </c:pt>
                <c:pt idx="4">
                  <c:v>CRO-1000µg/L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9C3C85BF-A492-4051-B3EF-A7C9DAFB0D7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947F07F1-0BB2-4B78-8369-11A0A05A51E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C6EC7115-535E-4D16-8170-323EB1E2C34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948354EF-44F0-4C24-A101-DC81AFD87EB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32E108B4-B7B5-4707-AFE2-1DB476AE5D6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116019C1-D0E0-4234-9F8F-F0057C6F1C0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1F654ECC-C479-443D-8E76-E700740BCEC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9FB2EA35-BB8F-4BDE-96FD-F5B15DE4633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D0848E82-5F7E-4DDB-B033-E976D32EEE0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2679104B-F0BD-4BC5-A188-D0C85B5745E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A781F323-3D39-4183-81B0-1203CC4CCBB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9C610EDE-49A5-4F4D-ACC3-64B5F50919E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28127D82-89CE-45F1-8F11-6300A10A785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B2D8B3EE-EFF6-4386-8377-131ADE73C18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2.6080218393484011E-2</c:v>
                  </c:pt>
                  <c:pt idx="2">
                    <c:v>2.2870932743341312E-2</c:v>
                  </c:pt>
                  <c:pt idx="3">
                    <c:v>1.821459836423869E-2</c:v>
                  </c:pt>
                  <c:pt idx="4">
                    <c:v>1.9841502940601795E-2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2.6080218393484011E-2</c:v>
                  </c:pt>
                  <c:pt idx="2">
                    <c:v>2.2870932743341312E-2</c:v>
                  </c:pt>
                  <c:pt idx="3">
                    <c:v>1.821459836423869E-2</c:v>
                  </c:pt>
                  <c:pt idx="4">
                    <c:v>1.9841502940601795E-2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CRO-1µg/L</c:v>
                </c:pt>
                <c:pt idx="2">
                  <c:v>CRO-10µg/L</c:v>
                </c:pt>
                <c:pt idx="3">
                  <c:v>CRO-100µg/L</c:v>
                </c:pt>
                <c:pt idx="4">
                  <c:v>CRO-1000µg/L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0.12701803421983057</c:v>
                </c:pt>
                <c:pt idx="2">
                  <c:v>0.12223309338385988</c:v>
                </c:pt>
                <c:pt idx="3">
                  <c:v>0.12575919981364317</c:v>
                </c:pt>
                <c:pt idx="4">
                  <c:v>0.12265267042017959</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0.11525812324323673</c:v>
                </c:pt>
                <c:pt idx="1">
                  <c:v>0.11525812324323673</c:v>
                </c:pt>
                <c:pt idx="2">
                  <c:v>0.11525812324323673</c:v>
                </c:pt>
                <c:pt idx="3">
                  <c:v>0.11525812324323673</c:v>
                </c:pt>
                <c:pt idx="4">
                  <c:v>0.11525812324323673</c:v>
                </c:pt>
                <c:pt idx="5">
                  <c:v>0.11525812324323673</c:v>
                </c:pt>
                <c:pt idx="6">
                  <c:v>0.11525812324323673</c:v>
                </c:pt>
                <c:pt idx="7">
                  <c:v>0.11525812324323673</c:v>
                </c:pt>
                <c:pt idx="8">
                  <c:v>0.11525812324323673</c:v>
                </c:pt>
                <c:pt idx="9">
                  <c:v>0.11525812324323673</c:v>
                </c:pt>
                <c:pt idx="10">
                  <c:v>0.11525812324323673</c:v>
                </c:pt>
                <c:pt idx="11">
                  <c:v>0.11525812324323673</c:v>
                </c:pt>
                <c:pt idx="12">
                  <c:v>0.11525812324323673</c:v>
                </c:pt>
                <c:pt idx="13">
                  <c:v>0.11525812324323673</c:v>
                </c:pt>
                <c:pt idx="14">
                  <c:v>0.11525812324323673</c:v>
                </c:pt>
                <c:pt idx="15">
                  <c:v>0.11525812324323673</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CRO-0,1µg/L + Testostérone</c:v>
                </c:pt>
                <c:pt idx="2">
                  <c:v>CRO-1µg/L + Testostérone</c:v>
                </c:pt>
                <c:pt idx="3">
                  <c:v>CRO-10µg/L + Testostérone</c:v>
                </c:pt>
                <c:pt idx="4">
                  <c:v>CRO-100µg/L + Testostérone</c:v>
                </c:pt>
                <c:pt idx="5">
                  <c:v>CRO-1000µg/L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0.11585088745903051</c:v>
                </c:pt>
                <c:pt idx="1">
                  <c:v>0.11585088745903051</c:v>
                </c:pt>
                <c:pt idx="2">
                  <c:v>0.11585088745903051</c:v>
                </c:pt>
                <c:pt idx="3">
                  <c:v>0.11585088745903051</c:v>
                </c:pt>
                <c:pt idx="4">
                  <c:v>0.11585088745903051</c:v>
                </c:pt>
                <c:pt idx="5">
                  <c:v>0.11585088745903051</c:v>
                </c:pt>
                <c:pt idx="6">
                  <c:v>0.11585088745903051</c:v>
                </c:pt>
                <c:pt idx="7">
                  <c:v>0.11585088745903051</c:v>
                </c:pt>
                <c:pt idx="8">
                  <c:v>0.11585088745903051</c:v>
                </c:pt>
                <c:pt idx="9">
                  <c:v>0.11585088745903051</c:v>
                </c:pt>
                <c:pt idx="10">
                  <c:v>0.11585088745903051</c:v>
                </c:pt>
                <c:pt idx="11">
                  <c:v>0.11585088745903051</c:v>
                </c:pt>
                <c:pt idx="12">
                  <c:v>0.11585088745903051</c:v>
                </c:pt>
                <c:pt idx="13">
                  <c:v>0.11585088745903051</c:v>
                </c:pt>
                <c:pt idx="14">
                  <c:v>0.11585088745903051</c:v>
                </c:pt>
                <c:pt idx="15">
                  <c:v>0.11585088745903051</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CRO-0,1µg/L + Testostérone</c:v>
                </c:pt>
                <c:pt idx="2">
                  <c:v>CRO-1µg/L + Testostérone</c:v>
                </c:pt>
                <c:pt idx="3">
                  <c:v>CRO-10µg/L + Testostérone</c:v>
                </c:pt>
                <c:pt idx="4">
                  <c:v>CRO-100µg/L + Testostérone</c:v>
                </c:pt>
                <c:pt idx="5">
                  <c:v>CRO-1000µg/L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2.0501735764544455</c:v>
                </c:pt>
                <c:pt idx="1">
                  <c:v>2.0501735764544455</c:v>
                </c:pt>
                <c:pt idx="2">
                  <c:v>2.0501735764544455</c:v>
                </c:pt>
                <c:pt idx="3">
                  <c:v>2.0501735764544455</c:v>
                </c:pt>
                <c:pt idx="4">
                  <c:v>2.0501735764544455</c:v>
                </c:pt>
                <c:pt idx="5">
                  <c:v>2.0501735764544455</c:v>
                </c:pt>
                <c:pt idx="6">
                  <c:v>2.0501735764544455</c:v>
                </c:pt>
                <c:pt idx="7">
                  <c:v>2.0501735764544455</c:v>
                </c:pt>
                <c:pt idx="8">
                  <c:v>2.0501735764544455</c:v>
                </c:pt>
                <c:pt idx="9">
                  <c:v>2.0501735764544455</c:v>
                </c:pt>
                <c:pt idx="10">
                  <c:v>2.0501735764544455</c:v>
                </c:pt>
                <c:pt idx="11">
                  <c:v>2.0501735764544455</c:v>
                </c:pt>
                <c:pt idx="12">
                  <c:v>2.0501735764544455</c:v>
                </c:pt>
                <c:pt idx="13">
                  <c:v>2.0501735764544455</c:v>
                </c:pt>
                <c:pt idx="14">
                  <c:v>2.0501735764544455</c:v>
                </c:pt>
                <c:pt idx="15">
                  <c:v>2.0501735764544455</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CRO-0,1µg/L + Testostérone</c:v>
                </c:pt>
                <c:pt idx="2">
                  <c:v>CRO-1µg/L + Testostérone</c:v>
                </c:pt>
                <c:pt idx="3">
                  <c:v>CRO-10µg/L + Testostérone</c:v>
                </c:pt>
                <c:pt idx="4">
                  <c:v>CRO-100µg/L + Testostérone</c:v>
                </c:pt>
                <c:pt idx="5">
                  <c:v>CRO-1000µg/L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0.44982642354555447</c:v>
                </c:pt>
                <c:pt idx="1">
                  <c:v>0.44982642354555447</c:v>
                </c:pt>
                <c:pt idx="2">
                  <c:v>0.44982642354555447</c:v>
                </c:pt>
                <c:pt idx="3">
                  <c:v>0.44982642354555447</c:v>
                </c:pt>
                <c:pt idx="4">
                  <c:v>0.44982642354555447</c:v>
                </c:pt>
                <c:pt idx="5">
                  <c:v>0.44982642354555447</c:v>
                </c:pt>
                <c:pt idx="6">
                  <c:v>0.44982642354555447</c:v>
                </c:pt>
                <c:pt idx="7">
                  <c:v>0.44982642354555447</c:v>
                </c:pt>
                <c:pt idx="8">
                  <c:v>0.44982642354555447</c:v>
                </c:pt>
                <c:pt idx="9">
                  <c:v>0.44982642354555447</c:v>
                </c:pt>
                <c:pt idx="10">
                  <c:v>0.44982642354555447</c:v>
                </c:pt>
                <c:pt idx="11">
                  <c:v>0.44982642354555447</c:v>
                </c:pt>
                <c:pt idx="12">
                  <c:v>0.44982642354555447</c:v>
                </c:pt>
                <c:pt idx="13">
                  <c:v>0.44982642354555447</c:v>
                </c:pt>
                <c:pt idx="14">
                  <c:v>0.44982642354555447</c:v>
                </c:pt>
                <c:pt idx="15">
                  <c:v>0.44982642354555447</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ED81D51A-B65D-421C-B845-E0AC7232360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FC2CE04D-A022-4E20-A6F3-97ED7D266D7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0FE904CD-7768-41DD-B303-357E69B9EAC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DA2DEEEE-BD0C-411E-BB26-A3CFFFE4257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A2FAD2DC-E333-4F22-9EC3-C104BBC10B7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E0E10828-9771-40FC-A952-415A7D14942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342DF04F-3104-44B0-AD9F-F624C8355A5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00A49F78-3141-4F92-BB58-9061E9CA333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3A732FF9-2599-4DB3-8EC8-D06B1C00B64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F06CC569-87E2-45D8-9C58-1533095E007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984EDF02-C5E1-4A95-98F3-AB4C81BD657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831C148F-5F72-485C-97BB-86BEFA089E0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2FBE86E6-A1DC-4A0C-A995-A75EE222F49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29D9D670-0ABD-420D-979A-1BD5B2EFE16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0.11976764050048916</c:v>
                  </c:pt>
                  <c:pt idx="2">
                    <c:v>0.11476785323354013</c:v>
                  </c:pt>
                  <c:pt idx="3">
                    <c:v>0.14385378765599266</c:v>
                  </c:pt>
                  <c:pt idx="4">
                    <c:v>7.6819668316290557E-2</c:v>
                  </c:pt>
                  <c:pt idx="5">
                    <c:v>9.1407118893083519E-2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0.11976764050048916</c:v>
                  </c:pt>
                  <c:pt idx="2">
                    <c:v>0.11476785323354013</c:v>
                  </c:pt>
                  <c:pt idx="3">
                    <c:v>0.14385378765599266</c:v>
                  </c:pt>
                  <c:pt idx="4">
                    <c:v>7.6819668316290557E-2</c:v>
                  </c:pt>
                  <c:pt idx="5">
                    <c:v>9.1407118893083519E-2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CRO-0,1µg/L + Testostérone</c:v>
                </c:pt>
                <c:pt idx="2">
                  <c:v>CRO-1µg/L + Testostérone</c:v>
                </c:pt>
                <c:pt idx="3">
                  <c:v>CRO-10µg/L + Testostérone</c:v>
                </c:pt>
                <c:pt idx="4">
                  <c:v>CRO-100µg/L + Testostérone</c:v>
                </c:pt>
                <c:pt idx="5">
                  <c:v>CRO-1000µg/L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1.0602283681720146</c:v>
                </c:pt>
                <c:pt idx="2">
                  <c:v>0.75146588067359388</c:v>
                </c:pt>
                <c:pt idx="3">
                  <c:v>0.98218472510057286</c:v>
                </c:pt>
                <c:pt idx="4">
                  <c:v>0.75278873347159203</c:v>
                </c:pt>
                <c:pt idx="5">
                  <c:v>0.94680836662032641</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CRO-0,1µg/L + Testostérone</c:v>
                </c:pt>
                <c:pt idx="2">
                  <c:v>CRO-1µg/L + Testostérone</c:v>
                </c:pt>
                <c:pt idx="3">
                  <c:v>CRO-10µg/L + Testostérone</c:v>
                </c:pt>
                <c:pt idx="4">
                  <c:v>CRO-100µg/L + Testostérone</c:v>
                </c:pt>
                <c:pt idx="5">
                  <c:v>CRO-1000µg/L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CRO-1µg/L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CRO-1µg/L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CRO-1µg/L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7B5A231A-7428-4AAC-8A39-431DBDFE890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E980D27C-1E47-407B-8BA7-1FD9279B6E9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2.6080218393484011E-2</c:v>
                  </c:pt>
                </c:numCache>
              </c:numRef>
            </c:plus>
            <c:minus>
              <c:numRef>
                <c:f>'Graph format rapport CHG 1éch'!$E$4:$G$4</c:f>
                <c:numCache>
                  <c:formatCode>General</c:formatCode>
                  <c:ptCount val="3"/>
                  <c:pt idx="1">
                    <c:v>2.6080218393484011E-2</c:v>
                  </c:pt>
                </c:numCache>
              </c:numRef>
            </c:minus>
          </c:errBars>
          <c:cat>
            <c:strRef>
              <c:f>'Graph format rapport CHG 1éch'!$E$2:$G$2</c:f>
              <c:strCache>
                <c:ptCount val="2"/>
                <c:pt idx="1">
                  <c:v>CRO-1µg/L</c:v>
                </c:pt>
              </c:strCache>
            </c:strRef>
          </c:cat>
          <c:val>
            <c:numRef>
              <c:f>'Graph format rapport CHG 1éch'!$E$3:$G$3</c:f>
              <c:numCache>
                <c:formatCode>General</c:formatCode>
                <c:ptCount val="3"/>
                <c:pt idx="1">
                  <c:v>0.12701803421983057</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0.11525812324323673</c:v>
                </c:pt>
                <c:pt idx="1">
                  <c:v>0.11525812324323673</c:v>
                </c:pt>
                <c:pt idx="2">
                  <c:v>0.11525812324323673</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CRO-0,1µg/L + Testostérone</c:v>
                </c:pt>
              </c:strCache>
            </c:strRef>
          </c:cat>
          <c:val>
            <c:numRef>
              <c:f>'Graph format rapport CHG 1éch'!$H$8:$J$8</c:f>
              <c:numCache>
                <c:formatCode>General</c:formatCode>
                <c:ptCount val="3"/>
                <c:pt idx="0">
                  <c:v>0.11585088745903051</c:v>
                </c:pt>
                <c:pt idx="1">
                  <c:v>0.11585088745903051</c:v>
                </c:pt>
                <c:pt idx="2">
                  <c:v>0.11585088745903051</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CRO-0,1µg/L + Testostérone</c:v>
                </c:pt>
              </c:strCache>
            </c:strRef>
          </c:cat>
          <c:val>
            <c:numRef>
              <c:f>'Graph format rapport CHG 1éch'!$H$9:$J$9</c:f>
              <c:numCache>
                <c:formatCode>General</c:formatCode>
                <c:ptCount val="3"/>
                <c:pt idx="0">
                  <c:v>2.0501735764544455</c:v>
                </c:pt>
                <c:pt idx="1">
                  <c:v>2.0501735764544455</c:v>
                </c:pt>
                <c:pt idx="2">
                  <c:v>2.0501735764544455</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CRO-0,1µg/L + Testostérone</c:v>
                </c:pt>
              </c:strCache>
            </c:strRef>
          </c:cat>
          <c:val>
            <c:numRef>
              <c:f>'Graph format rapport CHG 1éch'!$H$10:$J$10</c:f>
              <c:numCache>
                <c:formatCode>General</c:formatCode>
                <c:ptCount val="3"/>
                <c:pt idx="0">
                  <c:v>0.44982642354555447</c:v>
                </c:pt>
                <c:pt idx="1">
                  <c:v>0.44982642354555447</c:v>
                </c:pt>
                <c:pt idx="2">
                  <c:v>0.44982642354555447</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BC567F10-4B38-4F08-AE5F-1CD13836775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26521082-28F8-44CC-8CC5-0C95050E060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0.11976764050048916</c:v>
                  </c:pt>
                </c:numCache>
              </c:numRef>
            </c:plus>
            <c:minus>
              <c:numRef>
                <c:f>'Graph format rapport CHG 1éch'!$H$4:$J$4</c:f>
                <c:numCache>
                  <c:formatCode>General</c:formatCode>
                  <c:ptCount val="3"/>
                  <c:pt idx="1">
                    <c:v>0.11976764050048916</c:v>
                  </c:pt>
                </c:numCache>
              </c:numRef>
            </c:minus>
          </c:errBars>
          <c:cat>
            <c:strRef>
              <c:f>'Graph format rapport CHG 1éch'!$H$2:$J$2</c:f>
              <c:strCache>
                <c:ptCount val="2"/>
                <c:pt idx="1">
                  <c:v>CRO-0,1µg/L + Testostérone</c:v>
                </c:pt>
              </c:strCache>
            </c:strRef>
          </c:cat>
          <c:val>
            <c:numRef>
              <c:f>'Graph format rapport CHG 1éch'!$H$3:$J$3</c:f>
              <c:numCache>
                <c:formatCode>General</c:formatCode>
                <c:ptCount val="3"/>
                <c:pt idx="1">
                  <c:v>1.0602283681720146</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CRO-0,1µg/L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CRO-1µg/L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CRO-1µg/L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CRO-1µg/L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837FCD12-C71E-4653-A20E-C1B2298E26E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467BDC5A-999D-4F31-8941-FB23D052273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2.6080218393484011E-2</c:v>
                  </c:pt>
                </c:numCache>
              </c:numRef>
            </c:plus>
            <c:minus>
              <c:numRef>
                <c:f>'Graph format rapport CHG 1éch'!$E$4:$G$4</c:f>
                <c:numCache>
                  <c:formatCode>General</c:formatCode>
                  <c:ptCount val="3"/>
                  <c:pt idx="1">
                    <c:v>2.6080218393484011E-2</c:v>
                  </c:pt>
                </c:numCache>
              </c:numRef>
            </c:minus>
          </c:errBars>
          <c:cat>
            <c:strRef>
              <c:f>'Graph format rapport CHG 1éch'!$E$2:$G$2</c:f>
              <c:strCache>
                <c:ptCount val="2"/>
                <c:pt idx="1">
                  <c:v>CRO-1µg/L</c:v>
                </c:pt>
              </c:strCache>
            </c:strRef>
          </c:cat>
          <c:val>
            <c:numRef>
              <c:f>'Graph format rapport CHG 1éch'!$E$3:$G$3</c:f>
              <c:numCache>
                <c:formatCode>General</c:formatCode>
                <c:ptCount val="3"/>
                <c:pt idx="1">
                  <c:v>0.12701803421983057</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0.11525812324323673</c:v>
                </c:pt>
                <c:pt idx="1">
                  <c:v>0.11525812324323673</c:v>
                </c:pt>
                <c:pt idx="2">
                  <c:v>0.11525812324323673</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CRO-0,1µg/L + Testostérone</c:v>
                </c:pt>
              </c:strCache>
            </c:strRef>
          </c:cat>
          <c:val>
            <c:numRef>
              <c:f>'Graph format rapport CHG 1éch'!$H$8:$J$8</c:f>
              <c:numCache>
                <c:formatCode>General</c:formatCode>
                <c:ptCount val="3"/>
                <c:pt idx="0">
                  <c:v>0.11585088745903051</c:v>
                </c:pt>
                <c:pt idx="1">
                  <c:v>0.11585088745903051</c:v>
                </c:pt>
                <c:pt idx="2">
                  <c:v>0.11585088745903051</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CRO-0,1µg/L + Testostérone</c:v>
                </c:pt>
              </c:strCache>
            </c:strRef>
          </c:cat>
          <c:val>
            <c:numRef>
              <c:f>'Graph format rapport CHG 1éch'!$H$9:$J$9</c:f>
              <c:numCache>
                <c:formatCode>General</c:formatCode>
                <c:ptCount val="3"/>
                <c:pt idx="0">
                  <c:v>2.0501735764544455</c:v>
                </c:pt>
                <c:pt idx="1">
                  <c:v>2.0501735764544455</c:v>
                </c:pt>
                <c:pt idx="2">
                  <c:v>2.0501735764544455</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CRO-0,1µg/L + Testostérone</c:v>
                </c:pt>
              </c:strCache>
            </c:strRef>
          </c:cat>
          <c:val>
            <c:numRef>
              <c:f>'Graph format rapport CHG 1éch'!$H$10:$J$10</c:f>
              <c:numCache>
                <c:formatCode>General</c:formatCode>
                <c:ptCount val="3"/>
                <c:pt idx="0">
                  <c:v>0.44982642354555447</c:v>
                </c:pt>
                <c:pt idx="1">
                  <c:v>0.44982642354555447</c:v>
                </c:pt>
                <c:pt idx="2">
                  <c:v>0.44982642354555447</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F37C650E-AC61-47D6-9DF5-4BD29E8AD56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87BFA124-0C04-4296-B1DB-05242A10F3F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0.11976764050048916</c:v>
                  </c:pt>
                </c:numCache>
              </c:numRef>
            </c:plus>
            <c:minus>
              <c:numRef>
                <c:f>'Graph format rapport CHG 1éch'!$H$4:$J$4</c:f>
                <c:numCache>
                  <c:formatCode>General</c:formatCode>
                  <c:ptCount val="3"/>
                  <c:pt idx="1">
                    <c:v>0.11976764050048916</c:v>
                  </c:pt>
                </c:numCache>
              </c:numRef>
            </c:minus>
          </c:errBars>
          <c:cat>
            <c:strRef>
              <c:f>'Graph format rapport CHG 1éch'!$H$2:$J$2</c:f>
              <c:strCache>
                <c:ptCount val="2"/>
                <c:pt idx="1">
                  <c:v>CRO-0,1µg/L + Testostérone</c:v>
                </c:pt>
              </c:strCache>
            </c:strRef>
          </c:cat>
          <c:val>
            <c:numRef>
              <c:f>'Graph format rapport CHG 1éch'!$H$3:$J$3</c:f>
              <c:numCache>
                <c:formatCode>General</c:formatCode>
                <c:ptCount val="3"/>
                <c:pt idx="1">
                  <c:v>1.0602283681720146</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CRO-0,1µg/L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76"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75"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75"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76"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9408" cy="6074276"/>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408" cy="6074276"/>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382676" y="10062696"/>
          <a:ext cx="8425736" cy="1074705"/>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546152" y="3836226"/>
          <a:ext cx="8425736" cy="1070169"/>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754287" y="10062696"/>
          <a:ext cx="8425736" cy="1074705"/>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917763" y="3836226"/>
          <a:ext cx="8425736" cy="1070169"/>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534857523147" createdVersion="5" refreshedVersion="7" minRefreshableVersion="3" recordCount="1556" xr:uid="{00000000-000A-0000-FFFF-FFFF0C000000}">
  <cacheSource type="worksheet">
    <worksheetSource name="Tableau4"/>
  </cacheSource>
  <cacheFields count="9">
    <cacheField name="Nom groupe" numFmtId="0">
      <sharedItems containsBlank="1" count="23">
        <s v=""/>
        <s v="1"/>
        <s v="13"/>
        <s v="14"/>
        <s v="15"/>
        <s v="16"/>
        <s v="2"/>
        <s v="3"/>
        <s v="4"/>
        <s v="5"/>
        <s v="6"/>
        <s v="7"/>
        <s v="10"/>
        <s v="11"/>
        <s v="12"/>
        <s v="17"/>
        <s v="18"/>
        <s v="19"/>
        <s v="20"/>
        <s v="21"/>
        <s v="8"/>
        <s v="9"/>
        <m u="1"/>
      </sharedItems>
    </cacheField>
    <cacheField name="N° de valeur" numFmtId="0">
      <sharedItems count="10">
        <e v="#VALUE!"/>
        <s v="A"/>
        <s v="B"/>
        <s v="C"/>
        <s v="D"/>
        <s v="E"/>
        <s v="F"/>
        <s v="G"/>
        <s v="H"/>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43"/>
    </cacheField>
    <cacheField name=" " numFmtId="0">
      <sharedItems containsBlank="1" count="45">
        <s v=" "/>
        <m/>
        <s v=" SD mean fluo "/>
        <s v=" 7.8914 "/>
        <s v=" 4.3915 "/>
        <s v=" 2.3291 "/>
        <s v=" 5.7611 "/>
        <s v=" 11.7533 "/>
        <s v=" 4.146 "/>
        <s v=" 4.4246 "/>
        <s v=" 4.462 "/>
        <s v=" 3.874 "/>
        <s v=" 2.8049 "/>
        <s v=" 3.8689 "/>
        <s v=" 7.4843 "/>
        <s v=" 13.7852 "/>
        <s v=" 4.9108 "/>
        <s v=" 4.6713 "/>
        <s v=" 5.0957 "/>
        <s v=" 3.4775 "/>
        <s v=" 4.0686 "/>
        <s v=" 7.2625 "/>
        <s v=" 4.1014 "/>
        <s v=" 9.1012 "/>
        <s v=" 9.8373 " u="1"/>
        <s v=" 4.3254 " u="1"/>
        <s v=" 13.2229 " u="1"/>
        <s v=" 12.6426 " u="1"/>
        <s v=" 3.6832 " u="1"/>
        <s v=" 2.53 " u="1"/>
        <s v=" 10.5978 " u="1"/>
        <s v=" 2.7482 " u="1"/>
        <s v=" 3.3232 " u="1"/>
        <s v=" 3.5366 " u="1"/>
        <s v=" 10.8343 " u="1"/>
        <s v=" 5.8019 " u="1"/>
        <s v=" 10.0395 " u="1"/>
        <s v=" 4.981 " u="1"/>
        <s v=" 11.5766 " u="1"/>
        <s v=" 8.0859 " u="1"/>
        <s v=" 3.7472 " u="1"/>
        <s v=" 3.2173 " u="1"/>
        <s v=" 11.1287 " u="1"/>
        <s v=" 3.9927 " u="1"/>
        <s v=" 15.4064 " u="1"/>
      </sharedItems>
    </cacheField>
    <cacheField name=" total fluorescence" numFmtId="0">
      <sharedItems containsBlank="1" containsMixedTypes="1" containsNumber="1" containsInteger="1" minValue="0" maxValue="6700357"/>
    </cacheField>
    <cacheField name="         " numFmtId="0">
      <sharedItems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534857870371" createdVersion="5" refreshedVersion="7" minRefreshableVersion="3" recordCount="1530" xr:uid="{00000000-000A-0000-FFFF-FFFF10000000}">
  <cacheSource type="worksheet">
    <worksheetSource name="Tableau46"/>
  </cacheSource>
  <cacheFields count="9">
    <cacheField name="Nom groupe" numFmtId="0">
      <sharedItems count="22">
        <s v=""/>
        <s v="1"/>
        <s v="13"/>
        <s v="14"/>
        <s v="15"/>
        <s v="16"/>
        <s v="2"/>
        <s v="3"/>
        <s v="4"/>
        <s v="5"/>
        <s v="6"/>
        <s v="7"/>
        <s v="10"/>
        <s v="11"/>
        <s v="12"/>
        <s v="17"/>
        <s v="18"/>
        <s v="19"/>
        <s v="20"/>
        <s v="21"/>
        <s v="8"/>
        <s v="9"/>
      </sharedItems>
    </cacheField>
    <cacheField name="N° de valeur" numFmtId="0">
      <sharedItems count="10">
        <e v="#VALUE!"/>
        <s v="A"/>
        <s v="B"/>
        <s v="C"/>
        <s v="D"/>
        <s v="E"/>
        <s v="F"/>
        <s v="G"/>
        <s v="H"/>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5"/>
    </cacheField>
    <cacheField name=" " numFmtId="0">
      <sharedItems containsBlank="1" count="45">
        <s v=" "/>
        <m/>
        <s v=" SD mean fluo "/>
        <s v=" 12.1031 "/>
        <s v=" 4.0828 "/>
        <s v=" 10.8395 "/>
        <s v=" 5.131 "/>
        <s v=" 9.4692 "/>
        <s v=" 2.1354 "/>
        <s v=" 16.6686 "/>
        <s v=" 12.1722 "/>
        <s v=" 2.059 "/>
        <s v=" 2.9596 "/>
        <s v=" 4.2413 "/>
        <s v=" 9.0778 "/>
        <s v=" 13.2394 "/>
        <s v=" 13.7758 "/>
        <s v=" 3.8264 "/>
        <s v=" 3.609 "/>
        <s v=" 4.3948 "/>
        <s v=" 3.2816 "/>
        <s v=" 4.3567 "/>
        <s v=" 10.9539 "/>
        <s v=" 15.8732 "/>
        <s v=" 7.3552 " u="1"/>
        <s v=" 11.1335 " u="1"/>
        <s v=" 4.6858 " u="1"/>
        <s v=" 14.0282 " u="1"/>
        <s v=" 3.7881 " u="1"/>
        <s v=" 7.5914 " u="1"/>
        <s v=" 4.1161 " u="1"/>
        <s v=" 5.21 " u="1"/>
        <s v=" 3.5834 " u="1"/>
        <s v=" 7.9672 " u="1"/>
        <s v=" 2.8291 " u="1"/>
        <s v=" 13.8633 " u="1"/>
        <s v=" 15.9342 " u="1"/>
        <s v=" 8.0883 " u="1"/>
        <s v=" 13.7913 " u="1"/>
        <s v=" 12.0859 " u="1"/>
        <s v=" 3.506 " u="1"/>
        <s v=" 4.0759 " u="1"/>
        <s v=" 18.0199 " u="1"/>
        <s v=" 11.2114 " u="1"/>
        <s v=" 4.0077 " u="1"/>
      </sharedItems>
    </cacheField>
    <cacheField name=" total fluorescence" numFmtId="0">
      <sharedItems containsBlank="1" containsMixedTypes="1" containsNumber="1" containsInteger="1" minValue="0" maxValue="6381360"/>
    </cacheField>
    <cacheField name="         " numFmtId="0">
      <sharedItems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534858217594" createdVersion="5" refreshedVersion="7" minRefreshableVersion="3" recordCount="1710" xr:uid="{00000000-000A-0000-FFFF-FFFF14000000}">
  <cacheSource type="worksheet">
    <worksheetSource name="Tableau467"/>
  </cacheSource>
  <cacheFields count="9">
    <cacheField name="Nom groupe" numFmtId="0">
      <sharedItems count="22">
        <s v=""/>
        <s v="1"/>
        <s v="13"/>
        <s v="14"/>
        <s v="15"/>
        <s v="16"/>
        <s v="2"/>
        <s v="3"/>
        <s v="4"/>
        <s v="5"/>
        <s v="6"/>
        <s v="7"/>
        <s v="10"/>
        <s v="11"/>
        <s v="12"/>
        <s v="17"/>
        <s v="18"/>
        <s v="19"/>
        <s v="20"/>
        <s v="21"/>
        <s v="8"/>
        <s v="9"/>
      </sharedItems>
    </cacheField>
    <cacheField name="N° de valeur" numFmtId="0">
      <sharedItems count="10">
        <e v="#VALUE!"/>
        <s v="A"/>
        <s v="B"/>
        <s v="C"/>
        <s v="D"/>
        <s v="E"/>
        <s v="F"/>
        <s v="G"/>
        <s v="H"/>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2"/>
    </cacheField>
    <cacheField name=" " numFmtId="0">
      <sharedItems containsBlank="1" count="45">
        <s v=" "/>
        <m/>
        <s v=" SD mean fluo "/>
        <s v=" 13.1971 "/>
        <s v=" 6.0636 "/>
        <s v=" 4.8004 "/>
        <s v=" 15.7769 "/>
        <s v=" 15.7368 "/>
        <s v=" 13.863 "/>
        <s v=" 10.9426 "/>
        <s v=" 1.6867 "/>
        <s v=" 4.6043 "/>
        <s v=" 14.9929 "/>
        <s v=" 2.2937 "/>
        <s v=" 6.6952 "/>
        <s v=" 4.4659 "/>
        <s v=" 12.0618 "/>
        <s v=" 3.8889 "/>
        <s v=" 7.3791 "/>
        <s v=" 4.2352 "/>
        <s v=" 3.0779 "/>
        <s v=" 2.6142 "/>
        <s v=" 3.4837 "/>
        <s v=" 4.323 "/>
        <s v=" 16.1241 " u="1"/>
        <s v=" 3.7926 " u="1"/>
        <s v=" 3.7601 " u="1"/>
        <s v=" 3.4436 " u="1"/>
        <s v=" 4.7693 " u="1"/>
        <s v=" 4.0338 " u="1"/>
        <s v=" 5.1424 " u="1"/>
        <s v=" 4.1715 " u="1"/>
        <s v=" 8.8315 " u="1"/>
        <s v=" 10.6545 " u="1"/>
        <s v=" 6.0853 " u="1"/>
        <s v=" 5.4589 " u="1"/>
        <s v=" 8.7464 " u="1"/>
        <s v=" 5.7513 " u="1"/>
        <s v=" 4.8141 " u="1"/>
        <s v=" 13.8638 " u="1"/>
        <s v=" 8.4902 " u="1"/>
        <s v=" 2.5852 " u="1"/>
        <s v=" 3.5196 " u="1"/>
        <s v=" 9.1309 " u="1"/>
        <s v=" 8.6965 " u="1"/>
      </sharedItems>
    </cacheField>
    <cacheField name=" total fluorescence" numFmtId="0">
      <sharedItems containsBlank="1" containsMixedTypes="1" containsNumber="1" containsInteger="1" minValue="0" maxValue="5785391"/>
    </cacheField>
    <cacheField name="         " numFmtId="0">
      <sharedItems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487.534858449071" createdVersion="6" refreshedVersion="7" minRefreshableVersion="3" recordCount="52" xr:uid="{8DEF666A-6C7D-4C16-AD6D-82242760D5D9}">
  <cacheSource type="worksheet">
    <worksheetSource name="liste_groupe"/>
  </cacheSource>
  <cacheFields count="6">
    <cacheField name="Nom sur le graphique" numFmtId="0">
      <sharedItems containsBlank="1" count="24">
        <s v="Témoin solvant"/>
        <s v="EE2-22,5ng/L"/>
        <s v="EE2-33,8ng/L"/>
        <s v="EE2-50,6ng/L"/>
        <s v="EE2-76ng/L"/>
        <s v="EE2-114ng/L"/>
        <s v="EE2-170,9ng/L"/>
        <s v="EE2-488ng/L"/>
        <m/>
        <s v=" "/>
        <s v="Testo -30µg/L"/>
        <s v="Testo 30µg/L + EE2 -64ng/L"/>
        <s v="Testo 30µg/L + FAD-10mg/L"/>
        <s v="0-00 + Testostérone"/>
        <s v="AN-2.9mg/L" u="1"/>
        <s v="AN-1,45mg/L + Testostérone" u="1"/>
        <s v="AN-1.45mg/L" u="1"/>
        <s v="AN-0,18mg/L + Testostérone" u="1"/>
        <s v="AN-0,36mg/L + Testostérone" u="1"/>
        <s v="AN-0,73mg/L + Testostérone" u="1"/>
        <s v="AN-0.36mg/L" u="1"/>
        <s v="AN-0.73mg/L" u="1"/>
        <s v="AN-0.18mg/L" u="1"/>
        <s v="AN-2,9mg/L + Testostérone"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file name "/>
    <s v=" total area "/>
    <s v=" mean intensity "/>
    <x v="0"/>
    <s v=" total fluorescence"/>
    <m/>
    <m/>
  </r>
  <r>
    <x v="1"/>
    <x v="1"/>
    <s v="C:\Users\andre\Desktop\REACTIV CEFAS\Cromolyn\Cromolyn/20201217_Cefas_Test10_Run1/Plate 1/@1/A10_01.tif "/>
    <s v=" 9625.3031 "/>
    <s v=" 39.5348 "/>
    <x v="0"/>
    <n v="380535"/>
    <m/>
    <m/>
  </r>
  <r>
    <x v="1"/>
    <x v="1"/>
    <s v="C:\Users\andre\Desktop\REACTIV CEFAS\Cromolyn\Cromolyn/20201217_Cefas_Test10_Run1/Plate 1/@1/A10_02- exclu.tif"/>
    <m/>
    <m/>
    <x v="1"/>
    <m/>
    <m/>
    <m/>
  </r>
  <r>
    <x v="1"/>
    <x v="1"/>
    <s v="C:\Users\andre\Desktop\REACTIV CEFAS\Cromolyn\Cromolyn/20201217_Cefas_Test10_Run1/Plate 1/@1/A10_03.tif "/>
    <s v=" 2682.1069 "/>
    <s v=" 37.2823 "/>
    <x v="0"/>
    <n v="99995"/>
    <m/>
    <m/>
  </r>
  <r>
    <x v="1"/>
    <x v="1"/>
    <s v="C:\Users\andre\Desktop\REACTIV CEFAS\Cromolyn\Cromolyn/20201217_Cefas_Test10_Run1/Plate 1/@1/A10_04.tif "/>
    <s v=" 9365.7444 "/>
    <s v=" 37.3048 "/>
    <x v="0"/>
    <n v="349388"/>
    <m/>
    <m/>
  </r>
  <r>
    <x v="1"/>
    <x v="2"/>
    <s v="C:\Users\andre\Desktop\REACTIV CEFAS\Cromolyn\Cromolyn/20201217_Cefas_Test10_Run1/Plate 1/@1/B10_01.tif "/>
    <s v=" 5385.8438 "/>
    <s v=" 34.9157 "/>
    <x v="0"/>
    <n v="188050"/>
    <m/>
    <m/>
  </r>
  <r>
    <x v="1"/>
    <x v="2"/>
    <s v="C:\Users\andre\Desktop\REACTIV CEFAS\Cromolyn\Cromolyn/20201217_Cefas_Test10_Run1/Plate 1/@1/B10_02.tif "/>
    <s v=" 4585.5377 "/>
    <s v=" 34.0377 "/>
    <x v="0"/>
    <n v="156081"/>
    <m/>
    <m/>
  </r>
  <r>
    <x v="1"/>
    <x v="2"/>
    <s v="C:\Users\andre\Desktop\REACTIV CEFAS\Cromolyn\Cromolyn/20201217_Cefas_Test10_Run1/Plate 1/@1/B10_03.tif "/>
    <s v=" 5234.4345 "/>
    <s v=" 36.0537 "/>
    <x v="0"/>
    <n v="188721"/>
    <m/>
    <m/>
  </r>
  <r>
    <x v="1"/>
    <x v="2"/>
    <s v="C:\Users\andre\Desktop\REACTIV CEFAS\Cromolyn\Cromolyn/20201217_Cefas_Test10_Run1/Plate 1/@1/B10_04.tif "/>
    <s v=" 1752.0215 "/>
    <s v=" 34.1605 "/>
    <x v="0"/>
    <n v="59850"/>
    <m/>
    <m/>
  </r>
  <r>
    <x v="1"/>
    <x v="3"/>
    <s v="C:\Users\andre\Desktop\REACTIV CEFAS\Cromolyn\Cromolyn/20201217_Cefas_Test10_Run1/Plate 1/@1/C10_01.tif "/>
    <s v=" 108.1495 "/>
    <s v=" 30.2 "/>
    <x v="0"/>
    <n v="3266"/>
    <m/>
    <m/>
  </r>
  <r>
    <x v="1"/>
    <x v="3"/>
    <s v="C:\Users\andre\Desktop\REACTIV CEFAS\Cromolyn\Cromolyn/20201217_Cefas_Test10_Run1/Plate 1/@1/C10_02.tif "/>
    <s v=" 8500.5486 "/>
    <s v=" 45.5267 "/>
    <x v="0"/>
    <n v="387002"/>
    <m/>
    <m/>
  </r>
  <r>
    <x v="1"/>
    <x v="3"/>
    <s v="C:\Users\andre\Desktop\REACTIV CEFAS\Cromolyn\Cromolyn/20201217_Cefas_Test10_Run1/Plate 1/@1/C10_03.tif "/>
    <s v=" 151.4093 "/>
    <s v=" 30.7143 "/>
    <x v="0"/>
    <n v="4650"/>
    <m/>
    <m/>
  </r>
  <r>
    <x v="1"/>
    <x v="3"/>
    <s v="C:\Users\andre\Desktop\REACTIV CEFAS\Cromolyn\Cromolyn/20201217_Cefas_Test10_Run1/Plate 1/@1/C10_04.tif "/>
    <s v=" 21.6299 "/>
    <n v="30"/>
    <x v="0"/>
    <n v="649"/>
    <m/>
    <m/>
  </r>
  <r>
    <x v="1"/>
    <x v="4"/>
    <s v="C:\Users\andre\Desktop\REACTIV CEFAS\Cromolyn\Cromolyn/20201217_Cefas_Test10_Run1/Plate 1/@1/D10_01.tif "/>
    <s v=" 10490.4989 "/>
    <s v=" 36.7835 "/>
    <x v="0"/>
    <n v="385877"/>
    <m/>
    <m/>
  </r>
  <r>
    <x v="1"/>
    <x v="4"/>
    <s v="C:\Users\andre\Desktop\REACTIV CEFAS\Cromolyn\Cromolyn/20201217_Cefas_Test10_Run1/Plate 1/@1/D10_02.tif "/>
    <s v=" 7743.5023 "/>
    <s v=" 38.7709 "/>
    <x v="0"/>
    <n v="300223"/>
    <m/>
    <m/>
  </r>
  <r>
    <x v="1"/>
    <x v="4"/>
    <s v="C:\Users\andre\Desktop\REACTIV CEFAS\Cromolyn\Cromolyn/20201217_Cefas_Test10_Run1/Plate 1/@1/D10_03.tif "/>
    <s v=" 10901.4669 "/>
    <s v=" 39.9901 "/>
    <x v="0"/>
    <n v="435951"/>
    <m/>
    <m/>
  </r>
  <r>
    <x v="1"/>
    <x v="4"/>
    <s v="C:\Users\andre\Desktop\REACTIV CEFAS\Cromolyn\Cromolyn/20201217_Cefas_Test10_Run1/Plate 1/@1/D10_04.tif "/>
    <s v=" 6835.0467 "/>
    <s v=" 38.5854 "/>
    <x v="0"/>
    <n v="263733"/>
    <m/>
    <m/>
  </r>
  <r>
    <x v="1"/>
    <x v="5"/>
    <s v="C:\Users\andre\Desktop\REACTIV CEFAS\Cromolyn\Cromolyn/20201217_Cefas_Test10_Run1/Plate 1/@1/E10_01.tif "/>
    <s v=" 6294.2993 "/>
    <s v=" 43.4192 "/>
    <x v="0"/>
    <n v="273294"/>
    <m/>
    <m/>
  </r>
  <r>
    <x v="1"/>
    <x v="5"/>
    <s v="C:\Users\andre\Desktop\REACTIV CEFAS\Cromolyn\Cromolyn/20201217_Cefas_Test10_Run1/Plate 1/@1/E10_02.tif "/>
    <s v=" 6575.488 "/>
    <s v=" 45.7599 "/>
    <x v="0"/>
    <n v="300893"/>
    <m/>
    <m/>
  </r>
  <r>
    <x v="1"/>
    <x v="5"/>
    <s v="C:\Users\andre\Desktop\REACTIV CEFAS\Cromolyn\Cromolyn/20201217_Cefas_Test10_Run1/Plate 1/@1/E10_03.tif "/>
    <s v=" 5450.7334 "/>
    <s v=" 39.4246 "/>
    <x v="0"/>
    <n v="214893"/>
    <m/>
    <m/>
  </r>
  <r>
    <x v="1"/>
    <x v="5"/>
    <s v="C:\Users\andre\Desktop\REACTIV CEFAS\Cromolyn\Cromolyn/20201217_Cefas_Test10_Run1/Plate 1/@1/E10_04.tif "/>
    <s v=" 6337.5591 "/>
    <s v=" 42.3379 "/>
    <x v="0"/>
    <n v="268319"/>
    <m/>
    <m/>
  </r>
  <r>
    <x v="1"/>
    <x v="6"/>
    <s v="C:\Users\andre\Desktop\REACTIV CEFAS\Cromolyn\Cromolyn/20201217_Cefas_Test10_Run1/Plate 1/@1/F10_01.tif "/>
    <s v=" 6359.189 "/>
    <s v=" 38.2789 "/>
    <x v="0"/>
    <n v="243423"/>
    <m/>
    <m/>
  </r>
  <r>
    <x v="1"/>
    <x v="6"/>
    <s v="C:\Users\andre\Desktop\REACTIV CEFAS\Cromolyn\Cromolyn/20201217_Cefas_Test10_Run1/Plate 1/@1/F10_02.tif "/>
    <s v=" 9646.933 "/>
    <s v=" 44.0022 "/>
    <x v="0"/>
    <n v="424487"/>
    <m/>
    <m/>
  </r>
  <r>
    <x v="1"/>
    <x v="6"/>
    <s v="C:\Users\andre\Desktop\REACTIV CEFAS\Cromolyn\Cromolyn/20201217_Cefas_Test10_Run1/Plate 1/@1/F10_03.tif "/>
    <s v=" 8803.3671 "/>
    <s v=" 41.0885 "/>
    <x v="0"/>
    <n v="361717"/>
    <m/>
    <m/>
  </r>
  <r>
    <x v="1"/>
    <x v="6"/>
    <s v="C:\Users\andre\Desktop\REACTIV CEFAS\Cromolyn\Cromolyn/20201217_Cefas_Test10_Run1/Plate 1/@1/F10_04.tif "/>
    <s v=" 6380.8189 "/>
    <s v=" 37.7763 "/>
    <x v="0"/>
    <n v="241044"/>
    <m/>
    <m/>
  </r>
  <r>
    <x v="1"/>
    <x v="7"/>
    <s v="C:\Users\andre\Desktop\REACTIV CEFAS\Cromolyn\Cromolyn/20201217_Cefas_Test10_Run1/Plate 1/@1/G10_01.tif "/>
    <s v=" 8284.2496 "/>
    <s v=" 39.9765 "/>
    <x v="0"/>
    <n v="331175"/>
    <m/>
    <m/>
  </r>
  <r>
    <x v="1"/>
    <x v="7"/>
    <s v="C:\Users\andre\Desktop\REACTIV CEFAS\Cromolyn\Cromolyn/20201217_Cefas_Test10_Run1/Plate 1/@1/G10_02.tif "/>
    <s v=" 5904.9612 "/>
    <s v=" 37.5788 "/>
    <x v="0"/>
    <n v="221901"/>
    <m/>
    <m/>
  </r>
  <r>
    <x v="1"/>
    <x v="7"/>
    <s v="C:\Users\andre\Desktop\REACTIV CEFAS\Cromolyn\Cromolyn/20201217_Cefas_Test10_Run1/Plate 1/@1/G10_03.tif "/>
    <s v=" 4412.4985 "/>
    <s v=" 37.8284 "/>
    <x v="0"/>
    <n v="166918"/>
    <m/>
    <m/>
  </r>
  <r>
    <x v="1"/>
    <x v="7"/>
    <s v="C:\Users\andre\Desktop\REACTIV CEFAS\Cromolyn\Cromolyn/20201217_Cefas_Test10_Run1/Plate 1/@1/G10_04.tif "/>
    <s v=" 11334.0648 "/>
    <s v=" 41.7004 "/>
    <x v="0"/>
    <n v="472635"/>
    <m/>
    <m/>
  </r>
  <r>
    <x v="1"/>
    <x v="8"/>
    <s v="C:\Users\andre\Desktop\REACTIV CEFAS\Cromolyn\Cromolyn/20201217_Cefas_Test10_Run1/Plate 1/@1/H10_01.tif "/>
    <s v=" 6078.0004 "/>
    <s v=" 36.2598 "/>
    <x v="0"/>
    <n v="220387"/>
    <m/>
    <m/>
  </r>
  <r>
    <x v="1"/>
    <x v="8"/>
    <s v="C:\Users\andre\Desktop\REACTIV CEFAS\Cromolyn\Cromolyn/20201217_Cefas_Test10_Run1/Plate 1/@1/H10_02.tif "/>
    <s v=" 173.0392 "/>
    <s v=" 30.375 "/>
    <x v="0"/>
    <n v="5256"/>
    <m/>
    <m/>
  </r>
  <r>
    <x v="1"/>
    <x v="8"/>
    <s v="C:\Users\andre\Desktop\REACTIV CEFAS\Cromolyn\Cromolyn/20201217_Cefas_Test10_Run1/Plate 1/@1/H10_03.tif "/>
    <s v=" 5515.6231 "/>
    <s v=" 40.1843 "/>
    <x v="0"/>
    <n v="221642"/>
    <m/>
    <m/>
  </r>
  <r>
    <x v="1"/>
    <x v="8"/>
    <s v="C:\Users\andre\Desktop\REACTIV CEFAS\Cromolyn\Cromolyn/20201217_Cefas_Test10_Run1/Plate 1/@1/H10_04.tif "/>
    <s v=" 7419.0539 "/>
    <s v=" 39.1603 "/>
    <x v="0"/>
    <n v="290533"/>
    <m/>
    <m/>
  </r>
  <r>
    <x v="0"/>
    <x v="0"/>
    <s v=" "/>
    <m/>
    <m/>
    <x v="1"/>
    <m/>
    <m/>
    <m/>
  </r>
  <r>
    <x v="0"/>
    <x v="0"/>
    <s v="group "/>
    <s v=" "/>
    <s v=" mean of mean fluo "/>
    <x v="2"/>
    <s v=" mean of total fluo "/>
    <s v=" SD total fluo "/>
    <m/>
  </r>
  <r>
    <x v="1"/>
    <x v="9"/>
    <s v="C:\Users\andre\Desktop\REACTIV CEFAS\Cromolyn\Cromolyn/20201217_Cefas_Test10_Run1/Plate 1/@1/ "/>
    <s v=" "/>
    <s v=" 36.8441 "/>
    <x v="3"/>
    <s v=" 233202.75 "/>
    <s v=" 137729.762 "/>
    <m/>
  </r>
  <r>
    <x v="0"/>
    <x v="0"/>
    <s v=" "/>
    <m/>
    <m/>
    <x v="1"/>
    <m/>
    <m/>
    <m/>
  </r>
  <r>
    <x v="0"/>
    <x v="0"/>
    <s v=" "/>
    <m/>
    <m/>
    <x v="1"/>
    <m/>
    <m/>
    <m/>
  </r>
  <r>
    <x v="0"/>
    <x v="0"/>
    <s v=" "/>
    <m/>
    <m/>
    <x v="1"/>
    <m/>
    <m/>
    <m/>
  </r>
  <r>
    <x v="0"/>
    <x v="0"/>
    <s v=" "/>
    <m/>
    <m/>
    <x v="1"/>
    <m/>
    <m/>
    <m/>
  </r>
  <r>
    <x v="0"/>
    <x v="0"/>
    <s v=" "/>
    <m/>
    <m/>
    <x v="1"/>
    <m/>
    <m/>
    <m/>
  </r>
  <r>
    <x v="0"/>
    <x v="0"/>
    <s v="file name "/>
    <s v=" total area "/>
    <s v=" mean intensity "/>
    <x v="0"/>
    <s v=" total fluorescence"/>
    <m/>
    <m/>
  </r>
  <r>
    <x v="2"/>
    <x v="1"/>
    <s v="C:\Users\andre\Desktop\REACTIV CEFAS\Cromolyn\Cromolyn/20201217_Cefas_Test10_Run1/Plate 1/@13/A8_01.tif "/>
    <s v=" 7830.0219 "/>
    <s v=" 41.1685 "/>
    <x v="0"/>
    <n v="322350"/>
    <m/>
    <m/>
  </r>
  <r>
    <x v="2"/>
    <x v="1"/>
    <s v="C:\Users\andre\Desktop\REACTIV CEFAS\Cromolyn\Cromolyn/20201217_Cefas_Test10_Run1/Plate 1/@13/A8_02.tif "/>
    <s v=" 2725.3667 "/>
    <s v=" 33.6587 "/>
    <x v="0"/>
    <n v="91732"/>
    <m/>
    <m/>
  </r>
  <r>
    <x v="2"/>
    <x v="1"/>
    <s v="C:\Users\andre\Desktop\REACTIV CEFAS\Cromolyn\Cromolyn/20201217_Cefas_Test10_Run1/Plate 1/@13/A8_03.tif "/>
    <s v=" 7613.7229 "/>
    <s v=" 40.0199 "/>
    <x v="0"/>
    <n v="304700"/>
    <m/>
    <m/>
  </r>
  <r>
    <x v="2"/>
    <x v="1"/>
    <s v="C:\Users\andre\Desktop\REACTIV CEFAS\Cromolyn\Cromolyn/20201217_Cefas_Test10_Run1/Plate 1/@13/A8_04.tif "/>
    <s v=" 5039.7654 "/>
    <s v=" 35.4292 "/>
    <x v="0"/>
    <n v="178555"/>
    <m/>
    <m/>
  </r>
  <r>
    <x v="2"/>
    <x v="2"/>
    <s v="C:\Users\andre\Desktop\REACTIV CEFAS\Cromolyn\Cromolyn/20201217_Cefas_Test10_Run1/Plate 1/@13/B8_01.tif "/>
    <s v=" 42913.7109 "/>
    <s v=" 37.5146 "/>
    <x v="0"/>
    <n v="1609891"/>
    <m/>
    <m/>
  </r>
  <r>
    <x v="2"/>
    <x v="2"/>
    <s v="C:\Users\andre\Desktop\REACTIV CEFAS\Cromolyn\Cromolyn/20201217_Cefas_Test10_Run1/Plate 1/@13/B8_02.tif "/>
    <s v=" 59785.0288 "/>
    <s v=" 40.9801 "/>
    <x v="0"/>
    <n v="2449997"/>
    <m/>
    <m/>
  </r>
  <r>
    <x v="2"/>
    <x v="2"/>
    <s v="C:\Users\andre\Desktop\REACTIV CEFAS\Cromolyn\Cromolyn/20201217_Cefas_Test10_Run1/Plate 1/@13/B8_03.tif "/>
    <s v=" 56951.5126 "/>
    <s v=" 38.8982 "/>
    <x v="0"/>
    <n v="2215312"/>
    <m/>
    <m/>
  </r>
  <r>
    <x v="2"/>
    <x v="2"/>
    <s v="C:\Users\andre\Desktop\REACTIV CEFAS\Cromolyn\Cromolyn/20201217_Cefas_Test10_Run1/Plate 1/@13/B8_04.tif "/>
    <s v=" 77716.2114 "/>
    <s v=" 41.9385 "/>
    <x v="0"/>
    <n v="3259301"/>
    <m/>
    <m/>
  </r>
  <r>
    <x v="2"/>
    <x v="3"/>
    <s v="C:\Users\andre\Desktop\REACTIV CEFAS\Cromolyn\Cromolyn/20201217_Cefas_Test10_Run1/Plate 1/@13/C8_01.tif "/>
    <s v=" 45098.3303 "/>
    <s v=" 39.1856 "/>
    <x v="0"/>
    <n v="1767206"/>
    <m/>
    <m/>
  </r>
  <r>
    <x v="2"/>
    <x v="3"/>
    <s v="C:\Users\andre\Desktop\REACTIV CEFAS\Cromolyn\Cromolyn/20201217_Cefas_Test10_Run1/Plate 1/@13/C8_02.tif "/>
    <s v=" 47109.9105 "/>
    <s v=" 38.1253 "/>
    <x v="0"/>
    <n v="1796082"/>
    <m/>
    <m/>
  </r>
  <r>
    <x v="2"/>
    <x v="3"/>
    <s v="C:\Users\andre\Desktop\REACTIV CEFAS\Cromolyn\Cromolyn/20201217_Cefas_Test10_Run1/Plate 1/@13/C8_03.tif "/>
    <s v=" 47953.4764 "/>
    <s v=" 37.4899 "/>
    <x v="0"/>
    <n v="1797769"/>
    <m/>
    <m/>
  </r>
  <r>
    <x v="2"/>
    <x v="3"/>
    <s v="C:\Users\andre\Desktop\REACTIV CEFAS\Cromolyn\Cromolyn/20201217_Cefas_Test10_Run1/Plate 1/@13/C8_04.tif "/>
    <s v=" 47672.2878 "/>
    <s v=" 38.9088 "/>
    <x v="0"/>
    <n v="1854872"/>
    <m/>
    <m/>
  </r>
  <r>
    <x v="2"/>
    <x v="4"/>
    <s v="C:\Users\andre\Desktop\REACTIV CEFAS\Cromolyn\Cromolyn/20201217_Cefas_Test10_Run1/Plate 1/@13/D8_01.tif "/>
    <s v=" 54723.6334 "/>
    <s v=" 45.0051 "/>
    <x v="0"/>
    <n v="2462845"/>
    <m/>
    <m/>
  </r>
  <r>
    <x v="2"/>
    <x v="4"/>
    <s v="C:\Users\andre\Desktop\REACTIV CEFAS\Cromolyn\Cromolyn/20201217_Cefas_Test10_Run1/Plate 1/@13/D8_02- exclu.tif"/>
    <m/>
    <m/>
    <x v="1"/>
    <m/>
    <m/>
    <m/>
  </r>
  <r>
    <x v="2"/>
    <x v="4"/>
    <s v="C:\Users\andre\Desktop\REACTIV CEFAS\Cromolyn\Cromolyn/20201217_Cefas_Test10_Run1/Plate 1/@13/D8_03.tif "/>
    <s v=" 54399.185 "/>
    <s v=" 45.8537 "/>
    <x v="0"/>
    <n v="2494403"/>
    <m/>
    <m/>
  </r>
  <r>
    <x v="2"/>
    <x v="4"/>
    <s v="C:\Users\andre\Desktop\REACTIV CEFAS\Cromolyn\Cromolyn/20201217_Cefas_Test10_Run1/Plate 1/@13/D8_04.tif "/>
    <s v=" 51176.3307 "/>
    <s v=" 46.9484 "/>
    <x v="0"/>
    <n v="2402649"/>
    <m/>
    <m/>
  </r>
  <r>
    <x v="2"/>
    <x v="5"/>
    <s v="C:\Users\andre\Desktop\REACTIV CEFAS\Cromolyn\Cromolyn/20201217_Cefas_Test10_Run1/Plate 1/@13/E8_01.tif "/>
    <s v=" 18601.7094 "/>
    <s v=" 35.343 "/>
    <x v="0"/>
    <n v="657441"/>
    <m/>
    <m/>
  </r>
  <r>
    <x v="2"/>
    <x v="5"/>
    <s v="C:\Users\andre\Desktop\REACTIV CEFAS\Cromolyn\Cromolyn/20201217_Cefas_Test10_Run1/Plate 1/@13/E8_02- exclu.tif"/>
    <m/>
    <m/>
    <x v="1"/>
    <m/>
    <m/>
    <m/>
  </r>
  <r>
    <x v="2"/>
    <x v="5"/>
    <s v="C:\Users\andre\Desktop\REACTIV CEFAS\Cromolyn\Cromolyn/20201217_Cefas_Test10_Run1/Plate 1/@13/E8_03.tif "/>
    <s v=" 23490.0656 "/>
    <s v=" 36.0617 "/>
    <x v="0"/>
    <n v="847092"/>
    <m/>
    <m/>
  </r>
  <r>
    <x v="2"/>
    <x v="5"/>
    <s v="C:\Users\andre\Desktop\REACTIV CEFAS\Cromolyn\Cromolyn/20201217_Cefas_Test10_Run1/Plate 1/@13/E8_04.tif "/>
    <s v=" 11571.9936 "/>
    <s v=" 35.3196 "/>
    <x v="0"/>
    <n v="408718"/>
    <m/>
    <m/>
  </r>
  <r>
    <x v="2"/>
    <x v="6"/>
    <s v="C:\Users\andre\Desktop\REACTIV CEFAS\Cromolyn\Cromolyn/20201217_Cefas_Test10_Run1/Plate 1/@13/F8_01- exclu.tif"/>
    <m/>
    <m/>
    <x v="1"/>
    <m/>
    <m/>
    <m/>
  </r>
  <r>
    <x v="2"/>
    <x v="6"/>
    <s v="C:\Users\andre\Desktop\REACTIV CEFAS\Cromolyn\Cromolyn/20201217_Cefas_Test10_Run1/Plate 1/@13/F8_02.tif "/>
    <s v=" 74320.3179 "/>
    <s v=" 42.2884 "/>
    <x v="0"/>
    <n v="3142889"/>
    <m/>
    <m/>
  </r>
  <r>
    <x v="2"/>
    <x v="6"/>
    <s v="C:\Users\andre\Desktop\REACTIV CEFAS\Cromolyn\Cromolyn/20201217_Cefas_Test10_Run1/Plate 1/@13/F8_03.tif "/>
    <s v=" 80333.4287 "/>
    <s v=" 44.6117 "/>
    <x v="0"/>
    <n v="3583814"/>
    <m/>
    <m/>
  </r>
  <r>
    <x v="2"/>
    <x v="6"/>
    <s v="C:\Users\andre\Desktop\REACTIV CEFAS\Cromolyn\Cromolyn/20201217_Cefas_Test10_Run1/Plate 1/@13/F8_04.tif "/>
    <s v=" 78365.1082 "/>
    <s v=" 43.4041 "/>
    <x v="0"/>
    <n v="3401366"/>
    <m/>
    <m/>
  </r>
  <r>
    <x v="2"/>
    <x v="7"/>
    <s v="C:\Users\andre\Desktop\REACTIV CEFAS\Cromolyn\Cromolyn/20201217_Cefas_Test10_Run1/Plate 1/@13/G8_01.tif "/>
    <s v=" 61450.5306 "/>
    <s v=" 39.6586 "/>
    <x v="0"/>
    <n v="2437040"/>
    <m/>
    <m/>
  </r>
  <r>
    <x v="2"/>
    <x v="7"/>
    <s v="C:\Users\andre\Desktop\REACTIV CEFAS\Cromolyn\Cromolyn/20201217_Cefas_Test10_Run1/Plate 1/@13/G8_02.tif "/>
    <s v=" 58487.2351 "/>
    <s v=" 39.0074 "/>
    <x v="0"/>
    <n v="2281435"/>
    <m/>
    <m/>
  </r>
  <r>
    <x v="2"/>
    <x v="7"/>
    <s v="C:\Users\andre\Desktop\REACTIV CEFAS\Cromolyn\Cromolyn/20201217_Cefas_Test10_Run1/Plate 1/@13/G8_03.tif "/>
    <s v=" 64089.3778 "/>
    <s v=" 38.9423 "/>
    <x v="0"/>
    <n v="2495787"/>
    <m/>
    <m/>
  </r>
  <r>
    <x v="2"/>
    <x v="7"/>
    <s v="C:\Users\andre\Desktop\REACTIV CEFAS\Cromolyn\Cromolyn/20201217_Cefas_Test10_Run1/Plate 1/@13/G8_04.tif "/>
    <s v=" 45530.9282 "/>
    <s v=" 36.439 "/>
    <x v="0"/>
    <n v="1659099"/>
    <m/>
    <m/>
  </r>
  <r>
    <x v="2"/>
    <x v="8"/>
    <s v="C:\Users\andre\Desktop\REACTIV CEFAS\Cromolyn\Cromolyn/20201217_Cefas_Test10_Run1/Plate 1/@13/H8_01.tif "/>
    <s v=" 76915.9053 "/>
    <s v=" 47.7663 "/>
    <x v="0"/>
    <n v="3673989"/>
    <m/>
    <m/>
  </r>
  <r>
    <x v="2"/>
    <x v="8"/>
    <s v="C:\Users\andre\Desktop\REACTIV CEFAS\Cromolyn\Cromolyn/20201217_Cefas_Test10_Run1/Plate 1/@13/H8_02- exclu.tif"/>
    <m/>
    <m/>
    <x v="1"/>
    <m/>
    <m/>
    <m/>
  </r>
  <r>
    <x v="2"/>
    <x v="8"/>
    <s v="C:\Users\andre\Desktop\REACTIV CEFAS\Cromolyn\Cromolyn/20201217_Cefas_Test10_Run1/Plate 1/@13/H8_03- exclu.tif"/>
    <m/>
    <m/>
    <x v="1"/>
    <m/>
    <m/>
    <m/>
  </r>
  <r>
    <x v="2"/>
    <x v="8"/>
    <s v="C:\Users\andre\Desktop\REACTIV CEFAS\Cromolyn\Cromolyn/20201217_Cefas_Test10_Run1/Plate 1/@13/H8_04.tif "/>
    <s v=" 92338.0202 "/>
    <s v=" 44.0412 "/>
    <x v="0"/>
    <n v="4066680"/>
    <m/>
    <m/>
  </r>
  <r>
    <x v="0"/>
    <x v="0"/>
    <s v=" "/>
    <m/>
    <m/>
    <x v="1"/>
    <m/>
    <m/>
    <m/>
  </r>
  <r>
    <x v="0"/>
    <x v="0"/>
    <s v="group "/>
    <s v=" "/>
    <s v=" mean of mean fluo "/>
    <x v="2"/>
    <s v=" mean of total fluo "/>
    <s v=" SD total fluo "/>
    <m/>
  </r>
  <r>
    <x v="2"/>
    <x v="9"/>
    <s v="C:\Users\andre\Desktop\REACTIV CEFAS\Cromolyn\Cromolyn/20201217_Cefas_Test10_Run1/Plate 1/@13/ "/>
    <s v=" "/>
    <s v=" 40.4529 "/>
    <x v="4"/>
    <s v=" 2082927.84 "/>
    <s v=" 1204866.54 "/>
    <m/>
  </r>
  <r>
    <x v="0"/>
    <x v="0"/>
    <s v=" "/>
    <m/>
    <m/>
    <x v="1"/>
    <m/>
    <m/>
    <m/>
  </r>
  <r>
    <x v="0"/>
    <x v="0"/>
    <s v=" "/>
    <m/>
    <m/>
    <x v="1"/>
    <m/>
    <m/>
    <m/>
  </r>
  <r>
    <x v="0"/>
    <x v="0"/>
    <s v=" "/>
    <m/>
    <m/>
    <x v="1"/>
    <m/>
    <m/>
    <m/>
  </r>
  <r>
    <x v="0"/>
    <x v="0"/>
    <s v=" "/>
    <m/>
    <m/>
    <x v="1"/>
    <m/>
    <m/>
    <m/>
  </r>
  <r>
    <x v="0"/>
    <x v="0"/>
    <s v=" "/>
    <m/>
    <m/>
    <x v="1"/>
    <m/>
    <m/>
    <m/>
  </r>
  <r>
    <x v="0"/>
    <x v="0"/>
    <s v="file name "/>
    <s v=" total area "/>
    <s v=" mean intensity "/>
    <x v="0"/>
    <s v=" total fluorescence"/>
    <m/>
    <m/>
  </r>
  <r>
    <x v="3"/>
    <x v="1"/>
    <s v="C:\Users\andre\Desktop\REACTIV CEFAS\Cromolyn\Cromolyn/20201217_Cefas_Test10_Run1/Plate 1/@14/A9_01.tif "/>
    <s v=" 22473.4605 "/>
    <s v=" 35.6959 "/>
    <x v="0"/>
    <n v="802210"/>
    <m/>
    <m/>
  </r>
  <r>
    <x v="3"/>
    <x v="1"/>
    <s v="C:\Users\andre\Desktop\REACTIV CEFAS\Cromolyn\Cromolyn/20201217_Cefas_Test10_Run1/Plate 1/@14/A9_02.tif "/>
    <s v=" 18709.8589 "/>
    <s v=" 33.6335 "/>
    <x v="0"/>
    <n v="629279"/>
    <m/>
    <m/>
  </r>
  <r>
    <x v="3"/>
    <x v="1"/>
    <s v="C:\Users\andre\Desktop\REACTIV CEFAS\Cromolyn\Cromolyn/20201217_Cefas_Test10_Run1/Plate 1/@14/A9_03.tif "/>
    <s v=" 17758.1435 "/>
    <s v=" 34.4056 "/>
    <x v="0"/>
    <n v="610980"/>
    <m/>
    <m/>
  </r>
  <r>
    <x v="3"/>
    <x v="1"/>
    <s v="C:\Users\andre\Desktop\REACTIV CEFAS\Cromolyn\Cromolyn/20201217_Cefas_Test10_Run1/Plate 1/@14/A9_04.tif "/>
    <s v=" 21565.0049 "/>
    <s v=" 34.5356 "/>
    <x v="0"/>
    <n v="744761"/>
    <m/>
    <m/>
  </r>
  <r>
    <x v="3"/>
    <x v="2"/>
    <s v="C:\Users\andre\Desktop\REACTIV CEFAS\Cromolyn\Cromolyn/20201217_Cefas_Test10_Run1/Plate 1/@14/B9_01.tif "/>
    <s v=" 6467.3385 "/>
    <s v=" 37.2241 "/>
    <x v="0"/>
    <n v="240741"/>
    <m/>
    <m/>
  </r>
  <r>
    <x v="3"/>
    <x v="2"/>
    <s v="C:\Users\andre\Desktop\REACTIV CEFAS\Cromolyn\Cromolyn/20201217_Cefas_Test10_Run1/Plate 1/@14/B9_02.tif "/>
    <s v=" 5667.0324 "/>
    <s v=" 38.2786 "/>
    <x v="0"/>
    <n v="216926"/>
    <m/>
    <m/>
  </r>
  <r>
    <x v="3"/>
    <x v="2"/>
    <s v="C:\Users\andre\Desktop\REACTIV CEFAS\Cromolyn\Cromolyn/20201217_Cefas_Test10_Run1/Plate 1/@14/B9_03.tif "/>
    <s v=" 7894.9115 "/>
    <s v=" 35.3726 "/>
    <x v="0"/>
    <n v="279264"/>
    <m/>
    <m/>
  </r>
  <r>
    <x v="3"/>
    <x v="2"/>
    <s v="C:\Users\andre\Desktop\REACTIV CEFAS\Cromolyn\Cromolyn/20201217_Cefas_Test10_Run1/Plate 1/@14/B9_04.tif "/>
    <s v=" 24182.2222 "/>
    <s v=" 34.5385 "/>
    <x v="0"/>
    <n v="835217"/>
    <m/>
    <m/>
  </r>
  <r>
    <x v="3"/>
    <x v="3"/>
    <s v="C:\Users\andre\Desktop\REACTIV CEFAS\Cromolyn\Cromolyn/20201217_Cefas_Test10_Run1/Plate 1/@14/C9_01.tif "/>
    <s v=" 62229.2068 "/>
    <s v=" 39.4692 "/>
    <x v="0"/>
    <n v="2456139"/>
    <m/>
    <m/>
  </r>
  <r>
    <x v="3"/>
    <x v="3"/>
    <s v="C:\Users\andre\Desktop\REACTIV CEFAS\Cromolyn\Cromolyn/20201217_Cefas_Test10_Run1/Plate 1/@14/C9_02.tif "/>
    <s v=" 54593.854 "/>
    <s v=" 38.3494 "/>
    <x v="0"/>
    <n v="2093644"/>
    <m/>
    <m/>
  </r>
  <r>
    <x v="3"/>
    <x v="3"/>
    <s v="C:\Users\andre\Desktop\REACTIV CEFAS\Cromolyn\Cromolyn/20201217_Cefas_Test10_Run1/Plate 1/@14/C9_03.tif "/>
    <s v=" 67182.4527 "/>
    <s v=" 40.925 "/>
    <x v="0"/>
    <n v="2749441"/>
    <m/>
    <m/>
  </r>
  <r>
    <x v="3"/>
    <x v="3"/>
    <s v="C:\Users\andre\Desktop\REACTIV CEFAS\Cromolyn\Cromolyn/20201217_Cefas_Test10_Run1/Plate 1/@14/C9_04- exclu.tif"/>
    <m/>
    <m/>
    <x v="1"/>
    <m/>
    <m/>
    <m/>
  </r>
  <r>
    <x v="3"/>
    <x v="4"/>
    <s v="C:\Users\andre\Desktop\REACTIV CEFAS\Cromolyn\Cromolyn/20201217_Cefas_Test10_Run1/Plate 1/@14/D9_01.tif "/>
    <s v=" 39928.7855 "/>
    <s v=" 36.0271 "/>
    <x v="0"/>
    <n v="1438518"/>
    <m/>
    <m/>
  </r>
  <r>
    <x v="3"/>
    <x v="4"/>
    <s v="C:\Users\andre\Desktop\REACTIV CEFAS\Cromolyn\Cromolyn/20201217_Cefas_Test10_Run1/Plate 1/@14/D9_02- exclu.tif"/>
    <m/>
    <m/>
    <x v="1"/>
    <m/>
    <m/>
    <m/>
  </r>
  <r>
    <x v="3"/>
    <x v="4"/>
    <s v="C:\Users\andre\Desktop\REACTIV CEFAS\Cromolyn\Cromolyn/20201217_Cefas_Test10_Run1/Plate 1/@14/D9_03.tif "/>
    <s v=" 28767.7599 "/>
    <s v=" 34.6647 "/>
    <x v="0"/>
    <n v="997225"/>
    <m/>
    <m/>
  </r>
  <r>
    <x v="3"/>
    <x v="4"/>
    <s v="C:\Users\andre\Desktop\REACTIV CEFAS\Cromolyn\Cromolyn/20201217_Cefas_Test10_Run1/Plate 1/@14/D9_04.tif "/>
    <s v=" 26150.5426 "/>
    <s v=" 33.9024 "/>
    <x v="0"/>
    <n v="886566"/>
    <m/>
    <m/>
  </r>
  <r>
    <x v="3"/>
    <x v="5"/>
    <s v="C:\Users\andre\Desktop\REACTIV CEFAS\Cromolyn\Cromolyn/20201217_Cefas_Test10_Run1/Plate 1/@14/E9_01.tif "/>
    <s v=" 53620.5088 "/>
    <s v=" 39.5934 "/>
    <x v="0"/>
    <n v="2123017"/>
    <m/>
    <m/>
  </r>
  <r>
    <x v="3"/>
    <x v="5"/>
    <s v="C:\Users\andre\Desktop\REACTIV CEFAS\Cromolyn\Cromolyn/20201217_Cefas_Test10_Run1/Plate 1/@14/E9_02.tif "/>
    <s v=" 53014.8717 "/>
    <s v=" 40.4264 "/>
    <x v="0"/>
    <n v="2143198"/>
    <m/>
    <m/>
  </r>
  <r>
    <x v="3"/>
    <x v="5"/>
    <s v="C:\Users\andre\Desktop\REACTIV CEFAS\Cromolyn\Cromolyn/20201217_Cefas_Test10_Run1/Plate 1/@14/E9_03.tif "/>
    <s v=" 50484.1741 "/>
    <s v=" 38.91 "/>
    <x v="0"/>
    <n v="1964341"/>
    <m/>
    <m/>
  </r>
  <r>
    <x v="3"/>
    <x v="5"/>
    <s v="C:\Users\andre\Desktop\REACTIV CEFAS\Cromolyn\Cromolyn/20201217_Cefas_Test10_Run1/Plate 1/@14/E9_04.tif "/>
    <s v=" 52820.2027 "/>
    <s v=" 39.959 "/>
    <x v="0"/>
    <n v="2110645"/>
    <m/>
    <m/>
  </r>
  <r>
    <x v="3"/>
    <x v="6"/>
    <s v="C:\Users\andre\Desktop\REACTIV CEFAS\Cromolyn\Cromolyn/20201217_Cefas_Test10_Run1/Plate 1/@14/F9_01.tif "/>
    <s v=" 48970.0814 "/>
    <s v=" 36.8313 "/>
    <x v="0"/>
    <n v="1803630"/>
    <m/>
    <m/>
  </r>
  <r>
    <x v="3"/>
    <x v="6"/>
    <s v="C:\Users\andre\Desktop\REACTIV CEFAS\Cromolyn\Cromolyn/20201217_Cefas_Test10_Run1/Plate 1/@14/F9_02.tif "/>
    <s v=" 51327.74 "/>
    <s v=" 37.5727 "/>
    <x v="0"/>
    <n v="1928521"/>
    <m/>
    <m/>
  </r>
  <r>
    <x v="3"/>
    <x v="6"/>
    <s v="C:\Users\andre\Desktop\REACTIV CEFAS\Cromolyn\Cromolyn/20201217_Cefas_Test10_Run1/Plate 1/@14/F9_03.tif "/>
    <s v=" 53901.6974 "/>
    <s v=" 39.3006 "/>
    <x v="0"/>
    <n v="2118367"/>
    <m/>
    <m/>
  </r>
  <r>
    <x v="3"/>
    <x v="6"/>
    <s v="C:\Users\andre\Desktop\REACTIV CEFAS\Cromolyn\Cromolyn/20201217_Cefas_Test10_Run1/Plate 1/@14/F9_04.tif "/>
    <s v=" 59179.3917 "/>
    <s v=" 39.7971 "/>
    <x v="0"/>
    <n v="2355171"/>
    <m/>
    <m/>
  </r>
  <r>
    <x v="3"/>
    <x v="7"/>
    <s v="C:\Users\andre\Desktop\REACTIV CEFAS\Cromolyn\Cromolyn/20201217_Cefas_Test10_Run1/Plate 1/@14/G9_01.tif "/>
    <s v=" 62077.7976 "/>
    <s v=" 39.5491 "/>
    <x v="0"/>
    <n v="2455123"/>
    <m/>
    <m/>
  </r>
  <r>
    <x v="3"/>
    <x v="7"/>
    <s v="C:\Users\andre\Desktop\REACTIV CEFAS\Cromolyn\Cromolyn/20201217_Cefas_Test10_Run1/Plate 1/@14/G9_02.tif "/>
    <s v=" 63159.2923 "/>
    <s v=" 39.5216 "/>
    <x v="0"/>
    <n v="2496155"/>
    <m/>
    <m/>
  </r>
  <r>
    <x v="3"/>
    <x v="7"/>
    <s v="C:\Users\andre\Desktop\REACTIV CEFAS\Cromolyn\Cromolyn/20201217_Cefas_Test10_Run1/Plate 1/@14/G9_03.tif "/>
    <s v=" 61645.1997 "/>
    <s v=" 40.4291 "/>
    <x v="0"/>
    <n v="2492261"/>
    <m/>
    <m/>
  </r>
  <r>
    <x v="3"/>
    <x v="7"/>
    <s v="C:\Users\andre\Desktop\REACTIV CEFAS\Cromolyn\Cromolyn/20201217_Cefas_Test10_Run1/Plate 1/@14/G9_04.tif "/>
    <s v=" 69215.6628 "/>
    <s v=" 39.4338 "/>
    <x v="0"/>
    <n v="2729433"/>
    <m/>
    <m/>
  </r>
  <r>
    <x v="3"/>
    <x v="8"/>
    <s v="C:\Users\andre\Desktop\REACTIV CEFAS\Cromolyn\Cromolyn/20201217_Cefas_Test10_Run1/Plate 1/@14/H9_01.tif "/>
    <s v=" 54139.6263 "/>
    <s v=" 40.0967 "/>
    <x v="0"/>
    <n v="2170819"/>
    <m/>
    <m/>
  </r>
  <r>
    <x v="3"/>
    <x v="8"/>
    <s v="C:\Users\andre\Desktop\REACTIV CEFAS\Cromolyn\Cromolyn/20201217_Cefas_Test10_Run1/Plate 1/@14/H9_02.tif "/>
    <s v=" 57189.4414 "/>
    <s v=" 40.2761 "/>
    <x v="0"/>
    <n v="2303367"/>
    <m/>
    <m/>
  </r>
  <r>
    <x v="3"/>
    <x v="8"/>
    <s v="C:\Users\andre\Desktop\REACTIV CEFAS\Cromolyn\Cromolyn/20201217_Cefas_Test10_Run1/Plate 1/@14/H9_03.tif "/>
    <s v=" 58811.6835 "/>
    <s v=" 41.2711 "/>
    <x v="0"/>
    <n v="2427220"/>
    <m/>
    <m/>
  </r>
  <r>
    <x v="3"/>
    <x v="8"/>
    <s v="C:\Users\andre\Desktop\REACTIV CEFAS\Cromolyn\Cromolyn/20201217_Cefas_Test10_Run1/Plate 1/@14/H9_04.tif "/>
    <s v=" 55242.7509 "/>
    <s v=" 40.0121 "/>
    <x v="0"/>
    <n v="2210381"/>
    <m/>
    <m/>
  </r>
  <r>
    <x v="0"/>
    <x v="0"/>
    <s v=" "/>
    <m/>
    <m/>
    <x v="1"/>
    <m/>
    <m/>
    <m/>
  </r>
  <r>
    <x v="0"/>
    <x v="0"/>
    <s v="group "/>
    <s v=" "/>
    <s v=" mean of mean fluo "/>
    <x v="2"/>
    <s v=" mean of total fluo "/>
    <s v=" SD total fluo "/>
    <m/>
  </r>
  <r>
    <x v="3"/>
    <x v="9"/>
    <s v="C:\Users\andre\Desktop\REACTIV CEFAS\Cromolyn\Cromolyn/20201217_Cefas_Test10_Run1/Plate 1/@14/ "/>
    <s v=" "/>
    <s v=" 38.015 "/>
    <x v="5"/>
    <s v=" 1675605.78 "/>
    <s v=" 808265.489 "/>
    <m/>
  </r>
  <r>
    <x v="0"/>
    <x v="0"/>
    <s v=" "/>
    <m/>
    <m/>
    <x v="1"/>
    <m/>
    <m/>
    <m/>
  </r>
  <r>
    <x v="0"/>
    <x v="0"/>
    <s v=" "/>
    <m/>
    <m/>
    <x v="1"/>
    <m/>
    <m/>
    <m/>
  </r>
  <r>
    <x v="0"/>
    <x v="0"/>
    <s v=" "/>
    <m/>
    <m/>
    <x v="1"/>
    <m/>
    <m/>
    <m/>
  </r>
  <r>
    <x v="0"/>
    <x v="0"/>
    <s v=" "/>
    <m/>
    <m/>
    <x v="1"/>
    <m/>
    <m/>
    <m/>
  </r>
  <r>
    <x v="0"/>
    <x v="0"/>
    <s v=" "/>
    <m/>
    <m/>
    <x v="1"/>
    <m/>
    <m/>
    <m/>
  </r>
  <r>
    <x v="0"/>
    <x v="0"/>
    <s v="file name "/>
    <s v=" total area "/>
    <s v=" mean intensity "/>
    <x v="0"/>
    <s v=" total fluorescence"/>
    <m/>
    <m/>
  </r>
  <r>
    <x v="4"/>
    <x v="1"/>
    <s v="C:\Users\andre\Desktop\REACTIV CEFAS\Cromolyn\Cromolyn/20201217_Cefas_Test10_Run1/Plate 1/@15/A11_01.tif "/>
    <s v=" 45206.4798 "/>
    <s v=" 49.2211 "/>
    <x v="0"/>
    <n v="2225111"/>
    <m/>
    <m/>
  </r>
  <r>
    <x v="4"/>
    <x v="1"/>
    <s v="C:\Users\andre\Desktop\REACTIV CEFAS\Cromolyn\Cromolyn/20201217_Cefas_Test10_Run1/Plate 1/@15/A11_02.tif "/>
    <s v=" 48797.0423 "/>
    <s v=" 46.6418 "/>
    <x v="0"/>
    <n v="2275984"/>
    <m/>
    <m/>
  </r>
  <r>
    <x v="4"/>
    <x v="1"/>
    <s v="C:\Users\andre\Desktop\REACTIV CEFAS\Cromolyn\Cromolyn/20201217_Cefas_Test10_Run1/Plate 1/@15/A11_03.tif "/>
    <s v=" 43389.5686 "/>
    <s v=" 44.7168 "/>
    <x v="0"/>
    <n v="1940245"/>
    <m/>
    <m/>
  </r>
  <r>
    <x v="4"/>
    <x v="1"/>
    <s v="C:\Users\andre\Desktop\REACTIV CEFAS\Cromolyn\Cromolyn/20201217_Cefas_Test10_Run1/Plate 1/@15/A11_04- exclu.tif"/>
    <m/>
    <m/>
    <x v="1"/>
    <m/>
    <m/>
    <m/>
  </r>
  <r>
    <x v="4"/>
    <x v="2"/>
    <s v="C:\Users\andre\Desktop\REACTIV CEFAS\Cromolyn\Cromolyn/20201217_Cefas_Test10_Run1/Plate 1/@15/B11_01.tif "/>
    <s v=" 70708.1255 "/>
    <s v=" 49.3197 "/>
    <x v="0"/>
    <n v="3487301"/>
    <m/>
    <m/>
  </r>
  <r>
    <x v="4"/>
    <x v="2"/>
    <s v="C:\Users\andre\Desktop\REACTIV CEFAS\Cromolyn\Cromolyn/20201217_Cefas_Test10_Run1/Plate 1/@15/B11_02.tif "/>
    <s v=" 69453.5917 "/>
    <s v=" 46.3282 "/>
    <x v="0"/>
    <n v="3217663"/>
    <m/>
    <m/>
  </r>
  <r>
    <x v="4"/>
    <x v="2"/>
    <s v="C:\Users\andre\Desktop\REACTIV CEFAS\Cromolyn\Cromolyn/20201217_Cefas_Test10_Run1/Plate 1/@15/B11_03.tif "/>
    <s v=" 70297.1575 "/>
    <s v=" 48.4434 "/>
    <x v="0"/>
    <n v="3405432"/>
    <m/>
    <m/>
  </r>
  <r>
    <x v="4"/>
    <x v="2"/>
    <s v="C:\Users\andre\Desktop\REACTIV CEFAS\Cromolyn\Cromolyn/20201217_Cefas_Test10_Run1/Plate 1/@15/B11_04.tif "/>
    <s v=" 95906.9528 "/>
    <s v=" 39.7869 "/>
    <x v="0"/>
    <n v="3815838"/>
    <m/>
    <m/>
  </r>
  <r>
    <x v="4"/>
    <x v="3"/>
    <s v="C:\Users\andre\Desktop\REACTIV CEFAS\Cromolyn\Cromolyn/20201217_Cefas_Test10_Run1/Plate 1/@15/C11_01.tif "/>
    <s v=" 72308.7377 "/>
    <s v=" 48.9758 "/>
    <x v="0"/>
    <n v="3541376"/>
    <m/>
    <m/>
  </r>
  <r>
    <x v="4"/>
    <x v="3"/>
    <s v="C:\Users\andre\Desktop\REACTIV CEFAS\Cromolyn\Cromolyn/20201217_Cefas_Test10_Run1/Plate 1/@15/C11_02.tif "/>
    <s v=" 64067.7479 "/>
    <s v=" 48.3707 "/>
    <x v="0"/>
    <n v="3099002"/>
    <m/>
    <m/>
  </r>
  <r>
    <x v="4"/>
    <x v="3"/>
    <s v="C:\Users\andre\Desktop\REACTIV CEFAS\Cromolyn\Cromolyn/20201217_Cefas_Test10_Run1/Plate 1/@15/C11_03.tif "/>
    <s v=" 69258.9226 "/>
    <s v=" 47.9216 "/>
    <x v="0"/>
    <n v="3318999"/>
    <m/>
    <m/>
  </r>
  <r>
    <x v="4"/>
    <x v="3"/>
    <s v="C:\Users\andre\Desktop\REACTIV CEFAS\Cromolyn\Cromolyn/20201217_Cefas_Test10_Run1/Plate 1/@15/C11_04.tif "/>
    <s v=" 68393.7268 "/>
    <s v=" 48.7321 "/>
    <x v="0"/>
    <n v="3332972"/>
    <m/>
    <m/>
  </r>
  <r>
    <x v="4"/>
    <x v="4"/>
    <s v="C:\Users\andre\Desktop\REACTIV CEFAS\Cromolyn\Cromolyn/20201217_Cefas_Test10_Run1/Plate 1/@15/D11_01.tif "/>
    <s v=" 66209.1075 "/>
    <s v=" 52.179 "/>
    <x v="0"/>
    <n v="3454727"/>
    <m/>
    <m/>
  </r>
  <r>
    <x v="4"/>
    <x v="4"/>
    <s v="C:\Users\andre\Desktop\REACTIV CEFAS\Cromolyn\Cromolyn/20201217_Cefas_Test10_Run1/Plate 1/@15/D11_02.tif "/>
    <s v=" 50311.1349 "/>
    <s v=" 52.2623 "/>
    <x v="0"/>
    <n v="2629373"/>
    <m/>
    <m/>
  </r>
  <r>
    <x v="4"/>
    <x v="4"/>
    <s v="C:\Users\andre\Desktop\REACTIV CEFAS\Cromolyn\Cromolyn/20201217_Cefas_Test10_Run1/Plate 1/@15/D11_03.tif "/>
    <s v=" 59417.3205 "/>
    <s v=" 51.8056 "/>
    <x v="0"/>
    <n v="3078150"/>
    <m/>
    <m/>
  </r>
  <r>
    <x v="4"/>
    <x v="4"/>
    <s v="C:\Users\andre\Desktop\REACTIV CEFAS\Cromolyn\Cromolyn/20201217_Cefas_Test10_Run1/Plate 1/@15/D11_04.tif "/>
    <s v=" 86541.2084 "/>
    <s v=" 53.2239 "/>
    <x v="0"/>
    <n v="4606064"/>
    <m/>
    <m/>
  </r>
  <r>
    <x v="4"/>
    <x v="5"/>
    <s v="C:\Users\andre\Desktop\REACTIV CEFAS\Cromolyn\Cromolyn/20201217_Cefas_Test10_Run1/Plate 1/@15/E11_01.tif "/>
    <s v=" 91299.7852 "/>
    <s v=" 53.0301 "/>
    <x v="0"/>
    <n v="4841636"/>
    <m/>
    <m/>
  </r>
  <r>
    <x v="4"/>
    <x v="5"/>
    <s v="C:\Users\andre\Desktop\REACTIV CEFAS\Cromolyn\Cromolyn/20201217_Cefas_Test10_Run1/Plate 1/@15/E11_02- exclu.tif"/>
    <m/>
    <m/>
    <x v="1"/>
    <m/>
    <m/>
    <m/>
  </r>
  <r>
    <x v="4"/>
    <x v="5"/>
    <s v="C:\Users\andre\Desktop\REACTIV CEFAS\Cromolyn\Cromolyn/20201217_Cefas_Test10_Run1/Plate 1/@15/E11_03.tif "/>
    <s v=" 92554.3191 "/>
    <s v=" 51.8941 "/>
    <x v="0"/>
    <n v="4803026"/>
    <m/>
    <m/>
  </r>
  <r>
    <x v="4"/>
    <x v="5"/>
    <s v="C:\Users\andre\Desktop\REACTIV CEFAS\Cromolyn\Cromolyn/20201217_Cefas_Test10_Run1/Plate 1/@15/E11_04- exclu.tif"/>
    <m/>
    <m/>
    <x v="1"/>
    <m/>
    <m/>
    <m/>
  </r>
  <r>
    <x v="4"/>
    <x v="6"/>
    <s v="C:\Users\andre\Desktop\REACTIV CEFAS\Cromolyn\Cromolyn/20201217_Cefas_Test10_Run1/Plate 1/@15/F11_01.tif "/>
    <s v=" 60022.9576 "/>
    <s v=" 49.2076 "/>
    <x v="0"/>
    <n v="2953584"/>
    <m/>
    <m/>
  </r>
  <r>
    <x v="4"/>
    <x v="6"/>
    <s v="C:\Users\andre\Desktop\REACTIV CEFAS\Cromolyn\Cromolyn/20201217_Cefas_Test10_Run1/Plate 1/@15/F11_02.tif "/>
    <s v=" 71919.3996 "/>
    <s v=" 51.0247 "/>
    <x v="0"/>
    <n v="3669663"/>
    <m/>
    <m/>
  </r>
  <r>
    <x v="4"/>
    <x v="6"/>
    <s v="C:\Users\andre\Desktop\REACTIV CEFAS\Cromolyn\Cromolyn/20201217_Cefas_Test10_Run1/Plate 1/@15/F11_03.tif "/>
    <s v=" 64586.8654 "/>
    <s v=" 48.4588 "/>
    <x v="0"/>
    <n v="3129802"/>
    <m/>
    <m/>
  </r>
  <r>
    <x v="4"/>
    <x v="6"/>
    <s v="C:\Users\andre\Desktop\REACTIV CEFAS\Cromolyn\Cromolyn/20201217_Cefas_Test10_Run1/Plate 1/@15/F11_04.tif "/>
    <s v=" 68372.0969 "/>
    <s v=" 51.745 "/>
    <x v="0"/>
    <n v="3537915"/>
    <m/>
    <m/>
  </r>
  <r>
    <x v="4"/>
    <x v="7"/>
    <s v="C:\Users\andre\Desktop\REACTIV CEFAS\Cromolyn\Cromolyn/20201217_Cefas_Test10_Run1/Plate 1/@15/G11_01- exclu.tif"/>
    <m/>
    <m/>
    <x v="1"/>
    <m/>
    <m/>
    <m/>
  </r>
  <r>
    <x v="4"/>
    <x v="7"/>
    <s v="C:\Users\andre\Desktop\REACTIV CEFAS\Cromolyn\Cromolyn/20201217_Cefas_Test10_Run1/Plate 1/@15/G11_02- exclu.tif"/>
    <m/>
    <m/>
    <x v="1"/>
    <m/>
    <m/>
    <m/>
  </r>
  <r>
    <x v="4"/>
    <x v="7"/>
    <s v="C:\Users\andre\Desktop\REACTIV CEFAS\Cromolyn\Cromolyn/20201217_Cefas_Test10_Run1/Plate 1/@15/G11_03- exclu.tif"/>
    <m/>
    <m/>
    <x v="1"/>
    <m/>
    <m/>
    <m/>
  </r>
  <r>
    <x v="4"/>
    <x v="7"/>
    <s v="C:\Users\andre\Desktop\REACTIV CEFAS\Cromolyn\Cromolyn/20201217_Cefas_Test10_Run1/Plate 1/@15/G11_04.tif "/>
    <s v=" 59179.3917 "/>
    <s v=" 43.6184 "/>
    <x v="0"/>
    <n v="2581312"/>
    <m/>
    <m/>
  </r>
  <r>
    <x v="4"/>
    <x v="8"/>
    <s v="C:\Users\andre\Desktop\REACTIV CEFAS\Cromolyn\Cromolyn/20201217_Cefas_Test10_Run1/Plate 1/@15/H11_01.tif "/>
    <s v=" 89180.0556 "/>
    <s v=" 52.1426 "/>
    <x v="0"/>
    <n v="4650081"/>
    <m/>
    <m/>
  </r>
  <r>
    <x v="4"/>
    <x v="8"/>
    <s v="C:\Users\andre\Desktop\REACTIV CEFAS\Cromolyn\Cromolyn/20201217_Cefas_Test10_Run1/Plate 1/@15/H11_02.tif "/>
    <s v=" 85113.6354 "/>
    <s v=" 48.4943 "/>
    <x v="0"/>
    <n v="4127525"/>
    <m/>
    <m/>
  </r>
  <r>
    <x v="4"/>
    <x v="8"/>
    <s v="C:\Users\andre\Desktop\REACTIV CEFAS\Cromolyn\Cromolyn/20201217_Cefas_Test10_Run1/Plate 1/@15/H11_03.tif "/>
    <s v=" 83037.1655 "/>
    <s v=" 46.8755 "/>
    <x v="0"/>
    <n v="3892408"/>
    <m/>
    <m/>
  </r>
  <r>
    <x v="4"/>
    <x v="8"/>
    <s v="C:\Users\andre\Desktop\REACTIV CEFAS\Cromolyn\Cromolyn/20201217_Cefas_Test10_Run1/Plate 1/@15/H11_04.tif "/>
    <s v=" 91407.9347 "/>
    <s v=" 48.4941 "/>
    <x v="0"/>
    <n v="4432744"/>
    <m/>
    <m/>
  </r>
  <r>
    <x v="0"/>
    <x v="0"/>
    <s v=" "/>
    <m/>
    <m/>
    <x v="1"/>
    <m/>
    <m/>
    <m/>
  </r>
  <r>
    <x v="0"/>
    <x v="0"/>
    <s v="group "/>
    <s v=" "/>
    <s v=" mean of mean fluo "/>
    <x v="2"/>
    <s v=" mean of total fluo "/>
    <s v=" SD total fluo "/>
    <m/>
  </r>
  <r>
    <x v="4"/>
    <x v="9"/>
    <s v="C:\Users\andre\Desktop\REACTIV CEFAS\Cromolyn\Cromolyn/20201217_Cefas_Test10_Run1/Plate 1/@15/ "/>
    <s v=" "/>
    <s v=" 47.5085 "/>
    <x v="6"/>
    <s v=" 3113422.53 "/>
    <s v=" 1237403.33 "/>
    <m/>
  </r>
  <r>
    <x v="0"/>
    <x v="0"/>
    <s v=" "/>
    <m/>
    <m/>
    <x v="1"/>
    <m/>
    <m/>
    <m/>
  </r>
  <r>
    <x v="0"/>
    <x v="0"/>
    <s v=" "/>
    <m/>
    <m/>
    <x v="1"/>
    <m/>
    <m/>
    <m/>
  </r>
  <r>
    <x v="0"/>
    <x v="0"/>
    <s v=" "/>
    <m/>
    <m/>
    <x v="1"/>
    <m/>
    <m/>
    <m/>
  </r>
  <r>
    <x v="0"/>
    <x v="0"/>
    <s v=" "/>
    <m/>
    <m/>
    <x v="1"/>
    <m/>
    <m/>
    <m/>
  </r>
  <r>
    <x v="0"/>
    <x v="0"/>
    <s v=" "/>
    <m/>
    <m/>
    <x v="1"/>
    <m/>
    <m/>
    <m/>
  </r>
  <r>
    <x v="0"/>
    <x v="0"/>
    <s v="file name "/>
    <s v=" total area "/>
    <s v=" mean intensity "/>
    <x v="0"/>
    <s v=" total fluorescence"/>
    <m/>
    <m/>
  </r>
  <r>
    <x v="5"/>
    <x v="1"/>
    <s v="C:\Users\andre\Desktop\REACTIV CEFAS\Cromolyn\Cromolyn/20201217_Cefas_Test10_Run1/Plate 1/@16/A12_01.tif "/>
    <s v=" 2552.3276 "/>
    <s v=" 34.2288 "/>
    <x v="0"/>
    <n v="87363"/>
    <m/>
    <m/>
  </r>
  <r>
    <x v="5"/>
    <x v="1"/>
    <s v="C:\Users\andre\Desktop\REACTIV CEFAS\Cromolyn\Cromolyn/20201217_Cefas_Test10_Run1/Plate 1/@16/A12_02.tif "/>
    <s v=" 3979.9006 "/>
    <s v=" 35.3533 "/>
    <x v="0"/>
    <n v="140702"/>
    <m/>
    <m/>
  </r>
  <r>
    <x v="5"/>
    <x v="1"/>
    <s v="C:\Users\andre\Desktop\REACTIV CEFAS\Cromolyn\Cromolyn/20201217_Cefas_Test10_Run1/Plate 1/@16/A12_03.tif "/>
    <s v=" 1557.3524 "/>
    <s v=" 34.5556 "/>
    <x v="0"/>
    <n v="53815"/>
    <m/>
    <m/>
  </r>
  <r>
    <x v="5"/>
    <x v="1"/>
    <s v="C:\Users\andre\Desktop\REACTIV CEFAS\Cromolyn\Cromolyn/20201217_Cefas_Test10_Run1/Plate 1/@16/A12_04.tif "/>
    <s v=" 6272.6694 "/>
    <s v=" 39.6655 "/>
    <x v="0"/>
    <n v="248809"/>
    <m/>
    <m/>
  </r>
  <r>
    <x v="5"/>
    <x v="2"/>
    <s v="C:\Users\andre\Desktop\REACTIV CEFAS\Cromolyn\Cromolyn/20201217_Cefas_Test10_Run1/Plate 1/@16/B12_01.tif "/>
    <s v=" 7419.0539 "/>
    <s v=" 35.7668 "/>
    <x v="0"/>
    <n v="265356"/>
    <m/>
    <m/>
  </r>
  <r>
    <x v="5"/>
    <x v="2"/>
    <s v="C:\Users\andre\Desktop\REACTIV CEFAS\Cromolyn\Cromolyn/20201217_Cefas_Test10_Run1/Plate 1/@16/B12_02.tif "/>
    <s v=" 10339.0896 "/>
    <s v=" 40.0188 "/>
    <x v="0"/>
    <n v="413758"/>
    <m/>
    <m/>
  </r>
  <r>
    <x v="5"/>
    <x v="2"/>
    <s v="C:\Users\andre\Desktop\REACTIV CEFAS\Cromolyn\Cromolyn/20201217_Cefas_Test10_Run1/Plate 1/@16/B12_03.tif "/>
    <s v=" 8998.0362 "/>
    <s v=" 39.0601 "/>
    <x v="0"/>
    <n v="351464"/>
    <m/>
    <m/>
  </r>
  <r>
    <x v="5"/>
    <x v="2"/>
    <s v="C:\Users\andre\Desktop\REACTIV CEFAS\Cromolyn\Cromolyn/20201217_Cefas_Test10_Run1/Plate 1/@16/B12_04.tif "/>
    <s v=" 3006.5554 "/>
    <s v=" 35.5755 "/>
    <x v="0"/>
    <n v="106960"/>
    <m/>
    <m/>
  </r>
  <r>
    <x v="5"/>
    <x v="3"/>
    <s v="C:\Users\andre\Desktop\REACTIV CEFAS\Cromolyn\Cromolyn/20201217_Cefas_Test10_Run1/Plate 1/@16/C12_01.tif "/>
    <s v=" 6229.4097 "/>
    <s v=" 34.7743 "/>
    <x v="0"/>
    <n v="216623"/>
    <m/>
    <m/>
  </r>
  <r>
    <x v="5"/>
    <x v="3"/>
    <s v="C:\Users\andre\Desktop\REACTIV CEFAS\Cromolyn\Cromolyn/20201217_Cefas_Test10_Run1/Plate 1/@16/C12_02.tif "/>
    <s v=" 8673.5877 "/>
    <s v=" 36.5187 "/>
    <x v="0"/>
    <n v="316748"/>
    <m/>
    <m/>
  </r>
  <r>
    <x v="5"/>
    <x v="3"/>
    <s v="C:\Users\andre\Desktop\REACTIV CEFAS\Cromolyn\Cromolyn/20201217_Cefas_Test10_Run1/Plate 1/@16/C12_03.tif "/>
    <s v=" 4088.0501 "/>
    <s v=" 34.9841 "/>
    <x v="0"/>
    <n v="143017"/>
    <m/>
    <m/>
  </r>
  <r>
    <x v="5"/>
    <x v="3"/>
    <s v="C:\Users\andre\Desktop\REACTIV CEFAS\Cromolyn\Cromolyn/20201217_Cefas_Test10_Run1/Plate 1/@16/C12_04.tif "/>
    <s v=" 43.2598 "/>
    <n v="30"/>
    <x v="0"/>
    <n v="1298"/>
    <m/>
    <m/>
  </r>
  <r>
    <x v="5"/>
    <x v="4"/>
    <s v="C:\Users\andre\Desktop\REACTIV CEFAS\Cromolyn\Cromolyn/20201217_Cefas_Test10_Run1/Plate 1/@16/D12_01- exclu.tif"/>
    <m/>
    <m/>
    <x v="1"/>
    <m/>
    <m/>
    <m/>
  </r>
  <r>
    <x v="5"/>
    <x v="4"/>
    <s v="C:\Users\andre\Desktop\REACTIV CEFAS\Cromolyn\Cromolyn/20201217_Cefas_Test10_Run1/Plate 1/@16/D12_02- exclu.tif"/>
    <m/>
    <m/>
    <x v="1"/>
    <m/>
    <m/>
    <m/>
  </r>
  <r>
    <x v="5"/>
    <x v="4"/>
    <s v="C:\Users\andre\Desktop\REACTIV CEFAS\Cromolyn\Cromolyn/20201217_Cefas_Test10_Run1/Plate 1/@16/D12_03.tif "/>
    <s v=" 8370.7692 "/>
    <s v=" 38.3798 "/>
    <x v="0"/>
    <n v="321269"/>
    <m/>
    <m/>
  </r>
  <r>
    <x v="5"/>
    <x v="4"/>
    <s v="C:\Users\andre\Desktop\REACTIV CEFAS\Cromolyn\Cromolyn/20201217_Cefas_Test10_Run1/Plate 1/@16/D12_04.tif "/>
    <s v=" 4542.2779 "/>
    <s v=" 33.8952 "/>
    <x v="0"/>
    <n v="153962"/>
    <m/>
    <m/>
  </r>
  <r>
    <x v="5"/>
    <x v="5"/>
    <s v="C:\Users\andre\Desktop\REACTIV CEFAS\Cromolyn\Cromolyn/20201217_Cefas_Test10_Run1/Plate 1/@16/E12_01- exclu.tif"/>
    <m/>
    <m/>
    <x v="1"/>
    <m/>
    <m/>
    <m/>
  </r>
  <r>
    <x v="5"/>
    <x v="5"/>
    <s v="C:\Users\andre\Desktop\REACTIV CEFAS\Cromolyn\Cromolyn/20201217_Cefas_Test10_Run1/Plate 1/@16/E12_02.tif "/>
    <s v=" 10728.4277 "/>
    <s v=" 44.9577 "/>
    <x v="0"/>
    <n v="482325"/>
    <m/>
    <m/>
  </r>
  <r>
    <x v="5"/>
    <x v="5"/>
    <s v="C:\Users\andre\Desktop\REACTIV CEFAS\Cromolyn\Cromolyn/20201217_Cefas_Test10_Run1/Plate 1/@16/E12_03.tif "/>
    <s v=" 7505.5734 "/>
    <s v=" 46.0403 "/>
    <x v="0"/>
    <n v="345559"/>
    <m/>
    <m/>
  </r>
  <r>
    <x v="5"/>
    <x v="5"/>
    <s v="C:\Users\andre\Desktop\REACTIV CEFAS\Cromolyn\Cromolyn/20201217_Cefas_Test10_Run1/Plate 1/@16/E12_04- exclu.tif"/>
    <m/>
    <m/>
    <x v="1"/>
    <m/>
    <m/>
    <m/>
  </r>
  <r>
    <x v="5"/>
    <x v="6"/>
    <s v="C:\Users\andre\Desktop\REACTIV CEFAS\Cromolyn\Cromolyn/20201217_Cefas_Test10_Run1/Plate 1/@16/F12_01.tif "/>
    <s v=" 15292.3355 "/>
    <s v=" 42.4059 "/>
    <x v="0"/>
    <n v="648486"/>
    <m/>
    <m/>
  </r>
  <r>
    <x v="5"/>
    <x v="6"/>
    <s v="C:\Users\andre\Desktop\REACTIV CEFAS\Cromolyn\Cromolyn/20201217_Cefas_Test10_Run1/Plate 1/@16/F12_02.tif "/>
    <s v=" 13129.346 "/>
    <s v=" 42.2768 "/>
    <x v="0"/>
    <n v="555066"/>
    <m/>
    <m/>
  </r>
  <r>
    <x v="5"/>
    <x v="6"/>
    <s v="C:\Users\andre\Desktop\REACTIV CEFAS\Cromolyn\Cromolyn/20201217_Cefas_Test10_Run1/Plate 1/@16/F12_03.tif "/>
    <s v=" 12026.2214 "/>
    <s v=" 40.4856 "/>
    <x v="0"/>
    <n v="486889"/>
    <m/>
    <m/>
  </r>
  <r>
    <x v="5"/>
    <x v="6"/>
    <s v="C:\Users\andre\Desktop\REACTIV CEFAS\Cromolyn\Cromolyn/20201217_Cefas_Test10_Run1/Plate 1/@16/F12_04.tif "/>
    <s v=" 10122.7907 "/>
    <s v=" 42.0214 "/>
    <x v="0"/>
    <n v="425374"/>
    <m/>
    <m/>
  </r>
  <r>
    <x v="5"/>
    <x v="7"/>
    <s v="C:\Users\andre\Desktop\REACTIV CEFAS\Cromolyn\Cromolyn/20201217_Cefas_Test10_Run1/Plate 1/@16/G12_01- exclu.tif"/>
    <m/>
    <m/>
    <x v="1"/>
    <m/>
    <m/>
    <m/>
  </r>
  <r>
    <x v="5"/>
    <x v="7"/>
    <s v="C:\Users\andre\Desktop\REACTIV CEFAS\Cromolyn\Cromolyn/20201217_Cefas_Test10_Run1/Plate 1/@16/G12_02.tif "/>
    <s v=" 7224.3848 "/>
    <s v=" 37.6916 "/>
    <x v="0"/>
    <n v="272299"/>
    <m/>
    <m/>
  </r>
  <r>
    <x v="5"/>
    <x v="7"/>
    <s v="C:\Users\andre\Desktop\REACTIV CEFAS\Cromolyn\Cromolyn/20201217_Cefas_Test10_Run1/Plate 1/@16/G12_03.tif "/>
    <s v=" 4001.5305 "/>
    <s v=" 32.7027 "/>
    <x v="0"/>
    <n v="130861"/>
    <m/>
    <m/>
  </r>
  <r>
    <x v="5"/>
    <x v="7"/>
    <s v="C:\Users\andre\Desktop\REACTIV CEFAS\Cromolyn\Cromolyn/20201217_Cefas_Test10_Run1/Plate 1/@16/G12_04.tif "/>
    <s v=" 7592.093 "/>
    <s v=" 36.5071 "/>
    <x v="0"/>
    <n v="277165"/>
    <m/>
    <m/>
  </r>
  <r>
    <x v="5"/>
    <x v="8"/>
    <s v="C:\Users\andre\Desktop\REACTIV CEFAS\Cromolyn\Cromolyn/20201217_Cefas_Test10_Run1/Plate 1/@16/H12_01.tif "/>
    <s v=" 5926.5911 "/>
    <s v=" 42.5292 "/>
    <x v="0"/>
    <n v="252053"/>
    <m/>
    <m/>
  </r>
  <r>
    <x v="5"/>
    <x v="8"/>
    <s v="C:\Users\andre\Desktop\REACTIV CEFAS\Cromolyn\Cromolyn/20201217_Cefas_Test10_Run1/Plate 1/@16/H12_02.tif "/>
    <s v=" 2271.1389 "/>
    <s v=" 35.3524 "/>
    <x v="0"/>
    <n v="80290"/>
    <m/>
    <m/>
  </r>
  <r>
    <x v="5"/>
    <x v="8"/>
    <s v="C:\Users\andre\Desktop\REACTIV CEFAS\Cromolyn\Cromolyn/20201217_Cefas_Test10_Run1/Plate 1/@16/H12_03.tif "/>
    <s v=" 194.6691 "/>
    <s v=" 31.2222 "/>
    <x v="0"/>
    <n v="6078"/>
    <m/>
    <m/>
  </r>
  <r>
    <x v="5"/>
    <x v="8"/>
    <s v="C:\Users\andre\Desktop\REACTIV CEFAS\Cromolyn\Cromolyn/20201217_Cefas_Test10_Run1/Plate 1/@16/H12_04.tif "/>
    <s v=" 4455.7583 "/>
    <s v=" 37.8495 "/>
    <x v="0"/>
    <n v="168648"/>
    <m/>
    <m/>
  </r>
  <r>
    <x v="0"/>
    <x v="0"/>
    <s v=" "/>
    <m/>
    <m/>
    <x v="1"/>
    <m/>
    <m/>
    <m/>
  </r>
  <r>
    <x v="0"/>
    <x v="0"/>
    <s v="group "/>
    <s v=" "/>
    <s v=" mean of mean fluo "/>
    <x v="2"/>
    <s v=" mean of total fluo "/>
    <s v=" SD total fluo "/>
    <m/>
  </r>
  <r>
    <x v="5"/>
    <x v="9"/>
    <s v="C:\Users\andre\Desktop\REACTIV CEFAS\Cromolyn\Cromolyn/20201217_Cefas_Test10_Run1/Plate 1/@16/ "/>
    <s v=" "/>
    <s v=" 33.9067 "/>
    <x v="7"/>
    <s v=" 228294.062 "/>
    <s v=" 177529.229 "/>
    <m/>
  </r>
  <r>
    <x v="0"/>
    <x v="0"/>
    <s v=" "/>
    <m/>
    <m/>
    <x v="1"/>
    <m/>
    <m/>
    <m/>
  </r>
  <r>
    <x v="0"/>
    <x v="0"/>
    <s v=" "/>
    <m/>
    <m/>
    <x v="1"/>
    <m/>
    <m/>
    <m/>
  </r>
  <r>
    <x v="0"/>
    <x v="0"/>
    <s v=" "/>
    <m/>
    <m/>
    <x v="1"/>
    <m/>
    <m/>
    <m/>
  </r>
  <r>
    <x v="0"/>
    <x v="0"/>
    <s v=" "/>
    <m/>
    <m/>
    <x v="1"/>
    <m/>
    <m/>
    <m/>
  </r>
  <r>
    <x v="0"/>
    <x v="0"/>
    <s v=" "/>
    <m/>
    <m/>
    <x v="1"/>
    <m/>
    <m/>
    <m/>
  </r>
  <r>
    <x v="0"/>
    <x v="0"/>
    <s v="file name "/>
    <s v=" total area "/>
    <s v=" mean intensity "/>
    <x v="0"/>
    <s v=" total fluorescence"/>
    <m/>
    <m/>
  </r>
  <r>
    <x v="6"/>
    <x v="1"/>
    <s v="C:\Users\andre\Desktop\REACTIV CEFAS\Cromolyn\Cromolyn/20201217_Cefas_Test10_Run1/Plate 1/@2/A2_01.tif "/>
    <s v=" 11009.6164 "/>
    <s v=" 40.3929 "/>
    <x v="0"/>
    <n v="444711"/>
    <m/>
    <m/>
  </r>
  <r>
    <x v="6"/>
    <x v="1"/>
    <s v="C:\Users\andre\Desktop\REACTIV CEFAS\Cromolyn\Cromolyn/20201217_Cefas_Test10_Run1/Plate 1/@2/A2_02.tif "/>
    <s v=" 11680.1431 "/>
    <s v=" 37.0463 "/>
    <x v="0"/>
    <n v="432706"/>
    <m/>
    <m/>
  </r>
  <r>
    <x v="6"/>
    <x v="1"/>
    <s v="C:\Users\andre\Desktop\REACTIV CEFAS\Cromolyn\Cromolyn/20201217_Cefas_Test10_Run1/Plate 1/@2/A2_03.tif "/>
    <s v=" 11788.2926 "/>
    <s v=" 38.6367 "/>
    <x v="0"/>
    <n v="455461"/>
    <m/>
    <m/>
  </r>
  <r>
    <x v="6"/>
    <x v="1"/>
    <s v="C:\Users\andre\Desktop\REACTIV CEFAS\Cromolyn\Cromolyn/20201217_Cefas_Test10_Run1/Plate 1/@2/A2_04.tif "/>
    <s v=" 1903.4307 "/>
    <s v=" 32.5455 "/>
    <x v="0"/>
    <n v="61948"/>
    <m/>
    <m/>
  </r>
  <r>
    <x v="6"/>
    <x v="2"/>
    <s v="C:\Users\andre\Desktop\REACTIV CEFAS\Cromolyn\Cromolyn/20201217_Cefas_Test10_Run1/Plate 1/@2/B2_01.tif "/>
    <s v=" 2054.84 "/>
    <s v=" 34.8737 "/>
    <x v="0"/>
    <n v="71660"/>
    <m/>
    <m/>
  </r>
  <r>
    <x v="6"/>
    <x v="2"/>
    <s v="C:\Users\andre\Desktop\REACTIV CEFAS\Cromolyn\Cromolyn/20201217_Cefas_Test10_Run1/Plate 1/@2/B2_02.tif "/>
    <s v=" 10057.901 "/>
    <s v=" 37.0387 "/>
    <x v="0"/>
    <n v="372532"/>
    <m/>
    <m/>
  </r>
  <r>
    <x v="6"/>
    <x v="2"/>
    <s v="C:\Users\andre\Desktop\REACTIV CEFAS\Cromolyn\Cromolyn/20201217_Cefas_Test10_Run1/Plate 1/@2/B2_03.tif "/>
    <s v=" 6445.7086 "/>
    <s v=" 36.1611 "/>
    <x v="0"/>
    <n v="233084"/>
    <m/>
    <m/>
  </r>
  <r>
    <x v="6"/>
    <x v="2"/>
    <s v="C:\Users\andre\Desktop\REACTIV CEFAS\Cromolyn\Cromolyn/20201217_Cefas_Test10_Run1/Plate 1/@2/B2_04.tif "/>
    <s v=" 7029.7158 "/>
    <s v=" 38.0369 "/>
    <x v="0"/>
    <n v="267389"/>
    <m/>
    <m/>
  </r>
  <r>
    <x v="6"/>
    <x v="3"/>
    <s v="C:\Users\andre\Desktop\REACTIV CEFAS\Cromolyn\Cromolyn/20201217_Cefas_Test10_Run1/Plate 1/@2/C2_01.tif "/>
    <s v=" 16308.9406 "/>
    <s v=" 33.6446 "/>
    <x v="0"/>
    <n v="548707"/>
    <m/>
    <m/>
  </r>
  <r>
    <x v="6"/>
    <x v="3"/>
    <s v="C:\Users\andre\Desktop\REACTIV CEFAS\Cromolyn\Cromolyn/20201217_Cefas_Test10_Run1/Plate 1/@2/C2_02- exclu.tif"/>
    <m/>
    <m/>
    <x v="1"/>
    <m/>
    <m/>
    <m/>
  </r>
  <r>
    <x v="6"/>
    <x v="3"/>
    <s v="C:\Users\andre\Desktop\REACTIV CEFAS\Cromolyn\Cromolyn/20201217_Cefas_Test10_Run1/Plate 1/@2/C2_03.tif "/>
    <s v=" 14729.9582 "/>
    <s v=" 33.0455 "/>
    <x v="0"/>
    <n v="486759"/>
    <m/>
    <m/>
  </r>
  <r>
    <x v="6"/>
    <x v="3"/>
    <s v="C:\Users\andre\Desktop\REACTIV CEFAS\Cromolyn\Cromolyn/20201217_Cefas_Test10_Run1/Plate 1/@2/C2_04.tif "/>
    <s v=" 13648.4635 "/>
    <s v=" 32.7258 "/>
    <x v="0"/>
    <n v="446657"/>
    <m/>
    <m/>
  </r>
  <r>
    <x v="6"/>
    <x v="4"/>
    <s v="C:\Users\andre\Desktop\REACTIV CEFAS\Cromolyn\Cromolyn/20201217_Cefas_Test10_Run1/Plate 1/@2/D2_01.tif "/>
    <s v=" 9127.8155 "/>
    <s v=" 32.7322 "/>
    <x v="0"/>
    <n v="298774"/>
    <m/>
    <m/>
  </r>
  <r>
    <x v="6"/>
    <x v="4"/>
    <s v="C:\Users\andre\Desktop\REACTIV CEFAS\Cromolyn\Cromolyn/20201217_Cefas_Test10_Run1/Plate 1/@2/D2_02.tif "/>
    <s v=" 14665.0686 "/>
    <s v=" 33.9867 "/>
    <x v="0"/>
    <n v="498418"/>
    <m/>
    <m/>
  </r>
  <r>
    <x v="6"/>
    <x v="4"/>
    <s v="C:\Users\andre\Desktop\REACTIV CEFAS\Cromolyn\Cromolyn/20201217_Cefas_Test10_Run1/Plate 1/@2/D2_03.tif "/>
    <s v=" 19380.3856 "/>
    <s v=" 35.9509 "/>
    <x v="0"/>
    <n v="696742"/>
    <m/>
    <m/>
  </r>
  <r>
    <x v="6"/>
    <x v="4"/>
    <s v="C:\Users\andre\Desktop\REACTIV CEFAS\Cromolyn\Cromolyn/20201217_Cefas_Test10_Run1/Plate 1/@2/D2_04.tif "/>
    <s v=" 9949.7515 "/>
    <s v=" 33.213 "/>
    <x v="0"/>
    <n v="330462"/>
    <m/>
    <m/>
  </r>
  <r>
    <x v="6"/>
    <x v="5"/>
    <s v="C:\Users\andre\Desktop\REACTIV CEFAS\Cromolyn\Cromolyn/20201217_Cefas_Test10_Run1/Plate 1/@2/E2_01.tif "/>
    <s v=" 5212.8046 "/>
    <s v=" 39.1203 "/>
    <x v="0"/>
    <n v="203927"/>
    <m/>
    <m/>
  </r>
  <r>
    <x v="6"/>
    <x v="5"/>
    <s v="C:\Users\andre\Desktop\REACTIV CEFAS\Cromolyn\Cromolyn/20201217_Cefas_Test10_Run1/Plate 1/@2/E2_02.tif "/>
    <s v=" 8089.5806 "/>
    <s v=" 39.9465 "/>
    <x v="0"/>
    <n v="323151"/>
    <m/>
    <m/>
  </r>
  <r>
    <x v="6"/>
    <x v="5"/>
    <s v="C:\Users\andre\Desktop\REACTIV CEFAS\Cromolyn\Cromolyn/20201217_Cefas_Test10_Run1/Plate 1/@2/E2_03.tif "/>
    <s v=" 4866.7263 "/>
    <s v=" 37.5956 "/>
    <x v="0"/>
    <n v="182967"/>
    <m/>
    <m/>
  </r>
  <r>
    <x v="6"/>
    <x v="5"/>
    <s v="C:\Users\andre\Desktop\REACTIV CEFAS\Cromolyn\Cromolyn/20201217_Cefas_Test10_Run1/Plate 1/@2/E2_04- exclu.tif"/>
    <m/>
    <m/>
    <x v="1"/>
    <m/>
    <m/>
    <m/>
  </r>
  <r>
    <x v="6"/>
    <x v="6"/>
    <s v="C:\Users\andre\Desktop\REACTIV CEFAS\Cromolyn\Cromolyn/20201217_Cefas_Test10_Run1/Plate 1/@2/F2_01.tif "/>
    <s v=" 24030.8129 "/>
    <s v=" 33.6427 "/>
    <x v="0"/>
    <n v="808461"/>
    <m/>
    <m/>
  </r>
  <r>
    <x v="6"/>
    <x v="6"/>
    <s v="C:\Users\andre\Desktop\REACTIV CEFAS\Cromolyn\Cromolyn/20201217_Cefas_Test10_Run1/Plate 1/@2/F2_02.tif "/>
    <s v=" 32142.0234 "/>
    <s v=" 35.8291 "/>
    <x v="0"/>
    <n v="1151619"/>
    <m/>
    <m/>
  </r>
  <r>
    <x v="6"/>
    <x v="6"/>
    <s v="C:\Users\andre\Desktop\REACTIV CEFAS\Cromolyn\Cromolyn/20201217_Cefas_Test10_Run1/Plate 1/@2/F2_03.tif "/>
    <s v=" 24485.0407 "/>
    <s v=" 35.0168 "/>
    <x v="0"/>
    <n v="857387"/>
    <m/>
    <m/>
  </r>
  <r>
    <x v="6"/>
    <x v="6"/>
    <s v="C:\Users\andre\Desktop\REACTIV CEFAS\Cromolyn\Cromolyn/20201217_Cefas_Test10_Run1/Plate 1/@2/F2_04.tif "/>
    <s v=" 18212.3713 "/>
    <s v=" 32.0178 "/>
    <x v="0"/>
    <n v="583120"/>
    <m/>
    <m/>
  </r>
  <r>
    <x v="6"/>
    <x v="7"/>
    <s v="C:\Users\andre\Desktop\REACTIV CEFAS\Cromolyn\Cromolyn/20201217_Cefas_Test10_Run1/Plate 1/@2/G2_01.tif "/>
    <s v=" 6510.5983 "/>
    <s v=" 42.2492 "/>
    <x v="0"/>
    <n v="275067"/>
    <m/>
    <m/>
  </r>
  <r>
    <x v="6"/>
    <x v="7"/>
    <s v="C:\Users\andre\Desktop\REACTIV CEFAS\Cromolyn\Cromolyn/20201217_Cefas_Test10_Run1/Plate 1/@2/G2_02.tif "/>
    <s v=" 8003.061 "/>
    <s v=" 40.2811 "/>
    <x v="0"/>
    <n v="322372"/>
    <m/>
    <m/>
  </r>
  <r>
    <x v="6"/>
    <x v="7"/>
    <s v="C:\Users\andre\Desktop\REACTIV CEFAS\Cromolyn\Cromolyn/20201217_Cefas_Test10_Run1/Plate 1/@2/G2_03.tif "/>
    <s v=" 2984.9255 "/>
    <s v=" 36.7681 "/>
    <x v="0"/>
    <n v="109750"/>
    <m/>
    <m/>
  </r>
  <r>
    <x v="6"/>
    <x v="7"/>
    <s v="C:\Users\andre\Desktop\REACTIV CEFAS\Cromolyn\Cromolyn/20201217_Cefas_Test10_Run1/Plate 1/@2/G2_04.tif "/>
    <s v=" 13432.1646 "/>
    <s v=" 36.7214 "/>
    <x v="0"/>
    <n v="493248"/>
    <m/>
    <m/>
  </r>
  <r>
    <x v="6"/>
    <x v="8"/>
    <s v="C:\Users\andre\Desktop\REACTIV CEFAS\Cromolyn\Cromolyn/20201217_Cefas_Test10_Run1/Plate 1/@2/H2_01.tif "/>
    <s v=" 9755.0825 "/>
    <s v=" 42.133 "/>
    <x v="0"/>
    <n v="411011"/>
    <m/>
    <m/>
  </r>
  <r>
    <x v="6"/>
    <x v="8"/>
    <s v="C:\Users\andre\Desktop\REACTIV CEFAS\Cromolyn\Cromolyn/20201217_Cefas_Test10_Run1/Plate 1/@2/H2_02.tif "/>
    <s v=" 9344.1145 "/>
    <s v=" 44.7176 "/>
    <x v="0"/>
    <n v="417846"/>
    <m/>
    <m/>
  </r>
  <r>
    <x v="6"/>
    <x v="8"/>
    <s v="C:\Users\andre\Desktop\REACTIV CEFAS\Cromolyn\Cromolyn/20201217_Cefas_Test10_Run1/Plate 1/@2/H2_03- exclu.tif"/>
    <m/>
    <m/>
    <x v="1"/>
    <m/>
    <m/>
    <m/>
  </r>
  <r>
    <x v="6"/>
    <x v="8"/>
    <s v="C:\Users\andre\Desktop\REACTIV CEFAS\Cromolyn\Cromolyn/20201217_Cefas_Test10_Run1/Plate 1/@2/H2_04- exclu.tif"/>
    <m/>
    <m/>
    <x v="1"/>
    <m/>
    <m/>
    <m/>
  </r>
  <r>
    <x v="0"/>
    <x v="0"/>
    <s v=" "/>
    <m/>
    <m/>
    <x v="1"/>
    <m/>
    <m/>
    <m/>
  </r>
  <r>
    <x v="0"/>
    <x v="0"/>
    <s v="group "/>
    <s v=" "/>
    <s v=" mean of mean fluo "/>
    <x v="2"/>
    <s v=" mean of total fluo "/>
    <s v=" SD total fluo "/>
    <m/>
  </r>
  <r>
    <x v="6"/>
    <x v="9"/>
    <s v="C:\Users\andre\Desktop\REACTIV CEFAS\Cromolyn\Cromolyn/20201217_Cefas_Test10_Run1/Plate 1/@2/ "/>
    <s v=" "/>
    <s v=" 36.7614 "/>
    <x v="8"/>
    <s v=" 417511.719 "/>
    <s v=" 261468.016 "/>
    <m/>
  </r>
  <r>
    <x v="0"/>
    <x v="0"/>
    <s v=" "/>
    <m/>
    <m/>
    <x v="1"/>
    <m/>
    <m/>
    <m/>
  </r>
  <r>
    <x v="0"/>
    <x v="0"/>
    <s v=" "/>
    <m/>
    <m/>
    <x v="1"/>
    <m/>
    <m/>
    <m/>
  </r>
  <r>
    <x v="0"/>
    <x v="0"/>
    <s v=" "/>
    <m/>
    <m/>
    <x v="1"/>
    <m/>
    <m/>
    <m/>
  </r>
  <r>
    <x v="0"/>
    <x v="0"/>
    <s v=" "/>
    <m/>
    <m/>
    <x v="1"/>
    <m/>
    <m/>
    <m/>
  </r>
  <r>
    <x v="0"/>
    <x v="0"/>
    <s v=" "/>
    <m/>
    <m/>
    <x v="1"/>
    <m/>
    <m/>
    <m/>
  </r>
  <r>
    <x v="0"/>
    <x v="0"/>
    <s v="file name "/>
    <s v=" total area "/>
    <s v=" mean intensity "/>
    <x v="0"/>
    <s v=" total fluorescence"/>
    <m/>
    <m/>
  </r>
  <r>
    <x v="7"/>
    <x v="1"/>
    <s v="C:\Users\andre\Desktop\REACTIV CEFAS\Cromolyn\Cromolyn/20201217_Cefas_Test10_Run1/Plate 1/@3/A3_01.tif "/>
    <s v=" 15205.8159 "/>
    <s v=" 34.4381 "/>
    <x v="0"/>
    <n v="523660"/>
    <m/>
    <m/>
  </r>
  <r>
    <x v="7"/>
    <x v="1"/>
    <s v="C:\Users\andre\Desktop\REACTIV CEFAS\Cromolyn\Cromolyn/20201217_Cefas_Test10_Run1/Plate 1/@3/A3_02.tif "/>
    <s v=" 9127.8155 "/>
    <s v=" 34.9479 "/>
    <x v="0"/>
    <n v="318998"/>
    <m/>
    <m/>
  </r>
  <r>
    <x v="7"/>
    <x v="1"/>
    <s v="C:\Users\andre\Desktop\REACTIV CEFAS\Cromolyn\Cromolyn/20201217_Cefas_Test10_Run1/Plate 1/@3/A3_03.tif "/>
    <s v=" 16590.1292 "/>
    <s v=" 35.5111 "/>
    <x v="0"/>
    <n v="589133"/>
    <m/>
    <m/>
  </r>
  <r>
    <x v="7"/>
    <x v="1"/>
    <s v="C:\Users\andre\Desktop\REACTIV CEFAS\Cromolyn\Cromolyn/20201217_Cefas_Test10_Run1/Plate 1/@3/A3_04.tif "/>
    <s v=" 13756.613 "/>
    <s v=" 33.1855 "/>
    <x v="0"/>
    <n v="456521"/>
    <m/>
    <m/>
  </r>
  <r>
    <x v="7"/>
    <x v="2"/>
    <s v="C:\Users\andre\Desktop\REACTIV CEFAS\Cromolyn\Cromolyn/20201217_Cefas_Test10_Run1/Plate 1/@3/B3_01.tif "/>
    <s v=" 10230.9402 "/>
    <s v=" 37.1036 "/>
    <x v="0"/>
    <n v="379605"/>
    <m/>
    <m/>
  </r>
  <r>
    <x v="7"/>
    <x v="2"/>
    <s v="C:\Users\andre\Desktop\REACTIV CEFAS\Cromolyn\Cromolyn/20201217_Cefas_Test10_Run1/Plate 1/@3/B3_02.tif "/>
    <s v=" 10641.9082 "/>
    <s v=" 37.6829 "/>
    <x v="0"/>
    <n v="401018"/>
    <m/>
    <m/>
  </r>
  <r>
    <x v="7"/>
    <x v="2"/>
    <s v="C:\Users\andre\Desktop\REACTIV CEFAS\Cromolyn\Cromolyn/20201217_Cefas_Test10_Run1/Plate 1/@3/B3_03.tif "/>
    <s v=" 13540.314 "/>
    <s v=" 37.6182 "/>
    <x v="0"/>
    <n v="509362"/>
    <m/>
    <m/>
  </r>
  <r>
    <x v="7"/>
    <x v="2"/>
    <s v="C:\Users\andre\Desktop\REACTIV CEFAS\Cromolyn\Cromolyn/20201217_Cefas_Test10_Run1/Plate 1/@3/B3_04.tif "/>
    <s v=" 12848.1574 "/>
    <s v=" 35.7374 "/>
    <x v="0"/>
    <n v="459159"/>
    <m/>
    <m/>
  </r>
  <r>
    <x v="7"/>
    <x v="3"/>
    <s v="C:\Users\andre\Desktop\REACTIV CEFAS\Cromolyn\Cromolyn/20201217_Cefas_Test10_Run1/Plate 1/@3/C3_01.tif "/>
    <s v=" 108.1495 "/>
    <s v=" 30.6 "/>
    <x v="0"/>
    <n v="3309"/>
    <m/>
    <m/>
  </r>
  <r>
    <x v="7"/>
    <x v="3"/>
    <s v="C:\Users\andre\Desktop\REACTIV CEFAS\Cromolyn\Cromolyn/20201217_Cefas_Test10_Run1/Plate 1/@3/C3_02.tif "/>
    <s v=" 8630.328 "/>
    <s v=" 45.203 "/>
    <x v="0"/>
    <n v="390117"/>
    <m/>
    <m/>
  </r>
  <r>
    <x v="7"/>
    <x v="3"/>
    <s v="C:\Users\andre\Desktop\REACTIV CEFAS\Cromolyn\Cromolyn/20201217_Cefas_Test10_Run1/Plate 1/@3/C3_03- exclu.tif"/>
    <m/>
    <m/>
    <x v="1"/>
    <m/>
    <m/>
    <m/>
  </r>
  <r>
    <x v="7"/>
    <x v="3"/>
    <s v="C:\Users\andre\Desktop\REACTIV CEFAS\Cromolyn\Cromolyn/20201217_Cefas_Test10_Run1/Plate 1/@3/C3_04- exclu.tif"/>
    <m/>
    <m/>
    <x v="1"/>
    <m/>
    <m/>
    <m/>
  </r>
  <r>
    <x v="7"/>
    <x v="4"/>
    <s v="C:\Users\andre\Desktop\REACTIV CEFAS\Cromolyn\Cromolyn/20201217_Cefas_Test10_Run1/Plate 1/@3/D3_01.tif "/>
    <s v=" 5710.2922 "/>
    <s v=" 41.6477 "/>
    <x v="0"/>
    <n v="237821"/>
    <m/>
    <m/>
  </r>
  <r>
    <x v="7"/>
    <x v="4"/>
    <s v="C:\Users\andre\Desktop\REACTIV CEFAS\Cromolyn\Cromolyn/20201217_Cefas_Test10_Run1/Plate 1/@3/D3_02.tif "/>
    <s v=" 6575.488 "/>
    <s v=" 39.8882 "/>
    <x v="0"/>
    <n v="262284"/>
    <m/>
    <m/>
  </r>
  <r>
    <x v="7"/>
    <x v="4"/>
    <s v="C:\Users\andre\Desktop\REACTIV CEFAS\Cromolyn\Cromolyn/20201217_Cefas_Test10_Run1/Plate 1/@3/D3_03.tif "/>
    <s v=" 389.3381 "/>
    <s v=" 31.4444 "/>
    <x v="0"/>
    <n v="12243"/>
    <m/>
    <m/>
  </r>
  <r>
    <x v="7"/>
    <x v="4"/>
    <s v="C:\Users\andre\Desktop\REACTIV CEFAS\Cromolyn\Cromolyn/20201217_Cefas_Test10_Run1/Plate 1/@3/D3_04.tif "/>
    <s v=" 5104.6551 "/>
    <s v=" 43.661 "/>
    <x v="0"/>
    <n v="222874"/>
    <m/>
    <m/>
  </r>
  <r>
    <x v="7"/>
    <x v="5"/>
    <s v="C:\Users\andre\Desktop\REACTIV CEFAS\Cromolyn\Cromolyn/20201217_Cefas_Test10_Run1/Plate 1/@3/E3_01.tif "/>
    <s v=" 8219.36 "/>
    <s v=" 40.3105 "/>
    <x v="0"/>
    <n v="331327"/>
    <m/>
    <m/>
  </r>
  <r>
    <x v="7"/>
    <x v="5"/>
    <s v="C:\Users\andre\Desktop\REACTIV CEFAS\Cromolyn\Cromolyn/20201217_Cefas_Test10_Run1/Plate 1/@3/E3_02.tif "/>
    <s v=" 8522.1785 "/>
    <s v=" 40.9239 "/>
    <x v="0"/>
    <n v="348760"/>
    <m/>
    <m/>
  </r>
  <r>
    <x v="7"/>
    <x v="5"/>
    <s v="C:\Users\andre\Desktop\REACTIV CEFAS\Cromolyn\Cromolyn/20201217_Cefas_Test10_Run1/Plate 1/@3/E3_03.tif "/>
    <s v=" 12761.6378 "/>
    <s v=" 39.2373 "/>
    <x v="0"/>
    <n v="500732"/>
    <m/>
    <m/>
  </r>
  <r>
    <x v="7"/>
    <x v="5"/>
    <s v="C:\Users\andre\Desktop\REACTIV CEFAS\Cromolyn\Cromolyn/20201217_Cefas_Test10_Run1/Plate 1/@3/E3_04.tif "/>
    <s v=" 9019.6661 "/>
    <s v=" 41.6835 "/>
    <x v="0"/>
    <n v="375971"/>
    <m/>
    <m/>
  </r>
  <r>
    <x v="7"/>
    <x v="6"/>
    <s v="C:\Users\andre\Desktop\REACTIV CEFAS\Cromolyn\Cromolyn/20201217_Cefas_Test10_Run1/Plate 1/@3/F3_01.tif "/>
    <s v=" 12199.2606 "/>
    <s v=" 40.2979 "/>
    <x v="0"/>
    <n v="491604"/>
    <m/>
    <m/>
  </r>
  <r>
    <x v="7"/>
    <x v="6"/>
    <s v="C:\Users\andre\Desktop\REACTIV CEFAS\Cromolyn\Cromolyn/20201217_Cefas_Test10_Run1/Plate 1/@3/F3_02.tif "/>
    <s v=" 8392.3991 "/>
    <s v=" 39.0515 "/>
    <x v="0"/>
    <n v="327736"/>
    <m/>
    <m/>
  </r>
  <r>
    <x v="7"/>
    <x v="6"/>
    <s v="C:\Users\andre\Desktop\REACTIV CEFAS\Cromolyn\Cromolyn/20201217_Cefas_Test10_Run1/Plate 1/@3/F3_03.tif "/>
    <s v=" 9733.4526 "/>
    <s v=" 40.6933 "/>
    <x v="0"/>
    <n v="396087"/>
    <m/>
    <m/>
  </r>
  <r>
    <x v="7"/>
    <x v="6"/>
    <s v="C:\Users\andre\Desktop\REACTIV CEFAS\Cromolyn\Cromolyn/20201217_Cefas_Test10_Run1/Plate 1/@3/F3_04.tif "/>
    <s v=" 4823.4665 "/>
    <s v=" 40.4619 "/>
    <x v="0"/>
    <n v="195167"/>
    <m/>
    <m/>
  </r>
  <r>
    <x v="7"/>
    <x v="7"/>
    <s v="C:\Users\andre\Desktop\REACTIV CEFAS\Cromolyn\Cromolyn/20201217_Cefas_Test10_Run1/Plate 1/@3/G3_01.tif "/>
    <s v=" 1016.605 "/>
    <s v=" 33.1277 "/>
    <x v="0"/>
    <n v="33678"/>
    <m/>
    <m/>
  </r>
  <r>
    <x v="7"/>
    <x v="7"/>
    <s v="C:\Users\andre\Desktop\REACTIV CEFAS\Cromolyn\Cromolyn/20201217_Cefas_Test10_Run1/Plate 1/@3/G3_02.tif "/>
    <s v=" 389.3381 "/>
    <n v="31"/>
    <x v="0"/>
    <n v="12069"/>
    <m/>
    <m/>
  </r>
  <r>
    <x v="7"/>
    <x v="7"/>
    <s v="C:\Users\andre\Desktop\REACTIV CEFAS\Cromolyn\Cromolyn/20201217_Cefas_Test10_Run1/Plate 1/@3/G3_03.tif "/>
    <s v=" 21.6299 "/>
    <n v="30"/>
    <x v="0"/>
    <n v="649"/>
    <m/>
    <m/>
  </r>
  <r>
    <x v="7"/>
    <x v="7"/>
    <s v="C:\Users\andre\Desktop\REACTIV CEFAS\Cromolyn\Cromolyn/20201217_Cefas_Test10_Run1/Plate 1/@3/G3_04.tif "/>
    <s v=" 8998.0362 "/>
    <s v=" 43.5216 "/>
    <x v="0"/>
    <n v="391609"/>
    <m/>
    <m/>
  </r>
  <r>
    <x v="7"/>
    <x v="8"/>
    <s v="C:\Users\andre\Desktop\REACTIV CEFAS\Cromolyn\Cromolyn/20201217_Cefas_Test10_Run1/Plate 1/@3/H3_01.tif "/>
    <s v=" 9149.4454 "/>
    <s v=" 38.8605 "/>
    <x v="0"/>
    <n v="355552"/>
    <m/>
    <m/>
  </r>
  <r>
    <x v="7"/>
    <x v="8"/>
    <s v="C:\Users\andre\Desktop\REACTIV CEFAS\Cromolyn\Cromolyn/20201217_Cefas_Test10_Run1/Plate 1/@3/H3_02.tif "/>
    <s v=" 10533.7587 "/>
    <s v=" 39.2238 "/>
    <x v="0"/>
    <n v="413174"/>
    <m/>
    <m/>
  </r>
  <r>
    <x v="7"/>
    <x v="8"/>
    <s v="C:\Users\andre\Desktop\REACTIV CEFAS\Cromolyn\Cromolyn/20201217_Cefas_Test10_Run1/Plate 1/@3/H3_03.tif "/>
    <s v=" 13150.9759 "/>
    <s v=" 39.2105 "/>
    <x v="0"/>
    <n v="515657"/>
    <m/>
    <m/>
  </r>
  <r>
    <x v="7"/>
    <x v="8"/>
    <s v="C:\Users\andre\Desktop\REACTIV CEFAS\Cromolyn\Cromolyn/20201217_Cefas_Test10_Run1/Plate 1/@3/H3_04.tif "/>
    <s v=" 519.1175 "/>
    <s v=" 30.625 "/>
    <x v="0"/>
    <n v="15898"/>
    <m/>
    <m/>
  </r>
  <r>
    <x v="0"/>
    <x v="0"/>
    <s v=" "/>
    <m/>
    <m/>
    <x v="1"/>
    <m/>
    <m/>
    <m/>
  </r>
  <r>
    <x v="0"/>
    <x v="0"/>
    <s v="group "/>
    <s v=" "/>
    <s v=" mean of mean fluo "/>
    <x v="2"/>
    <s v=" mean of total fluo "/>
    <s v=" SD total fluo "/>
    <m/>
  </r>
  <r>
    <x v="7"/>
    <x v="9"/>
    <s v="C:\Users\andre\Desktop\REACTIV CEFAS\Cromolyn\Cromolyn/20201217_Cefas_Test10_Run1/Plate 1/@3/ "/>
    <s v=" "/>
    <s v=" 37.1492 "/>
    <x v="9"/>
    <s v=" 299284.719 "/>
    <s v=" 185200.074 "/>
    <m/>
  </r>
  <r>
    <x v="0"/>
    <x v="0"/>
    <s v=" "/>
    <m/>
    <m/>
    <x v="1"/>
    <m/>
    <m/>
    <m/>
  </r>
  <r>
    <x v="0"/>
    <x v="0"/>
    <s v=" "/>
    <m/>
    <m/>
    <x v="1"/>
    <m/>
    <m/>
    <m/>
  </r>
  <r>
    <x v="0"/>
    <x v="0"/>
    <s v=" "/>
    <m/>
    <m/>
    <x v="1"/>
    <m/>
    <m/>
    <m/>
  </r>
  <r>
    <x v="0"/>
    <x v="0"/>
    <s v=" "/>
    <m/>
    <m/>
    <x v="1"/>
    <m/>
    <m/>
    <m/>
  </r>
  <r>
    <x v="0"/>
    <x v="0"/>
    <s v=" "/>
    <m/>
    <m/>
    <x v="1"/>
    <m/>
    <m/>
    <m/>
  </r>
  <r>
    <x v="0"/>
    <x v="0"/>
    <s v="file name "/>
    <s v=" total area "/>
    <s v=" mean intensity "/>
    <x v="0"/>
    <s v=" total fluorescence"/>
    <m/>
    <m/>
  </r>
  <r>
    <x v="8"/>
    <x v="1"/>
    <s v="C:\Users\andre\Desktop\REACTIV CEFAS\Cromolyn\Cromolyn/20201217_Cefas_Test10_Run1/Plate 1/@4/A4_01- exclu.tif"/>
    <m/>
    <m/>
    <x v="1"/>
    <m/>
    <m/>
    <m/>
  </r>
  <r>
    <x v="8"/>
    <x v="1"/>
    <s v="C:\Users\andre\Desktop\REACTIV CEFAS\Cromolyn\Cromolyn/20201217_Cefas_Test10_Run1/Plate 1/@4/A4_02- exclu.tif"/>
    <m/>
    <m/>
    <x v="1"/>
    <m/>
    <m/>
    <m/>
  </r>
  <r>
    <x v="8"/>
    <x v="1"/>
    <s v="C:\Users\andre\Desktop\REACTIV CEFAS\Cromolyn\Cromolyn/20201217_Cefas_Test10_Run1/Plate 1/@4/A4_03- exclu.tif"/>
    <m/>
    <m/>
    <x v="1"/>
    <m/>
    <m/>
    <m/>
  </r>
  <r>
    <x v="8"/>
    <x v="1"/>
    <s v="C:\Users\andre\Desktop\REACTIV CEFAS\Cromolyn\Cromolyn/20201217_Cefas_Test10_Run1/Plate 1/@4/A4_04.tif "/>
    <s v=" 17455.325 "/>
    <s v=" 35.4015 "/>
    <x v="0"/>
    <n v="617944"/>
    <m/>
    <m/>
  </r>
  <r>
    <x v="8"/>
    <x v="2"/>
    <s v="C:\Users\andre\Desktop\REACTIV CEFAS\Cromolyn\Cromolyn/20201217_Cefas_Test10_Run1/Plate 1/@4/B4_01.tif "/>
    <s v=" 17260.6559 "/>
    <s v=" 33.6992 "/>
    <x v="0"/>
    <n v="581671"/>
    <m/>
    <m/>
  </r>
  <r>
    <x v="8"/>
    <x v="2"/>
    <s v="C:\Users\andre\Desktop\REACTIV CEFAS\Cromolyn\Cromolyn/20201217_Cefas_Test10_Run1/Plate 1/@4/B4_02- exclu.tif"/>
    <m/>
    <m/>
    <x v="1"/>
    <m/>
    <m/>
    <m/>
  </r>
  <r>
    <x v="8"/>
    <x v="2"/>
    <s v="C:\Users\andre\Desktop\REACTIV CEFAS\Cromolyn\Cromolyn/20201217_Cefas_Test10_Run1/Plate 1/@4/B4_03.tif "/>
    <s v=" 18904.5279 "/>
    <s v=" 33.5915 "/>
    <x v="0"/>
    <n v="635032"/>
    <m/>
    <m/>
  </r>
  <r>
    <x v="8"/>
    <x v="2"/>
    <s v="C:\Users\andre\Desktop\REACTIV CEFAS\Cromolyn\Cromolyn/20201217_Cefas_Test10_Run1/Plate 1/@4/B4_04.tif "/>
    <s v=" 24571.5603 "/>
    <s v=" 33.8477 "/>
    <x v="0"/>
    <n v="831691"/>
    <m/>
    <m/>
  </r>
  <r>
    <x v="8"/>
    <x v="3"/>
    <s v="C:\Users\andre\Desktop\REACTIV CEFAS\Cromolyn\Cromolyn/20201217_Cefas_Test10_Run1/Plate 1/@4/C4_01.tif "/>
    <s v=" 70946.0544 "/>
    <s v=" 46.3034 "/>
    <x v="0"/>
    <n v="3285040"/>
    <m/>
    <m/>
  </r>
  <r>
    <x v="8"/>
    <x v="3"/>
    <s v="C:\Users\andre\Desktop\REACTIV CEFAS\Cromolyn\Cromolyn/20201217_Cefas_Test10_Run1/Plate 1/@4/C4_02.tif "/>
    <s v=" 65798.1395 "/>
    <s v=" 43.4517 "/>
    <x v="0"/>
    <n v="2859039"/>
    <m/>
    <m/>
  </r>
  <r>
    <x v="8"/>
    <x v="3"/>
    <s v="C:\Users\andre\Desktop\REACTIV CEFAS\Cromolyn\Cromolyn/20201217_Cefas_Test10_Run1/Plate 1/@4/C4_03.tif "/>
    <s v=" 65473.691 "/>
    <s v=" 45.5035 "/>
    <x v="0"/>
    <n v="2979280"/>
    <m/>
    <m/>
  </r>
  <r>
    <x v="8"/>
    <x v="3"/>
    <s v="C:\Users\andre\Desktop\REACTIV CEFAS\Cromolyn\Cromolyn/20201217_Cefas_Test10_Run1/Plate 1/@4/C4_04- exclu.tif"/>
    <m/>
    <m/>
    <x v="1"/>
    <m/>
    <m/>
    <m/>
  </r>
  <r>
    <x v="8"/>
    <x v="4"/>
    <s v="C:\Users\andre\Desktop\REACTIV CEFAS\Cromolyn\Cromolyn/20201217_Cefas_Test10_Run1/Plate 1/@4/D4_01.tif "/>
    <s v=" 18644.9692 "/>
    <s v=" 33.1137 "/>
    <x v="0"/>
    <n v="617404"/>
    <m/>
    <m/>
  </r>
  <r>
    <x v="8"/>
    <x v="4"/>
    <s v="C:\Users\andre\Desktop\REACTIV CEFAS\Cromolyn\Cromolyn/20201217_Cefas_Test10_Run1/Plate 1/@4/D4_02.tif "/>
    <s v=" 30498.1514 "/>
    <s v=" 37.0674 "/>
    <x v="0"/>
    <n v="1130486"/>
    <m/>
    <m/>
  </r>
  <r>
    <x v="8"/>
    <x v="4"/>
    <s v="C:\Users\andre\Desktop\REACTIV CEFAS\Cromolyn\Cromolyn/20201217_Cefas_Test10_Run1/Plate 1/@4/D4_03.tif "/>
    <s v=" 32682.7708 "/>
    <s v=" 36.4064 "/>
    <x v="0"/>
    <n v="1189861"/>
    <m/>
    <m/>
  </r>
  <r>
    <x v="8"/>
    <x v="4"/>
    <s v="C:\Users\andre\Desktop\REACTIV CEFAS\Cromolyn\Cromolyn/20201217_Cefas_Test10_Run1/Plate 1/@4/D4_04.tif "/>
    <s v=" 39777.3762 "/>
    <s v=" 36.6476 "/>
    <x v="0"/>
    <n v="1457747"/>
    <m/>
    <m/>
  </r>
  <r>
    <x v="8"/>
    <x v="5"/>
    <s v="C:\Users\andre\Desktop\REACTIV CEFAS\Cromolyn\Cromolyn/20201217_Cefas_Test10_Run1/Plate 1/@4/E4_01.tif "/>
    <s v=" 17239.026 "/>
    <s v=" 33.1857 "/>
    <x v="0"/>
    <n v="572089"/>
    <m/>
    <m/>
  </r>
  <r>
    <x v="8"/>
    <x v="5"/>
    <s v="C:\Users\andre\Desktop\REACTIV CEFAS\Cromolyn\Cromolyn/20201217_Cefas_Test10_Run1/Plate 1/@4/E4_02.tif "/>
    <s v=" 29546.4361 "/>
    <s v=" 33.8675 "/>
    <x v="0"/>
    <n v="1000664"/>
    <m/>
    <m/>
  </r>
  <r>
    <x v="8"/>
    <x v="5"/>
    <s v="C:\Users\andre\Desktop\REACTIV CEFAS\Cromolyn\Cromolyn/20201217_Cefas_Test10_Run1/Plate 1/@4/E4_03.tif "/>
    <s v=" 38847.2908 "/>
    <s v=" 33.4532 "/>
    <x v="0"/>
    <n v="1299567"/>
    <m/>
    <m/>
  </r>
  <r>
    <x v="8"/>
    <x v="5"/>
    <s v="C:\Users\andre\Desktop\REACTIV CEFAS\Cromolyn\Cromolyn/20201217_Cefas_Test10_Run1/Plate 1/@4/E4_04.tif "/>
    <s v=" 36251.7034 "/>
    <s v=" 34.8455 "/>
    <x v="0"/>
    <n v="1263207"/>
    <m/>
    <m/>
  </r>
  <r>
    <x v="8"/>
    <x v="6"/>
    <s v="C:\Users\andre\Desktop\REACTIV CEFAS\Cromolyn\Cromolyn/20201217_Cefas_Test10_Run1/Plate 1/@4/F4_01.tif "/>
    <s v=" 302.8185 "/>
    <s v=" 31.3571 "/>
    <x v="0"/>
    <n v="9496"/>
    <m/>
    <m/>
  </r>
  <r>
    <x v="8"/>
    <x v="6"/>
    <s v="C:\Users\andre\Desktop\REACTIV CEFAS\Cromolyn\Cromolyn/20201217_Cefas_Test10_Run1/Plate 1/@4/F4_02- exclu.tif"/>
    <m/>
    <m/>
    <x v="1"/>
    <m/>
    <m/>
    <m/>
  </r>
  <r>
    <x v="8"/>
    <x v="6"/>
    <s v="C:\Users\andre\Desktop\REACTIV CEFAS\Cromolyn\Cromolyn/20201217_Cefas_Test10_Run1/Plate 1/@4/F4_03.tif "/>
    <s v=" 4542.2779 "/>
    <s v=" 39.9857 "/>
    <x v="0"/>
    <n v="181626"/>
    <m/>
    <m/>
  </r>
  <r>
    <x v="8"/>
    <x v="6"/>
    <s v="C:\Users\andre\Desktop\REACTIV CEFAS\Cromolyn\Cromolyn/20201217_Cefas_Test10_Run1/Plate 1/@4/F4_04- exclu.tif"/>
    <m/>
    <m/>
    <x v="1"/>
    <m/>
    <m/>
    <m/>
  </r>
  <r>
    <x v="8"/>
    <x v="7"/>
    <s v="C:\Users\andre\Desktop\REACTIV CEFAS\Cromolyn\Cromolyn/20201217_Cefas_Test10_Run1/Plate 1/@4/G4_01.tif "/>
    <s v=" 1773.6514 "/>
    <s v=" 34.3293 "/>
    <x v="0"/>
    <n v="60888"/>
    <m/>
    <m/>
  </r>
  <r>
    <x v="8"/>
    <x v="7"/>
    <s v="C:\Users\andre\Desktop\REACTIV CEFAS\Cromolyn\Cromolyn/20201217_Cefas_Test10_Run1/Plate 1/@4/G4_02.tif "/>
    <s v=" 3828.4913 "/>
    <s v=" 36.9209 "/>
    <x v="0"/>
    <n v="141351"/>
    <m/>
    <m/>
  </r>
  <r>
    <x v="8"/>
    <x v="7"/>
    <s v="C:\Users\andre\Desktop\REACTIV CEFAS\Cromolyn\Cromolyn/20201217_Cefas_Test10_Run1/Plate 1/@4/G4_03.tif "/>
    <s v=" 7246.0147 "/>
    <s v=" 38.9582 "/>
    <x v="0"/>
    <n v="282292"/>
    <m/>
    <m/>
  </r>
  <r>
    <x v="8"/>
    <x v="7"/>
    <s v="C:\Users\andre\Desktop\REACTIV CEFAS\Cromolyn\Cromolyn/20201217_Cefas_Test10_Run1/Plate 1/@4/G4_04.tif "/>
    <s v=" 12329.0399 "/>
    <s v=" 36.7965 "/>
    <x v="0"/>
    <n v="453665"/>
    <m/>
    <m/>
  </r>
  <r>
    <x v="8"/>
    <x v="8"/>
    <s v="C:\Users\andre\Desktop\REACTIV CEFAS\Cromolyn\Cromolyn/20201217_Cefas_Test10_Run1/Plate 1/@4/H4_01.tif "/>
    <s v=" 1535.7225 "/>
    <s v=" 31.831 "/>
    <x v="0"/>
    <n v="48884"/>
    <m/>
    <m/>
  </r>
  <r>
    <x v="8"/>
    <x v="8"/>
    <s v="C:\Users\andre\Desktop\REACTIV CEFAS\Cromolyn\Cromolyn/20201217_Cefas_Test10_Run1/Plate 1/@4/H4_02.tif "/>
    <s v=" 4499.0181 "/>
    <s v=" 31.726 "/>
    <x v="0"/>
    <n v="142736"/>
    <m/>
    <m/>
  </r>
  <r>
    <x v="8"/>
    <x v="8"/>
    <s v="C:\Users\andre\Desktop\REACTIV CEFAS\Cromolyn\Cromolyn/20201217_Cefas_Test10_Run1/Plate 1/@4/H4_03.tif "/>
    <s v=" 14556.9191 "/>
    <s v=" 35.2006 "/>
    <x v="0"/>
    <n v="512412"/>
    <m/>
    <m/>
  </r>
  <r>
    <x v="8"/>
    <x v="8"/>
    <s v="C:\Users\andre\Desktop\REACTIV CEFAS\Cromolyn\Cromolyn/20201217_Cefas_Test10_Run1/Plate 1/@4/H4_04.tif "/>
    <s v=" 9755.0825 "/>
    <s v=" 33.6253 "/>
    <x v="0"/>
    <n v="328017"/>
    <m/>
    <m/>
  </r>
  <r>
    <x v="0"/>
    <x v="0"/>
    <s v=" "/>
    <m/>
    <m/>
    <x v="1"/>
    <m/>
    <m/>
    <m/>
  </r>
  <r>
    <x v="0"/>
    <x v="0"/>
    <s v="group "/>
    <s v=" "/>
    <s v=" mean of mean fluo "/>
    <x v="2"/>
    <s v=" mean of total fluo "/>
    <s v=" SD total fluo "/>
    <m/>
  </r>
  <r>
    <x v="8"/>
    <x v="9"/>
    <s v="C:\Users\andre\Desktop\REACTIV CEFAS\Cromolyn\Cromolyn/20201217_Cefas_Test10_Run1/Plate 1/@4/ "/>
    <s v=" "/>
    <s v=" 36.9123 "/>
    <x v="10"/>
    <s v=" 948028.094 "/>
    <s v=" 921359.489 "/>
    <m/>
  </r>
  <r>
    <x v="0"/>
    <x v="0"/>
    <s v=" "/>
    <m/>
    <m/>
    <x v="1"/>
    <m/>
    <m/>
    <m/>
  </r>
  <r>
    <x v="0"/>
    <x v="0"/>
    <s v=" "/>
    <m/>
    <m/>
    <x v="1"/>
    <m/>
    <m/>
    <m/>
  </r>
  <r>
    <x v="0"/>
    <x v="0"/>
    <s v=" "/>
    <m/>
    <m/>
    <x v="1"/>
    <m/>
    <m/>
    <m/>
  </r>
  <r>
    <x v="0"/>
    <x v="0"/>
    <s v=" "/>
    <m/>
    <m/>
    <x v="1"/>
    <m/>
    <m/>
    <m/>
  </r>
  <r>
    <x v="0"/>
    <x v="0"/>
    <s v=" "/>
    <m/>
    <m/>
    <x v="1"/>
    <m/>
    <m/>
    <m/>
  </r>
  <r>
    <x v="0"/>
    <x v="0"/>
    <s v="file name "/>
    <s v=" total area "/>
    <s v=" mean intensity "/>
    <x v="0"/>
    <s v=" total fluorescence"/>
    <m/>
    <m/>
  </r>
  <r>
    <x v="9"/>
    <x v="1"/>
    <s v="C:\Users\andre\Desktop\REACTIV CEFAS\Cromolyn\Cromolyn/20201217_Cefas_Test10_Run1/Plate 1/@5/A5_01.tif "/>
    <s v=" 45141.5901 "/>
    <s v=" 39.3876 "/>
    <x v="0"/>
    <n v="1778021"/>
    <m/>
    <m/>
  </r>
  <r>
    <x v="9"/>
    <x v="1"/>
    <s v="C:\Users\andre\Desktop\REACTIV CEFAS\Cromolyn\Cromolyn/20201217_Cefas_Test10_Run1/Plate 1/@5/A5_02.tif "/>
    <s v=" 58963.0928 "/>
    <s v=" 41.3683 "/>
    <x v="0"/>
    <n v="2439203"/>
    <m/>
    <m/>
  </r>
  <r>
    <x v="9"/>
    <x v="1"/>
    <s v="C:\Users\andre\Desktop\REACTIV CEFAS\Cromolyn\Cromolyn/20201217_Cefas_Test10_Run1/Plate 1/@5/A5_03- exclu.tif"/>
    <m/>
    <m/>
    <x v="1"/>
    <m/>
    <m/>
    <m/>
  </r>
  <r>
    <x v="9"/>
    <x v="1"/>
    <s v="C:\Users\andre\Desktop\REACTIV CEFAS\Cromolyn\Cromolyn/20201217_Cefas_Test10_Run1/Plate 1/@5/A5_04.tif "/>
    <s v=" 40880.5008 "/>
    <s v=" 38.0127 "/>
    <x v="0"/>
    <n v="1553978"/>
    <m/>
    <m/>
  </r>
  <r>
    <x v="9"/>
    <x v="2"/>
    <s v="C:\Users\andre\Desktop\REACTIV CEFAS\Cromolyn\Cromolyn/20201217_Cefas_Test10_Run1/Plate 1/@5/B5_01.tif "/>
    <s v=" 67377.1218 "/>
    <s v=" 42.8263 "/>
    <x v="0"/>
    <n v="2885514"/>
    <m/>
    <m/>
  </r>
  <r>
    <x v="9"/>
    <x v="2"/>
    <s v="C:\Users\andre\Desktop\REACTIV CEFAS\Cromolyn\Cromolyn/20201217_Cefas_Test10_Run1/Plate 1/@5/B5_02.tif "/>
    <s v=" 57708.5589 "/>
    <s v=" 44.096 "/>
    <x v="0"/>
    <n v="2544714"/>
    <m/>
    <m/>
  </r>
  <r>
    <x v="9"/>
    <x v="2"/>
    <s v="C:\Users\andre\Desktop\REACTIV CEFAS\Cromolyn\Cromolyn/20201217_Cefas_Test10_Run1/Plate 1/@5/B5_03.tif "/>
    <s v=" 61731.7193 "/>
    <s v=" 40.6997 "/>
    <x v="0"/>
    <n v="2512464"/>
    <m/>
    <m/>
  </r>
  <r>
    <x v="9"/>
    <x v="2"/>
    <s v="C:\Users\andre\Desktop\REACTIV CEFAS\Cromolyn\Cromolyn/20201217_Cefas_Test10_Run1/Plate 1/@5/B5_04.tif "/>
    <s v=" 62315.7264 "/>
    <s v=" 41.1236 "/>
    <x v="0"/>
    <n v="2562645"/>
    <m/>
    <m/>
  </r>
  <r>
    <x v="9"/>
    <x v="3"/>
    <s v="C:\Users\andre\Desktop\REACTIV CEFAS\Cromolyn\Cromolyn/20201217_Cefas_Test10_Run1/Plate 1/@5/C5_01.tif "/>
    <s v=" 76115.5992 "/>
    <s v=" 38.7548 "/>
    <x v="0"/>
    <n v="2949842"/>
    <m/>
    <m/>
  </r>
  <r>
    <x v="9"/>
    <x v="3"/>
    <s v="C:\Users\andre\Desktop\REACTIV CEFAS\Cromolyn\Cromolyn/20201217_Cefas_Test10_Run1/Plate 1/@5/C5_02- exclu.tif"/>
    <m/>
    <m/>
    <x v="1"/>
    <m/>
    <m/>
    <m/>
  </r>
  <r>
    <x v="9"/>
    <x v="3"/>
    <s v="C:\Users\andre\Desktop\REACTIV CEFAS\Cromolyn\Cromolyn/20201217_Cefas_Test10_Run1/Plate 1/@5/C5_03- exclu.tif"/>
    <m/>
    <m/>
    <x v="1"/>
    <m/>
    <m/>
    <m/>
  </r>
  <r>
    <x v="9"/>
    <x v="3"/>
    <s v="C:\Users\andre\Desktop\REACTIV CEFAS\Cromolyn\Cromolyn/20201217_Cefas_Test10_Run1/Plate 1/@5/C5_04.tif "/>
    <s v=" 73044.1542 "/>
    <s v=" 45.2896 "/>
    <x v="0"/>
    <n v="3308141"/>
    <m/>
    <m/>
  </r>
  <r>
    <x v="9"/>
    <x v="4"/>
    <s v="C:\Users\andre\Desktop\REACTIV CEFAS\Cromolyn\Cromolyn/20201217_Cefas_Test10_Run1/Plate 1/@5/D5_01.tif "/>
    <s v=" 63743.2995 "/>
    <s v=" 43.2514 "/>
    <x v="0"/>
    <n v="2756990"/>
    <m/>
    <m/>
  </r>
  <r>
    <x v="9"/>
    <x v="4"/>
    <s v="C:\Users\andre\Desktop\REACTIV CEFAS\Cromolyn\Cromolyn/20201217_Cefas_Test10_Run1/Plate 1/@5/D5_02.tif "/>
    <s v=" 52495.7543 "/>
    <s v=" 42.2921 "/>
    <x v="0"/>
    <n v="2220157"/>
    <m/>
    <m/>
  </r>
  <r>
    <x v="9"/>
    <x v="4"/>
    <s v="C:\Users\andre\Desktop\REACTIV CEFAS\Cromolyn\Cromolyn/20201217_Cefas_Test10_Run1/Plate 1/@5/D5_03.tif "/>
    <s v=" 59374.0608 "/>
    <s v=" 43.3701 "/>
    <x v="0"/>
    <n v="2575061"/>
    <m/>
    <m/>
  </r>
  <r>
    <x v="9"/>
    <x v="4"/>
    <s v="C:\Users\andre\Desktop\REACTIV CEFAS\Cromolyn\Cromolyn/20201217_Cefas_Test10_Run1/Plate 1/@5/D5_04.tif "/>
    <s v=" 49489.1989 "/>
    <s v=" 43.7076 "/>
    <x v="0"/>
    <n v="2163054"/>
    <m/>
    <m/>
  </r>
  <r>
    <x v="9"/>
    <x v="5"/>
    <s v="C:\Users\andre\Desktop\REACTIV CEFAS\Cromolyn\Cromolyn/20201217_Cefas_Test10_Run1/Plate 1/@5/E5_01.tif "/>
    <s v=" 58011.3774 "/>
    <s v=" 40.2946 "/>
    <x v="0"/>
    <n v="2337543"/>
    <m/>
    <m/>
  </r>
  <r>
    <x v="9"/>
    <x v="5"/>
    <s v="C:\Users\andre\Desktop\REACTIV CEFAS\Cromolyn\Cromolyn/20201217_Cefas_Test10_Run1/Plate 1/@5/E5_02.tif "/>
    <s v=" 63245.8119 "/>
    <s v=" 39.9979 "/>
    <x v="0"/>
    <n v="2529703"/>
    <m/>
    <m/>
  </r>
  <r>
    <x v="9"/>
    <x v="5"/>
    <s v="C:\Users\andre\Desktop\REACTIV CEFAS\Cromolyn\Cromolyn/20201217_Cefas_Test10_Run1/Plate 1/@5/E5_03- exclu.tif"/>
    <m/>
    <m/>
    <x v="1"/>
    <m/>
    <m/>
    <m/>
  </r>
  <r>
    <x v="9"/>
    <x v="5"/>
    <s v="C:\Users\andre\Desktop\REACTIV CEFAS\Cromolyn\Cromolyn/20201217_Cefas_Test10_Run1/Plate 1/@5/E5_04.tif "/>
    <s v=" 41594.2874 "/>
    <s v=" 35.3521 "/>
    <x v="0"/>
    <n v="1470443"/>
    <m/>
    <m/>
  </r>
  <r>
    <x v="9"/>
    <x v="6"/>
    <s v="C:\Users\andre\Desktop\REACTIV CEFAS\Cromolyn\Cromolyn/20201217_Cefas_Test10_Run1/Plate 1/@5/F5_01.tif "/>
    <s v=" 83534.6531 "/>
    <s v=" 44.3915 "/>
    <x v="0"/>
    <n v="3708229"/>
    <m/>
    <m/>
  </r>
  <r>
    <x v="9"/>
    <x v="6"/>
    <s v="C:\Users\andre\Desktop\REACTIV CEFAS\Cromolyn\Cromolyn/20201217_Cefas_Test10_Run1/Plate 1/@5/F5_02.tif "/>
    <s v=" 77932.5103 "/>
    <s v=" 42.7386 "/>
    <x v="0"/>
    <n v="3330723"/>
    <m/>
    <m/>
  </r>
  <r>
    <x v="9"/>
    <x v="6"/>
    <s v="C:\Users\andre\Desktop\REACTIV CEFAS\Cromolyn\Cromolyn/20201217_Cefas_Test10_Run1/Plate 1/@5/F5_03.tif "/>
    <s v=" 79771.0514 "/>
    <s v=" 44.5911 "/>
    <x v="0"/>
    <n v="3557079"/>
    <m/>
    <m/>
  </r>
  <r>
    <x v="9"/>
    <x v="6"/>
    <s v="C:\Users\andre\Desktop\REACTIV CEFAS\Cromolyn\Cromolyn/20201217_Cefas_Test10_Run1/Plate 1/@5/F5_04.tif "/>
    <s v=" 88033.6711 "/>
    <s v=" 44.9727 "/>
    <x v="0"/>
    <n v="3959114"/>
    <m/>
    <m/>
  </r>
  <r>
    <x v="9"/>
    <x v="7"/>
    <s v="C:\Users\andre\Desktop\REACTIV CEFAS\Cromolyn\Cromolyn/20201217_Cefas_Test10_Run1/Plate 1/@5/G5_01.tif "/>
    <s v=" 13497.0542 "/>
    <s v=" 33.8766 "/>
    <x v="0"/>
    <n v="457234"/>
    <m/>
    <m/>
  </r>
  <r>
    <x v="9"/>
    <x v="7"/>
    <s v="C:\Users\andre\Desktop\REACTIV CEFAS\Cromolyn\Cromolyn/20201217_Cefas_Test10_Run1/Plate 1/@5/G5_02.tif "/>
    <s v=" 37073.6394 "/>
    <s v=" 36.0963 "/>
    <x v="0"/>
    <n v="1338220"/>
    <m/>
    <m/>
  </r>
  <r>
    <x v="9"/>
    <x v="7"/>
    <s v="C:\Users\andre\Desktop\REACTIV CEFAS\Cromolyn\Cromolyn/20201217_Cefas_Test10_Run1/Plate 1/@5/G5_03.tif "/>
    <s v=" 34867.3901 "/>
    <s v=" 36.9082 "/>
    <x v="0"/>
    <n v="1286892"/>
    <m/>
    <m/>
  </r>
  <r>
    <x v="9"/>
    <x v="7"/>
    <s v="C:\Users\andre\Desktop\REACTIV CEFAS\Cromolyn\Cromolyn/20201217_Cefas_Test10_Run1/Plate 1/@5/G5_04.tif "/>
    <s v=" 9582.0433 "/>
    <s v=" 33.6591 "/>
    <x v="0"/>
    <n v="322523"/>
    <m/>
    <m/>
  </r>
  <r>
    <x v="9"/>
    <x v="8"/>
    <s v="C:\Users\andre\Desktop\REACTIV CEFAS\Cromolyn\Cromolyn/20201217_Cefas_Test10_Run1/Plate 1/@5/H5_01.tif "/>
    <s v=" 973.3453 "/>
    <s v=" 31.3556 "/>
    <x v="0"/>
    <n v="30520"/>
    <m/>
    <m/>
  </r>
  <r>
    <x v="9"/>
    <x v="8"/>
    <s v="C:\Users\andre\Desktop\REACTIV CEFAS\Cromolyn\Cromolyn/20201217_Cefas_Test10_Run1/Plate 1/@5/H5_02- exclu.tif"/>
    <m/>
    <m/>
    <x v="1"/>
    <m/>
    <m/>
    <m/>
  </r>
  <r>
    <x v="9"/>
    <x v="8"/>
    <s v="C:\Users\andre\Desktop\REACTIV CEFAS\Cromolyn\Cromolyn/20201217_Cefas_Test10_Run1/Plate 1/@5/H5_03- exclu.tif"/>
    <m/>
    <m/>
    <x v="1"/>
    <m/>
    <m/>
    <m/>
  </r>
  <r>
    <x v="9"/>
    <x v="8"/>
    <s v="C:\Users\andre\Desktop\REACTIV CEFAS\Cromolyn\Cromolyn/20201217_Cefas_Test10_Run1/Plate 1/@5/H5_04- exclu.tif"/>
    <m/>
    <m/>
    <x v="1"/>
    <m/>
    <m/>
    <m/>
  </r>
  <r>
    <x v="0"/>
    <x v="0"/>
    <s v=" "/>
    <m/>
    <m/>
    <x v="1"/>
    <m/>
    <m/>
    <m/>
  </r>
  <r>
    <x v="0"/>
    <x v="0"/>
    <s v="group "/>
    <s v=" "/>
    <s v=" mean of mean fluo "/>
    <x v="2"/>
    <s v=" mean of total fluo "/>
    <s v=" SD total fluo "/>
    <m/>
  </r>
  <r>
    <x v="9"/>
    <x v="9"/>
    <s v="C:\Users\andre\Desktop\REACTIV CEFAS\Cromolyn\Cromolyn/20201217_Cefas_Test10_Run1/Plate 1/@5/ "/>
    <s v=" "/>
    <s v=" 41.1186 "/>
    <x v="11"/>
    <s v=" 2178940.12 "/>
    <s v=" 1120797.4 "/>
    <m/>
  </r>
  <r>
    <x v="0"/>
    <x v="0"/>
    <s v=" "/>
    <m/>
    <m/>
    <x v="1"/>
    <m/>
    <m/>
    <m/>
  </r>
  <r>
    <x v="0"/>
    <x v="0"/>
    <s v=" "/>
    <m/>
    <m/>
    <x v="1"/>
    <m/>
    <m/>
    <m/>
  </r>
  <r>
    <x v="0"/>
    <x v="0"/>
    <s v=" "/>
    <m/>
    <m/>
    <x v="1"/>
    <m/>
    <m/>
    <m/>
  </r>
  <r>
    <x v="0"/>
    <x v="0"/>
    <s v=" "/>
    <m/>
    <m/>
    <x v="1"/>
    <m/>
    <m/>
    <m/>
  </r>
  <r>
    <x v="0"/>
    <x v="0"/>
    <s v=" "/>
    <m/>
    <m/>
    <x v="1"/>
    <m/>
    <m/>
    <m/>
  </r>
  <r>
    <x v="0"/>
    <x v="0"/>
    <s v="file name "/>
    <s v=" total area "/>
    <s v=" mean intensity "/>
    <x v="0"/>
    <s v=" total fluorescence"/>
    <m/>
    <m/>
  </r>
  <r>
    <x v="10"/>
    <x v="1"/>
    <s v="C:\Users\andre\Desktop\REACTIV CEFAS\Cromolyn\Cromolyn/20201217_Cefas_Test10_Run1/Plate 1/@6/A6_01.tif "/>
    <s v=" 56518.9147 "/>
    <s v=" 43.1871 "/>
    <x v="0"/>
    <n v="2440890"/>
    <m/>
    <m/>
  </r>
  <r>
    <x v="10"/>
    <x v="1"/>
    <s v="C:\Users\andre\Desktop\REACTIV CEFAS\Cromolyn\Cromolyn/20201217_Cefas_Test10_Run1/Plate 1/@6/A6_02.tif "/>
    <s v=" 62769.9542 "/>
    <s v=" 46.0152 "/>
    <x v="0"/>
    <n v="2888370"/>
    <m/>
    <m/>
  </r>
  <r>
    <x v="10"/>
    <x v="1"/>
    <s v="C:\Users\andre\Desktop\REACTIV CEFAS\Cromolyn\Cromolyn/20201217_Cefas_Test10_Run1/Plate 1/@6/A6_03.tif "/>
    <s v=" 63808.1892 "/>
    <s v=" 47.2071 "/>
    <x v="0"/>
    <n v="3012201"/>
    <m/>
    <m/>
  </r>
  <r>
    <x v="10"/>
    <x v="1"/>
    <s v="C:\Users\andre\Desktop\REACTIV CEFAS\Cromolyn\Cromolyn/20201217_Cefas_Test10_Run1/Plate 1/@6/A6_04.tif "/>
    <s v=" 64911.3138 "/>
    <s v=" 45.5811 "/>
    <x v="0"/>
    <n v="2958732"/>
    <m/>
    <m/>
  </r>
  <r>
    <x v="10"/>
    <x v="2"/>
    <s v="C:\Users\andre\Desktop\REACTIV CEFAS\Cromolyn\Cromolyn/20201217_Cefas_Test10_Run1/Plate 1/@6/B6_01.tif "/>
    <s v=" 53555.6191 "/>
    <s v=" 46.3974 "/>
    <x v="0"/>
    <n v="2484842"/>
    <m/>
    <m/>
  </r>
  <r>
    <x v="10"/>
    <x v="2"/>
    <s v="C:\Users\andre\Desktop\REACTIV CEFAS\Cromolyn\Cromolyn/20201217_Cefas_Test10_Run1/Plate 1/@6/B6_02.tif "/>
    <s v=" 53923.3273 "/>
    <s v=" 45.7148 "/>
    <x v="0"/>
    <n v="2465094"/>
    <m/>
    <m/>
  </r>
  <r>
    <x v="10"/>
    <x v="2"/>
    <s v="C:\Users\andre\Desktop\REACTIV CEFAS\Cromolyn\Cromolyn/20201217_Cefas_Test10_Run1/Plate 1/@6/B6_03.tif "/>
    <s v=" 55069.7117 "/>
    <s v=" 47.9666 "/>
    <x v="0"/>
    <n v="2641508"/>
    <m/>
    <m/>
  </r>
  <r>
    <x v="10"/>
    <x v="2"/>
    <s v="C:\Users\andre\Desktop\REACTIV CEFAS\Cromolyn\Cromolyn/20201217_Cefas_Test10_Run1/Plate 1/@6/B6_04.tif "/>
    <s v=" 57665.2991 "/>
    <s v=" 47.323 "/>
    <x v="0"/>
    <n v="2728892"/>
    <m/>
    <m/>
  </r>
  <r>
    <x v="10"/>
    <x v="3"/>
    <s v="C:\Users\andre\Desktop\REACTIV CEFAS\Cromolyn\Cromolyn/20201217_Cefas_Test10_Run1/Plate 1/@6/C6_01- exclu.tif"/>
    <m/>
    <m/>
    <x v="1"/>
    <m/>
    <m/>
    <m/>
  </r>
  <r>
    <x v="10"/>
    <x v="3"/>
    <s v="C:\Users\andre\Desktop\REACTIV CEFAS\Cromolyn\Cromolyn/20201217_Cefas_Test10_Run1/Plate 1/@6/C6_02- exclu.tif"/>
    <m/>
    <m/>
    <x v="1"/>
    <m/>
    <m/>
    <m/>
  </r>
  <r>
    <x v="10"/>
    <x v="3"/>
    <s v="C:\Users\andre\Desktop\REACTIV CEFAS\Cromolyn\Cromolyn/20201217_Cefas_Test10_Run1/Plate 1/@6/C6_03.tif "/>
    <s v=" 73000.8944 "/>
    <s v=" 43.1292 "/>
    <x v="0"/>
    <n v="3148469"/>
    <m/>
    <m/>
  </r>
  <r>
    <x v="10"/>
    <x v="3"/>
    <s v="C:\Users\andre\Desktop\REACTIV CEFAS\Cromolyn\Cromolyn/20201217_Cefas_Test10_Run1/Plate 1/@6/C6_04.tif "/>
    <s v=" 82539.6779 "/>
    <s v=" 41.5629 "/>
    <x v="0"/>
    <n v="3430588"/>
    <m/>
    <m/>
  </r>
  <r>
    <x v="10"/>
    <x v="4"/>
    <s v="C:\Users\andre\Desktop\REACTIV CEFAS\Cromolyn\Cromolyn/20201217_Cefas_Test10_Run1/Plate 1/@6/D6_01.tif "/>
    <s v=" 63202.5521 "/>
    <s v=" 47.8409 "/>
    <x v="0"/>
    <n v="3023665"/>
    <m/>
    <m/>
  </r>
  <r>
    <x v="10"/>
    <x v="4"/>
    <s v="C:\Users\andre\Desktop\REACTIV CEFAS\Cromolyn\Cromolyn/20201217_Cefas_Test10_Run1/Plate 1/@6/D6_02.tif "/>
    <s v=" 62034.5378 "/>
    <s v=" 46.6974 "/>
    <x v="0"/>
    <n v="2896849"/>
    <m/>
    <m/>
  </r>
  <r>
    <x v="10"/>
    <x v="4"/>
    <s v="C:\Users\andre\Desktop\REACTIV CEFAS\Cromolyn\Cromolyn/20201217_Cefas_Test10_Run1/Plate 1/@6/D6_03.tif "/>
    <s v=" 65495.3209 "/>
    <s v=" 47.0337 "/>
    <x v="0"/>
    <n v="3080486"/>
    <m/>
    <m/>
  </r>
  <r>
    <x v="10"/>
    <x v="4"/>
    <s v="C:\Users\andre\Desktop\REACTIV CEFAS\Cromolyn\Cromolyn/20201217_Cefas_Test10_Run1/Plate 1/@6/D6_04.tif "/>
    <s v=" 64219.1572 "/>
    <s v=" 46.7686 "/>
    <x v="0"/>
    <n v="3003441"/>
    <m/>
    <m/>
  </r>
  <r>
    <x v="10"/>
    <x v="5"/>
    <s v="C:\Users\andre\Desktop\REACTIV CEFAS\Cromolyn\Cromolyn/20201217_Cefas_Test10_Run1/Plate 1/@6/E6_01.tif "/>
    <s v=" 50938.4019 "/>
    <s v=" 43.0047 "/>
    <x v="0"/>
    <n v="2190589"/>
    <m/>
    <m/>
  </r>
  <r>
    <x v="10"/>
    <x v="5"/>
    <s v="C:\Users\andre\Desktop\REACTIV CEFAS\Cromolyn\Cromolyn/20201217_Cefas_Test10_Run1/Plate 1/@6/E6_02.tif "/>
    <s v=" 57859.9681 "/>
    <s v=" 44.5607 "/>
    <x v="0"/>
    <n v="2578283"/>
    <m/>
    <m/>
  </r>
  <r>
    <x v="10"/>
    <x v="5"/>
    <s v="C:\Users\andre\Desktop\REACTIV CEFAS\Cromolyn\Cromolyn/20201217_Cefas_Test10_Run1/Plate 1/@6/E6_03.tif "/>
    <s v=" 48213.0351 "/>
    <s v=" 44.4154 "/>
    <x v="0"/>
    <n v="2141403"/>
    <m/>
    <m/>
  </r>
  <r>
    <x v="10"/>
    <x v="5"/>
    <s v="C:\Users\andre\Desktop\REACTIV CEFAS\Cromolyn\Cromolyn/20201217_Cefas_Test10_Run1/Plate 1/@6/E6_04.tif "/>
    <s v=" 56605.4342 "/>
    <s v=" 43.3481 "/>
    <x v="0"/>
    <n v="2453739"/>
    <m/>
    <m/>
  </r>
  <r>
    <x v="10"/>
    <x v="6"/>
    <s v="C:\Users\andre\Desktop\REACTIV CEFAS\Cromolyn\Cromolyn/20201217_Cefas_Test10_Run1/Plate 1/@6/F6_01.tif "/>
    <s v=" 78451.6278 "/>
    <s v=" 45.0543 "/>
    <x v="0"/>
    <n v="3534584"/>
    <m/>
    <m/>
  </r>
  <r>
    <x v="10"/>
    <x v="6"/>
    <s v="C:\Users\andre\Desktop\REACTIV CEFAS\Cromolyn\Cromolyn/20201217_Cefas_Test10_Run1/Plate 1/@6/F6_02.tif "/>
    <s v=" 70080.8586 "/>
    <s v=" 45.7179 "/>
    <x v="0"/>
    <n v="3203950"/>
    <m/>
    <m/>
  </r>
  <r>
    <x v="10"/>
    <x v="6"/>
    <s v="C:\Users\andre\Desktop\REACTIV CEFAS\Cromolyn\Cromolyn/20201217_Cefas_Test10_Run1/Plate 1/@6/F6_03.tif "/>
    <s v=" 79078.8948 "/>
    <s v=" 43.8072 "/>
    <x v="0"/>
    <n v="3464222"/>
    <m/>
    <m/>
  </r>
  <r>
    <x v="10"/>
    <x v="6"/>
    <s v="C:\Users\andre\Desktop\REACTIV CEFAS\Cromolyn\Cromolyn/20201217_Cefas_Test10_Run1/Plate 1/@6/F6_04.tif "/>
    <s v=" 82345.0089 "/>
    <s v=" 48.0029 "/>
    <x v="0"/>
    <n v="3952798"/>
    <m/>
    <m/>
  </r>
  <r>
    <x v="10"/>
    <x v="7"/>
    <s v="C:\Users\andre\Desktop\REACTIV CEFAS\Cromolyn\Cromolyn/20201217_Cefas_Test10_Run1/Plate 1/@6/G6_01.tif "/>
    <s v=" 66165.8477 "/>
    <s v=" 38.8173 "/>
    <x v="0"/>
    <n v="2568377"/>
    <m/>
    <m/>
  </r>
  <r>
    <x v="10"/>
    <x v="7"/>
    <s v="C:\Users\andre\Desktop\REACTIV CEFAS\Cromolyn\Cromolyn/20201217_Cefas_Test10_Run1/Plate 1/@6/G6_02.tif "/>
    <s v=" 70426.9369 "/>
    <s v=" 40.8707 "/>
    <x v="0"/>
    <n v="2878398"/>
    <m/>
    <m/>
  </r>
  <r>
    <x v="10"/>
    <x v="7"/>
    <s v="C:\Users\andre\Desktop\REACTIV CEFAS\Cromolyn\Cromolyn/20201217_Cefas_Test10_Run1/Plate 1/@6/G6_03.tif "/>
    <s v=" 70578.3462 "/>
    <s v=" 40.2626 "/>
    <x v="0"/>
    <n v="2841671"/>
    <m/>
    <m/>
  </r>
  <r>
    <x v="10"/>
    <x v="7"/>
    <s v="C:\Users\andre\Desktop\REACTIV CEFAS\Cromolyn\Cromolyn/20201217_Cefas_Test10_Run1/Plate 1/@6/G6_04.tif "/>
    <s v=" 75315.2931 "/>
    <s v=" 43.5063 "/>
    <x v="0"/>
    <n v="3276691"/>
    <m/>
    <m/>
  </r>
  <r>
    <x v="10"/>
    <x v="8"/>
    <s v="C:\Users\andre\Desktop\REACTIV CEFAS\Cromolyn\Cromolyn/20201217_Cefas_Test10_Run1/Plate 1/@6/H6_01.tif "/>
    <s v=" 58422.3454 "/>
    <s v=" 46.3776 "/>
    <x v="0"/>
    <n v="2709490"/>
    <m/>
    <m/>
  </r>
  <r>
    <x v="10"/>
    <x v="8"/>
    <s v="C:\Users\andre\Desktop\REACTIV CEFAS\Cromolyn\Cromolyn/20201217_Cefas_Test10_Run1/Plate 1/@6/H6_02.tif "/>
    <s v=" 57124.5517 "/>
    <s v=" 49.4317 "/>
    <x v="0"/>
    <n v="2823761"/>
    <m/>
    <m/>
  </r>
  <r>
    <x v="10"/>
    <x v="8"/>
    <s v="C:\Users\andre\Desktop\REACTIV CEFAS\Cromolyn\Cromolyn/20201217_Cefas_Test10_Run1/Plate 1/@6/H6_03.tif "/>
    <s v=" 52928.3522 "/>
    <s v=" 45.4103 "/>
    <x v="0"/>
    <n v="2403492"/>
    <m/>
    <m/>
  </r>
  <r>
    <x v="10"/>
    <x v="8"/>
    <s v="C:\Users\andre\Desktop\REACTIV CEFAS\Cromolyn\Cromolyn/20201217_Cefas_Test10_Run1/Plate 1/@6/H6_04.tif "/>
    <s v=" 58660.2742 "/>
    <s v=" 44.1221 "/>
    <x v="0"/>
    <n v="2588212"/>
    <m/>
    <m/>
  </r>
  <r>
    <x v="0"/>
    <x v="0"/>
    <s v=" "/>
    <m/>
    <m/>
    <x v="1"/>
    <m/>
    <m/>
    <m/>
  </r>
  <r>
    <x v="0"/>
    <x v="0"/>
    <s v="group "/>
    <s v=" "/>
    <s v=" mean of mean fluo "/>
    <x v="2"/>
    <s v=" mean of total fluo "/>
    <s v=" SD total fluo "/>
    <m/>
  </r>
  <r>
    <x v="10"/>
    <x v="9"/>
    <s v="C:\Users\andre\Desktop\REACTIV CEFAS\Cromolyn\Cromolyn/20201217_Cefas_Test10_Run1/Plate 1/@6/ "/>
    <s v=" "/>
    <s v=" 45.0437 "/>
    <x v="12"/>
    <s v=" 2838848.66 "/>
    <s v=" 410328.876 "/>
    <m/>
  </r>
  <r>
    <x v="0"/>
    <x v="0"/>
    <s v=" "/>
    <m/>
    <m/>
    <x v="1"/>
    <m/>
    <m/>
    <m/>
  </r>
  <r>
    <x v="0"/>
    <x v="0"/>
    <s v=" "/>
    <m/>
    <m/>
    <x v="1"/>
    <m/>
    <m/>
    <m/>
  </r>
  <r>
    <x v="0"/>
    <x v="0"/>
    <s v=" "/>
    <m/>
    <m/>
    <x v="1"/>
    <m/>
    <m/>
    <m/>
  </r>
  <r>
    <x v="0"/>
    <x v="0"/>
    <s v=" "/>
    <m/>
    <m/>
    <x v="1"/>
    <m/>
    <m/>
    <m/>
  </r>
  <r>
    <x v="0"/>
    <x v="0"/>
    <s v=" "/>
    <m/>
    <m/>
    <x v="1"/>
    <m/>
    <m/>
    <m/>
  </r>
  <r>
    <x v="0"/>
    <x v="0"/>
    <s v="file name "/>
    <s v=" total area "/>
    <s v=" mean intensity "/>
    <x v="0"/>
    <s v=" total fluorescence"/>
    <m/>
    <m/>
  </r>
  <r>
    <x v="11"/>
    <x v="1"/>
    <s v="C:\Users\andre\Desktop\REACTIV CEFAS\Cromolyn\Cromolyn/20201217_Cefas_Test10_Run1/Plate 1/@7/A7_01.tif "/>
    <s v=" 102309.402 "/>
    <s v=" 58.3159 "/>
    <x v="0"/>
    <n v="5966260"/>
    <m/>
    <m/>
  </r>
  <r>
    <x v="11"/>
    <x v="1"/>
    <s v="C:\Users\andre\Desktop\REACTIV CEFAS\Cromolyn\Cromolyn/20201217_Cefas_Test10_Run1/Plate 1/@7/A7_02- exclu.tif"/>
    <m/>
    <m/>
    <x v="1"/>
    <m/>
    <m/>
    <m/>
  </r>
  <r>
    <x v="11"/>
    <x v="1"/>
    <s v="C:\Users\andre\Desktop\REACTIV CEFAS\Cromolyn\Cromolyn/20201217_Cefas_Test10_Run1/Plate 1/@7/A7_03- exclu.tif"/>
    <m/>
    <m/>
    <x v="1"/>
    <m/>
    <m/>
    <m/>
  </r>
  <r>
    <x v="11"/>
    <x v="1"/>
    <s v="C:\Users\andre\Desktop\REACTIV CEFAS\Cromolyn\Cromolyn/20201217_Cefas_Test10_Run1/Plate 1/@7/A7_04- exclu.tif"/>
    <m/>
    <m/>
    <x v="1"/>
    <m/>
    <m/>
    <m/>
  </r>
  <r>
    <x v="11"/>
    <x v="2"/>
    <s v="C:\Users\andre\Desktop\REACTIV CEFAS\Cromolyn\Cromolyn/20201217_Cefas_Test10_Run1/Plate 1/@7/B7_01.tif "/>
    <s v=" 91472.8244 "/>
    <s v=" 58.458 "/>
    <x v="0"/>
    <n v="5347321"/>
    <m/>
    <m/>
  </r>
  <r>
    <x v="11"/>
    <x v="2"/>
    <s v="C:\Users\andre\Desktop\REACTIV CEFAS\Cromolyn\Cromolyn/20201217_Cefas_Test10_Run1/Plate 1/@7/B7_02.tif "/>
    <s v=" 81955.6707 "/>
    <s v=" 61.5864 "/>
    <x v="0"/>
    <n v="5047358"/>
    <m/>
    <m/>
  </r>
  <r>
    <x v="11"/>
    <x v="2"/>
    <s v="C:\Users\andre\Desktop\REACTIV CEFAS\Cromolyn\Cromolyn/20201217_Cefas_Test10_Run1/Plate 1/@7/B7_03.tif "/>
    <s v=" 69648.2607 "/>
    <s v=" 67.6575 "/>
    <x v="0"/>
    <n v="4712224"/>
    <m/>
    <m/>
  </r>
  <r>
    <x v="11"/>
    <x v="2"/>
    <s v="C:\Users\andre\Desktop\REACTIV CEFAS\Cromolyn\Cromolyn/20201217_Cefas_Test10_Run1/Plate 1/@7/B7_04.tif "/>
    <s v=" 87774.1124 "/>
    <s v=" 64.1402 "/>
    <x v="0"/>
    <n v="5629851"/>
    <m/>
    <m/>
  </r>
  <r>
    <x v="11"/>
    <x v="3"/>
    <s v="C:\Users\andre\Desktop\REACTIV CEFAS\Cromolyn\Cromolyn/20201217_Cefas_Test10_Run1/Plate 1/@7/C7_01- exclu.tif"/>
    <m/>
    <m/>
    <x v="1"/>
    <m/>
    <m/>
    <m/>
  </r>
  <r>
    <x v="11"/>
    <x v="3"/>
    <s v="C:\Users\andre\Desktop\REACTIV CEFAS\Cromolyn\Cromolyn/20201217_Cefas_Test10_Run1/Plate 1/@7/C7_02- exclu.tif"/>
    <m/>
    <m/>
    <x v="1"/>
    <m/>
    <m/>
    <m/>
  </r>
  <r>
    <x v="11"/>
    <x v="3"/>
    <s v="C:\Users\andre\Desktop\REACTIV CEFAS\Cromolyn\Cromolyn/20201217_Cefas_Test10_Run1/Plate 1/@7/C7_03.tif "/>
    <s v=" 81047.2152 "/>
    <s v=" 58.731 "/>
    <x v="0"/>
    <n v="4759983"/>
    <m/>
    <m/>
  </r>
  <r>
    <x v="11"/>
    <x v="3"/>
    <s v="C:\Users\andre\Desktop\REACTIV CEFAS\Cromolyn\Cromolyn/20201217_Cefas_Test10_Run1/Plate 1/@7/C7_04.tif "/>
    <s v=" 79446.603 "/>
    <s v=" 58.6973 "/>
    <x v="0"/>
    <n v="4663297"/>
    <m/>
    <m/>
  </r>
  <r>
    <x v="11"/>
    <x v="4"/>
    <s v="C:\Users\andre\Desktop\REACTIV CEFAS\Cromolyn\Cromolyn/20201217_Cefas_Test10_Run1/Plate 1/@7/D7_01.tif "/>
    <s v=" 82864.1263 "/>
    <s v=" 57.3566 "/>
    <x v="0"/>
    <n v="4752802"/>
    <m/>
    <m/>
  </r>
  <r>
    <x v="11"/>
    <x v="4"/>
    <s v="C:\Users\andre\Desktop\REACTIV CEFAS\Cromolyn\Cromolyn/20201217_Cefas_Test10_Run1/Plate 1/@7/D7_02.tif "/>
    <s v=" 83339.984 "/>
    <s v=" 51.605 "/>
    <x v="0"/>
    <n v="4300758"/>
    <m/>
    <m/>
  </r>
  <r>
    <x v="11"/>
    <x v="4"/>
    <s v="C:\Users\andre\Desktop\REACTIV CEFAS\Cromolyn\Cromolyn/20201217_Cefas_Test10_Run1/Plate 1/@7/D7_03.tif "/>
    <s v=" 79468.2329 "/>
    <s v=" 54.6339 "/>
    <x v="0"/>
    <n v="4341661"/>
    <m/>
    <m/>
  </r>
  <r>
    <x v="11"/>
    <x v="4"/>
    <s v="C:\Users\andre\Desktop\REACTIV CEFAS\Cromolyn\Cromolyn/20201217_Cefas_Test10_Run1/Plate 1/@7/D7_04.tif "/>
    <s v=" 80787.6564 "/>
    <s v=" 50.7609 "/>
    <x v="0"/>
    <n v="4100855"/>
    <m/>
    <m/>
  </r>
  <r>
    <x v="11"/>
    <x v="5"/>
    <s v="C:\Users\andre\Desktop\REACTIV CEFAS\Cromolyn\Cromolyn/20201217_Cefas_Test10_Run1/Plate 1/@7/E7_01.tif "/>
    <s v=" 83729.3221 "/>
    <s v=" 53.6329 "/>
    <x v="0"/>
    <n v="4490647"/>
    <m/>
    <m/>
  </r>
  <r>
    <x v="11"/>
    <x v="5"/>
    <s v="C:\Users\andre\Desktop\REACTIV CEFAS\Cromolyn\Cromolyn/20201217_Cefas_Test10_Run1/Plate 1/@7/E7_02.tif "/>
    <s v=" 81717.7419 "/>
    <s v=" 53.5005 "/>
    <x v="0"/>
    <n v="4371942"/>
    <m/>
    <m/>
  </r>
  <r>
    <x v="11"/>
    <x v="5"/>
    <s v="C:\Users\andre\Desktop\REACTIV CEFAS\Cromolyn\Cromolyn/20201217_Cefas_Test10_Run1/Plate 1/@7/E7_03.tif "/>
    <s v=" 86714.2476 "/>
    <s v=" 57.0304 "/>
    <x v="0"/>
    <n v="4945351"/>
    <m/>
    <m/>
  </r>
  <r>
    <x v="11"/>
    <x v="5"/>
    <s v="C:\Users\andre\Desktop\REACTIV CEFAS\Cromolyn\Cromolyn/20201217_Cefas_Test10_Run1/Plate 1/@7/E7_04.tif "/>
    <s v=" 84097.0303 "/>
    <s v=" 56.6847 "/>
    <x v="0"/>
    <n v="4767012"/>
    <m/>
    <m/>
  </r>
  <r>
    <x v="11"/>
    <x v="6"/>
    <s v="C:\Users\andre\Desktop\REACTIV CEFAS\Cromolyn\Cromolyn/20201217_Cefas_Test10_Run1/Plate 1/@7/F7_01.tif "/>
    <s v=" 108755.11 "/>
    <s v=" 59.1337 "/>
    <x v="0"/>
    <n v="6431087"/>
    <m/>
    <m/>
  </r>
  <r>
    <x v="11"/>
    <x v="6"/>
    <s v="C:\Users\andre\Desktop\REACTIV CEFAS\Cromolyn\Cromolyn/20201217_Cefas_Test10_Run1/Plate 1/@7/F7_02.tif "/>
    <s v=" 106289.302 "/>
    <s v=" 61.6764 "/>
    <x v="0"/>
    <n v="6555545"/>
    <m/>
    <m/>
  </r>
  <r>
    <x v="11"/>
    <x v="6"/>
    <s v="C:\Users\andre\Desktop\REACTIV CEFAS\Cromolyn\Cromolyn/20201217_Cefas_Test10_Run1/Plate 1/@7/F7_03.tif "/>
    <s v=" 110680.171 "/>
    <s v=" 58.6074 "/>
    <x v="0"/>
    <n v="6486676"/>
    <m/>
    <m/>
  </r>
  <r>
    <x v="11"/>
    <x v="6"/>
    <s v="C:\Users\andre\Desktop\REACTIV CEFAS\Cromolyn\Cromolyn/20201217_Cefas_Test10_Run1/Plate 1/@7/F7_04.tif "/>
    <s v=" 111026.249 "/>
    <s v=" 60.3493 "/>
    <x v="0"/>
    <n v="6700357"/>
    <m/>
    <m/>
  </r>
  <r>
    <x v="11"/>
    <x v="7"/>
    <s v="C:\Users\andre\Desktop\REACTIV CEFAS\Cromolyn\Cromolyn/20201217_Cefas_Test10_Run1/Plate 1/@7/G7_01.tif "/>
    <s v=" 85113.6354 "/>
    <s v=" 54.8851 "/>
    <x v="0"/>
    <n v="4671473"/>
    <m/>
    <m/>
  </r>
  <r>
    <x v="11"/>
    <x v="7"/>
    <s v="C:\Users\andre\Desktop\REACTIV CEFAS\Cromolyn\Cromolyn/20201217_Cefas_Test10_Run1/Plate 1/@7/G7_02.tif "/>
    <s v=" 85005.4859 "/>
    <s v=" 55.3196 "/>
    <x v="0"/>
    <n v="4702469"/>
    <m/>
    <m/>
  </r>
  <r>
    <x v="11"/>
    <x v="7"/>
    <s v="C:\Users\andre\Desktop\REACTIV CEFAS\Cromolyn\Cromolyn/20201217_Cefas_Test10_Run1/Plate 1/@7/G7_03.tif "/>
    <s v=" 83621.1726 "/>
    <s v=" 54.2794 "/>
    <x v="0"/>
    <n v="4538904"/>
    <m/>
    <m/>
  </r>
  <r>
    <x v="11"/>
    <x v="7"/>
    <s v="C:\Users\andre\Desktop\REACTIV CEFAS\Cromolyn\Cromolyn/20201217_Cefas_Test10_Run1/Plate 1/@7/G7_04.tif "/>
    <s v=" 86908.9166 "/>
    <s v=" 50.506 "/>
    <x v="0"/>
    <n v="4389419"/>
    <m/>
    <m/>
  </r>
  <r>
    <x v="11"/>
    <x v="8"/>
    <s v="C:\Users\andre\Desktop\REACTIV CEFAS\Cromolyn\Cromolyn/20201217_Cefas_Test10_Run1/Plate 1/@7/H7_01.tif "/>
    <s v=" 101206.277 "/>
    <s v=" 61.2533 "/>
    <x v="0"/>
    <n v="6199214"/>
    <m/>
    <m/>
  </r>
  <r>
    <x v="11"/>
    <x v="8"/>
    <s v="C:\Users\andre\Desktop\REACTIV CEFAS\Cromolyn\Cromolyn/20201217_Cefas_Test10_Run1/Plate 1/@7/H7_02.tif "/>
    <s v=" 101509.095 "/>
    <s v=" 58.3718 "/>
    <x v="0"/>
    <n v="5925272"/>
    <m/>
    <m/>
  </r>
  <r>
    <x v="11"/>
    <x v="8"/>
    <s v="C:\Users\andre\Desktop\REACTIV CEFAS\Cromolyn\Cromolyn/20201217_Cefas_Test10_Run1/Plate 1/@7/H7_03.tif "/>
    <s v=" 95149.9065 "/>
    <s v=" 56.1796 "/>
    <x v="0"/>
    <n v="5345482"/>
    <m/>
    <m/>
  </r>
  <r>
    <x v="11"/>
    <x v="8"/>
    <s v="C:\Users\andre\Desktop\REACTIV CEFAS\Cromolyn\Cromolyn/20201217_Cefas_Test10_Run1/Plate 1/@7/H7_04.tif "/>
    <s v=" 106873.309 "/>
    <s v=" 59.8116 "/>
    <x v="0"/>
    <n v="6392261"/>
    <m/>
    <m/>
  </r>
  <r>
    <x v="0"/>
    <x v="0"/>
    <s v=" "/>
    <m/>
    <m/>
    <x v="1"/>
    <m/>
    <m/>
    <m/>
  </r>
  <r>
    <x v="0"/>
    <x v="0"/>
    <s v="group "/>
    <s v=" "/>
    <s v=" mean of mean fluo "/>
    <x v="2"/>
    <s v=" mean of total fluo "/>
    <s v=" SD total fluo "/>
    <m/>
  </r>
  <r>
    <x v="11"/>
    <x v="9"/>
    <s v="C:\Users\andre\Desktop\REACTIV CEFAS\Cromolyn\Cromolyn/20201217_Cefas_Test10_Run1/Plate 1/@7/ "/>
    <s v=" "/>
    <s v=" 57.2091 "/>
    <x v="13"/>
    <s v=" 5095755.12 "/>
    <s v=" 1021359.18 "/>
    <m/>
  </r>
  <r>
    <x v="0"/>
    <x v="0"/>
    <s v=" "/>
    <m/>
    <m/>
    <x v="1"/>
    <m/>
    <m/>
    <m/>
  </r>
  <r>
    <x v="0"/>
    <x v="0"/>
    <s v=" "/>
    <m/>
    <m/>
    <x v="1"/>
    <m/>
    <m/>
    <m/>
  </r>
  <r>
    <x v="0"/>
    <x v="0"/>
    <s v=" "/>
    <m/>
    <m/>
    <x v="1"/>
    <m/>
    <m/>
    <m/>
  </r>
  <r>
    <x v="0"/>
    <x v="0"/>
    <s v=" "/>
    <m/>
    <m/>
    <x v="1"/>
    <m/>
    <m/>
    <m/>
  </r>
  <r>
    <x v="0"/>
    <x v="0"/>
    <s v=" "/>
    <m/>
    <m/>
    <x v="1"/>
    <m/>
    <m/>
    <m/>
  </r>
  <r>
    <x v="0"/>
    <x v="0"/>
    <s v="file name "/>
    <s v=" total area "/>
    <s v=" mean intensity "/>
    <x v="0"/>
    <s v=" total fluorescence"/>
    <m/>
    <m/>
  </r>
  <r>
    <x v="12"/>
    <x v="1"/>
    <s v="C:\Users\andre\Desktop\REACTIV CEFAS\Cromolyn\Cromolyn/20201217_Cefas_Test10_Run1/Plate 4/@10/A4_01.tif "/>
    <s v=" 1838.541 "/>
    <s v=" 31.8 "/>
    <x v="0"/>
    <n v="58466"/>
    <m/>
    <m/>
  </r>
  <r>
    <x v="12"/>
    <x v="1"/>
    <s v="C:\Users\andre\Desktop\REACTIV CEFAS\Cromolyn\Cromolyn/20201217_Cefas_Test10_Run1/Plate 4/@10/A4_02- exclu.tif"/>
    <m/>
    <m/>
    <x v="1"/>
    <m/>
    <m/>
    <m/>
  </r>
  <r>
    <x v="12"/>
    <x v="1"/>
    <s v="C:\Users\andre\Desktop\REACTIV CEFAS\Cromolyn\Cromolyn/20201217_Cefas_Test10_Run1/Plate 4/@10/A4_03.tif "/>
    <s v=" 3633.8223 "/>
    <s v=" 33.7024 "/>
    <x v="0"/>
    <n v="122468"/>
    <m/>
    <m/>
  </r>
  <r>
    <x v="12"/>
    <x v="1"/>
    <s v="C:\Users\andre\Desktop\REACTIV CEFAS\Cromolyn\Cromolyn/20201217_Cefas_Test10_Run1/Plate 4/@10/A4_04.tif "/>
    <s v=" 5926.5911 "/>
    <s v=" 37.438 "/>
    <x v="0"/>
    <n v="221879"/>
    <m/>
    <m/>
  </r>
  <r>
    <x v="12"/>
    <x v="2"/>
    <s v="C:\Users\andre\Desktop\REACTIV CEFAS\Cromolyn\Cromolyn/20201217_Cefas_Test10_Run1/Plate 4/@10/B4_01.tif "/>
    <s v=" 3677.0821 "/>
    <s v=" 32.4529 "/>
    <x v="0"/>
    <n v="119332"/>
    <m/>
    <m/>
  </r>
  <r>
    <x v="12"/>
    <x v="2"/>
    <s v="C:\Users\andre\Desktop\REACTIV CEFAS\Cromolyn\Cromolyn/20201217_Cefas_Test10_Run1/Plate 4/@10/B4_02.tif "/>
    <n v="0"/>
    <n v="0"/>
    <x v="0"/>
    <n v="0"/>
    <m/>
    <m/>
  </r>
  <r>
    <x v="12"/>
    <x v="2"/>
    <s v="C:\Users\andre\Desktop\REACTIV CEFAS\Cromolyn\Cromolyn/20201217_Cefas_Test10_Run1/Plate 4/@10/B4_03.tif "/>
    <s v=" 43.2598 "/>
    <n v="31"/>
    <x v="0"/>
    <n v="1341"/>
    <m/>
    <m/>
  </r>
  <r>
    <x v="12"/>
    <x v="2"/>
    <s v="C:\Users\andre\Desktop\REACTIV CEFAS\Cromolyn\Cromolyn/20201217_Cefas_Test10_Run1/Plate 4/@10/B4_04- exclu.tif"/>
    <m/>
    <m/>
    <x v="1"/>
    <m/>
    <m/>
    <m/>
  </r>
  <r>
    <x v="12"/>
    <x v="3"/>
    <s v="C:\Users\andre\Desktop\REACTIV CEFAS\Cromolyn\Cromolyn/20201217_Cefas_Test10_Run1/Plate 4/@10/C4_01.tif "/>
    <s v=" 9906.4917 "/>
    <s v=" 42.286 "/>
    <x v="0"/>
    <n v="418906"/>
    <m/>
    <m/>
  </r>
  <r>
    <x v="12"/>
    <x v="3"/>
    <s v="C:\Users\andre\Desktop\REACTIV CEFAS\Cromolyn\Cromolyn/20201217_Cefas_Test10_Run1/Plate 4/@10/C4_02.tif "/>
    <s v=" 13972.9119 "/>
    <s v=" 41.3638 "/>
    <x v="0"/>
    <n v="577972"/>
    <m/>
    <m/>
  </r>
  <r>
    <x v="12"/>
    <x v="3"/>
    <s v="C:\Users\andre\Desktop\REACTIV CEFAS\Cromolyn\Cromolyn/20201217_Cefas_Test10_Run1/Plate 4/@10/C4_03.tif "/>
    <s v=" 6445.7086 "/>
    <s v=" 39.9832 "/>
    <x v="0"/>
    <n v="257720"/>
    <m/>
    <m/>
  </r>
  <r>
    <x v="12"/>
    <x v="3"/>
    <s v="C:\Users\andre\Desktop\REACTIV CEFAS\Cromolyn\Cromolyn/20201217_Cefas_Test10_Run1/Plate 4/@10/C4_04.tif "/>
    <s v=" 9603.6732 "/>
    <s v=" 41.2117 "/>
    <x v="0"/>
    <n v="395784"/>
    <m/>
    <m/>
  </r>
  <r>
    <x v="12"/>
    <x v="4"/>
    <s v="C:\Users\andre\Desktop\REACTIV CEFAS\Cromolyn\Cromolyn/20201217_Cefas_Test10_Run1/Plate 4/@10/D4_01.tif "/>
    <s v=" 562.3773 "/>
    <n v="32"/>
    <x v="0"/>
    <n v="17996"/>
    <m/>
    <m/>
  </r>
  <r>
    <x v="12"/>
    <x v="4"/>
    <s v="C:\Users\andre\Desktop\REACTIV CEFAS\Cromolyn\Cromolyn/20201217_Cefas_Test10_Run1/Plate 4/@10/D4_02.tif "/>
    <s v=" 216.2989 "/>
    <s v=" 31.9 "/>
    <x v="0"/>
    <n v="6900"/>
    <m/>
    <m/>
  </r>
  <r>
    <x v="12"/>
    <x v="4"/>
    <s v="C:\Users\andre\Desktop\REACTIV CEFAS\Cromolyn\Cromolyn/20201217_Cefas_Test10_Run1/Plate 4/@10/D4_03.tif "/>
    <s v=" 1557.3524 "/>
    <s v=" 34.7639 "/>
    <x v="0"/>
    <n v="54140"/>
    <m/>
    <m/>
  </r>
  <r>
    <x v="12"/>
    <x v="4"/>
    <s v="C:\Users\andre\Desktop\REACTIV CEFAS\Cromolyn\Cromolyn/20201217_Cefas_Test10_Run1/Plate 4/@10/D4_04.tif "/>
    <s v=" 21.6299 "/>
    <n v="30"/>
    <x v="0"/>
    <n v="649"/>
    <m/>
    <m/>
  </r>
  <r>
    <x v="12"/>
    <x v="5"/>
    <s v="C:\Users\andre\Desktop\REACTIV CEFAS\Cromolyn\Cromolyn/20201217_Cefas_Test10_Run1/Plate 4/@10/E4_01.tif "/>
    <s v=" 951.7154 "/>
    <s v=" 32.7045 "/>
    <x v="0"/>
    <n v="31125"/>
    <m/>
    <m/>
  </r>
  <r>
    <x v="12"/>
    <x v="5"/>
    <s v="C:\Users\andre\Desktop\REACTIV CEFAS\Cromolyn\Cromolyn/20201217_Cefas_Test10_Run1/Plate 4/@10/E4_02.tif "/>
    <s v=" 64.8897 "/>
    <s v=" 30.6667 "/>
    <x v="0"/>
    <n v="1990"/>
    <m/>
    <m/>
  </r>
  <r>
    <x v="12"/>
    <x v="5"/>
    <s v="C:\Users\andre\Desktop\REACTIV CEFAS\Cromolyn\Cromolyn/20201217_Cefas_Test10_Run1/Plate 4/@10/E4_03.tif "/>
    <s v=" 2119.7297 "/>
    <s v=" 35.0306 "/>
    <x v="0"/>
    <n v="74255"/>
    <m/>
    <m/>
  </r>
  <r>
    <x v="12"/>
    <x v="5"/>
    <s v="C:\Users\andre\Desktop\REACTIV CEFAS\Cromolyn\Cromolyn/20201217_Cefas_Test10_Run1/Plate 4/@10/E4_04.tif "/>
    <s v=" 475.8577 "/>
    <s v=" 33.7727 "/>
    <x v="0"/>
    <n v="16071"/>
    <m/>
    <m/>
  </r>
  <r>
    <x v="12"/>
    <x v="6"/>
    <s v="C:\Users\andre\Desktop\REACTIV CEFAS\Cromolyn\Cromolyn/20201217_Cefas_Test10_Run1/Plate 4/@10/F4_01.tif "/>
    <s v=" 7743.5023 "/>
    <s v=" 33.3212 "/>
    <x v="0"/>
    <n v="258023"/>
    <m/>
    <m/>
  </r>
  <r>
    <x v="12"/>
    <x v="6"/>
    <s v="C:\Users\andre\Desktop\REACTIV CEFAS\Cromolyn\Cromolyn/20201217_Cefas_Test10_Run1/Plate 4/@10/F4_02.tif "/>
    <s v=" 12199.2606 "/>
    <s v=" 38.4911 "/>
    <x v="0"/>
    <n v="469563"/>
    <m/>
    <m/>
  </r>
  <r>
    <x v="12"/>
    <x v="6"/>
    <s v="C:\Users\andre\Desktop\REACTIV CEFAS\Cromolyn\Cromolyn/20201217_Cefas_Test10_Run1/Plate 4/@10/F4_03.tif "/>
    <s v=" 12675.1183 "/>
    <s v=" 39.3515 "/>
    <x v="0"/>
    <n v="498785"/>
    <m/>
    <m/>
  </r>
  <r>
    <x v="12"/>
    <x v="6"/>
    <s v="C:\Users\andre\Desktop\REACTIV CEFAS\Cromolyn\Cromolyn/20201217_Cefas_Test10_Run1/Plate 4/@10/F4_04.tif "/>
    <s v=" 9711.8227 "/>
    <n v="43"/>
    <x v="0"/>
    <n v="417608"/>
    <m/>
    <m/>
  </r>
  <r>
    <x v="12"/>
    <x v="7"/>
    <s v="C:\Users\andre\Desktop\REACTIV CEFAS\Cromolyn\Cromolyn/20201217_Cefas_Test10_Run1/Plate 4/@10/G4_01.tif "/>
    <s v=" 7202.7549 "/>
    <s v=" 41.1231 "/>
    <x v="0"/>
    <n v="296200"/>
    <m/>
    <m/>
  </r>
  <r>
    <x v="12"/>
    <x v="7"/>
    <s v="C:\Users\andre\Desktop\REACTIV CEFAS\Cromolyn\Cromolyn/20201217_Cefas_Test10_Run1/Plate 4/@10/G4_02- exclu.tif"/>
    <m/>
    <m/>
    <x v="1"/>
    <m/>
    <m/>
    <m/>
  </r>
  <r>
    <x v="12"/>
    <x v="7"/>
    <s v="C:\Users\andre\Desktop\REACTIV CEFAS\Cromolyn\Cromolyn/20201217_Cefas_Test10_Run1/Plate 4/@10/G4_03.tif "/>
    <s v=" 7397.424 "/>
    <s v=" 39.9854 "/>
    <x v="0"/>
    <n v="295789"/>
    <m/>
    <m/>
  </r>
  <r>
    <x v="12"/>
    <x v="7"/>
    <s v="C:\Users\andre\Desktop\REACTIV CEFAS\Cromolyn\Cromolyn/20201217_Cefas_Test10_Run1/Plate 4/@10/G4_04.tif "/>
    <s v=" 3006.5554 "/>
    <s v=" 37.4101 "/>
    <x v="0"/>
    <n v="112475"/>
    <m/>
    <m/>
  </r>
  <r>
    <x v="12"/>
    <x v="8"/>
    <s v="C:\Users\andre\Desktop\REACTIV CEFAS\Cromolyn\Cromolyn/20201217_Cefas_Test10_Run1/Plate 4/@10/H4_01.tif "/>
    <s v=" 3655.4522 "/>
    <s v=" 39.3373 "/>
    <x v="0"/>
    <n v="143796"/>
    <m/>
    <m/>
  </r>
  <r>
    <x v="12"/>
    <x v="8"/>
    <s v="C:\Users\andre\Desktop\REACTIV CEFAS\Cromolyn\Cromolyn/20201217_Cefas_Test10_Run1/Plate 4/@10/H4_02.tif "/>
    <s v=" 3049.8151 "/>
    <s v=" 37.156 "/>
    <x v="0"/>
    <n v="113319"/>
    <m/>
    <m/>
  </r>
  <r>
    <x v="12"/>
    <x v="8"/>
    <s v="C:\Users\andre\Desktop\REACTIV CEFAS\Cromolyn\Cromolyn/20201217_Cefas_Test10_Run1/Plate 4/@10/H4_03.tif "/>
    <s v=" 3136.3347 "/>
    <s v=" 39.5517 "/>
    <x v="0"/>
    <n v="124047"/>
    <m/>
    <m/>
  </r>
  <r>
    <x v="12"/>
    <x v="8"/>
    <s v="C:\Users\andre\Desktop\REACTIV CEFAS\Cromolyn\Cromolyn/20201217_Cefas_Test10_Run1/Plate 4/@10/H4_04.tif "/>
    <s v=" 2811.8863 "/>
    <s v=" 34.1 "/>
    <x v="0"/>
    <n v="95885"/>
    <m/>
    <m/>
  </r>
  <r>
    <x v="0"/>
    <x v="0"/>
    <s v=" "/>
    <m/>
    <m/>
    <x v="1"/>
    <m/>
    <m/>
    <m/>
  </r>
  <r>
    <x v="0"/>
    <x v="0"/>
    <s v="group "/>
    <s v=" "/>
    <s v=" mean of mean fluo "/>
    <x v="2"/>
    <s v=" mean of total fluo "/>
    <s v=" SD total fluo "/>
    <m/>
  </r>
  <r>
    <x v="12"/>
    <x v="9"/>
    <s v="C:\Users\andre\Desktop\REACTIV CEFAS\Cromolyn\Cromolyn/20201217_Cefas_Test10_Run1/Plate 4/@10/ "/>
    <s v=" "/>
    <s v=" 34.6747 "/>
    <x v="14"/>
    <s v=" 164467.531 "/>
    <s v=" 172117.98 "/>
    <m/>
  </r>
  <r>
    <x v="0"/>
    <x v="0"/>
    <s v=" "/>
    <m/>
    <m/>
    <x v="1"/>
    <m/>
    <m/>
    <m/>
  </r>
  <r>
    <x v="0"/>
    <x v="0"/>
    <s v=" "/>
    <m/>
    <m/>
    <x v="1"/>
    <m/>
    <m/>
    <m/>
  </r>
  <r>
    <x v="0"/>
    <x v="0"/>
    <s v=" "/>
    <m/>
    <m/>
    <x v="1"/>
    <m/>
    <m/>
    <m/>
  </r>
  <r>
    <x v="0"/>
    <x v="0"/>
    <s v=" "/>
    <m/>
    <m/>
    <x v="1"/>
    <m/>
    <m/>
    <m/>
  </r>
  <r>
    <x v="0"/>
    <x v="0"/>
    <s v=" "/>
    <m/>
    <m/>
    <x v="1"/>
    <m/>
    <m/>
    <m/>
  </r>
  <r>
    <x v="0"/>
    <x v="0"/>
    <s v="file name "/>
    <s v=" total area "/>
    <s v=" mean intensity "/>
    <x v="0"/>
    <s v=" total fluorescence"/>
    <m/>
    <m/>
  </r>
  <r>
    <x v="13"/>
    <x v="1"/>
    <s v="C:\Users\andre\Desktop\REACTIV CEFAS\Cromolyn\Cromolyn/20201217_Cefas_Test10_Run1/Plate 4/@11/A5_01.tif "/>
    <s v=" 86.5196 "/>
    <s v=" 30.75 "/>
    <x v="0"/>
    <n v="2660"/>
    <m/>
    <m/>
  </r>
  <r>
    <x v="13"/>
    <x v="1"/>
    <s v="C:\Users\andre\Desktop\REACTIV CEFAS\Cromolyn\Cromolyn/20201217_Cefas_Test10_Run1/Plate 4/@11/A5_02.tif "/>
    <s v=" 129.7794 "/>
    <s v=" 30.8333 "/>
    <x v="0"/>
    <n v="4002"/>
    <m/>
    <m/>
  </r>
  <r>
    <x v="13"/>
    <x v="1"/>
    <s v="C:\Users\andre\Desktop\REACTIV CEFAS\Cromolyn\Cromolyn/20201217_Cefas_Test10_Run1/Plate 4/@11/A5_03.tif "/>
    <s v=" 1276.1638 "/>
    <s v=" 33.5593 "/>
    <x v="0"/>
    <n v="42827"/>
    <m/>
    <m/>
  </r>
  <r>
    <x v="13"/>
    <x v="1"/>
    <s v="C:\Users\andre\Desktop\REACTIV CEFAS\Cromolyn\Cromolyn/20201217_Cefas_Test10_Run1/Plate 4/@11/A5_04.tif "/>
    <s v=" 5926.5911 "/>
    <s v=" 34.5584 "/>
    <x v="0"/>
    <n v="204813"/>
    <m/>
    <m/>
  </r>
  <r>
    <x v="13"/>
    <x v="2"/>
    <s v="C:\Users\andre\Desktop\REACTIV CEFAS\Cromolyn\Cromolyn/20201217_Cefas_Test10_Run1/Plate 4/@11/B5_01- exclu.tif"/>
    <m/>
    <m/>
    <x v="1"/>
    <m/>
    <m/>
    <m/>
  </r>
  <r>
    <x v="13"/>
    <x v="2"/>
    <s v="C:\Users\andre\Desktop\REACTIV CEFAS\Cromolyn\Cromolyn/20201217_Cefas_Test10_Run1/Plate 4/@11/B5_02.tif "/>
    <s v=" 3071.445 "/>
    <s v=" 37.6901 "/>
    <x v="0"/>
    <n v="115763"/>
    <m/>
    <m/>
  </r>
  <r>
    <x v="13"/>
    <x v="2"/>
    <s v="C:\Users\andre\Desktop\REACTIV CEFAS\Cromolyn\Cromolyn/20201217_Cefas_Test10_Run1/Plate 4/@11/B5_03.tif "/>
    <n v="0"/>
    <n v="0"/>
    <x v="0"/>
    <n v="0"/>
    <m/>
    <m/>
  </r>
  <r>
    <x v="13"/>
    <x v="2"/>
    <s v="C:\Users\andre\Desktop\REACTIV CEFAS\Cromolyn\Cromolyn/20201217_Cefas_Test10_Run1/Plate 4/@11/B5_04.tif "/>
    <s v=" 4780.2067 "/>
    <s v=" 39.8959 "/>
    <x v="0"/>
    <n v="190711"/>
    <m/>
    <m/>
  </r>
  <r>
    <x v="13"/>
    <x v="3"/>
    <s v="C:\Users\andre\Desktop\REACTIV CEFAS\Cromolyn\Cromolyn/20201217_Cefas_Test10_Run1/Plate 4/@11/C5_01.tif "/>
    <n v="0"/>
    <n v="0"/>
    <x v="0"/>
    <n v="0"/>
    <m/>
    <m/>
  </r>
  <r>
    <x v="13"/>
    <x v="3"/>
    <s v="C:\Users\andre\Desktop\REACTIV CEFAS\Cromolyn\Cromolyn/20201217_Cefas_Test10_Run1/Plate 4/@11/C5_02.tif "/>
    <s v=" 821.936 "/>
    <s v=" 30.5526 "/>
    <x v="0"/>
    <n v="25112"/>
    <m/>
    <m/>
  </r>
  <r>
    <x v="13"/>
    <x v="3"/>
    <s v="C:\Users\andre\Desktop\REACTIV CEFAS\Cromolyn\Cromolyn/20201217_Cefas_Test10_Run1/Plate 4/@11/C5_03.tif "/>
    <s v=" 4434.1284 "/>
    <s v=" 37.3317 "/>
    <x v="0"/>
    <n v="165534"/>
    <m/>
    <m/>
  </r>
  <r>
    <x v="13"/>
    <x v="3"/>
    <s v="C:\Users\andre\Desktop\REACTIV CEFAS\Cromolyn\Cromolyn/20201217_Cefas_Test10_Run1/Plate 4/@11/C5_04.tif "/>
    <s v=" 7332.5343 "/>
    <s v=" 42.646 "/>
    <x v="0"/>
    <n v="312703"/>
    <m/>
    <m/>
  </r>
  <r>
    <x v="13"/>
    <x v="4"/>
    <s v="C:\Users\andre\Desktop\REACTIV CEFAS\Cromolyn\Cromolyn/20201217_Cefas_Test10_Run1/Plate 4/@11/D5_01.tif "/>
    <s v=" 6510.5983 "/>
    <s v=" 39.412 "/>
    <x v="0"/>
    <n v="256595"/>
    <m/>
    <m/>
  </r>
  <r>
    <x v="13"/>
    <x v="4"/>
    <s v="C:\Users\andre\Desktop\REACTIV CEFAS\Cromolyn\Cromolyn/20201217_Cefas_Test10_Run1/Plate 4/@11/D5_02- exclu.tif"/>
    <m/>
    <m/>
    <x v="1"/>
    <m/>
    <m/>
    <m/>
  </r>
  <r>
    <x v="13"/>
    <x v="4"/>
    <s v="C:\Users\andre\Desktop\REACTIV CEFAS\Cromolyn\Cromolyn/20201217_Cefas_Test10_Run1/Plate 4/@11/D5_03- exclu.tif"/>
    <m/>
    <m/>
    <x v="1"/>
    <m/>
    <m/>
    <m/>
  </r>
  <r>
    <x v="13"/>
    <x v="4"/>
    <s v="C:\Users\andre\Desktop\REACTIV CEFAS\Cromolyn\Cromolyn/20201217_Cefas_Test10_Run1/Plate 4/@11/D5_04.tif "/>
    <s v=" 8240.9899 "/>
    <s v=" 43.0525 "/>
    <x v="0"/>
    <n v="354795"/>
    <m/>
    <m/>
  </r>
  <r>
    <x v="13"/>
    <x v="5"/>
    <s v="C:\Users\andre\Desktop\REACTIV CEFAS\Cromolyn\Cromolyn/20201217_Cefas_Test10_Run1/Plate 4/@11/E5_01.tif "/>
    <s v=" 6705.2673 "/>
    <s v=" 38.9194 "/>
    <x v="0"/>
    <n v="260965"/>
    <m/>
    <m/>
  </r>
  <r>
    <x v="13"/>
    <x v="5"/>
    <s v="C:\Users\andre\Desktop\REACTIV CEFAS\Cromolyn\Cromolyn/20201217_Cefas_Test10_Run1/Plate 4/@11/E5_02- exclu.tif"/>
    <m/>
    <m/>
    <x v="1"/>
    <m/>
    <m/>
    <m/>
  </r>
  <r>
    <x v="13"/>
    <x v="5"/>
    <s v="C:\Users\andre\Desktop\REACTIV CEFAS\Cromolyn\Cromolyn/20201217_Cefas_Test10_Run1/Plate 4/@11/E5_03.tif "/>
    <s v=" 8716.8475 "/>
    <s v=" 42.4268 "/>
    <x v="0"/>
    <n v="369828"/>
    <m/>
    <m/>
  </r>
  <r>
    <x v="13"/>
    <x v="5"/>
    <s v="C:\Users\andre\Desktop\REACTIV CEFAS\Cromolyn\Cromolyn/20201217_Cefas_Test10_Run1/Plate 4/@11/E5_04.tif "/>
    <s v=" 3331.0038 "/>
    <s v=" 37.2078 "/>
    <x v="0"/>
    <n v="123939"/>
    <m/>
    <m/>
  </r>
  <r>
    <x v="13"/>
    <x v="6"/>
    <s v="C:\Users\andre\Desktop\REACTIV CEFAS\Cromolyn\Cromolyn/20201217_Cefas_Test10_Run1/Plate 4/@11/F5_01.tif "/>
    <s v=" 5320.9541 "/>
    <s v=" 36.5 "/>
    <x v="0"/>
    <n v="194215"/>
    <m/>
    <m/>
  </r>
  <r>
    <x v="13"/>
    <x v="6"/>
    <s v="C:\Users\andre\Desktop\REACTIV CEFAS\Cromolyn\Cromolyn/20201217_Cefas_Test10_Run1/Plate 4/@11/F5_02.tif "/>
    <s v=" 8500.5486 "/>
    <s v=" 41.6361 "/>
    <x v="0"/>
    <n v="353930"/>
    <m/>
    <m/>
  </r>
  <r>
    <x v="13"/>
    <x v="6"/>
    <s v="C:\Users\andre\Desktop\REACTIV CEFAS\Cromolyn\Cromolyn/20201217_Cefas_Test10_Run1/Plate 4/@11/F5_03.tif "/>
    <s v=" 5602.1427 "/>
    <s v=" 36.8031 "/>
    <x v="0"/>
    <n v="206176"/>
    <m/>
    <m/>
  </r>
  <r>
    <x v="13"/>
    <x v="6"/>
    <s v="C:\Users\andre\Desktop\REACTIV CEFAS\Cromolyn\Cromolyn/20201217_Cefas_Test10_Run1/Plate 4/@11/F5_04.tif "/>
    <s v=" 4152.9398 "/>
    <s v=" 35.4844 "/>
    <x v="0"/>
    <n v="147364"/>
    <m/>
    <m/>
  </r>
  <r>
    <x v="13"/>
    <x v="7"/>
    <s v="C:\Users\andre\Desktop\REACTIV CEFAS\Cromolyn\Cromolyn/20201217_Cefas_Test10_Run1/Plate 4/@11/G5_01.tif "/>
    <s v=" 1427.573 "/>
    <s v=" 34.6515 "/>
    <x v="0"/>
    <n v="49468"/>
    <m/>
    <m/>
  </r>
  <r>
    <x v="13"/>
    <x v="7"/>
    <s v="C:\Users\andre\Desktop\REACTIV CEFAS\Cromolyn\Cromolyn/20201217_Cefas_Test10_Run1/Plate 4/@11/G5_02.tif "/>
    <s v=" 6294.2993 "/>
    <s v=" 42.0172 "/>
    <x v="0"/>
    <n v="264469"/>
    <m/>
    <m/>
  </r>
  <r>
    <x v="13"/>
    <x v="7"/>
    <s v="C:\Users\andre\Desktop\REACTIV CEFAS\Cromolyn\Cromolyn/20201217_Cefas_Test10_Run1/Plate 4/@11/G5_03.tif "/>
    <s v=" 9863.232 "/>
    <s v=" 40.8575 "/>
    <x v="0"/>
    <n v="402987"/>
    <m/>
    <m/>
  </r>
  <r>
    <x v="13"/>
    <x v="7"/>
    <s v="C:\Users\andre\Desktop\REACTIV CEFAS\Cromolyn\Cromolyn/20201217_Cefas_Test10_Run1/Plate 4/@11/G5_04.tif "/>
    <s v=" 2271.1389 "/>
    <s v=" 35.981 "/>
    <x v="0"/>
    <n v="81718"/>
    <m/>
    <m/>
  </r>
  <r>
    <x v="13"/>
    <x v="8"/>
    <s v="C:\Users\andre\Desktop\REACTIV CEFAS\Cromolyn\Cromolyn/20201217_Cefas_Test10_Run1/Plate 4/@11/H5_01.tif "/>
    <s v=" 6099.6303 "/>
    <s v=" 42.9043 "/>
    <x v="0"/>
    <n v="261700"/>
    <m/>
    <m/>
  </r>
  <r>
    <x v="13"/>
    <x v="8"/>
    <s v="C:\Users\andre\Desktop\REACTIV CEFAS\Cromolyn\Cromolyn/20201217_Cefas_Test10_Run1/Plate 4/@11/H5_02.tif "/>
    <s v=" 7181.125 "/>
    <s v=" 42.4247 "/>
    <x v="0"/>
    <n v="304657"/>
    <m/>
    <m/>
  </r>
  <r>
    <x v="13"/>
    <x v="8"/>
    <s v="C:\Users\andre\Desktop\REACTIV CEFAS\Cromolyn\Cromolyn/20201217_Cefas_Test10_Run1/Plate 4/@11/H5_03.tif "/>
    <s v=" 10209.3103 "/>
    <s v=" 44.6928 "/>
    <x v="0"/>
    <n v="456283"/>
    <m/>
    <m/>
  </r>
  <r>
    <x v="13"/>
    <x v="8"/>
    <s v="C:\Users\andre\Desktop\REACTIV CEFAS\Cromolyn\Cromolyn/20201217_Cefas_Test10_Run1/Plate 4/@11/H5_04.tif "/>
    <s v=" 8219.36 "/>
    <s v=" 49.0421 "/>
    <x v="0"/>
    <n v="403095"/>
    <m/>
    <m/>
  </r>
  <r>
    <x v="0"/>
    <x v="0"/>
    <s v=" "/>
    <m/>
    <m/>
    <x v="1"/>
    <m/>
    <m/>
    <m/>
  </r>
  <r>
    <x v="0"/>
    <x v="0"/>
    <s v="group "/>
    <s v=" "/>
    <s v=" mean of mean fluo "/>
    <x v="2"/>
    <s v=" mean of total fluo "/>
    <s v=" SD total fluo "/>
    <m/>
  </r>
  <r>
    <x v="13"/>
    <x v="9"/>
    <s v="C:\Users\andre\Desktop\REACTIV CEFAS\Cromolyn\Cromolyn/20201217_Cefas_Test10_Run1/Plate 4/@11/ "/>
    <s v=" "/>
    <s v=" 33.9954 "/>
    <x v="15"/>
    <s v=" 210079.656 "/>
    <s v=" 173918.927 "/>
    <m/>
  </r>
  <r>
    <x v="0"/>
    <x v="0"/>
    <s v=" "/>
    <m/>
    <m/>
    <x v="1"/>
    <m/>
    <m/>
    <m/>
  </r>
  <r>
    <x v="0"/>
    <x v="0"/>
    <s v=" "/>
    <m/>
    <m/>
    <x v="1"/>
    <m/>
    <m/>
    <m/>
  </r>
  <r>
    <x v="0"/>
    <x v="0"/>
    <s v=" "/>
    <m/>
    <m/>
    <x v="1"/>
    <m/>
    <m/>
    <m/>
  </r>
  <r>
    <x v="0"/>
    <x v="0"/>
    <s v=" "/>
    <m/>
    <m/>
    <x v="1"/>
    <m/>
    <m/>
    <m/>
  </r>
  <r>
    <x v="0"/>
    <x v="0"/>
    <s v=" "/>
    <m/>
    <m/>
    <x v="1"/>
    <m/>
    <m/>
    <m/>
  </r>
  <r>
    <x v="0"/>
    <x v="0"/>
    <s v="file name "/>
    <s v=" total area "/>
    <s v=" mean intensity "/>
    <x v="0"/>
    <s v=" total fluorescence"/>
    <m/>
    <m/>
  </r>
  <r>
    <x v="14"/>
    <x v="1"/>
    <s v="C:\Users\andre\Desktop\REACTIV CEFAS\Cromolyn\Cromolyn/20201217_Cefas_Test10_Run1/Plate 4/@12/A6_01.tif "/>
    <s v=" 12069.4812 "/>
    <s v=" 49.5197 "/>
    <x v="0"/>
    <n v="597677"/>
    <m/>
    <m/>
  </r>
  <r>
    <x v="14"/>
    <x v="1"/>
    <s v="C:\Users\andre\Desktop\REACTIV CEFAS\Cromolyn\Cromolyn/20201217_Cefas_Test10_Run1/Plate 4/@12/A6_02.tif "/>
    <s v=" 9928.1216 "/>
    <s v=" 44.342 "/>
    <x v="0"/>
    <n v="440233"/>
    <m/>
    <m/>
  </r>
  <r>
    <x v="14"/>
    <x v="1"/>
    <s v="C:\Users\andre\Desktop\REACTIV CEFAS\Cromolyn\Cromolyn/20201217_Cefas_Test10_Run1/Plate 4/@12/A6_03.tif "/>
    <s v=" 12156.0008 "/>
    <s v=" 47.3416 "/>
    <x v="0"/>
    <n v="575485"/>
    <m/>
    <m/>
  </r>
  <r>
    <x v="14"/>
    <x v="1"/>
    <s v="C:\Users\andre\Desktop\REACTIV CEFAS\Cromolyn\Cromolyn/20201217_Cefas_Test10_Run1/Plate 4/@12/A6_04.tif "/>
    <s v=" 11982.9616 "/>
    <s v=" 46.296 "/>
    <x v="0"/>
    <n v="554764"/>
    <m/>
    <m/>
  </r>
  <r>
    <x v="14"/>
    <x v="2"/>
    <s v="C:\Users\andre\Desktop\REACTIV CEFAS\Cromolyn\Cromolyn/20201217_Cefas_Test10_Run1/Plate 4/@12/B6_01.tif "/>
    <s v=" 3915.0109 "/>
    <s v=" 33.6077 "/>
    <x v="0"/>
    <n v="131575"/>
    <m/>
    <m/>
  </r>
  <r>
    <x v="14"/>
    <x v="2"/>
    <s v="C:\Users\andre\Desktop\REACTIV CEFAS\Cromolyn\Cromolyn/20201217_Cefas_Test10_Run1/Plate 4/@12/B6_02.tif "/>
    <s v=" 3806.8615 "/>
    <s v=" 32.4489 "/>
    <x v="0"/>
    <n v="123528"/>
    <m/>
    <m/>
  </r>
  <r>
    <x v="14"/>
    <x v="2"/>
    <s v="C:\Users\andre\Desktop\REACTIV CEFAS\Cromolyn\Cromolyn/20201217_Cefas_Test10_Run1/Plate 4/@12/B6_03.tif "/>
    <s v=" 6380.8189 "/>
    <s v=" 34.8441 "/>
    <x v="0"/>
    <n v="222334"/>
    <m/>
    <m/>
  </r>
  <r>
    <x v="14"/>
    <x v="2"/>
    <s v="C:\Users\andre\Desktop\REACTIV CEFAS\Cromolyn\Cromolyn/20201217_Cefas_Test10_Run1/Plate 4/@12/B6_04.tif "/>
    <s v=" 2898.4059 "/>
    <s v=" 32.9851 "/>
    <x v="0"/>
    <n v="95604"/>
    <m/>
    <m/>
  </r>
  <r>
    <x v="14"/>
    <x v="3"/>
    <s v="C:\Users\andre\Desktop\REACTIV CEFAS\Cromolyn\Cromolyn/20201217_Cefas_Test10_Run1/Plate 4/@12/C6_01.tif "/>
    <s v=" 3677.0821 "/>
    <s v=" 33.2059 "/>
    <x v="0"/>
    <n v="122101"/>
    <m/>
    <m/>
  </r>
  <r>
    <x v="14"/>
    <x v="3"/>
    <s v="C:\Users\andre\Desktop\REACTIV CEFAS\Cromolyn\Cromolyn/20201217_Cefas_Test10_Run1/Plate 4/@12/C6_02.tif "/>
    <s v=" 3309.3739 "/>
    <s v=" 32.9935 "/>
    <x v="0"/>
    <n v="109188"/>
    <m/>
    <m/>
  </r>
  <r>
    <x v="14"/>
    <x v="3"/>
    <s v="C:\Users\andre\Desktop\REACTIV CEFAS\Cromolyn\Cromolyn/20201217_Cefas_Test10_Run1/Plate 4/@12/C6_03.tif "/>
    <s v=" 2141.3596 "/>
    <s v=" 32.4242 "/>
    <x v="0"/>
    <n v="69432"/>
    <m/>
    <m/>
  </r>
  <r>
    <x v="14"/>
    <x v="3"/>
    <s v="C:\Users\andre\Desktop\REACTIV CEFAS\Cromolyn\Cromolyn/20201217_Cefas_Test10_Run1/Plate 4/@12/C6_04.tif "/>
    <s v=" 2855.1461 "/>
    <s v=" 33.25 "/>
    <x v="0"/>
    <n v="94934"/>
    <m/>
    <m/>
  </r>
  <r>
    <x v="14"/>
    <x v="4"/>
    <s v="C:\Users\andre\Desktop\REACTIV CEFAS\Cromolyn\Cromolyn/20201217_Cefas_Test10_Run1/Plate 4/@12/D6_01.tif "/>
    <s v=" 5818.4417 "/>
    <s v=" 35.29 "/>
    <x v="0"/>
    <n v="205333"/>
    <m/>
    <m/>
  </r>
  <r>
    <x v="14"/>
    <x v="4"/>
    <s v="C:\Users\andre\Desktop\REACTIV CEFAS\Cromolyn\Cromolyn/20201217_Cefas_Test10_Run1/Plate 4/@12/D6_02.tif "/>
    <s v=" 6164.52 "/>
    <s v=" 36.3368 "/>
    <x v="0"/>
    <n v="223999"/>
    <m/>
    <m/>
  </r>
  <r>
    <x v="14"/>
    <x v="4"/>
    <s v="C:\Users\andre\Desktop\REACTIV CEFAS\Cromolyn\Cromolyn/20201217_Cefas_Test10_Run1/Plate 4/@12/D6_03.tif "/>
    <s v=" 6142.8901 "/>
    <s v=" 37.1338 "/>
    <x v="0"/>
    <n v="228109"/>
    <m/>
    <m/>
  </r>
  <r>
    <x v="14"/>
    <x v="4"/>
    <s v="C:\Users\andre\Desktop\REACTIV CEFAS\Cromolyn\Cromolyn/20201217_Cefas_Test10_Run1/Plate 4/@12/D6_04.tif "/>
    <s v=" 4044.7903 "/>
    <s v=" 38.0909 "/>
    <x v="0"/>
    <n v="154070"/>
    <m/>
    <m/>
  </r>
  <r>
    <x v="14"/>
    <x v="5"/>
    <s v="C:\Users\andre\Desktop\REACTIV CEFAS\Cromolyn\Cromolyn/20201217_Cefas_Test10_Run1/Plate 4/@12/E6_01.tif "/>
    <s v=" 4758.5768 "/>
    <s v=" 37.1136 "/>
    <x v="0"/>
    <n v="176608"/>
    <m/>
    <m/>
  </r>
  <r>
    <x v="14"/>
    <x v="5"/>
    <s v="C:\Users\andre\Desktop\REACTIV CEFAS\Cromolyn\Cromolyn/20201217_Cefas_Test10_Run1/Plate 4/@12/E6_02.tif "/>
    <s v=" 3677.0821 "/>
    <s v=" 32.5529 "/>
    <x v="0"/>
    <n v="119700"/>
    <m/>
    <m/>
  </r>
  <r>
    <x v="14"/>
    <x v="5"/>
    <s v="C:\Users\andre\Desktop\REACTIV CEFAS\Cromolyn\Cromolyn/20201217_Cefas_Test10_Run1/Plate 4/@12/E6_03.tif "/>
    <s v=" 4563.9078 "/>
    <s v=" 33.3223 "/>
    <x v="0"/>
    <n v="152080"/>
    <m/>
    <m/>
  </r>
  <r>
    <x v="14"/>
    <x v="5"/>
    <s v="C:\Users\andre\Desktop\REACTIV CEFAS\Cromolyn\Cromolyn/20201217_Cefas_Test10_Run1/Plate 4/@12/E6_04.tif "/>
    <s v=" 2768.6265 "/>
    <s v=" 34.9297 "/>
    <x v="0"/>
    <n v="96707"/>
    <m/>
    <m/>
  </r>
  <r>
    <x v="14"/>
    <x v="6"/>
    <s v="C:\Users\andre\Desktop\REACTIV CEFAS\Cromolyn\Cromolyn/20201217_Cefas_Test10_Run1/Plate 4/@12/F6_01.tif "/>
    <s v=" 389.3381 "/>
    <s v=" 30.6667 "/>
    <x v="0"/>
    <n v="11940"/>
    <m/>
    <m/>
  </r>
  <r>
    <x v="14"/>
    <x v="6"/>
    <s v="C:\Users\andre\Desktop\REACTIV CEFAS\Cromolyn\Cromolyn/20201217_Cefas_Test10_Run1/Plate 4/@12/F6_02.tif "/>
    <s v=" 2552.3276 "/>
    <s v=" 35.9576 "/>
    <x v="0"/>
    <n v="91776"/>
    <m/>
    <m/>
  </r>
  <r>
    <x v="14"/>
    <x v="6"/>
    <s v="C:\Users\andre\Desktop\REACTIV CEFAS\Cromolyn\Cromolyn/20201217_Cefas_Test10_Run1/Plate 4/@12/F6_03.tif "/>
    <s v=" 194.6691 "/>
    <s v=" 31.1111 "/>
    <x v="0"/>
    <n v="6056"/>
    <m/>
    <m/>
  </r>
  <r>
    <x v="14"/>
    <x v="6"/>
    <s v="C:\Users\andre\Desktop\REACTIV CEFAS\Cromolyn\Cromolyn/20201217_Cefas_Test10_Run1/Plate 4/@12/F6_04.tif "/>
    <s v=" 7678.6126 "/>
    <s v=" 36.9718 "/>
    <x v="0"/>
    <n v="283892"/>
    <m/>
    <m/>
  </r>
  <r>
    <x v="14"/>
    <x v="7"/>
    <s v="C:\Users\andre\Desktop\REACTIV CEFAS\Cromolyn\Cromolyn/20201217_Cefas_Test10_Run1/Plate 4/@12/G6_01.tif "/>
    <s v=" 8933.1465 "/>
    <s v=" 39.2591 "/>
    <x v="0"/>
    <n v="350707"/>
    <m/>
    <m/>
  </r>
  <r>
    <x v="14"/>
    <x v="7"/>
    <s v="C:\Users\andre\Desktop\REACTIV CEFAS\Cromolyn\Cromolyn/20201217_Cefas_Test10_Run1/Plate 4/@12/G6_02.tif "/>
    <s v=" 8154.4703 "/>
    <s v=" 37.6207 "/>
    <x v="0"/>
    <n v="306777"/>
    <m/>
    <m/>
  </r>
  <r>
    <x v="14"/>
    <x v="7"/>
    <s v="C:\Users\andre\Desktop\REACTIV CEFAS\Cromolyn\Cromolyn/20201217_Cefas_Test10_Run1/Plate 4/@12/G6_03.tif "/>
    <s v=" 7916.5414 "/>
    <s v=" 37.2049 "/>
    <x v="0"/>
    <n v="294534"/>
    <m/>
    <m/>
  </r>
  <r>
    <x v="14"/>
    <x v="7"/>
    <s v="C:\Users\andre\Desktop\REACTIV CEFAS\Cromolyn\Cromolyn/20201217_Cefas_Test10_Run1/Plate 4/@12/G6_04.tif "/>
    <s v=" 7029.7158 "/>
    <s v=" 40.0215 "/>
    <x v="0"/>
    <n v="281340"/>
    <m/>
    <m/>
  </r>
  <r>
    <x v="14"/>
    <x v="8"/>
    <s v="C:\Users\andre\Desktop\REACTIV CEFAS\Cromolyn\Cromolyn/20201217_Cefas_Test10_Run1/Plate 4/@12/H6_01.tif "/>
    <s v=" 519.1175 "/>
    <n v="32"/>
    <x v="0"/>
    <n v="16612"/>
    <m/>
    <m/>
  </r>
  <r>
    <x v="14"/>
    <x v="8"/>
    <s v="C:\Users\andre\Desktop\REACTIV CEFAS\Cromolyn\Cromolyn/20201217_Cefas_Test10_Run1/Plate 4/@12/H6_02.tif "/>
    <s v=" 2638.8471 "/>
    <s v=" 32.0656 "/>
    <x v="0"/>
    <n v="84616"/>
    <m/>
    <m/>
  </r>
  <r>
    <x v="14"/>
    <x v="8"/>
    <s v="C:\Users\andre\Desktop\REACTIV CEFAS\Cromolyn\Cromolyn/20201217_Cefas_Test10_Run1/Plate 4/@12/H6_03.tif "/>
    <s v=" 9452.264 "/>
    <s v=" 40.9542 "/>
    <x v="0"/>
    <n v="387110"/>
    <m/>
    <m/>
  </r>
  <r>
    <x v="14"/>
    <x v="8"/>
    <s v="C:\Users\andre\Desktop\REACTIV CEFAS\Cromolyn\Cromolyn/20201217_Cefas_Test10_Run1/Plate 4/@12/H6_04- exclu.tif"/>
    <m/>
    <m/>
    <x v="1"/>
    <m/>
    <m/>
    <m/>
  </r>
  <r>
    <x v="0"/>
    <x v="0"/>
    <s v=" "/>
    <m/>
    <m/>
    <x v="1"/>
    <m/>
    <m/>
    <m/>
  </r>
  <r>
    <x v="0"/>
    <x v="0"/>
    <s v="group "/>
    <s v=" "/>
    <s v=" mean of mean fluo "/>
    <x v="2"/>
    <s v=" mean of total fluo "/>
    <s v=" SD total fluo "/>
    <m/>
  </r>
  <r>
    <x v="14"/>
    <x v="9"/>
    <s v="C:\Users\andre\Desktop\REACTIV CEFAS\Cromolyn\Cromolyn/20201217_Cefas_Test10_Run1/Plate 4/@12/ "/>
    <s v=" "/>
    <s v=" 36.6991 "/>
    <x v="16"/>
    <s v=" 219972.688 "/>
    <s v=" 164034.591 "/>
    <m/>
  </r>
  <r>
    <x v="0"/>
    <x v="0"/>
    <s v=" "/>
    <m/>
    <m/>
    <x v="1"/>
    <m/>
    <m/>
    <m/>
  </r>
  <r>
    <x v="0"/>
    <x v="0"/>
    <s v=" "/>
    <m/>
    <m/>
    <x v="1"/>
    <m/>
    <m/>
    <m/>
  </r>
  <r>
    <x v="0"/>
    <x v="0"/>
    <s v=" "/>
    <m/>
    <m/>
    <x v="1"/>
    <m/>
    <m/>
    <m/>
  </r>
  <r>
    <x v="0"/>
    <x v="0"/>
    <s v=" "/>
    <m/>
    <m/>
    <x v="1"/>
    <m/>
    <m/>
    <m/>
  </r>
  <r>
    <x v="0"/>
    <x v="0"/>
    <s v=" "/>
    <m/>
    <m/>
    <x v="1"/>
    <m/>
    <m/>
    <m/>
  </r>
  <r>
    <x v="0"/>
    <x v="0"/>
    <s v="file name "/>
    <s v=" total area "/>
    <s v=" mean intensity "/>
    <x v="0"/>
    <s v=" total fluorescence"/>
    <m/>
    <m/>
  </r>
  <r>
    <x v="15"/>
    <x v="1"/>
    <s v="C:\Users\andre\Desktop\REACTIV CEFAS\Cromolyn\Cromolyn/20201217_Cefas_Test10_Run1/Plate 4/@17/A8_01.tif "/>
    <s v=" 17736.5136 "/>
    <s v=" 34.3671 "/>
    <x v="0"/>
    <n v="609552"/>
    <m/>
    <m/>
  </r>
  <r>
    <x v="15"/>
    <x v="1"/>
    <s v="C:\Users\andre\Desktop\REACTIV CEFAS\Cromolyn\Cromolyn/20201217_Cefas_Test10_Run1/Plate 4/@17/A8_02.tif "/>
    <s v=" 23987.5531 "/>
    <s v=" 33.9225 "/>
    <x v="0"/>
    <n v="813717"/>
    <m/>
    <m/>
  </r>
  <r>
    <x v="15"/>
    <x v="1"/>
    <s v="C:\Users\andre\Desktop\REACTIV CEFAS\Cromolyn\Cromolyn/20201217_Cefas_Test10_Run1/Plate 4/@17/A8_03.tif "/>
    <s v=" 16676.6488 "/>
    <s v=" 33.6693 "/>
    <x v="0"/>
    <n v="561490"/>
    <m/>
    <m/>
  </r>
  <r>
    <x v="15"/>
    <x v="1"/>
    <s v="C:\Users\andre\Desktop\REACTIV CEFAS\Cromolyn\Cromolyn/20201217_Cefas_Test10_Run1/Plate 4/@17/A8_04.tif "/>
    <s v=" 11009.6164 "/>
    <s v=" 32.5658 "/>
    <x v="0"/>
    <n v="358537"/>
    <m/>
    <m/>
  </r>
  <r>
    <x v="15"/>
    <x v="2"/>
    <s v="C:\Users\andre\Desktop\REACTIV CEFAS\Cromolyn\Cromolyn/20201217_Cefas_Test10_Run1/Plate 4/@17/B8_01.tif "/>
    <s v=" 46136.5652 "/>
    <s v=" 44.6095 "/>
    <x v="0"/>
    <n v="2058128"/>
    <m/>
    <m/>
  </r>
  <r>
    <x v="15"/>
    <x v="2"/>
    <s v="C:\Users\andre\Desktop\REACTIV CEFAS\Cromolyn\Cromolyn/20201217_Cefas_Test10_Run1/Plate 4/@17/B8_02.tif "/>
    <s v=" 42394.5935 "/>
    <s v=" 43.4633 "/>
    <x v="0"/>
    <n v="1842607"/>
    <m/>
    <m/>
  </r>
  <r>
    <x v="15"/>
    <x v="2"/>
    <s v="C:\Users\andre\Desktop\REACTIV CEFAS\Cromolyn\Cromolyn/20201217_Cefas_Test10_Run1/Plate 4/@17/B8_03.tif "/>
    <s v=" 45401.1488 "/>
    <s v=" 40.6594 "/>
    <x v="0"/>
    <n v="1845982"/>
    <m/>
    <m/>
  </r>
  <r>
    <x v="15"/>
    <x v="2"/>
    <s v="C:\Users\andre\Desktop\REACTIV CEFAS\Cromolyn\Cromolyn/20201217_Cefas_Test10_Run1/Plate 4/@17/B8_04.tif "/>
    <s v=" 46742.2023 "/>
    <s v=" 42.9445 "/>
    <x v="0"/>
    <n v="2007319"/>
    <m/>
    <m/>
  </r>
  <r>
    <x v="15"/>
    <x v="3"/>
    <s v="C:\Users\andre\Desktop\REACTIV CEFAS\Cromolyn\Cromolyn/20201217_Cefas_Test10_Run1/Plate 4/@17/C8_01.tif "/>
    <s v=" 33266.7779 "/>
    <s v=" 35.604 "/>
    <x v="0"/>
    <n v="1184431"/>
    <m/>
    <m/>
  </r>
  <r>
    <x v="15"/>
    <x v="3"/>
    <s v="C:\Users\andre\Desktop\REACTIV CEFAS\Cromolyn\Cromolyn/20201217_Cefas_Test10_Run1/Plate 4/@17/C8_02.tif "/>
    <s v=" 29654.5855 "/>
    <s v=" 37.5915 "/>
    <x v="0"/>
    <n v="1114762"/>
    <m/>
    <m/>
  </r>
  <r>
    <x v="15"/>
    <x v="3"/>
    <s v="C:\Users\andre\Desktop\REACTIV CEFAS\Cromolyn\Cromolyn/20201217_Cefas_Test10_Run1/Plate 4/@17/C8_03.tif "/>
    <s v=" 29373.3969 "/>
    <s v=" 35.6009 "/>
    <x v="0"/>
    <n v="1045719"/>
    <m/>
    <m/>
  </r>
  <r>
    <x v="15"/>
    <x v="3"/>
    <s v="C:\Users\andre\Desktop\REACTIV CEFAS\Cromolyn\Cromolyn/20201217_Cefas_Test10_Run1/Plate 4/@17/C8_04.tif "/>
    <s v=" 30736.0803 "/>
    <s v=" 38.0091 "/>
    <x v="0"/>
    <n v="1168252"/>
    <m/>
    <m/>
  </r>
  <r>
    <x v="15"/>
    <x v="4"/>
    <s v="C:\Users\andre\Desktop\REACTIV CEFAS\Cromolyn\Cromolyn/20201217_Cefas_Test10_Run1/Plate 4/@17/D8_01- exclu.tif"/>
    <m/>
    <m/>
    <x v="1"/>
    <m/>
    <m/>
    <m/>
  </r>
  <r>
    <x v="15"/>
    <x v="4"/>
    <s v="C:\Users\andre\Desktop\REACTIV CEFAS\Cromolyn\Cromolyn/20201217_Cefas_Test10_Run1/Plate 4/@17/D8_02.tif "/>
    <s v=" 50138.0957 "/>
    <s v=" 42.7968 "/>
    <x v="0"/>
    <n v="2145750"/>
    <m/>
    <m/>
  </r>
  <r>
    <x v="15"/>
    <x v="4"/>
    <s v="C:\Users\andre\Desktop\REACTIV CEFAS\Cromolyn\Cromolyn/20201217_Cefas_Test10_Run1/Plate 4/@17/D8_03.tif "/>
    <s v=" 45509.2983 "/>
    <s v=" 38.1545 "/>
    <x v="0"/>
    <n v="1736383"/>
    <m/>
    <m/>
  </r>
  <r>
    <x v="15"/>
    <x v="4"/>
    <s v="C:\Users\andre\Desktop\REACTIV CEFAS\Cromolyn\Cromolyn/20201217_Cefas_Test10_Run1/Plate 4/@17/D8_04.tif "/>
    <s v=" 66079.3281 "/>
    <s v=" 42.0429 "/>
    <x v="0"/>
    <n v="2778165"/>
    <m/>
    <m/>
  </r>
  <r>
    <x v="15"/>
    <x v="5"/>
    <s v="C:\Users\andre\Desktop\REACTIV CEFAS\Cromolyn\Cromolyn/20201217_Cefas_Test10_Run1/Plate 4/@17/E8_01.tif "/>
    <s v=" 14232.4707 "/>
    <s v=" 36.0562 "/>
    <x v="0"/>
    <n v="513169"/>
    <m/>
    <m/>
  </r>
  <r>
    <x v="15"/>
    <x v="5"/>
    <s v="C:\Users\andre\Desktop\REACTIV CEFAS\Cromolyn\Cromolyn/20201217_Cefas_Test10_Run1/Plate 4/@17/E8_02.tif "/>
    <s v=" 8608.6981 "/>
    <s v=" 36.809 "/>
    <x v="0"/>
    <n v="316878"/>
    <m/>
    <m/>
  </r>
  <r>
    <x v="15"/>
    <x v="5"/>
    <s v="C:\Users\andre\Desktop\REACTIV CEFAS\Cromolyn\Cromolyn/20201217_Cefas_Test10_Run1/Plate 4/@17/E8_03.tif "/>
    <s v=" 19315.4959 "/>
    <s v=" 34.0493 "/>
    <x v="0"/>
    <n v="657679"/>
    <m/>
    <m/>
  </r>
  <r>
    <x v="15"/>
    <x v="5"/>
    <s v="C:\Users\andre\Desktop\REACTIV CEFAS\Cromolyn\Cromolyn/20201217_Cefas_Test10_Run1/Plate 4/@17/E8_04- exclu.tif"/>
    <m/>
    <m/>
    <x v="1"/>
    <m/>
    <m/>
    <m/>
  </r>
  <r>
    <x v="15"/>
    <x v="6"/>
    <s v="C:\Users\andre\Desktop\REACTIV CEFAS\Cromolyn\Cromolyn/20201217_Cefas_Test10_Run1/Plate 4/@17/F8_01.tif "/>
    <s v=" 21651.5245 "/>
    <s v=" 33.2188 "/>
    <x v="0"/>
    <n v="719237"/>
    <m/>
    <m/>
  </r>
  <r>
    <x v="15"/>
    <x v="6"/>
    <s v="C:\Users\andre\Desktop\REACTIV CEFAS\Cromolyn\Cromolyn/20201217_Cefas_Test10_Run1/Plate 4/@17/F8_02.tif "/>
    <s v=" 38695.8815 "/>
    <s v=" 35.7177 "/>
    <x v="0"/>
    <n v="1382129"/>
    <m/>
    <m/>
  </r>
  <r>
    <x v="15"/>
    <x v="6"/>
    <s v="C:\Users\andre\Desktop\REACTIV CEFAS\Cromolyn\Cromolyn/20201217_Cefas_Test10_Run1/Plate 4/@17/F8_03.tif "/>
    <s v=" 25977.5034 "/>
    <s v=" 33.7977 "/>
    <x v="0"/>
    <n v="877979"/>
    <m/>
    <m/>
  </r>
  <r>
    <x v="15"/>
    <x v="6"/>
    <s v="C:\Users\andre\Desktop\REACTIV CEFAS\Cromolyn\Cromolyn/20201217_Cefas_Test10_Run1/Plate 4/@17/F8_04.tif "/>
    <s v=" 39950.4154 "/>
    <s v=" 35.2263 "/>
    <x v="0"/>
    <n v="1407306"/>
    <m/>
    <m/>
  </r>
  <r>
    <x v="15"/>
    <x v="7"/>
    <s v="C:\Users\andre\Desktop\REACTIV CEFAS\Cromolyn\Cromolyn/20201217_Cefas_Test10_Run1/Plate 4/@17/G8_01.tif "/>
    <s v=" 57730.1888 "/>
    <s v=" 39.7812 "/>
    <x v="0"/>
    <n v="2296576"/>
    <m/>
    <m/>
  </r>
  <r>
    <x v="15"/>
    <x v="7"/>
    <s v="C:\Users\andre\Desktop\REACTIV CEFAS\Cromolyn\Cromolyn/20201217_Cefas_Test10_Run1/Plate 4/@17/G8_02.tif "/>
    <s v=" 66447.0363 "/>
    <s v=" 41.7425 "/>
    <x v="0"/>
    <n v="2773666"/>
    <m/>
    <m/>
  </r>
  <r>
    <x v="15"/>
    <x v="7"/>
    <s v="C:\Users\andre\Desktop\REACTIV CEFAS\Cromolyn\Cromolyn/20201217_Cefas_Test10_Run1/Plate 4/@17/G8_03.tif "/>
    <s v=" 55978.1673 "/>
    <s v=" 40.2929 "/>
    <x v="0"/>
    <n v="2255522"/>
    <m/>
    <m/>
  </r>
  <r>
    <x v="15"/>
    <x v="7"/>
    <s v="C:\Users\andre\Desktop\REACTIV CEFAS\Cromolyn\Cromolyn/20201217_Cefas_Test10_Run1/Plate 4/@17/G8_04.tif "/>
    <s v=" 69799.67 "/>
    <s v=" 44.0062 "/>
    <x v="0"/>
    <n v="3071618"/>
    <m/>
    <m/>
  </r>
  <r>
    <x v="15"/>
    <x v="8"/>
    <s v="C:\Users\andre\Desktop\REACTIV CEFAS\Cromolyn\Cromolyn/20201217_Cefas_Test10_Run1/Plate 4/@17/H8_01.tif "/>
    <s v=" 71270.5028 "/>
    <s v=" 46.8331 "/>
    <x v="0"/>
    <n v="3337817"/>
    <m/>
    <m/>
  </r>
  <r>
    <x v="15"/>
    <x v="8"/>
    <s v="C:\Users\andre\Desktop\REACTIV CEFAS\Cromolyn\Cromolyn/20201217_Cefas_Test10_Run1/Plate 4/@17/H8_02- exclu.tif"/>
    <m/>
    <m/>
    <x v="1"/>
    <m/>
    <m/>
    <m/>
  </r>
  <r>
    <x v="15"/>
    <x v="8"/>
    <s v="C:\Users\andre\Desktop\REACTIV CEFAS\Cromolyn\Cromolyn/20201217_Cefas_Test10_Run1/Plate 4/@17/H8_03.tif "/>
    <s v=" 74709.656 "/>
    <s v=" 46.7583 "/>
    <x v="0"/>
    <n v="3493293"/>
    <m/>
    <m/>
  </r>
  <r>
    <x v="15"/>
    <x v="8"/>
    <s v="C:\Users\andre\Desktop\REACTIV CEFAS\Cromolyn\Cromolyn/20201217_Cefas_Test10_Run1/Plate 4/@17/H8_04.tif "/>
    <s v=" 76742.8661 "/>
    <s v=" 42.1674 "/>
    <x v="0"/>
    <n v="3236049"/>
    <m/>
    <m/>
  </r>
  <r>
    <x v="0"/>
    <x v="0"/>
    <s v=" "/>
    <m/>
    <m/>
    <x v="1"/>
    <m/>
    <m/>
    <m/>
  </r>
  <r>
    <x v="0"/>
    <x v="0"/>
    <s v="group "/>
    <s v=" "/>
    <s v=" mean of mean fluo "/>
    <x v="2"/>
    <s v=" mean of total fluo "/>
    <s v=" SD total fluo "/>
    <m/>
  </r>
  <r>
    <x v="15"/>
    <x v="9"/>
    <s v="C:\Users\andre\Desktop\REACTIV CEFAS\Cromolyn\Cromolyn/20201217_Cefas_Test10_Run1/Plate 4/@17/ "/>
    <s v=" "/>
    <s v=" 38.7416 "/>
    <x v="17"/>
    <s v=" 1637963.66 "/>
    <s v=" 992825.362 "/>
    <m/>
  </r>
  <r>
    <x v="0"/>
    <x v="0"/>
    <s v=" "/>
    <m/>
    <m/>
    <x v="1"/>
    <m/>
    <m/>
    <m/>
  </r>
  <r>
    <x v="0"/>
    <x v="0"/>
    <s v=" "/>
    <m/>
    <m/>
    <x v="1"/>
    <m/>
    <m/>
    <m/>
  </r>
  <r>
    <x v="0"/>
    <x v="0"/>
    <s v=" "/>
    <m/>
    <m/>
    <x v="1"/>
    <m/>
    <m/>
    <m/>
  </r>
  <r>
    <x v="0"/>
    <x v="0"/>
    <s v=" "/>
    <m/>
    <m/>
    <x v="1"/>
    <m/>
    <m/>
    <m/>
  </r>
  <r>
    <x v="0"/>
    <x v="0"/>
    <s v=" "/>
    <m/>
    <m/>
    <x v="1"/>
    <m/>
    <m/>
    <m/>
  </r>
  <r>
    <x v="0"/>
    <x v="0"/>
    <s v="file name "/>
    <s v=" total area "/>
    <s v=" mean intensity "/>
    <x v="0"/>
    <s v=" total fluorescence"/>
    <m/>
    <m/>
  </r>
  <r>
    <x v="16"/>
    <x v="1"/>
    <s v="C:\Users\andre\Desktop\REACTIV CEFAS\Cromolyn\Cromolyn/20201217_Cefas_Test10_Run1/Plate 4/@18/A9_01.tif "/>
    <s v=" 2400.9183 "/>
    <s v=" 32.3964 "/>
    <x v="0"/>
    <n v="77781"/>
    <m/>
    <m/>
  </r>
  <r>
    <x v="16"/>
    <x v="1"/>
    <s v="C:\Users\andre\Desktop\REACTIV CEFAS\Cromolyn\Cromolyn/20201217_Cefas_Test10_Run1/Plate 4/@18/A9_02.tif "/>
    <s v=" 994.9752 "/>
    <s v=" 31.5217 "/>
    <x v="0"/>
    <n v="31363"/>
    <m/>
    <m/>
  </r>
  <r>
    <x v="16"/>
    <x v="1"/>
    <s v="C:\Users\andre\Desktop\REACTIV CEFAS\Cromolyn\Cromolyn/20201217_Cefas_Test10_Run1/Plate 4/@18/A9_03.tif "/>
    <s v=" 3655.4522 "/>
    <s v=" 31.858 "/>
    <x v="0"/>
    <n v="116455"/>
    <m/>
    <m/>
  </r>
  <r>
    <x v="16"/>
    <x v="1"/>
    <s v="C:\Users\andre\Desktop\REACTIV CEFAS\Cromolyn\Cromolyn/20201217_Cefas_Test10_Run1/Plate 4/@18/A9_04.tif "/>
    <s v=" 3568.9326 "/>
    <s v=" 32.7818 "/>
    <x v="0"/>
    <n v="116996"/>
    <m/>
    <m/>
  </r>
  <r>
    <x v="16"/>
    <x v="2"/>
    <s v="C:\Users\andre\Desktop\REACTIV CEFAS\Cromolyn\Cromolyn/20201217_Cefas_Test10_Run1/Plate 4/@18/B9_01.tif "/>
    <s v=" 29481.5464 "/>
    <s v=" 34.777 "/>
    <x v="0"/>
    <n v="1025279"/>
    <m/>
    <m/>
  </r>
  <r>
    <x v="16"/>
    <x v="2"/>
    <s v="C:\Users\andre\Desktop\REACTIV CEFAS\Cromolyn\Cromolyn/20201217_Cefas_Test10_Run1/Plate 4/@18/B9_02.tif "/>
    <s v=" 46504.2735 "/>
    <s v=" 38.8526 "/>
    <x v="0"/>
    <n v="1806810"/>
    <m/>
    <m/>
  </r>
  <r>
    <x v="16"/>
    <x v="2"/>
    <s v="C:\Users\andre\Desktop\REACTIV CEFAS\Cromolyn\Cromolyn/20201217_Cefas_Test10_Run1/Plate 4/@18/B9_03- exclu.tif"/>
    <m/>
    <m/>
    <x v="1"/>
    <m/>
    <m/>
    <m/>
  </r>
  <r>
    <x v="16"/>
    <x v="2"/>
    <s v="C:\Users\andre\Desktop\REACTIV CEFAS\Cromolyn\Cromolyn/20201217_Cefas_Test10_Run1/Plate 4/@18/B9_04.tif "/>
    <s v=" 37095.2693 "/>
    <s v=" 36.5819 "/>
    <x v="0"/>
    <n v="1357016"/>
    <m/>
    <m/>
  </r>
  <r>
    <x v="16"/>
    <x v="3"/>
    <s v="C:\Users\andre\Desktop\REACTIV CEFAS\Cromolyn\Cromolyn/20201217_Cefas_Test10_Run1/Plate 4/@18/C9_01.tif "/>
    <s v=" 60823.2637 "/>
    <s v=" 42.3055 "/>
    <x v="0"/>
    <n v="2573157"/>
    <m/>
    <m/>
  </r>
  <r>
    <x v="16"/>
    <x v="3"/>
    <s v="C:\Users\andre\Desktop\REACTIV CEFAS\Cromolyn\Cromolyn/20201217_Cefas_Test10_Run1/Plate 4/@18/C9_02.tif "/>
    <s v=" 63072.7727 "/>
    <s v=" 43.203 "/>
    <x v="0"/>
    <n v="2724934"/>
    <m/>
    <m/>
  </r>
  <r>
    <x v="16"/>
    <x v="3"/>
    <s v="C:\Users\andre\Desktop\REACTIV CEFAS\Cromolyn\Cromolyn/20201217_Cefas_Test10_Run1/Plate 4/@18/C9_03.tif "/>
    <s v=" 66403.7765 "/>
    <s v=" 43.3792 "/>
    <x v="0"/>
    <n v="2880540"/>
    <m/>
    <m/>
  </r>
  <r>
    <x v="16"/>
    <x v="3"/>
    <s v="C:\Users\andre\Desktop\REACTIV CEFAS\Cromolyn\Cromolyn/20201217_Cefas_Test10_Run1/Plate 4/@18/C9_04.tif "/>
    <s v=" 54939.9324 "/>
    <s v=" 36.3846 "/>
    <x v="0"/>
    <n v="1998970"/>
    <m/>
    <m/>
  </r>
  <r>
    <x v="16"/>
    <x v="4"/>
    <s v="C:\Users\andre\Desktop\REACTIV CEFAS\Cromolyn\Cromolyn/20201217_Cefas_Test10_Run1/Plate 4/@18/D9_01.tif "/>
    <s v=" 34456.4221 "/>
    <s v=" 35.963 "/>
    <x v="0"/>
    <n v="1239155"/>
    <m/>
    <m/>
  </r>
  <r>
    <x v="16"/>
    <x v="4"/>
    <s v="C:\Users\andre\Desktop\REACTIV CEFAS\Cromolyn\Cromolyn/20201217_Cefas_Test10_Run1/Plate 4/@18/D9_02.tif "/>
    <s v=" 31147.0483 "/>
    <s v=" 35.8444 "/>
    <x v="0"/>
    <n v="1116449"/>
    <m/>
    <m/>
  </r>
  <r>
    <x v="16"/>
    <x v="4"/>
    <s v="C:\Users\andre\Desktop\REACTIV CEFAS\Cromolyn\Cromolyn/20201217_Cefas_Test10_Run1/Plate 4/@18/D9_03.tif "/>
    <s v=" 33634.4861 "/>
    <s v=" 38.5981 "/>
    <x v="0"/>
    <n v="1298226"/>
    <m/>
    <m/>
  </r>
  <r>
    <x v="16"/>
    <x v="4"/>
    <s v="C:\Users\andre\Desktop\REACTIV CEFAS\Cromolyn\Cromolyn/20201217_Cefas_Test10_Run1/Plate 4/@18/D9_04.tif "/>
    <s v=" 37895.5754 "/>
    <s v=" 38.5982 "/>
    <x v="0"/>
    <n v="1462700"/>
    <m/>
    <m/>
  </r>
  <r>
    <x v="16"/>
    <x v="5"/>
    <s v="C:\Users\andre\Desktop\REACTIV CEFAS\Cromolyn\Cromolyn/20201217_Cefas_Test10_Run1/Plate 4/@18/E9_01.tif "/>
    <s v=" 22949.3182 "/>
    <s v=" 36.0358 "/>
    <x v="0"/>
    <n v="826997"/>
    <m/>
    <m/>
  </r>
  <r>
    <x v="16"/>
    <x v="5"/>
    <s v="C:\Users\andre\Desktop\REACTIV CEFAS\Cromolyn\Cromolyn/20201217_Cefas_Test10_Run1/Plate 4/@18/E9_02.tif "/>
    <s v=" 9495.5237 "/>
    <s v=" 33.8633 "/>
    <x v="0"/>
    <n v="321550"/>
    <m/>
    <m/>
  </r>
  <r>
    <x v="16"/>
    <x v="5"/>
    <s v="C:\Users\andre\Desktop\REACTIV CEFAS\Cromolyn\Cromolyn/20201217_Cefas_Test10_Run1/Plate 4/@18/E9_03.tif "/>
    <s v=" 25069.0479 "/>
    <s v=" 37.3261 "/>
    <x v="0"/>
    <n v="935731"/>
    <m/>
    <m/>
  </r>
  <r>
    <x v="16"/>
    <x v="5"/>
    <s v="C:\Users\andre\Desktop\REACTIV CEFAS\Cromolyn\Cromolyn/20201217_Cefas_Test10_Run1/Plate 4/@18/E9_04.tif "/>
    <s v=" 22495.0904 "/>
    <s v=" 36.9519 "/>
    <x v="0"/>
    <n v="831237"/>
    <m/>
    <m/>
  </r>
  <r>
    <x v="16"/>
    <x v="6"/>
    <s v="C:\Users\andre\Desktop\REACTIV CEFAS\Cromolyn\Cromolyn/20201217_Cefas_Test10_Run1/Plate 4/@18/F9_01- exclu.tif"/>
    <m/>
    <m/>
    <x v="1"/>
    <m/>
    <m/>
    <m/>
  </r>
  <r>
    <x v="16"/>
    <x v="6"/>
    <s v="C:\Users\andre\Desktop\REACTIV CEFAS\Cromolyn\Cromolyn/20201217_Cefas_Test10_Run1/Plate 4/@18/F9_02.tif "/>
    <s v=" 27253.6672 "/>
    <s v=" 33.7357 "/>
    <x v="0"/>
    <n v="919422"/>
    <m/>
    <m/>
  </r>
  <r>
    <x v="16"/>
    <x v="6"/>
    <s v="C:\Users\andre\Desktop\REACTIV CEFAS\Cromolyn\Cromolyn/20201217_Cefas_Test10_Run1/Plate 4/@18/F9_03.tif "/>
    <s v=" 22062.4925 "/>
    <s v=" 33.3941 "/>
    <x v="0"/>
    <n v="736757"/>
    <m/>
    <m/>
  </r>
  <r>
    <x v="16"/>
    <x v="6"/>
    <s v="C:\Users\andre\Desktop\REACTIV CEFAS\Cromolyn\Cromolyn/20201217_Cefas_Test10_Run1/Plate 4/@18/F9_04.tif "/>
    <s v=" 39972.0453 "/>
    <s v=" 34.0065 "/>
    <x v="0"/>
    <n v="1359309"/>
    <m/>
    <m/>
  </r>
  <r>
    <x v="16"/>
    <x v="7"/>
    <s v="C:\Users\andre\Desktop\REACTIV CEFAS\Cromolyn\Cromolyn/20201217_Cefas_Test10_Run1/Plate 4/@18/G9_01.tif "/>
    <s v=" 89699.173 "/>
    <s v=" 46.6962 "/>
    <x v="0"/>
    <n v="4188607"/>
    <m/>
    <m/>
  </r>
  <r>
    <x v="16"/>
    <x v="7"/>
    <s v="C:\Users\andre\Desktop\REACTIV CEFAS\Cromolyn\Cromolyn/20201217_Cefas_Test10_Run1/Plate 4/@18/G9_02.tif "/>
    <s v=" 89655.9132 "/>
    <s v=" 47.9119 "/>
    <x v="0"/>
    <n v="4295589"/>
    <m/>
    <m/>
  </r>
  <r>
    <x v="16"/>
    <x v="7"/>
    <s v="C:\Users\andre\Desktop\REACTIV CEFAS\Cromolyn\Cromolyn/20201217_Cefas_Test10_Run1/Plate 4/@18/G9_03.tif "/>
    <s v=" 94306.3406 "/>
    <s v=" 48.3138 "/>
    <x v="0"/>
    <n v="4556294"/>
    <m/>
    <m/>
  </r>
  <r>
    <x v="16"/>
    <x v="7"/>
    <s v="C:\Users\andre\Desktop\REACTIV CEFAS\Cromolyn\Cromolyn/20201217_Cefas_Test10_Run1/Plate 4/@18/G9_04.tif "/>
    <s v=" 103455.786 "/>
    <s v=" 49.1896 "/>
    <x v="0"/>
    <n v="5088952"/>
    <m/>
    <m/>
  </r>
  <r>
    <x v="16"/>
    <x v="8"/>
    <s v="C:\Users\andre\Desktop\REACTIV CEFAS\Cromolyn\Cromolyn/20201217_Cefas_Test10_Run1/Plate 4/@18/H9_01.tif "/>
    <s v=" 5104.6551 "/>
    <s v=" 32.7246 "/>
    <x v="0"/>
    <n v="167048"/>
    <m/>
    <m/>
  </r>
  <r>
    <x v="16"/>
    <x v="8"/>
    <s v="C:\Users\andre\Desktop\REACTIV CEFAS\Cromolyn\Cromolyn/20201217_Cefas_Test10_Run1/Plate 4/@18/H9_02.tif "/>
    <s v=" 8500.5486 "/>
    <s v=" 38.6743 "/>
    <x v="0"/>
    <n v="328753"/>
    <m/>
    <m/>
  </r>
  <r>
    <x v="16"/>
    <x v="8"/>
    <s v="C:\Users\andre\Desktop\REACTIV CEFAS\Cromolyn\Cromolyn/20201217_Cefas_Test10_Run1/Plate 4/@18/H9_03.tif "/>
    <s v=" 13713.3532 "/>
    <s v=" 39.9385 "/>
    <x v="0"/>
    <n v="547691"/>
    <m/>
    <m/>
  </r>
  <r>
    <x v="16"/>
    <x v="8"/>
    <s v="C:\Users\andre\Desktop\REACTIV CEFAS\Cromolyn\Cromolyn/20201217_Cefas_Test10_Run1/Plate 4/@18/H9_04.tif "/>
    <s v=" 11636.8833 "/>
    <s v=" 38.7286 "/>
    <x v="0"/>
    <n v="450680"/>
    <m/>
    <m/>
  </r>
  <r>
    <x v="0"/>
    <x v="0"/>
    <s v=" "/>
    <m/>
    <m/>
    <x v="1"/>
    <m/>
    <m/>
    <m/>
  </r>
  <r>
    <x v="0"/>
    <x v="0"/>
    <s v="group "/>
    <s v=" "/>
    <s v=" mean of mean fluo "/>
    <x v="2"/>
    <s v=" mean of total fluo "/>
    <s v=" SD total fluo "/>
    <m/>
  </r>
  <r>
    <x v="16"/>
    <x v="9"/>
    <s v="C:\Users\andre\Desktop\REACTIV CEFAS\Cromolyn\Cromolyn/20201217_Cefas_Test10_Run1/Plate 4/@18/ "/>
    <s v=" "/>
    <s v=" 37.9393 "/>
    <x v="18"/>
    <s v=" 1509593.56 "/>
    <s v=" 1404750.54 "/>
    <m/>
  </r>
  <r>
    <x v="0"/>
    <x v="0"/>
    <s v=" "/>
    <m/>
    <m/>
    <x v="1"/>
    <m/>
    <m/>
    <m/>
  </r>
  <r>
    <x v="0"/>
    <x v="0"/>
    <s v=" "/>
    <m/>
    <m/>
    <x v="1"/>
    <m/>
    <m/>
    <m/>
  </r>
  <r>
    <x v="0"/>
    <x v="0"/>
    <s v=" "/>
    <m/>
    <m/>
    <x v="1"/>
    <m/>
    <m/>
    <m/>
  </r>
  <r>
    <x v="0"/>
    <x v="0"/>
    <s v=" "/>
    <m/>
    <m/>
    <x v="1"/>
    <m/>
    <m/>
    <m/>
  </r>
  <r>
    <x v="0"/>
    <x v="0"/>
    <s v=" "/>
    <m/>
    <m/>
    <x v="1"/>
    <m/>
    <m/>
    <m/>
  </r>
  <r>
    <x v="0"/>
    <x v="0"/>
    <s v="file name "/>
    <s v=" total area "/>
    <s v=" mean intensity "/>
    <x v="0"/>
    <s v=" total fluorescence"/>
    <m/>
    <m/>
  </r>
  <r>
    <x v="17"/>
    <x v="1"/>
    <s v="C:\Users\andre\Desktop\REACTIV CEFAS\Cromolyn\Cromolyn/20201217_Cefas_Test10_Run1/Plate 4/@19/A10_01- exclu.tif"/>
    <m/>
    <m/>
    <x v="1"/>
    <m/>
    <m/>
    <m/>
  </r>
  <r>
    <x v="17"/>
    <x v="1"/>
    <s v="C:\Users\andre\Desktop\REACTIV CEFAS\Cromolyn\Cromolyn/20201217_Cefas_Test10_Run1/Plate 4/@19/A10_02.tif "/>
    <s v=" 49770.3875 "/>
    <s v=" 38.4355 "/>
    <x v="0"/>
    <n v="1912948"/>
    <m/>
    <m/>
  </r>
  <r>
    <x v="17"/>
    <x v="1"/>
    <s v="C:\Users\andre\Desktop\REACTIV CEFAS\Cromolyn\Cromolyn/20201217_Cefas_Test10_Run1/Plate 4/@19/A10_03.tif "/>
    <s v=" 45941.8962 "/>
    <s v=" 37.1445 "/>
    <x v="0"/>
    <n v="1706491"/>
    <m/>
    <m/>
  </r>
  <r>
    <x v="17"/>
    <x v="1"/>
    <s v="C:\Users\andre\Desktop\REACTIV CEFAS\Cromolyn\Cromolyn/20201217_Cefas_Test10_Run1/Plate 4/@19/A10_04.tif "/>
    <s v=" 52474.1244 "/>
    <s v=" 37.8298 "/>
    <x v="0"/>
    <n v="1985084"/>
    <m/>
    <m/>
  </r>
  <r>
    <x v="17"/>
    <x v="2"/>
    <s v="C:\Users\andre\Desktop\REACTIV CEFAS\Cromolyn\Cromolyn/20201217_Cefas_Test10_Run1/Plate 4/@19/B10_01.tif "/>
    <s v=" 42481.1131 "/>
    <s v=" 36.9073 "/>
    <x v="0"/>
    <n v="1567865"/>
    <m/>
    <m/>
  </r>
  <r>
    <x v="17"/>
    <x v="2"/>
    <s v="C:\Users\andre\Desktop\REACTIV CEFAS\Cromolyn\Cromolyn/20201217_Cefas_Test10_Run1/Plate 4/@19/B10_02.tif "/>
    <s v=" 46114.9353 "/>
    <s v=" 37.5178 "/>
    <x v="0"/>
    <n v="1730132"/>
    <m/>
    <m/>
  </r>
  <r>
    <x v="17"/>
    <x v="2"/>
    <s v="C:\Users\andre\Desktop\REACTIV CEFAS\Cromolyn\Cromolyn/20201217_Cefas_Test10_Run1/Plate 4/@19/B10_03.tif "/>
    <s v=" 50700.473 "/>
    <s v=" 39.1224 "/>
    <x v="0"/>
    <n v="1983526"/>
    <m/>
    <m/>
  </r>
  <r>
    <x v="17"/>
    <x v="2"/>
    <s v="C:\Users\andre\Desktop\REACTIV CEFAS\Cromolyn\Cromolyn/20201217_Cefas_Test10_Run1/Plate 4/@19/B10_04.tif "/>
    <s v=" 31860.8348 "/>
    <s v=" 34.8425 "/>
    <x v="0"/>
    <n v="1110111"/>
    <m/>
    <m/>
  </r>
  <r>
    <x v="17"/>
    <x v="3"/>
    <s v="C:\Users\andre\Desktop\REACTIV CEFAS\Cromolyn\Cromolyn/20201217_Cefas_Test10_Run1/Plate 4/@19/C10_01.tif "/>
    <s v=" 49510.8288 "/>
    <s v=" 37.7025 "/>
    <x v="0"/>
    <n v="1866682"/>
    <m/>
    <m/>
  </r>
  <r>
    <x v="17"/>
    <x v="3"/>
    <s v="C:\Users\andre\Desktop\REACTIV CEFAS\Cromolyn\Cromolyn/20201217_Cefas_Test10_Run1/Plate 4/@19/C10_02.tif "/>
    <s v=" 57773.4486 "/>
    <s v=" 39.0213 "/>
    <x v="0"/>
    <n v="2254397"/>
    <m/>
    <m/>
  </r>
  <r>
    <x v="17"/>
    <x v="3"/>
    <s v="C:\Users\andre\Desktop\REACTIV CEFAS\Cromolyn\Cromolyn/20201217_Cefas_Test10_Run1/Plate 4/@19/C10_03.tif "/>
    <s v=" 50246.2452 "/>
    <s v=" 39.5415 "/>
    <x v="0"/>
    <n v="1986814"/>
    <m/>
    <m/>
  </r>
  <r>
    <x v="17"/>
    <x v="3"/>
    <s v="C:\Users\andre\Desktop\REACTIV CEFAS\Cromolyn\Cromolyn/20201217_Cefas_Test10_Run1/Plate 4/@19/C10_04.tif "/>
    <s v=" 52603.9037 "/>
    <s v=" 37.9005 "/>
    <x v="0"/>
    <n v="1993714"/>
    <m/>
    <m/>
  </r>
  <r>
    <x v="17"/>
    <x v="4"/>
    <s v="C:\Users\andre\Desktop\REACTIV CEFAS\Cromolyn\Cromolyn/20201217_Cefas_Test10_Run1/Plate 4/@19/D10_01.tif "/>
    <s v=" 85265.0446 "/>
    <s v=" 44.3351 "/>
    <x v="0"/>
    <n v="3780235"/>
    <m/>
    <m/>
  </r>
  <r>
    <x v="17"/>
    <x v="4"/>
    <s v="C:\Users\andre\Desktop\REACTIV CEFAS\Cromolyn\Cromolyn/20201217_Cefas_Test10_Run1/Plate 4/@19/D10_02.tif "/>
    <s v=" 86238.3899 "/>
    <s v=" 40.0594 "/>
    <x v="0"/>
    <n v="3454662"/>
    <m/>
    <m/>
  </r>
  <r>
    <x v="17"/>
    <x v="4"/>
    <s v="C:\Users\andre\Desktop\REACTIV CEFAS\Cromolyn\Cromolyn/20201217_Cefas_Test10_Run1/Plate 4/@19/D10_03.tif "/>
    <s v=" 89136.7958 "/>
    <s v=" 41.5518 "/>
    <x v="0"/>
    <n v="3703795"/>
    <m/>
    <m/>
  </r>
  <r>
    <x v="17"/>
    <x v="4"/>
    <s v="C:\Users\andre\Desktop\REACTIV CEFAS\Cromolyn\Cromolyn/20201217_Cefas_Test10_Run1/Plate 4/@19/D10_04- exclu.tif"/>
    <m/>
    <m/>
    <x v="1"/>
    <m/>
    <m/>
    <m/>
  </r>
  <r>
    <x v="17"/>
    <x v="5"/>
    <s v="C:\Users\andre\Desktop\REACTIV CEFAS\Cromolyn\Cromolyn/20201217_Cefas_Test10_Run1/Plate 4/@19/E10_01.tif "/>
    <s v=" 30563.0411 "/>
    <s v=" 35.5117 "/>
    <x v="0"/>
    <n v="1085345"/>
    <m/>
    <m/>
  </r>
  <r>
    <x v="17"/>
    <x v="5"/>
    <s v="C:\Users\andre\Desktop\REACTIV CEFAS\Cromolyn\Cromolyn/20201217_Cefas_Test10_Run1/Plate 4/@19/E10_02.tif "/>
    <s v=" 31882.4647 "/>
    <s v=" 35.5862 "/>
    <x v="0"/>
    <n v="1134574"/>
    <m/>
    <m/>
  </r>
  <r>
    <x v="17"/>
    <x v="5"/>
    <s v="C:\Users\andre\Desktop\REACTIV CEFAS\Cromolyn\Cromolyn/20201217_Cefas_Test10_Run1/Plate 4/@19/E10_03.tif "/>
    <s v=" 31493.1266 "/>
    <s v=" 35.4416 "/>
    <x v="0"/>
    <n v="1116167"/>
    <m/>
    <m/>
  </r>
  <r>
    <x v="17"/>
    <x v="5"/>
    <s v="C:\Users\andre\Desktop\REACTIV CEFAS\Cromolyn\Cromolyn/20201217_Cefas_Test10_Run1/Plate 4/@19/E10_04.tif "/>
    <s v=" 40015.3051 "/>
    <s v=" 37.1703 "/>
    <x v="0"/>
    <n v="1487380"/>
    <m/>
    <m/>
  </r>
  <r>
    <x v="17"/>
    <x v="6"/>
    <s v="C:\Users\andre\Desktop\REACTIV CEFAS\Cromolyn\Cromolyn/20201217_Cefas_Test10_Run1/Plate 4/@19/F10_01.tif "/>
    <s v=" 57600.4094 "/>
    <s v=" 35.6737 "/>
    <x v="0"/>
    <n v="2054818"/>
    <m/>
    <m/>
  </r>
  <r>
    <x v="17"/>
    <x v="6"/>
    <s v="C:\Users\andre\Desktop\REACTIV CEFAS\Cromolyn\Cromolyn/20201217_Cefas_Test10_Run1/Plate 4/@19/F10_02.tif "/>
    <s v=" 61320.7513 "/>
    <s v=" 36.1108 "/>
    <x v="0"/>
    <n v="2214339"/>
    <m/>
    <m/>
  </r>
  <r>
    <x v="17"/>
    <x v="6"/>
    <s v="C:\Users\andre\Desktop\REACTIV CEFAS\Cromolyn\Cromolyn/20201217_Cefas_Test10_Run1/Plate 4/@19/F10_03.tif "/>
    <s v=" 64781.5344 "/>
    <s v=" 35.9516 "/>
    <x v="0"/>
    <n v="2328999"/>
    <m/>
    <m/>
  </r>
  <r>
    <x v="17"/>
    <x v="6"/>
    <s v="C:\Users\andre\Desktop\REACTIV CEFAS\Cromolyn\Cromolyn/20201217_Cefas_Test10_Run1/Plate 4/@19/F10_04.tif "/>
    <s v=" 49143.1206 "/>
    <s v=" 33.5814 "/>
    <x v="0"/>
    <n v="1650296"/>
    <m/>
    <m/>
  </r>
  <r>
    <x v="17"/>
    <x v="7"/>
    <s v="C:\Users\andre\Desktop\REACTIV CEFAS\Cromolyn\Cromolyn/20201217_Cefas_Test10_Run1/Plate 4/@19/G10_01.tif "/>
    <s v=" 11009.6164 "/>
    <s v=" 33.3949 "/>
    <x v="0"/>
    <n v="367665"/>
    <m/>
    <m/>
  </r>
  <r>
    <x v="17"/>
    <x v="7"/>
    <s v="C:\Users\andre\Desktop\REACTIV CEFAS\Cromolyn\Cromolyn/20201217_Cefas_Test10_Run1/Plate 4/@19/G10_02.tif "/>
    <s v=" 22495.0904 "/>
    <s v=" 35.8067 "/>
    <x v="0"/>
    <n v="805476"/>
    <m/>
    <m/>
  </r>
  <r>
    <x v="17"/>
    <x v="7"/>
    <s v="C:\Users\andre\Desktop\REACTIV CEFAS\Cromolyn\Cromolyn/20201217_Cefas_Test10_Run1/Plate 4/@19/G10_03.tif "/>
    <s v=" 30800.97 "/>
    <s v=" 36.1299 "/>
    <x v="0"/>
    <n v="1112836"/>
    <m/>
    <m/>
  </r>
  <r>
    <x v="17"/>
    <x v="7"/>
    <s v="C:\Users\andre\Desktop\REACTIV CEFAS\Cromolyn\Cromolyn/20201217_Cefas_Test10_Run1/Plate 4/@19/G10_04.tif "/>
    <s v=" 11269.1751 "/>
    <s v=" 33.0883 "/>
    <x v="0"/>
    <n v="372878"/>
    <m/>
    <m/>
  </r>
  <r>
    <x v="17"/>
    <x v="8"/>
    <s v="C:\Users\andre\Desktop\REACTIV CEFAS\Cromolyn\Cromolyn/20201217_Cefas_Test10_Run1/Plate 4/@19/H10_01- exclu.tif"/>
    <m/>
    <m/>
    <x v="1"/>
    <m/>
    <m/>
    <m/>
  </r>
  <r>
    <x v="17"/>
    <x v="8"/>
    <s v="C:\Users\andre\Desktop\REACTIV CEFAS\Cromolyn\Cromolyn/20201217_Cefas_Test10_Run1/Plate 4/@19/H10_02- exclu.tif"/>
    <m/>
    <m/>
    <x v="1"/>
    <m/>
    <m/>
    <m/>
  </r>
  <r>
    <x v="17"/>
    <x v="8"/>
    <s v="C:\Users\andre\Desktop\REACTIV CEFAS\Cromolyn\Cromolyn/20201217_Cefas_Test10_Run1/Plate 4/@19/H10_03- exclu.tif"/>
    <m/>
    <m/>
    <x v="1"/>
    <m/>
    <m/>
    <m/>
  </r>
  <r>
    <x v="17"/>
    <x v="8"/>
    <s v="C:\Users\andre\Desktop\REACTIV CEFAS\Cromolyn\Cromolyn/20201217_Cefas_Test10_Run1/Plate 4/@19/H10_04.tif "/>
    <s v=" 55913.2776 "/>
    <s v=" 42.2414 "/>
    <x v="0"/>
    <n v="2361855"/>
    <m/>
    <m/>
  </r>
  <r>
    <x v="0"/>
    <x v="0"/>
    <s v=" "/>
    <m/>
    <m/>
    <x v="1"/>
    <m/>
    <m/>
    <m/>
  </r>
  <r>
    <x v="0"/>
    <x v="0"/>
    <s v="group "/>
    <s v=" "/>
    <s v=" mean of mean fluo "/>
    <x v="2"/>
    <s v=" mean of total fluo "/>
    <s v=" SD total fluo "/>
    <m/>
  </r>
  <r>
    <x v="17"/>
    <x v="9"/>
    <s v="C:\Users\andre\Desktop\REACTIV CEFAS\Cromolyn\Cromolyn/20201217_Cefas_Test10_Run1/Plate 4/@19/ "/>
    <s v=" "/>
    <s v=" 37.0696 "/>
    <x v="19"/>
    <n v="1660525"/>
    <s v=" 955046.248 "/>
    <m/>
  </r>
  <r>
    <x v="0"/>
    <x v="0"/>
    <s v=" "/>
    <m/>
    <m/>
    <x v="1"/>
    <m/>
    <m/>
    <m/>
  </r>
  <r>
    <x v="0"/>
    <x v="0"/>
    <s v=" "/>
    <m/>
    <m/>
    <x v="1"/>
    <m/>
    <m/>
    <m/>
  </r>
  <r>
    <x v="0"/>
    <x v="0"/>
    <s v=" "/>
    <m/>
    <m/>
    <x v="1"/>
    <m/>
    <m/>
    <m/>
  </r>
  <r>
    <x v="0"/>
    <x v="0"/>
    <s v=" "/>
    <m/>
    <m/>
    <x v="1"/>
    <m/>
    <m/>
    <m/>
  </r>
  <r>
    <x v="0"/>
    <x v="0"/>
    <s v=" "/>
    <m/>
    <m/>
    <x v="1"/>
    <m/>
    <m/>
    <m/>
  </r>
  <r>
    <x v="0"/>
    <x v="0"/>
    <s v="file name "/>
    <s v=" total area "/>
    <s v=" mean intensity "/>
    <x v="0"/>
    <s v=" total fluorescence"/>
    <m/>
    <m/>
  </r>
  <r>
    <x v="18"/>
    <x v="1"/>
    <s v="C:\Users\andre\Desktop\REACTIV CEFAS\Cromolyn\Cromolyn/20201217_Cefas_Test10_Run1/Plate 4/@20/A11_01.tif "/>
    <s v=" 22300.4214 "/>
    <s v=" 34.1154 "/>
    <x v="0"/>
    <n v="760788"/>
    <m/>
    <m/>
  </r>
  <r>
    <x v="18"/>
    <x v="1"/>
    <s v="C:\Users\andre\Desktop\REACTIV CEFAS\Cromolyn\Cromolyn/20201217_Cefas_Test10_Run1/Plate 4/@20/A11_02.tif "/>
    <s v=" 24896.0087 "/>
    <s v=" 33.7089 "/>
    <x v="0"/>
    <n v="839218"/>
    <m/>
    <m/>
  </r>
  <r>
    <x v="18"/>
    <x v="1"/>
    <s v="C:\Users\andre\Desktop\REACTIV CEFAS\Cromolyn\Cromolyn/20201217_Cefas_Test10_Run1/Plate 4/@20/A11_03.tif "/>
    <s v=" 32423.212 "/>
    <s v=" 34.3803 "/>
    <x v="0"/>
    <n v="1114718"/>
    <m/>
    <m/>
  </r>
  <r>
    <x v="18"/>
    <x v="1"/>
    <s v="C:\Users\andre\Desktop\REACTIV CEFAS\Cromolyn\Cromolyn/20201217_Cefas_Test10_Run1/Plate 4/@20/A11_04.tif "/>
    <s v=" 50916.772 "/>
    <s v=" 35.7222 "/>
    <x v="0"/>
    <n v="1818858"/>
    <m/>
    <m/>
  </r>
  <r>
    <x v="18"/>
    <x v="2"/>
    <s v="C:\Users\andre\Desktop\REACTIV CEFAS\Cromolyn\Cromolyn/20201217_Cefas_Test10_Run1/Plate 4/@20/B11_01.tif "/>
    <s v=" 41875.476 "/>
    <s v=" 37.9969 "/>
    <x v="0"/>
    <n v="1591138"/>
    <m/>
    <m/>
  </r>
  <r>
    <x v="18"/>
    <x v="2"/>
    <s v="C:\Users\andre\Desktop\REACTIV CEFAS\Cromolyn\Cromolyn/20201217_Cefas_Test10_Run1/Plate 4/@20/B11_02.tif "/>
    <s v=" 63894.7087 "/>
    <s v=" 39.1391 "/>
    <x v="0"/>
    <n v="2500784"/>
    <m/>
    <m/>
  </r>
  <r>
    <x v="18"/>
    <x v="2"/>
    <s v="C:\Users\andre\Desktop\REACTIV CEFAS\Cromolyn\Cromolyn/20201217_Cefas_Test10_Run1/Plate 4/@20/B11_03.tif "/>
    <s v=" 70773.0152 "/>
    <s v=" 40.0034 "/>
    <x v="0"/>
    <n v="2831159"/>
    <m/>
    <m/>
  </r>
  <r>
    <x v="18"/>
    <x v="2"/>
    <s v="C:\Users\andre\Desktop\REACTIV CEFAS\Cromolyn\Cromolyn/20201217_Cefas_Test10_Run1/Plate 4/@20/B11_04.tif "/>
    <s v=" 59590.3597 "/>
    <s v=" 39.3525 "/>
    <x v="0"/>
    <n v="2345027"/>
    <m/>
    <m/>
  </r>
  <r>
    <x v="18"/>
    <x v="3"/>
    <s v="C:\Users\andre\Desktop\REACTIV CEFAS\Cromolyn\Cromolyn/20201217_Cefas_Test10_Run1/Plate 4/@20/C11_01.tif "/>
    <s v=" 23554.9553 "/>
    <s v=" 33.2792 "/>
    <x v="0"/>
    <n v="783889"/>
    <m/>
    <m/>
  </r>
  <r>
    <x v="18"/>
    <x v="3"/>
    <s v="C:\Users\andre\Desktop\REACTIV CEFAS\Cromolyn\Cromolyn/20201217_Cefas_Test10_Run1/Plate 4/@20/C11_02.tif "/>
    <s v=" 20894.4782 "/>
    <s v=" 32.6646 "/>
    <x v="0"/>
    <n v="682510"/>
    <m/>
    <m/>
  </r>
  <r>
    <x v="18"/>
    <x v="3"/>
    <s v="C:\Users\andre\Desktop\REACTIV CEFAS\Cromolyn\Cromolyn/20201217_Cefas_Test10_Run1/Plate 4/@20/C11_03.tif "/>
    <s v=" 16633.389 "/>
    <s v=" 32.2432 "/>
    <x v="0"/>
    <n v="536313"/>
    <m/>
    <m/>
  </r>
  <r>
    <x v="18"/>
    <x v="3"/>
    <s v="C:\Users\andre\Desktop\REACTIV CEFAS\Cromolyn\Cromolyn/20201217_Cefas_Test10_Run1/Plate 4/@20/C11_04.tif "/>
    <s v=" 20332.101 "/>
    <s v=" 32.7436 "/>
    <x v="0"/>
    <n v="665747"/>
    <m/>
    <m/>
  </r>
  <r>
    <x v="18"/>
    <x v="4"/>
    <s v="C:\Users\andre\Desktop\REACTIV CEFAS\Cromolyn\Cromolyn/20201217_Cefas_Test10_Run1/Plate 4/@20/D11_01.tif "/>
    <s v=" 1838.541 "/>
    <s v=" 31.6941 "/>
    <x v="0"/>
    <n v="58271"/>
    <m/>
    <m/>
  </r>
  <r>
    <x v="18"/>
    <x v="4"/>
    <s v="C:\Users\andre\Desktop\REACTIV CEFAS\Cromolyn\Cromolyn/20201217_Cefas_Test10_Run1/Plate 4/@20/D11_02.tif "/>
    <s v=" 10944.7267 "/>
    <s v=" 32.332 "/>
    <x v="0"/>
    <n v="353865"/>
    <m/>
    <m/>
  </r>
  <r>
    <x v="18"/>
    <x v="4"/>
    <s v="C:\Users\andre\Desktop\REACTIV CEFAS\Cromolyn\Cromolyn/20201217_Cefas_Test10_Run1/Plate 4/@20/D11_03.tif "/>
    <s v=" 7267.6446 "/>
    <s v=" 32.256 "/>
    <x v="0"/>
    <n v="234425"/>
    <m/>
    <m/>
  </r>
  <r>
    <x v="18"/>
    <x v="4"/>
    <s v="C:\Users\andre\Desktop\REACTIV CEFAS\Cromolyn\Cromolyn/20201217_Cefas_Test10_Run1/Plate 4/@20/D11_04.tif "/>
    <s v=" 10382.3494 "/>
    <s v=" 31.6042 "/>
    <x v="0"/>
    <n v="328126"/>
    <m/>
    <m/>
  </r>
  <r>
    <x v="18"/>
    <x v="5"/>
    <s v="C:\Users\andre\Desktop\REACTIV CEFAS\Cromolyn\Cromolyn/20201217_Cefas_Test10_Run1/Plate 4/@20/E11_01.tif "/>
    <s v=" 35343.2478 "/>
    <s v=" 37.5783 "/>
    <x v="0"/>
    <n v="1328140"/>
    <m/>
    <m/>
  </r>
  <r>
    <x v="18"/>
    <x v="5"/>
    <s v="C:\Users\andre\Desktop\REACTIV CEFAS\Cromolyn\Cromolyn/20201217_Cefas_Test10_Run1/Plate 4/@20/E11_02.tif "/>
    <s v=" 39496.1876 "/>
    <s v=" 39.2744 "/>
    <x v="0"/>
    <n v="1551188"/>
    <m/>
    <m/>
  </r>
  <r>
    <x v="18"/>
    <x v="5"/>
    <s v="C:\Users\andre\Desktop\REACTIV CEFAS\Cromolyn\Cromolyn/20201217_Cefas_Test10_Run1/Plate 4/@20/E11_03.tif "/>
    <s v=" 41291.4688 "/>
    <s v=" 40.0948 "/>
    <x v="0"/>
    <n v="1655574"/>
    <m/>
    <m/>
  </r>
  <r>
    <x v="18"/>
    <x v="5"/>
    <s v="C:\Users\andre\Desktop\REACTIV CEFAS\Cromolyn\Cromolyn/20201217_Cefas_Test10_Run1/Plate 4/@20/E11_04.tif "/>
    <s v=" 37938.8352 "/>
    <s v=" 38.6836 "/>
    <x v="0"/>
    <n v="1467610"/>
    <m/>
    <m/>
  </r>
  <r>
    <x v="18"/>
    <x v="6"/>
    <s v="C:\Users\andre\Desktop\REACTIV CEFAS\Cromolyn\Cromolyn/20201217_Cefas_Test10_Run1/Plate 4/@20/F11_01.tif "/>
    <s v=" 44773.8819 "/>
    <s v=" 36.8585 "/>
    <x v="0"/>
    <n v="1650296"/>
    <m/>
    <m/>
  </r>
  <r>
    <x v="18"/>
    <x v="6"/>
    <s v="C:\Users\andre\Desktop\REACTIV CEFAS\Cromolyn\Cromolyn/20201217_Cefas_Test10_Run1/Plate 4/@20/F11_02.tif "/>
    <s v=" 44081.7253 "/>
    <s v=" 37.9647 "/>
    <x v="0"/>
    <n v="1673548"/>
    <m/>
    <m/>
  </r>
  <r>
    <x v="18"/>
    <x v="6"/>
    <s v="C:\Users\andre\Desktop\REACTIV CEFAS\Cromolyn\Cromolyn/20201217_Cefas_Test10_Run1/Plate 4/@20/F11_03.tif "/>
    <s v=" 38544.4722 "/>
    <s v=" 34.9169 "/>
    <x v="0"/>
    <n v="1345855"/>
    <m/>
    <m/>
  </r>
  <r>
    <x v="18"/>
    <x v="6"/>
    <s v="C:\Users\andre\Desktop\REACTIV CEFAS\Cromolyn\Cromolyn/20201217_Cefas_Test10_Run1/Plate 4/@20/F11_04.tif "/>
    <s v=" 56756.8435 "/>
    <s v=" 37.2458 "/>
    <x v="0"/>
    <n v="2113954"/>
    <m/>
    <m/>
  </r>
  <r>
    <x v="18"/>
    <x v="7"/>
    <s v="C:\Users\andre\Desktop\REACTIV CEFAS\Cromolyn\Cromolyn/20201217_Cefas_Test10_Run1/Plate 4/@20/G11_01.tif "/>
    <s v=" 72525.0367 "/>
    <s v=" 42.7933 "/>
    <x v="0"/>
    <n v="3103587"/>
    <m/>
    <m/>
  </r>
  <r>
    <x v="18"/>
    <x v="7"/>
    <s v="C:\Users\andre\Desktop\REACTIV CEFAS\Cromolyn\Cromolyn/20201217_Cefas_Test10_Run1/Plate 4/@20/G11_02.tif "/>
    <s v=" 70664.8658 "/>
    <s v=" 42.6654 "/>
    <x v="0"/>
    <n v="3014948"/>
    <m/>
    <m/>
  </r>
  <r>
    <x v="18"/>
    <x v="7"/>
    <s v="C:\Users\andre\Desktop\REACTIV CEFAS\Cromolyn\Cromolyn/20201217_Cefas_Test10_Run1/Plate 4/@20/G11_03.tif "/>
    <s v=" 60239.2565 "/>
    <s v=" 40.0779 "/>
    <x v="0"/>
    <n v="2414264"/>
    <m/>
    <m/>
  </r>
  <r>
    <x v="18"/>
    <x v="7"/>
    <s v="C:\Users\andre\Desktop\REACTIV CEFAS\Cromolyn\Cromolyn/20201217_Cefas_Test10_Run1/Plate 4/@20/G11_04.tif "/>
    <s v=" 66706.595 "/>
    <s v=" 38.8995 "/>
    <x v="0"/>
    <n v="2594852"/>
    <m/>
    <m/>
  </r>
  <r>
    <x v="18"/>
    <x v="8"/>
    <s v="C:\Users\andre\Desktop\REACTIV CEFAS\Cromolyn\Cromolyn/20201217_Cefas_Test10_Run1/Plate 4/@20/H11_01.tif "/>
    <s v=" 47996.7362 "/>
    <s v=" 43.1361 "/>
    <x v="0"/>
    <n v="2070392"/>
    <m/>
    <m/>
  </r>
  <r>
    <x v="18"/>
    <x v="8"/>
    <s v="C:\Users\andre\Desktop\REACTIV CEFAS\Cromolyn\Cromolyn/20201217_Cefas_Test10_Run1/Plate 4/@20/H11_02.tif "/>
    <s v=" 47693.9177 "/>
    <s v=" 41.049 "/>
    <x v="0"/>
    <n v="1957787"/>
    <m/>
    <m/>
  </r>
  <r>
    <x v="18"/>
    <x v="8"/>
    <s v="C:\Users\andre\Desktop\REACTIV CEFAS\Cromolyn\Cromolyn/20201217_Cefas_Test10_Run1/Plate 4/@20/H11_03.tif "/>
    <s v=" 52647.1635 "/>
    <s v=" 45.9733 "/>
    <x v="0"/>
    <n v="2420364"/>
    <m/>
    <m/>
  </r>
  <r>
    <x v="18"/>
    <x v="8"/>
    <s v="C:\Users\andre\Desktop\REACTIV CEFAS\Cromolyn\Cromolyn/20201217_Cefas_Test10_Run1/Plate 4/@20/H11_04.tif "/>
    <s v=" 54355.9252 "/>
    <s v=" 44.5945 "/>
    <x v="0"/>
    <n v="2423976"/>
    <m/>
    <m/>
  </r>
  <r>
    <x v="0"/>
    <x v="0"/>
    <s v=" "/>
    <m/>
    <m/>
    <x v="1"/>
    <m/>
    <m/>
    <m/>
  </r>
  <r>
    <x v="0"/>
    <x v="0"/>
    <s v="group "/>
    <s v=" "/>
    <s v=" mean of mean fluo "/>
    <x v="2"/>
    <s v=" mean of total fluo "/>
    <s v=" SD total fluo "/>
    <m/>
  </r>
  <r>
    <x v="18"/>
    <x v="9"/>
    <s v="C:\Users\andre\Desktop\REACTIV CEFAS\Cromolyn\Cromolyn/20201217_Cefas_Test10_Run1/Plate 4/@20/ "/>
    <s v=" "/>
    <s v=" 37.345 "/>
    <x v="20"/>
    <s v=" 1569724.09 "/>
    <s v=" 868706.262 "/>
    <m/>
  </r>
  <r>
    <x v="0"/>
    <x v="0"/>
    <s v=" "/>
    <m/>
    <m/>
    <x v="1"/>
    <m/>
    <m/>
    <m/>
  </r>
  <r>
    <x v="0"/>
    <x v="0"/>
    <s v=" "/>
    <m/>
    <m/>
    <x v="1"/>
    <m/>
    <m/>
    <m/>
  </r>
  <r>
    <x v="0"/>
    <x v="0"/>
    <s v=" "/>
    <m/>
    <m/>
    <x v="1"/>
    <m/>
    <m/>
    <m/>
  </r>
  <r>
    <x v="0"/>
    <x v="0"/>
    <s v=" "/>
    <m/>
    <m/>
    <x v="1"/>
    <m/>
    <m/>
    <m/>
  </r>
  <r>
    <x v="0"/>
    <x v="0"/>
    <s v=" "/>
    <m/>
    <m/>
    <x v="1"/>
    <m/>
    <m/>
    <m/>
  </r>
  <r>
    <x v="0"/>
    <x v="0"/>
    <s v="file name "/>
    <s v=" total area "/>
    <s v=" mean intensity "/>
    <x v="0"/>
    <s v=" total fluorescence"/>
    <m/>
    <m/>
  </r>
  <r>
    <x v="19"/>
    <x v="1"/>
    <s v="C:\Users\andre\Desktop\REACTIV CEFAS\Cromolyn\Cromolyn/20201217_Cefas_Test10_Run1/Plate 4/@21/A12_01- exclu.tif"/>
    <m/>
    <m/>
    <x v="1"/>
    <m/>
    <m/>
    <m/>
  </r>
  <r>
    <x v="19"/>
    <x v="1"/>
    <s v="C:\Users\andre\Desktop\REACTIV CEFAS\Cromolyn\Cromolyn/20201217_Cefas_Test10_Run1/Plate 4/@21/A12_02.tif "/>
    <s v=" 28811.0196 "/>
    <s v=" 39.6577 "/>
    <x v="0"/>
    <n v="1142578"/>
    <m/>
    <m/>
  </r>
  <r>
    <x v="19"/>
    <x v="1"/>
    <s v="C:\Users\andre\Desktop\REACTIV CEFAS\Cromolyn\Cromolyn/20201217_Cefas_Test10_Run1/Plate 4/@21/A12_03.tif "/>
    <s v=" 28053.9733 "/>
    <s v=" 39.1056 "/>
    <x v="0"/>
    <n v="1097068"/>
    <m/>
    <m/>
  </r>
  <r>
    <x v="19"/>
    <x v="1"/>
    <s v="C:\Users\andre\Desktop\REACTIV CEFAS\Cromolyn\Cromolyn/20201217_Cefas_Test10_Run1/Plate 4/@21/A12_04.tif "/>
    <s v=" 23230.5068 "/>
    <s v=" 36.9088 "/>
    <x v="0"/>
    <n v="857409"/>
    <m/>
    <m/>
  </r>
  <r>
    <x v="19"/>
    <x v="2"/>
    <s v="C:\Users\andre\Desktop\REACTIV CEFAS\Cromolyn\Cromolyn/20201217_Cefas_Test10_Run1/Plate 4/@21/B12_01.tif "/>
    <s v=" 58379.0856 "/>
    <s v=" 37.6884 "/>
    <x v="0"/>
    <n v="2200215"/>
    <m/>
    <m/>
  </r>
  <r>
    <x v="19"/>
    <x v="2"/>
    <s v="C:\Users\andre\Desktop\REACTIV CEFAS\Cromolyn\Cromolyn/20201217_Cefas_Test10_Run1/Plate 4/@21/B12_02.tif "/>
    <s v=" 60412.2957 "/>
    <s v=" 37.4436 "/>
    <x v="0"/>
    <n v="2262054"/>
    <m/>
    <m/>
  </r>
  <r>
    <x v="19"/>
    <x v="2"/>
    <s v="C:\Users\andre\Desktop\REACTIV CEFAS\Cromolyn\Cromolyn/20201217_Cefas_Test10_Run1/Plate 4/@21/B12_03.tif "/>
    <s v=" 60217.6266 "/>
    <s v=" 38.629 "/>
    <x v="0"/>
    <n v="2326144"/>
    <m/>
    <m/>
  </r>
  <r>
    <x v="19"/>
    <x v="2"/>
    <s v="C:\Users\andre\Desktop\REACTIV CEFAS\Cromolyn\Cromolyn/20201217_Cefas_Test10_Run1/Plate 4/@21/B12_04.tif "/>
    <s v=" 55675.3488 "/>
    <s v=" 38.0245 "/>
    <x v="0"/>
    <n v="2117026"/>
    <m/>
    <m/>
  </r>
  <r>
    <x v="19"/>
    <x v="3"/>
    <s v="C:\Users\andre\Desktop\REACTIV CEFAS\Cromolyn\Cromolyn/20201217_Cefas_Test10_Run1/Plate 4/@21/C12_01.tif "/>
    <s v=" 73628.1613 "/>
    <s v=" 42.9392 "/>
    <x v="0"/>
    <n v="3161534"/>
    <m/>
    <m/>
  </r>
  <r>
    <x v="19"/>
    <x v="3"/>
    <s v="C:\Users\andre\Desktop\REACTIV CEFAS\Cromolyn\Cromolyn/20201217_Cefas_Test10_Run1/Plate 4/@21/C12_02.tif "/>
    <s v=" 70102.4885 "/>
    <s v=" 42.3428 "/>
    <x v="0"/>
    <n v="2968335"/>
    <m/>
    <m/>
  </r>
  <r>
    <x v="19"/>
    <x v="3"/>
    <s v="C:\Users\andre\Desktop\REACTIV CEFAS\Cromolyn\Cromolyn/20201217_Cefas_Test10_Run1/Plate 4/@21/C12_03.tif "/>
    <s v=" 72287.1078 "/>
    <s v=" 40.8986 "/>
    <x v="0"/>
    <n v="2956439"/>
    <m/>
    <m/>
  </r>
  <r>
    <x v="19"/>
    <x v="3"/>
    <s v="C:\Users\andre\Desktop\REACTIV CEFAS\Cromolyn\Cromolyn/20201217_Cefas_Test10_Run1/Plate 4/@21/C12_04.tif "/>
    <s v=" 74168.9087 "/>
    <s v=" 42.2406 "/>
    <x v="0"/>
    <n v="3132939"/>
    <m/>
    <m/>
  </r>
  <r>
    <x v="19"/>
    <x v="4"/>
    <s v="C:\Users\andre\Desktop\REACTIV CEFAS\Cromolyn\Cromolyn/20201217_Cefas_Test10_Run1/Plate 4/@21/D12_01.tif "/>
    <s v=" 64695.0148 "/>
    <s v=" 37.1702 "/>
    <x v="0"/>
    <n v="2404725"/>
    <m/>
    <m/>
  </r>
  <r>
    <x v="19"/>
    <x v="4"/>
    <s v="C:\Users\andre\Desktop\REACTIV CEFAS\Cromolyn\Cromolyn/20201217_Cefas_Test10_Run1/Plate 4/@21/D12_02.tif "/>
    <s v=" 77651.3217 "/>
    <s v=" 40.7621 "/>
    <x v="0"/>
    <n v="3165232"/>
    <m/>
    <m/>
  </r>
  <r>
    <x v="19"/>
    <x v="4"/>
    <s v="C:\Users\andre\Desktop\REACTIV CEFAS\Cromolyn\Cromolyn/20201217_Cefas_Test10_Run1/Plate 4/@21/D12_03.tif "/>
    <s v=" 67355.4919 "/>
    <s v=" 37.49 "/>
    <x v="0"/>
    <n v="2525160"/>
    <m/>
    <m/>
  </r>
  <r>
    <x v="19"/>
    <x v="4"/>
    <s v="C:\Users\andre\Desktop\REACTIV CEFAS\Cromolyn\Cromolyn/20201217_Cefas_Test10_Run1/Plate 4/@21/D12_04.tif "/>
    <s v=" 81371.6636 "/>
    <s v=" 40.1661 "/>
    <x v="0"/>
    <n v="3268385"/>
    <m/>
    <m/>
  </r>
  <r>
    <x v="19"/>
    <x v="5"/>
    <s v="C:\Users\andre\Desktop\REACTIV CEFAS\Cromolyn\Cromolyn/20201217_Cefas_Test10_Run1/Plate 4/@21/E12_01.tif "/>
    <s v=" 11701.773 "/>
    <s v=" 33.7597 "/>
    <x v="0"/>
    <n v="395048"/>
    <m/>
    <m/>
  </r>
  <r>
    <x v="19"/>
    <x v="5"/>
    <s v="C:\Users\andre\Desktop\REACTIV CEFAS\Cromolyn\Cromolyn/20201217_Cefas_Test10_Run1/Plate 4/@21/E12_02.tif "/>
    <s v=" 12804.8976 "/>
    <s v=" 34.25 "/>
    <x v="0"/>
    <n v="438568"/>
    <m/>
    <m/>
  </r>
  <r>
    <x v="19"/>
    <x v="5"/>
    <s v="C:\Users\andre\Desktop\REACTIV CEFAS\Cromolyn\Cromolyn/20201217_Cefas_Test10_Run1/Plate 4/@21/E12_03.tif "/>
    <s v=" 19250.6062 "/>
    <s v=" 33.8539 "/>
    <x v="0"/>
    <n v="651709"/>
    <m/>
    <m/>
  </r>
  <r>
    <x v="19"/>
    <x v="5"/>
    <s v="C:\Users\andre\Desktop\REACTIV CEFAS\Cromolyn\Cromolyn/20201217_Cefas_Test10_Run1/Plate 4/@21/E12_04.tif "/>
    <s v=" 30022.2937 "/>
    <s v=" 35.3192 "/>
    <x v="0"/>
    <n v="1060362"/>
    <m/>
    <m/>
  </r>
  <r>
    <x v="19"/>
    <x v="6"/>
    <s v="C:\Users\andre\Desktop\REACTIV CEFAS\Cromolyn\Cromolyn/20201217_Cefas_Test10_Run1/Plate 4/@21/F12_01.tif "/>
    <s v=" 49597.3484 "/>
    <s v=" 35.3027 "/>
    <x v="0"/>
    <n v="1750918"/>
    <m/>
    <m/>
  </r>
  <r>
    <x v="19"/>
    <x v="6"/>
    <s v="C:\Users\andre\Desktop\REACTIV CEFAS\Cromolyn\Cromolyn/20201217_Cefas_Test10_Run1/Plate 4/@21/F12_02.tif "/>
    <s v=" 64911.3138 "/>
    <s v=" 37.3522 "/>
    <x v="0"/>
    <n v="2424581"/>
    <m/>
    <m/>
  </r>
  <r>
    <x v="19"/>
    <x v="6"/>
    <s v="C:\Users\andre\Desktop\REACTIV CEFAS\Cromolyn\Cromolyn/20201217_Cefas_Test10_Run1/Plate 4/@21/F12_03.tif "/>
    <s v=" 61601.9399 "/>
    <s v=" 38.0772 "/>
    <x v="0"/>
    <n v="2345632"/>
    <m/>
    <m/>
  </r>
  <r>
    <x v="19"/>
    <x v="6"/>
    <s v="C:\Users\andre\Desktop\REACTIV CEFAS\Cromolyn\Cromolyn/20201217_Cefas_Test10_Run1/Plate 4/@21/F12_04.tif "/>
    <s v=" 52668.7934 "/>
    <s v=" 36.3109 "/>
    <x v="0"/>
    <n v="1912450"/>
    <m/>
    <m/>
  </r>
  <r>
    <x v="19"/>
    <x v="7"/>
    <s v="C:\Users\andre\Desktop\REACTIV CEFAS\Cromolyn\Cromolyn/20201217_Cefas_Test10_Run1/Plate 4/@21/G12_01.tif "/>
    <s v=" 10468.869 "/>
    <s v=" 36.9917 "/>
    <x v="0"/>
    <n v="387262"/>
    <m/>
    <m/>
  </r>
  <r>
    <x v="19"/>
    <x v="7"/>
    <s v="C:\Users\andre\Desktop\REACTIV CEFAS\Cromolyn\Cromolyn/20201217_Cefas_Test10_Run1/Plate 4/@21/G12_02.tif "/>
    <s v=" 8651.9579 "/>
    <s v=" 41.6725 "/>
    <x v="0"/>
    <n v="360549"/>
    <m/>
    <m/>
  </r>
  <r>
    <x v="19"/>
    <x v="7"/>
    <s v="C:\Users\andre\Desktop\REACTIV CEFAS\Cromolyn\Cromolyn/20201217_Cefas_Test10_Run1/Plate 4/@21/G12_03.tif "/>
    <s v=" 6186.1499 "/>
    <s v=" 42.507 "/>
    <x v="0"/>
    <n v="262955"/>
    <m/>
    <m/>
  </r>
  <r>
    <x v="19"/>
    <x v="7"/>
    <s v="C:\Users\andre\Desktop\REACTIV CEFAS\Cromolyn\Cromolyn/20201217_Cefas_Test10_Run1/Plate 4/@21/G12_04.tif "/>
    <s v=" 6705.2673 "/>
    <s v=" 41.5516 "/>
    <x v="0"/>
    <n v="278615"/>
    <m/>
    <m/>
  </r>
  <r>
    <x v="19"/>
    <x v="8"/>
    <s v="C:\Users\andre\Desktop\REACTIV CEFAS\Cromolyn\Cromolyn/20201217_Cefas_Test10_Run1/Plate 4/@21/H12_01.tif "/>
    <s v=" 49554.0886 "/>
    <s v=" 36.7739 "/>
    <x v="0"/>
    <n v="1822297"/>
    <m/>
    <m/>
  </r>
  <r>
    <x v="19"/>
    <x v="8"/>
    <s v="C:\Users\andre\Desktop\REACTIV CEFAS\Cromolyn\Cromolyn/20201217_Cefas_Test10_Run1/Plate 4/@21/H12_02.tif "/>
    <s v=" 43714.017 "/>
    <s v=" 35.4191 "/>
    <x v="0"/>
    <n v="1548311"/>
    <m/>
    <m/>
  </r>
  <r>
    <x v="19"/>
    <x v="8"/>
    <s v="C:\Users\andre\Desktop\REACTIV CEFAS\Cromolyn\Cromolyn/20201217_Cefas_Test10_Run1/Plate 4/@21/H12_03- exclu.tif"/>
    <m/>
    <m/>
    <x v="1"/>
    <m/>
    <m/>
    <m/>
  </r>
  <r>
    <x v="19"/>
    <x v="8"/>
    <s v="C:\Users\andre\Desktop\REACTIV CEFAS\Cromolyn\Cromolyn/20201217_Cefas_Test10_Run1/Plate 4/@21/H12_04- exclu.tif"/>
    <m/>
    <m/>
    <x v="1"/>
    <m/>
    <m/>
    <m/>
  </r>
  <r>
    <x v="0"/>
    <x v="0"/>
    <s v=" "/>
    <m/>
    <m/>
    <x v="1"/>
    <m/>
    <m/>
    <m/>
  </r>
  <r>
    <x v="0"/>
    <x v="0"/>
    <s v="group "/>
    <s v=" "/>
    <s v=" mean of mean fluo "/>
    <x v="2"/>
    <s v=" mean of total fluo "/>
    <s v=" SD total fluo "/>
    <m/>
  </r>
  <r>
    <x v="19"/>
    <x v="9"/>
    <s v="C:\Users\andre\Desktop\REACTIV CEFAS\Cromolyn\Cromolyn/20201217_Cefas_Test10_Run1/Plate 4/@21/ "/>
    <s v=" "/>
    <s v=" 36.9239 "/>
    <x v="21"/>
    <s v=" 1659877.41 "/>
    <s v=" 1033394.96 "/>
    <m/>
  </r>
  <r>
    <x v="0"/>
    <x v="0"/>
    <s v=" "/>
    <m/>
    <m/>
    <x v="1"/>
    <m/>
    <m/>
    <m/>
  </r>
  <r>
    <x v="0"/>
    <x v="0"/>
    <s v=" "/>
    <m/>
    <m/>
    <x v="1"/>
    <m/>
    <m/>
    <m/>
  </r>
  <r>
    <x v="0"/>
    <x v="0"/>
    <s v=" "/>
    <m/>
    <m/>
    <x v="1"/>
    <m/>
    <m/>
    <m/>
  </r>
  <r>
    <x v="0"/>
    <x v="0"/>
    <s v=" "/>
    <m/>
    <m/>
    <x v="1"/>
    <m/>
    <m/>
    <m/>
  </r>
  <r>
    <x v="0"/>
    <x v="0"/>
    <s v=" "/>
    <m/>
    <m/>
    <x v="1"/>
    <m/>
    <m/>
    <m/>
  </r>
  <r>
    <x v="0"/>
    <x v="0"/>
    <s v="file name "/>
    <s v=" total area "/>
    <s v=" mean intensity "/>
    <x v="0"/>
    <s v=" total fluorescence"/>
    <m/>
    <m/>
  </r>
  <r>
    <x v="20"/>
    <x v="1"/>
    <s v="C:\Users\andre\Desktop\REACTIV CEFAS\Cromolyn\Cromolyn/20201217_Cefas_Test10_Run1/Plate 4/@8/A2_01.tif "/>
    <s v=" 5256.0644 "/>
    <s v=" 36.5926 "/>
    <x v="0"/>
    <n v="192333"/>
    <m/>
    <m/>
  </r>
  <r>
    <x v="20"/>
    <x v="1"/>
    <s v="C:\Users\andre\Desktop\REACTIV CEFAS\Cromolyn\Cromolyn/20201217_Cefas_Test10_Run1/Plate 4/@8/A2_02.tif "/>
    <s v=" 6856.6766 "/>
    <s v=" 37.2366 "/>
    <x v="0"/>
    <n v="255319"/>
    <m/>
    <m/>
  </r>
  <r>
    <x v="20"/>
    <x v="1"/>
    <s v="C:\Users\andre\Desktop\REACTIV CEFAS\Cromolyn\Cromolyn/20201217_Cefas_Test10_Run1/Plate 4/@8/A2_03.tif "/>
    <s v=" 1578.9823 "/>
    <s v=" 34.4384 "/>
    <x v="0"/>
    <n v="54378"/>
    <m/>
    <m/>
  </r>
  <r>
    <x v="20"/>
    <x v="1"/>
    <s v="C:\Users\andre\Desktop\REACTIV CEFAS\Cromolyn\Cromolyn/20201217_Cefas_Test10_Run1/Plate 4/@8/A2_04.tif "/>
    <s v=" 7721.8724 "/>
    <s v=" 35.6723 "/>
    <x v="0"/>
    <n v="275457"/>
    <m/>
    <m/>
  </r>
  <r>
    <x v="20"/>
    <x v="2"/>
    <s v="C:\Users\andre\Desktop\REACTIV CEFAS\Cromolyn\Cromolyn/20201217_Cefas_Test10_Run1/Plate 4/@8/B2_01.tif "/>
    <s v=" 3309.3739 "/>
    <s v=" 32.3464 "/>
    <x v="0"/>
    <n v="107046"/>
    <m/>
    <m/>
  </r>
  <r>
    <x v="20"/>
    <x v="2"/>
    <s v="C:\Users\andre\Desktop\REACTIV CEFAS\Cromolyn\Cromolyn/20201217_Cefas_Test10_Run1/Plate 4/@8/B2_02.tif "/>
    <s v=" 108.1495 "/>
    <s v=" 31.2 "/>
    <x v="0"/>
    <n v="3374"/>
    <m/>
    <m/>
  </r>
  <r>
    <x v="20"/>
    <x v="2"/>
    <s v="C:\Users\andre\Desktop\REACTIV CEFAS\Cromolyn\Cromolyn/20201217_Cefas_Test10_Run1/Plate 4/@8/B2_03.tif "/>
    <s v=" 3633.8223 "/>
    <s v=" 38.75 "/>
    <x v="0"/>
    <n v="140811"/>
    <m/>
    <m/>
  </r>
  <r>
    <x v="20"/>
    <x v="2"/>
    <s v="C:\Users\andre\Desktop\REACTIV CEFAS\Cromolyn\Cromolyn/20201217_Cefas_Test10_Run1/Plate 4/@8/B2_04- exclu.tif"/>
    <m/>
    <m/>
    <x v="1"/>
    <m/>
    <m/>
    <m/>
  </r>
  <r>
    <x v="20"/>
    <x v="3"/>
    <s v="C:\Users\andre\Desktop\REACTIV CEFAS\Cromolyn\Cromolyn/20201217_Cefas_Test10_Run1/Plate 4/@8/C2_01.tif "/>
    <s v=" 5645.4025 "/>
    <s v=" 39.6858 "/>
    <x v="0"/>
    <n v="224042"/>
    <m/>
    <m/>
  </r>
  <r>
    <x v="20"/>
    <x v="3"/>
    <s v="C:\Users\andre\Desktop\REACTIV CEFAS\Cromolyn\Cromolyn/20201217_Cefas_Test10_Run1/Plate 4/@8/C2_02.tif "/>
    <s v=" 6186.1499 "/>
    <s v=" 38.2797 "/>
    <x v="0"/>
    <n v="236804"/>
    <m/>
    <m/>
  </r>
  <r>
    <x v="20"/>
    <x v="3"/>
    <s v="C:\Users\andre\Desktop\REACTIV CEFAS\Cromolyn\Cromolyn/20201217_Cefas_Test10_Run1/Plate 4/@8/C2_03.tif "/>
    <s v=" 5688.6623 "/>
    <s v=" 36.6692 "/>
    <x v="0"/>
    <n v="208599"/>
    <m/>
    <m/>
  </r>
  <r>
    <x v="20"/>
    <x v="3"/>
    <s v="C:\Users\andre\Desktop\REACTIV CEFAS\Cromolyn\Cromolyn/20201217_Cefas_Test10_Run1/Plate 4/@8/C2_04.tif "/>
    <s v=" 7375.7941 "/>
    <s v=" 46.1085 "/>
    <x v="0"/>
    <n v="340087"/>
    <m/>
    <m/>
  </r>
  <r>
    <x v="20"/>
    <x v="4"/>
    <s v="C:\Users\andre\Desktop\REACTIV CEFAS\Cromolyn\Cromolyn/20201217_Cefas_Test10_Run1/Plate 4/@8/D2_01.tif "/>
    <s v=" 5299.3242 "/>
    <s v=" 41.849 "/>
    <x v="0"/>
    <n v="221771"/>
    <m/>
    <m/>
  </r>
  <r>
    <x v="20"/>
    <x v="4"/>
    <s v="C:\Users\andre\Desktop\REACTIV CEFAS\Cromolyn\Cromolyn/20201217_Cefas_Test10_Run1/Plate 4/@8/D2_02.tif "/>
    <s v=" 4585.5377 "/>
    <s v=" 38.8962 "/>
    <x v="0"/>
    <n v="178360"/>
    <m/>
    <m/>
  </r>
  <r>
    <x v="20"/>
    <x v="4"/>
    <s v="C:\Users\andre\Desktop\REACTIV CEFAS\Cromolyn\Cromolyn/20201217_Cefas_Test10_Run1/Plate 4/@8/D2_03.tif "/>
    <s v=" 2098.0998 "/>
    <s v=" 36.8763 "/>
    <x v="0"/>
    <n v="77370"/>
    <m/>
    <m/>
  </r>
  <r>
    <x v="20"/>
    <x v="4"/>
    <s v="C:\Users\andre\Desktop\REACTIV CEFAS\Cromolyn\Cromolyn/20201217_Cefas_Test10_Run1/Plate 4/@8/D2_04.tif "/>
    <s v=" 1881.8008 "/>
    <s v=" 32.8046 "/>
    <x v="0"/>
    <n v="61732"/>
    <m/>
    <m/>
  </r>
  <r>
    <x v="20"/>
    <x v="5"/>
    <s v="C:\Users\andre\Desktop\REACTIV CEFAS\Cromolyn\Cromolyn/20201217_Cefas_Test10_Run1/Plate 4/@8/E2_01.tif "/>
    <s v=" 8608.6981 "/>
    <s v=" 36.0402 "/>
    <x v="0"/>
    <n v="310259"/>
    <m/>
    <m/>
  </r>
  <r>
    <x v="20"/>
    <x v="5"/>
    <s v="C:\Users\andre\Desktop\REACTIV CEFAS\Cromolyn\Cromolyn/20201217_Cefas_Test10_Run1/Plate 4/@8/E2_02.tif "/>
    <s v=" 7289.2745 "/>
    <s v=" 35.457 "/>
    <x v="0"/>
    <n v="258456"/>
    <m/>
    <m/>
  </r>
  <r>
    <x v="20"/>
    <x v="5"/>
    <s v="C:\Users\andre\Desktop\REACTIV CEFAS\Cromolyn\Cromolyn/20201217_Cefas_Test10_Run1/Plate 4/@8/E2_03.tif "/>
    <s v=" 7851.6518 "/>
    <s v=" 38.6198 "/>
    <x v="0"/>
    <n v="303229"/>
    <m/>
    <m/>
  </r>
  <r>
    <x v="20"/>
    <x v="5"/>
    <s v="C:\Users\andre\Desktop\REACTIV CEFAS\Cromolyn\Cromolyn/20201217_Cefas_Test10_Run1/Plate 4/@8/E2_04.tif "/>
    <s v=" 5104.6551 "/>
    <s v=" 34.4703 "/>
    <x v="0"/>
    <n v="175959"/>
    <m/>
    <m/>
  </r>
  <r>
    <x v="20"/>
    <x v="6"/>
    <s v="C:\Users\andre\Desktop\REACTIV CEFAS\Cromolyn\Cromolyn/20201217_Cefas_Test10_Run1/Plate 4/@8/F2_01- exclu.tif"/>
    <m/>
    <m/>
    <x v="1"/>
    <m/>
    <m/>
    <m/>
  </r>
  <r>
    <x v="20"/>
    <x v="6"/>
    <s v="C:\Users\andre\Desktop\REACTIV CEFAS\Cromolyn\Cromolyn/20201217_Cefas_Test10_Run1/Plate 4/@8/F2_02- exclu.tif"/>
    <m/>
    <m/>
    <x v="1"/>
    <m/>
    <m/>
    <m/>
  </r>
  <r>
    <x v="20"/>
    <x v="6"/>
    <s v="C:\Users\andre\Desktop\REACTIV CEFAS\Cromolyn\Cromolyn/20201217_Cefas_Test10_Run1/Plate 4/@8/F2_03- exclu.tif"/>
    <m/>
    <m/>
    <x v="1"/>
    <m/>
    <m/>
    <m/>
  </r>
  <r>
    <x v="20"/>
    <x v="6"/>
    <s v="C:\Users\andre\Desktop\REACTIV CEFAS\Cromolyn\Cromolyn/20201217_Cefas_Test10_Run1/Plate 4/@8/F2_04.tif "/>
    <s v=" 4477.3882 "/>
    <s v=" 36.715 "/>
    <x v="0"/>
    <n v="164387"/>
    <m/>
    <m/>
  </r>
  <r>
    <x v="20"/>
    <x v="7"/>
    <s v="C:\Users\andre\Desktop\REACTIV CEFAS\Cromolyn\Cromolyn/20201217_Cefas_Test10_Run1/Plate 4/@8/G2_01.tif "/>
    <s v=" 2682.1069 "/>
    <s v=" 39.7984 "/>
    <x v="0"/>
    <n v="106744"/>
    <m/>
    <m/>
  </r>
  <r>
    <x v="20"/>
    <x v="7"/>
    <s v="C:\Users\andre\Desktop\REACTIV CEFAS\Cromolyn\Cromolyn/20201217_Cefas_Test10_Run1/Plate 4/@8/G2_02.tif "/>
    <s v=" 5558.8829 "/>
    <s v=" 41.1751 "/>
    <x v="0"/>
    <n v="228888"/>
    <m/>
    <m/>
  </r>
  <r>
    <x v="20"/>
    <x v="7"/>
    <s v="C:\Users\andre\Desktop\REACTIV CEFAS\Cromolyn\Cromolyn/20201217_Cefas_Test10_Run1/Plate 4/@8/G2_03.tif "/>
    <s v=" 7721.8724 "/>
    <s v=" 43.1989 "/>
    <x v="0"/>
    <n v="333576"/>
    <m/>
    <m/>
  </r>
  <r>
    <x v="20"/>
    <x v="7"/>
    <s v="C:\Users\andre\Desktop\REACTIV CEFAS\Cromolyn\Cromolyn/20201217_Cefas_Test10_Run1/Plate 4/@8/G2_04.tif "/>
    <s v=" 2487.4379 "/>
    <s v=" 35.4087 "/>
    <x v="0"/>
    <n v="88077"/>
    <m/>
    <m/>
  </r>
  <r>
    <x v="20"/>
    <x v="8"/>
    <s v="C:\Users\andre\Desktop\REACTIV CEFAS\Cromolyn\Cromolyn/20201217_Cefas_Test10_Run1/Plate 4/@8/H2_01- exclu.tif"/>
    <m/>
    <m/>
    <x v="1"/>
    <m/>
    <m/>
    <m/>
  </r>
  <r>
    <x v="20"/>
    <x v="8"/>
    <s v="C:\Users\andre\Desktop\REACTIV CEFAS\Cromolyn\Cromolyn/20201217_Cefas_Test10_Run1/Plate 4/@8/H2_02.tif "/>
    <s v=" 5126.285 "/>
    <s v=" 41.4557 "/>
    <x v="0"/>
    <n v="212514"/>
    <m/>
    <m/>
  </r>
  <r>
    <x v="20"/>
    <x v="8"/>
    <s v="C:\Users\andre\Desktop\REACTIV CEFAS\Cromolyn\Cromolyn/20201217_Cefas_Test10_Run1/Plate 4/@8/H2_03.tif "/>
    <s v=" 8651.9579 "/>
    <s v=" 38.7325 "/>
    <x v="0"/>
    <n v="335112"/>
    <m/>
    <m/>
  </r>
  <r>
    <x v="20"/>
    <x v="8"/>
    <s v="C:\Users\andre\Desktop\REACTIV CEFAS\Cromolyn\Cromolyn/20201217_Cefas_Test10_Run1/Plate 4/@8/H2_04.tif "/>
    <s v=" 6251.0395 "/>
    <s v=" 42.2526 "/>
    <x v="0"/>
    <n v="264123"/>
    <m/>
    <m/>
  </r>
  <r>
    <x v="0"/>
    <x v="0"/>
    <s v=" "/>
    <m/>
    <m/>
    <x v="1"/>
    <m/>
    <m/>
    <m/>
  </r>
  <r>
    <x v="0"/>
    <x v="0"/>
    <s v="group "/>
    <s v=" "/>
    <s v=" mean of mean fluo "/>
    <x v="2"/>
    <s v=" mean of total fluo "/>
    <s v=" SD total fluo "/>
    <m/>
  </r>
  <r>
    <x v="20"/>
    <x v="9"/>
    <s v="C:\Users\andre\Desktop\REACTIV CEFAS\Cromolyn\Cromolyn/20201217_Cefas_Test10_Run1/Plate 4/@8/ "/>
    <s v=" "/>
    <s v=" 38.3791 "/>
    <x v="22"/>
    <s v=" 232626.812 "/>
    <s v=" 151313.615 "/>
    <m/>
  </r>
  <r>
    <x v="0"/>
    <x v="0"/>
    <s v=" "/>
    <m/>
    <m/>
    <x v="1"/>
    <m/>
    <m/>
    <m/>
  </r>
  <r>
    <x v="0"/>
    <x v="0"/>
    <s v=" "/>
    <m/>
    <m/>
    <x v="1"/>
    <m/>
    <m/>
    <m/>
  </r>
  <r>
    <x v="0"/>
    <x v="0"/>
    <s v=" "/>
    <m/>
    <m/>
    <x v="1"/>
    <m/>
    <m/>
    <m/>
  </r>
  <r>
    <x v="0"/>
    <x v="0"/>
    <s v=" "/>
    <m/>
    <m/>
    <x v="1"/>
    <m/>
    <m/>
    <m/>
  </r>
  <r>
    <x v="0"/>
    <x v="0"/>
    <s v=" "/>
    <m/>
    <m/>
    <x v="1"/>
    <m/>
    <m/>
    <m/>
  </r>
  <r>
    <x v="0"/>
    <x v="0"/>
    <s v="file name "/>
    <s v=" total area "/>
    <s v=" mean intensity "/>
    <x v="0"/>
    <s v=" total fluorescence"/>
    <m/>
    <m/>
  </r>
  <r>
    <x v="21"/>
    <x v="1"/>
    <s v="C:\Users\andre\Desktop\REACTIV CEFAS\Cromolyn\Cromolyn/20201217_Cefas_Test10_Run1/Plate 4/@9/A3_01- exclu.tif"/>
    <m/>
    <m/>
    <x v="1"/>
    <m/>
    <m/>
    <m/>
  </r>
  <r>
    <x v="21"/>
    <x v="1"/>
    <s v="C:\Users\andre\Desktop\REACTIV CEFAS\Cromolyn\Cromolyn/20201217_Cefas_Test10_Run1/Plate 4/@9/A3_02.tif "/>
    <s v=" 2984.9255 "/>
    <s v=" 33.0217 "/>
    <x v="0"/>
    <n v="98567"/>
    <m/>
    <m/>
  </r>
  <r>
    <x v="21"/>
    <x v="1"/>
    <s v="C:\Users\andre\Desktop\REACTIV CEFAS\Cromolyn\Cromolyn/20201217_Cefas_Test10_Run1/Plate 4/@9/A3_03.tif "/>
    <s v=" 5623.7726 "/>
    <s v=" 34.8846 "/>
    <x v="0"/>
    <n v="196183"/>
    <m/>
    <m/>
  </r>
  <r>
    <x v="21"/>
    <x v="1"/>
    <s v="C:\Users\andre\Desktop\REACTIV CEFAS\Cromolyn\Cromolyn/20201217_Cefas_Test10_Run1/Plate 4/@9/A3_04- exclu.tif"/>
    <m/>
    <m/>
    <x v="1"/>
    <m/>
    <m/>
    <m/>
  </r>
  <r>
    <x v="21"/>
    <x v="2"/>
    <s v="C:\Users\andre\Desktop\REACTIV CEFAS\Cromolyn\Cromolyn/20201217_Cefas_Test10_Run1/Plate 4/@9/B3_01.tif "/>
    <s v=" 713.7865 "/>
    <s v=" 31.6667 "/>
    <x v="0"/>
    <n v="22603"/>
    <m/>
    <m/>
  </r>
  <r>
    <x v="21"/>
    <x v="2"/>
    <s v="C:\Users\andre\Desktop\REACTIV CEFAS\Cromolyn\Cromolyn/20201217_Cefas_Test10_Run1/Plate 4/@9/B3_02.tif "/>
    <s v=" 1730.3916 "/>
    <s v=" 32.0875 "/>
    <x v="0"/>
    <n v="55524"/>
    <m/>
    <m/>
  </r>
  <r>
    <x v="21"/>
    <x v="2"/>
    <s v="C:\Users\andre\Desktop\REACTIV CEFAS\Cromolyn\Cromolyn/20201217_Cefas_Test10_Run1/Plate 4/@9/B3_03.tif "/>
    <s v=" 994.9752 "/>
    <s v=" 32.087 "/>
    <x v="0"/>
    <n v="31926"/>
    <m/>
    <m/>
  </r>
  <r>
    <x v="21"/>
    <x v="2"/>
    <s v="C:\Users\andre\Desktop\REACTIV CEFAS\Cromolyn\Cromolyn/20201217_Cefas_Test10_Run1/Plate 4/@9/B3_04.tif "/>
    <s v=" 1968.3204 "/>
    <s v=" 32.6264 "/>
    <x v="0"/>
    <n v="64219"/>
    <m/>
    <m/>
  </r>
  <r>
    <x v="21"/>
    <x v="3"/>
    <s v="C:\Users\andre\Desktop\REACTIV CEFAS\Cromolyn\Cromolyn/20201217_Cefas_Test10_Run1/Plate 4/@9/C3_01.tif "/>
    <s v=" 216.2989 "/>
    <s v=" 31.7 "/>
    <x v="0"/>
    <n v="6857"/>
    <m/>
    <m/>
  </r>
  <r>
    <x v="21"/>
    <x v="3"/>
    <s v="C:\Users\andre\Desktop\REACTIV CEFAS\Cromolyn\Cromolyn/20201217_Cefas_Test10_Run1/Plate 4/@9/C3_02.tif "/>
    <s v=" 4217.8295 "/>
    <s v=" 34.2718 "/>
    <x v="0"/>
    <n v="144553"/>
    <m/>
    <m/>
  </r>
  <r>
    <x v="21"/>
    <x v="3"/>
    <s v="C:\Users\andre\Desktop\REACTIV CEFAS\Cromolyn\Cromolyn/20201217_Cefas_Test10_Run1/Plate 4/@9/C3_03.tif "/>
    <s v=" 3504.0429 "/>
    <s v=" 35.179 "/>
    <x v="0"/>
    <n v="123269"/>
    <m/>
    <m/>
  </r>
  <r>
    <x v="21"/>
    <x v="3"/>
    <s v="C:\Users\andre\Desktop\REACTIV CEFAS\Cromolyn\Cromolyn/20201217_Cefas_Test10_Run1/Plate 4/@9/C3_04.tif "/>
    <s v=" 3071.445 "/>
    <s v=" 34.5211 "/>
    <x v="0"/>
    <n v="106030"/>
    <m/>
    <m/>
  </r>
  <r>
    <x v="21"/>
    <x v="4"/>
    <s v="C:\Users\andre\Desktop\REACTIV CEFAS\Cromolyn\Cromolyn/20201217_Cefas_Test10_Run1/Plate 4/@9/D3_01.tif "/>
    <s v=" 3893.381 "/>
    <s v=" 35.3167 "/>
    <x v="0"/>
    <n v="137501"/>
    <m/>
    <m/>
  </r>
  <r>
    <x v="21"/>
    <x v="4"/>
    <s v="C:\Users\andre\Desktop\REACTIV CEFAS\Cromolyn\Cromolyn/20201217_Cefas_Test10_Run1/Plate 4/@9/D3_02- exclu.tif"/>
    <m/>
    <m/>
    <x v="1"/>
    <m/>
    <m/>
    <m/>
  </r>
  <r>
    <x v="21"/>
    <x v="4"/>
    <s v="C:\Users\andre\Desktop\REACTIV CEFAS\Cromolyn\Cromolyn/20201217_Cefas_Test10_Run1/Plate 4/@9/D3_03- exclu.tif"/>
    <m/>
    <m/>
    <x v="1"/>
    <m/>
    <m/>
    <m/>
  </r>
  <r>
    <x v="21"/>
    <x v="4"/>
    <s v="C:\Users\andre\Desktop\REACTIV CEFAS\Cromolyn\Cromolyn/20201217_Cefas_Test10_Run1/Plate 4/@9/D3_04- exclu.tif"/>
    <m/>
    <m/>
    <x v="1"/>
    <m/>
    <m/>
    <m/>
  </r>
  <r>
    <x v="21"/>
    <x v="5"/>
    <s v="C:\Users\andre\Desktop\REACTIV CEFAS\Cromolyn\Cromolyn/20201217_Cefas_Test10_Run1/Plate 4/@9/E3_01.tif "/>
    <s v=" 1578.9823 "/>
    <s v=" 35.4247 "/>
    <x v="0"/>
    <n v="55935"/>
    <m/>
    <m/>
  </r>
  <r>
    <x v="21"/>
    <x v="5"/>
    <s v="C:\Users\andre\Desktop\REACTIV CEFAS\Cromolyn\Cromolyn/20201217_Cefas_Test10_Run1/Plate 4/@9/E3_02.tif "/>
    <s v=" 627.2669 "/>
    <s v=" 31.7586 "/>
    <x v="0"/>
    <n v="19921"/>
    <m/>
    <m/>
  </r>
  <r>
    <x v="21"/>
    <x v="5"/>
    <s v="C:\Users\andre\Desktop\REACTIV CEFAS\Cromolyn\Cromolyn/20201217_Cefas_Test10_Run1/Plate 4/@9/E3_03.tif "/>
    <s v=" 1168.0143 "/>
    <s v=" 32.4259 "/>
    <x v="0"/>
    <n v="37874"/>
    <m/>
    <m/>
  </r>
  <r>
    <x v="21"/>
    <x v="5"/>
    <s v="C:\Users\andre\Desktop\REACTIV CEFAS\Cromolyn\Cromolyn/20201217_Cefas_Test10_Run1/Plate 4/@9/E3_04.tif "/>
    <s v=" 497.4876 "/>
    <s v=" 31.913 "/>
    <x v="0"/>
    <n v="15876"/>
    <m/>
    <m/>
  </r>
  <r>
    <x v="21"/>
    <x v="6"/>
    <s v="C:\Users\andre\Desktop\REACTIV CEFAS\Cromolyn\Cromolyn/20201217_Cefas_Test10_Run1/Plate 4/@9/F3_01.tif "/>
    <s v=" 6402.4488 "/>
    <s v=" 38.4493 "/>
    <x v="0"/>
    <n v="246170"/>
    <m/>
    <m/>
  </r>
  <r>
    <x v="21"/>
    <x v="6"/>
    <s v="C:\Users\andre\Desktop\REACTIV CEFAS\Cromolyn\Cromolyn/20201217_Cefas_Test10_Run1/Plate 4/@9/F3_02.tif "/>
    <s v=" 8976.4063 "/>
    <s v=" 37.7735 "/>
    <x v="0"/>
    <n v="339070"/>
    <m/>
    <m/>
  </r>
  <r>
    <x v="21"/>
    <x v="6"/>
    <s v="C:\Users\andre\Desktop\REACTIV CEFAS\Cromolyn\Cromolyn/20201217_Cefas_Test10_Run1/Plate 4/@9/F3_03.tif "/>
    <s v=" 4499.0181 "/>
    <s v=" 36.1346 "/>
    <x v="0"/>
    <n v="162570"/>
    <m/>
    <m/>
  </r>
  <r>
    <x v="21"/>
    <x v="6"/>
    <s v="C:\Users\andre\Desktop\REACTIV CEFAS\Cromolyn\Cromolyn/20201217_Cefas_Test10_Run1/Plate 4/@9/F3_04.tif "/>
    <s v=" 10403.9793 "/>
    <s v=" 41.2952 "/>
    <x v="0"/>
    <n v="429635"/>
    <m/>
    <m/>
  </r>
  <r>
    <x v="21"/>
    <x v="7"/>
    <s v="C:\Users\andre\Desktop\REACTIV CEFAS\Cromolyn\Cromolyn/20201217_Cefas_Test10_Run1/Plate 4/@9/G3_01.tif "/>
    <s v=" 3698.712 "/>
    <s v=" 36.076 "/>
    <x v="0"/>
    <n v="133435"/>
    <m/>
    <m/>
  </r>
  <r>
    <x v="21"/>
    <x v="7"/>
    <s v="C:\Users\andre\Desktop\REACTIV CEFAS\Cromolyn\Cromolyn/20201217_Cefas_Test10_Run1/Plate 4/@9/G3_02.tif "/>
    <s v=" 4412.4985 "/>
    <s v=" 37.4657 "/>
    <x v="0"/>
    <n v="165317"/>
    <m/>
    <m/>
  </r>
  <r>
    <x v="21"/>
    <x v="7"/>
    <s v="C:\Users\andre\Desktop\REACTIV CEFAS\Cromolyn\Cromolyn/20201217_Cefas_Test10_Run1/Plate 4/@9/G3_03.tif "/>
    <s v=" 4931.616 "/>
    <s v=" 38.886 "/>
    <x v="0"/>
    <n v="191771"/>
    <m/>
    <m/>
  </r>
  <r>
    <x v="21"/>
    <x v="7"/>
    <s v="C:\Users\andre\Desktop\REACTIV CEFAS\Cromolyn\Cromolyn/20201217_Cefas_Test10_Run1/Plate 4/@9/G3_04.tif "/>
    <s v=" 5299.3242 "/>
    <s v=" 40.1265 "/>
    <x v="0"/>
    <n v="212643"/>
    <m/>
    <m/>
  </r>
  <r>
    <x v="21"/>
    <x v="8"/>
    <s v="C:\Users\andre\Desktop\REACTIV CEFAS\Cromolyn\Cromolyn/20201217_Cefas_Test10_Run1/Plate 4/@9/H3_01.tif "/>
    <s v=" 5385.8438 "/>
    <s v=" 35.7952 "/>
    <x v="0"/>
    <n v="192787"/>
    <m/>
    <m/>
  </r>
  <r>
    <x v="21"/>
    <x v="8"/>
    <s v="C:\Users\andre\Desktop\REACTIV CEFAS\Cromolyn\Cromolyn/20201217_Cefas_Test10_Run1/Plate 4/@9/H3_02.tif "/>
    <s v=" 4953.2459 "/>
    <s v=" 35.1223 "/>
    <x v="0"/>
    <n v="173969"/>
    <m/>
    <m/>
  </r>
  <r>
    <x v="21"/>
    <x v="8"/>
    <s v="C:\Users\andre\Desktop\REACTIV CEFAS\Cromolyn\Cromolyn/20201217_Cefas_Test10_Run1/Plate 4/@9/H3_03.tif "/>
    <n v="0"/>
    <n v="0"/>
    <x v="0"/>
    <n v="0"/>
    <m/>
    <m/>
  </r>
  <r>
    <x v="21"/>
    <x v="8"/>
    <s v="C:\Users\andre\Desktop\REACTIV CEFAS\Cromolyn\Cromolyn/20201217_Cefas_Test10_Run1/Plate 4/@9/H3_04.tif "/>
    <s v=" 6359.189 "/>
    <s v=" 37.8061 "/>
    <x v="0"/>
    <n v="240416"/>
    <m/>
    <m/>
  </r>
  <r>
    <x v="0"/>
    <x v="0"/>
    <s v=" "/>
    <m/>
    <m/>
    <x v="1"/>
    <m/>
    <m/>
    <m/>
  </r>
  <r>
    <x v="0"/>
    <x v="0"/>
    <s v="group "/>
    <s v=" "/>
    <s v=" mean of mean fluo "/>
    <x v="2"/>
    <s v=" mean of total fluo "/>
    <s v=" SD total fluo "/>
    <m/>
  </r>
  <r>
    <x v="21"/>
    <x v="9"/>
    <s v="C:\Users\andre\Desktop\REACTIV CEFAS\Cromolyn\Cromolyn/20201217_Cefas_Test10_Run1/Plate 4/@9/ "/>
    <s v=" "/>
    <s v=" 33.0193 "/>
    <x v="23"/>
    <s v=" 140156.281 "/>
    <s v=" 128806.28 "/>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ile name "/>
    <s v=" total area "/>
    <s v=" mean intensity "/>
    <x v="0"/>
    <s v=" total fluorescence"/>
    <m/>
    <m/>
  </r>
  <r>
    <x v="1"/>
    <x v="1"/>
    <s v="C:\Users\andre\Desktop\REACTIV CEFAS\Cromolyn\Cromolyn/20201202_Cefas_Test8_Run2/Plate 1/@1/A10_01.tif "/>
    <s v=" 973.3453 "/>
    <s v=" 32.9778 "/>
    <x v="0"/>
    <n v="32099"/>
    <m/>
    <m/>
  </r>
  <r>
    <x v="1"/>
    <x v="1"/>
    <s v="C:\Users\andre\Desktop\REACTIV CEFAS\Cromolyn\Cromolyn/20201202_Cefas_Test8_Run2/Plate 1/@1/A10_02.tif "/>
    <n v="0"/>
    <n v="0"/>
    <x v="0"/>
    <n v="0"/>
    <m/>
    <m/>
  </r>
  <r>
    <x v="1"/>
    <x v="1"/>
    <s v="C:\Users\andre\Desktop\REACTIV CEFAS\Cromolyn\Cromolyn/20201202_Cefas_Test8_Run2/Plate 1/@1/A10_03.tif "/>
    <s v=" 692.1566 "/>
    <s v=" 32.1562 "/>
    <x v="0"/>
    <n v="22257"/>
    <m/>
    <m/>
  </r>
  <r>
    <x v="1"/>
    <x v="2"/>
    <s v="C:\Users\andre\Desktop\REACTIV CEFAS\Cromolyn\Cromolyn/20201202_Cefas_Test8_Run2/Plate 1/@1/B10_01.tif "/>
    <s v=" 21.6299 "/>
    <n v="30"/>
    <x v="0"/>
    <n v="649"/>
    <m/>
    <m/>
  </r>
  <r>
    <x v="1"/>
    <x v="2"/>
    <s v="C:\Users\andre\Desktop\REACTIV CEFAS\Cromolyn\Cromolyn/20201202_Cefas_Test8_Run2/Plate 1/@1/B10_02.tif "/>
    <n v="0"/>
    <n v="0"/>
    <x v="0"/>
    <n v="0"/>
    <m/>
    <m/>
  </r>
  <r>
    <x v="1"/>
    <x v="2"/>
    <s v="C:\Users\andre\Desktop\REACTIV CEFAS\Cromolyn\Cromolyn/20201202_Cefas_Test8_Run2/Plate 1/@1/B10_03.tif "/>
    <s v=" 735.4164 "/>
    <s v=" 32.5588 "/>
    <x v="0"/>
    <n v="23944"/>
    <m/>
    <m/>
  </r>
  <r>
    <x v="1"/>
    <x v="3"/>
    <s v="C:\Users\andre\Desktop\REACTIV CEFAS\Cromolyn\Cromolyn/20201202_Cefas_Test8_Run2/Plate 1/@1/C10_01.tif "/>
    <s v=" 7419.0539 "/>
    <s v=" 38.7172 "/>
    <x v="0"/>
    <n v="287245"/>
    <m/>
    <m/>
  </r>
  <r>
    <x v="1"/>
    <x v="3"/>
    <s v="C:\Users\andre\Desktop\REACTIV CEFAS\Cromolyn\Cromolyn/20201202_Cefas_Test8_Run2/Plate 1/@1/C10_02.tif "/>
    <s v=" 7116.2353 "/>
    <s v=" 38.459 "/>
    <x v="0"/>
    <n v="273683"/>
    <m/>
    <m/>
  </r>
  <r>
    <x v="1"/>
    <x v="3"/>
    <s v="C:\Users\andre\Desktop\REACTIV CEFAS\Cromolyn\Cromolyn/20201202_Cefas_Test8_Run2/Plate 1/@1/C10_03.tif "/>
    <s v=" 7830.0219 "/>
    <s v=" 41.3785 "/>
    <x v="0"/>
    <n v="323994"/>
    <m/>
    <m/>
  </r>
  <r>
    <x v="1"/>
    <x v="4"/>
    <s v="C:\Users\andre\Desktop\REACTIV CEFAS\Cromolyn\Cromolyn/20201202_Cefas_Test8_Run2/Plate 1/@1/D10_01- exclu.tif"/>
    <m/>
    <m/>
    <x v="1"/>
    <m/>
    <m/>
    <m/>
  </r>
  <r>
    <x v="1"/>
    <x v="4"/>
    <s v="C:\Users\andre\Desktop\REACTIV CEFAS\Cromolyn\Cromolyn/20201202_Cefas_Test8_Run2/Plate 1/@1/D10_02- exclu.tif"/>
    <m/>
    <m/>
    <x v="1"/>
    <m/>
    <m/>
    <m/>
  </r>
  <r>
    <x v="1"/>
    <x v="4"/>
    <s v="C:\Users\andre\Desktop\REACTIV CEFAS\Cromolyn\Cromolyn/20201202_Cefas_Test8_Run2/Plate 1/@1/D10_03- exclu.tif"/>
    <m/>
    <m/>
    <x v="1"/>
    <m/>
    <m/>
    <m/>
  </r>
  <r>
    <x v="1"/>
    <x v="5"/>
    <s v="C:\Users\andre\Desktop\REACTIV CEFAS\Cromolyn\Cromolyn/20201202_Cefas_Test8_Run2/Plate 1/@1/E10_01.tif "/>
    <s v=" 9733.4526 "/>
    <s v=" 39.3111 "/>
    <x v="0"/>
    <n v="382633"/>
    <m/>
    <m/>
  </r>
  <r>
    <x v="1"/>
    <x v="5"/>
    <s v="C:\Users\andre\Desktop\REACTIV CEFAS\Cromolyn\Cromolyn/20201202_Cefas_Test8_Run2/Plate 1/@1/E10_02.tif "/>
    <s v=" 4196.1996 "/>
    <s v=" 37.0361 "/>
    <x v="0"/>
    <n v="155411"/>
    <m/>
    <m/>
  </r>
  <r>
    <x v="1"/>
    <x v="5"/>
    <s v="C:\Users\andre\Desktop\REACTIV CEFAS\Cromolyn\Cromolyn/20201202_Cefas_Test8_Run2/Plate 1/@1/E10_03.tif "/>
    <s v=" 4715.317 "/>
    <s v=" 37.4404 "/>
    <x v="0"/>
    <n v="176543"/>
    <m/>
    <m/>
  </r>
  <r>
    <x v="1"/>
    <x v="6"/>
    <s v="C:\Users\andre\Desktop\REACTIV CEFAS\Cromolyn\Cromolyn/20201202_Cefas_Test8_Run2/Plate 1/@1/F10_01.tif "/>
    <s v=" 7181.125 "/>
    <s v=" 34.3373 "/>
    <x v="0"/>
    <n v="246581"/>
    <m/>
    <m/>
  </r>
  <r>
    <x v="1"/>
    <x v="6"/>
    <s v="C:\Users\andre\Desktop\REACTIV CEFAS\Cromolyn\Cromolyn/20201202_Cefas_Test8_Run2/Plate 1/@1/F10_02.tif "/>
    <s v=" 5256.0644 "/>
    <s v=" 33.2305 "/>
    <x v="0"/>
    <n v="174661"/>
    <m/>
    <m/>
  </r>
  <r>
    <x v="1"/>
    <x v="6"/>
    <s v="C:\Users\andre\Desktop\REACTIV CEFAS\Cromolyn\Cromolyn/20201202_Cefas_Test8_Run2/Plate 1/@1/F10_03.tif "/>
    <s v=" 5234.4345 "/>
    <s v=" 32.6074 "/>
    <x v="0"/>
    <n v="170681"/>
    <m/>
    <m/>
  </r>
  <r>
    <x v="1"/>
    <x v="7"/>
    <s v="C:\Users\andre\Desktop\REACTIV CEFAS\Cromolyn\Cromolyn/20201202_Cefas_Test8_Run2/Plate 1/@1/G10_01- exclu.tif"/>
    <m/>
    <m/>
    <x v="1"/>
    <m/>
    <m/>
    <m/>
  </r>
  <r>
    <x v="1"/>
    <x v="7"/>
    <s v="C:\Users\andre\Desktop\REACTIV CEFAS\Cromolyn\Cromolyn/20201202_Cefas_Test8_Run2/Plate 1/@1/G10_02- exclu.tif"/>
    <m/>
    <m/>
    <x v="1"/>
    <m/>
    <m/>
    <m/>
  </r>
  <r>
    <x v="1"/>
    <x v="7"/>
    <s v="C:\Users\andre\Desktop\REACTIV CEFAS\Cromolyn\Cromolyn/20201202_Cefas_Test8_Run2/Plate 1/@1/G10_03.tif "/>
    <s v=" 4888.3562 "/>
    <s v=" 36.6549 "/>
    <x v="0"/>
    <n v="179182"/>
    <m/>
    <m/>
  </r>
  <r>
    <x v="1"/>
    <x v="8"/>
    <s v="C:\Users\andre\Desktop\REACTIV CEFAS\Cromolyn\Cromolyn/20201202_Cefas_Test8_Run2/Plate 1/@1/H10_01.tif "/>
    <s v=" 4196.1996 "/>
    <s v=" 34.5722 "/>
    <x v="0"/>
    <n v="145072"/>
    <m/>
    <m/>
  </r>
  <r>
    <x v="1"/>
    <x v="8"/>
    <s v="C:\Users\andre\Desktop\REACTIV CEFAS\Cromolyn\Cromolyn/20201202_Cefas_Test8_Run2/Plate 1/@1/H10_02.tif "/>
    <s v=" 129.7794 "/>
    <s v=" 30.8333 "/>
    <x v="0"/>
    <n v="4002"/>
    <m/>
    <m/>
  </r>
  <r>
    <x v="1"/>
    <x v="8"/>
    <s v="C:\Users\andre\Desktop\REACTIV CEFAS\Cromolyn\Cromolyn/20201202_Cefas_Test8_Run2/Plate 1/@1/H10_03.tif "/>
    <s v=" 5169.5448 "/>
    <s v=" 37.9665 "/>
    <x v="0"/>
    <n v="196270"/>
    <m/>
    <m/>
  </r>
  <r>
    <x v="0"/>
    <x v="0"/>
    <s v=" "/>
    <m/>
    <m/>
    <x v="1"/>
    <m/>
    <m/>
    <m/>
  </r>
  <r>
    <x v="0"/>
    <x v="0"/>
    <s v="group "/>
    <s v=" "/>
    <s v=" mean of mean fluo "/>
    <x v="2"/>
    <s v=" mean of total fluo "/>
    <s v=" SD total fluo "/>
    <m/>
  </r>
  <r>
    <x v="1"/>
    <x v="9"/>
    <s v="C:\Users\andre\Desktop\REACTIV CEFAS\Cromolyn\Cromolyn/20201202_Cefas_Test8_Run2/Plate 1/@1/ "/>
    <s v=" "/>
    <s v=" 34.8344 "/>
    <x v="3"/>
    <s v=" 241722.167 "/>
    <s v=" 223737.12 "/>
    <m/>
  </r>
  <r>
    <x v="0"/>
    <x v="0"/>
    <s v=" "/>
    <m/>
    <m/>
    <x v="1"/>
    <m/>
    <m/>
    <m/>
  </r>
  <r>
    <x v="0"/>
    <x v="0"/>
    <s v=" "/>
    <m/>
    <m/>
    <x v="1"/>
    <m/>
    <m/>
    <m/>
  </r>
  <r>
    <x v="0"/>
    <x v="0"/>
    <s v=" "/>
    <m/>
    <m/>
    <x v="1"/>
    <m/>
    <m/>
    <m/>
  </r>
  <r>
    <x v="0"/>
    <x v="0"/>
    <s v=" "/>
    <m/>
    <m/>
    <x v="1"/>
    <m/>
    <m/>
    <m/>
  </r>
  <r>
    <x v="0"/>
    <x v="0"/>
    <s v=" "/>
    <m/>
    <m/>
    <x v="1"/>
    <m/>
    <m/>
    <m/>
  </r>
  <r>
    <x v="0"/>
    <x v="0"/>
    <s v="file name "/>
    <s v=" total area "/>
    <s v=" mean intensity "/>
    <x v="0"/>
    <s v=" total fluorescence"/>
    <m/>
    <m/>
  </r>
  <r>
    <x v="2"/>
    <x v="1"/>
    <s v="C:\Users\andre\Desktop\REACTIV CEFAS\Cromolyn\Cromolyn/20201202_Cefas_Test8_Run2/Plate 1/@13/A8_01.tif "/>
    <s v=" 49381.0494 "/>
    <s v=" 42.7175 "/>
    <x v="0"/>
    <n v="2109434"/>
    <m/>
    <m/>
  </r>
  <r>
    <x v="2"/>
    <x v="1"/>
    <s v="C:\Users\andre\Desktop\REACTIV CEFAS\Cromolyn\Cromolyn/20201202_Cefas_Test8_Run2/Plate 1/@13/A8_02.tif "/>
    <s v=" 46828.7219 "/>
    <s v=" 43.0273 "/>
    <x v="0"/>
    <n v="2014911"/>
    <m/>
    <m/>
  </r>
  <r>
    <x v="2"/>
    <x v="1"/>
    <s v="C:\Users\andre\Desktop\REACTIV CEFAS\Cromolyn\Cromolyn/20201202_Cefas_Test8_Run2/Plate 1/@13/A8_03.tif "/>
    <s v=" 47239.6899 "/>
    <s v=" 42.7958 "/>
    <x v="0"/>
    <n v="2021660"/>
    <m/>
    <m/>
  </r>
  <r>
    <x v="2"/>
    <x v="2"/>
    <s v="C:\Users\andre\Desktop\REACTIV CEFAS\Cromolyn\Cromolyn/20201202_Cefas_Test8_Run2/Plate 1/@13/B8_01.tif "/>
    <s v=" 28097.2331 "/>
    <s v=" 36.0085 "/>
    <x v="0"/>
    <n v="1011738"/>
    <m/>
    <m/>
  </r>
  <r>
    <x v="2"/>
    <x v="2"/>
    <s v="C:\Users\andre\Desktop\REACTIV CEFAS\Cromolyn\Cromolyn/20201202_Cefas_Test8_Run2/Plate 1/@13/B8_02.tif "/>
    <s v=" 28594.7207 "/>
    <s v=" 36.7057 "/>
    <x v="0"/>
    <n v="1049591"/>
    <m/>
    <m/>
  </r>
  <r>
    <x v="2"/>
    <x v="2"/>
    <s v="C:\Users\andre\Desktop\REACTIV CEFAS\Cromolyn\Cromolyn/20201202_Cefas_Test8_Run2/Plate 1/@13/B8_03- exclu.tif"/>
    <m/>
    <m/>
    <x v="1"/>
    <m/>
    <m/>
    <m/>
  </r>
  <r>
    <x v="2"/>
    <x v="3"/>
    <s v="C:\Users\andre\Desktop\REACTIV CEFAS\Cromolyn\Cromolyn/20201202_Cefas_Test8_Run2/Plate 1/@13/C8_01.tif "/>
    <s v=" 43.2598 "/>
    <n v="35"/>
    <x v="0"/>
    <n v="1514"/>
    <m/>
    <m/>
  </r>
  <r>
    <x v="2"/>
    <x v="3"/>
    <s v="C:\Users\andre\Desktop\REACTIV CEFAS\Cromolyn\Cromolyn/20201202_Cefas_Test8_Run2/Plate 1/@13/C8_02.tif "/>
    <s v=" 108.1495 "/>
    <n v="33"/>
    <x v="0"/>
    <n v="3569"/>
    <m/>
    <m/>
  </r>
  <r>
    <x v="2"/>
    <x v="3"/>
    <s v="C:\Users\andre\Desktop\REACTIV CEFAS\Cromolyn\Cromolyn/20201202_Cefas_Test8_Run2/Plate 1/@13/C8_03.tif "/>
    <s v=" 2400.9183 "/>
    <s v=" 34.6847 "/>
    <x v="0"/>
    <n v="83275"/>
    <m/>
    <m/>
  </r>
  <r>
    <x v="2"/>
    <x v="4"/>
    <s v="C:\Users\andre\Desktop\REACTIV CEFAS\Cromolyn\Cromolyn/20201202_Cefas_Test8_Run2/Plate 1/@13/D8_01.tif "/>
    <s v=" 71465.1719 "/>
    <s v=" 43.8172 "/>
    <x v="0"/>
    <n v="3131403"/>
    <m/>
    <m/>
  </r>
  <r>
    <x v="2"/>
    <x v="4"/>
    <s v="C:\Users\andre\Desktop\REACTIV CEFAS\Cromolyn\Cromolyn/20201202_Cefas_Test8_Run2/Plate 1/@13/D8_02.tif "/>
    <s v=" 58746.7938 "/>
    <s v=" 40.4334 "/>
    <x v="0"/>
    <n v="2375330"/>
    <m/>
    <m/>
  </r>
  <r>
    <x v="2"/>
    <x v="4"/>
    <s v="C:\Users\andre\Desktop\REACTIV CEFAS\Cromolyn\Cromolyn/20201202_Cefas_Test8_Run2/Plate 1/@13/D8_03.tif "/>
    <s v=" 62921.3635 "/>
    <s v=" 45.3606 "/>
    <x v="0"/>
    <n v="2854151"/>
    <m/>
    <m/>
  </r>
  <r>
    <x v="2"/>
    <x v="5"/>
    <s v="C:\Users\andre\Desktop\REACTIV CEFAS\Cromolyn\Cromolyn/20201202_Cefas_Test8_Run2/Plate 1/@13/E8_01.tif "/>
    <s v=" 6856.6766 "/>
    <s v=" 33.3849 "/>
    <x v="0"/>
    <n v="228909"/>
    <m/>
    <m/>
  </r>
  <r>
    <x v="2"/>
    <x v="5"/>
    <s v="C:\Users\andre\Desktop\REACTIV CEFAS\Cromolyn\Cromolyn/20201202_Cefas_Test8_Run2/Plate 1/@13/E8_02.tif "/>
    <s v=" 12999.5667 "/>
    <s v=" 33.3677 "/>
    <x v="0"/>
    <n v="433766"/>
    <m/>
    <m/>
  </r>
  <r>
    <x v="2"/>
    <x v="5"/>
    <s v="C:\Users\andre\Desktop\REACTIV CEFAS\Cromolyn\Cromolyn/20201202_Cefas_Test8_Run2/Plate 1/@13/E8_03- exclu.tif"/>
    <m/>
    <m/>
    <x v="1"/>
    <m/>
    <m/>
    <m/>
  </r>
  <r>
    <x v="2"/>
    <x v="6"/>
    <s v="C:\Users\andre\Desktop\REACTIV CEFAS\Cromolyn\Cromolyn/20201202_Cefas_Test8_Run2/Plate 1/@13/F8_01.tif "/>
    <s v=" 6791.7869 "/>
    <s v=" 35.1115 "/>
    <x v="0"/>
    <n v="238470"/>
    <m/>
    <m/>
  </r>
  <r>
    <x v="2"/>
    <x v="6"/>
    <s v="C:\Users\andre\Desktop\REACTIV CEFAS\Cromolyn\Cromolyn/20201202_Cefas_Test8_Run2/Plate 1/@13/F8_02.tif "/>
    <s v=" 12804.8976 "/>
    <s v=" 35.6284 "/>
    <x v="0"/>
    <n v="456218"/>
    <m/>
    <m/>
  </r>
  <r>
    <x v="2"/>
    <x v="6"/>
    <s v="C:\Users\andre\Desktop\REACTIV CEFAS\Cromolyn\Cromolyn/20201202_Cefas_Test8_Run2/Plate 1/@13/F8_03.tif "/>
    <s v=" 12134.3709 "/>
    <s v=" 32.4367 "/>
    <x v="0"/>
    <n v="393599"/>
    <m/>
    <m/>
  </r>
  <r>
    <x v="2"/>
    <x v="7"/>
    <s v="C:\Users\andre\Desktop\REACTIV CEFAS\Cromolyn\Cromolyn/20201202_Cefas_Test8_Run2/Plate 1/@13/G8_01.tif "/>
    <s v=" 11961.3317 "/>
    <s v=" 31.6691 "/>
    <x v="0"/>
    <n v="378804"/>
    <m/>
    <m/>
  </r>
  <r>
    <x v="2"/>
    <x v="7"/>
    <s v="C:\Users\andre\Desktop\REACTIV CEFAS\Cromolyn\Cromolyn/20201202_Cefas_Test8_Run2/Plate 1/@13/G8_02- exclu.tif"/>
    <m/>
    <m/>
    <x v="1"/>
    <m/>
    <m/>
    <m/>
  </r>
  <r>
    <x v="2"/>
    <x v="7"/>
    <s v="C:\Users\andre\Desktop\REACTIV CEFAS\Cromolyn\Cromolyn/20201202_Cefas_Test8_Run2/Plate 1/@13/G8_03- exclu.tif"/>
    <m/>
    <m/>
    <x v="1"/>
    <m/>
    <m/>
    <m/>
  </r>
  <r>
    <x v="2"/>
    <x v="8"/>
    <s v="C:\Users\andre\Desktop\REACTIV CEFAS\Cromolyn\Cromolyn/20201202_Cefas_Test8_Run2/Plate 1/@13/H8_01.tif "/>
    <s v=" 45509.2983 "/>
    <s v=" 38.4178 "/>
    <x v="0"/>
    <n v="1748366"/>
    <m/>
    <m/>
  </r>
  <r>
    <x v="2"/>
    <x v="8"/>
    <s v="C:\Users\andre\Desktop\REACTIV CEFAS\Cromolyn\Cromolyn/20201202_Cefas_Test8_Run2/Plate 1/@13/H8_02.tif "/>
    <s v=" 40296.4937 "/>
    <s v=" 37.9549 "/>
    <x v="0"/>
    <n v="1529450"/>
    <m/>
    <m/>
  </r>
  <r>
    <x v="2"/>
    <x v="8"/>
    <s v="C:\Users\andre\Desktop\REACTIV CEFAS\Cromolyn\Cromolyn/20201202_Cefas_Test8_Run2/Plate 1/@13/H8_03.tif "/>
    <s v=" 44752.252 "/>
    <s v=" 38.9502 "/>
    <x v="0"/>
    <n v="1743110"/>
    <m/>
    <m/>
  </r>
  <r>
    <x v="0"/>
    <x v="0"/>
    <s v=" "/>
    <m/>
    <m/>
    <x v="1"/>
    <m/>
    <m/>
    <m/>
  </r>
  <r>
    <x v="0"/>
    <x v="0"/>
    <s v="group "/>
    <s v=" "/>
    <s v=" mean of mean fluo "/>
    <x v="2"/>
    <s v=" mean of total fluo "/>
    <s v=" SD total fluo "/>
    <m/>
  </r>
  <r>
    <x v="2"/>
    <x v="9"/>
    <s v="C:\Users\andre\Desktop\REACTIV CEFAS\Cromolyn\Cromolyn/20201202_Cefas_Test8_Run2/Plate 1/@13/ "/>
    <s v=" "/>
    <s v=" 37.6569 "/>
    <x v="4"/>
    <s v=" 1079453.42 "/>
    <s v=" 953487.599 "/>
    <m/>
  </r>
  <r>
    <x v="0"/>
    <x v="0"/>
    <s v=" "/>
    <m/>
    <m/>
    <x v="1"/>
    <m/>
    <m/>
    <m/>
  </r>
  <r>
    <x v="0"/>
    <x v="0"/>
    <s v=" "/>
    <m/>
    <m/>
    <x v="1"/>
    <m/>
    <m/>
    <m/>
  </r>
  <r>
    <x v="0"/>
    <x v="0"/>
    <s v=" "/>
    <m/>
    <m/>
    <x v="1"/>
    <m/>
    <m/>
    <m/>
  </r>
  <r>
    <x v="0"/>
    <x v="0"/>
    <s v=" "/>
    <m/>
    <m/>
    <x v="1"/>
    <m/>
    <m/>
    <m/>
  </r>
  <r>
    <x v="0"/>
    <x v="0"/>
    <s v=" "/>
    <m/>
    <m/>
    <x v="1"/>
    <m/>
    <m/>
    <m/>
  </r>
  <r>
    <x v="0"/>
    <x v="0"/>
    <s v="file name "/>
    <s v=" total area "/>
    <s v=" mean intensity "/>
    <x v="0"/>
    <s v=" total fluorescence"/>
    <m/>
    <m/>
  </r>
  <r>
    <x v="3"/>
    <x v="1"/>
    <s v="C:\Users\andre\Desktop\REACTIV CEFAS\Cromolyn\Cromolyn/20201202_Cefas_Test8_Run2/Plate 1/@14/A9_01.tif "/>
    <s v=" 40815.6112 "/>
    <s v=" 37.2353 "/>
    <x v="0"/>
    <n v="1519781"/>
    <m/>
    <m/>
  </r>
  <r>
    <x v="3"/>
    <x v="1"/>
    <s v="C:\Users\andre\Desktop\REACTIV CEFAS\Cromolyn\Cromolyn/20201202_Cefas_Test8_Run2/Plate 1/@14/A9_02.tif "/>
    <s v=" 54031.4768 "/>
    <s v=" 42.4992 "/>
    <x v="0"/>
    <n v="2296295"/>
    <m/>
    <m/>
  </r>
  <r>
    <x v="3"/>
    <x v="1"/>
    <s v="C:\Users\andre\Desktop\REACTIV CEFAS\Cromolyn\Cromolyn/20201202_Cefas_Test8_Run2/Plate 1/@14/A9_03.tif "/>
    <s v=" 51306.1101 "/>
    <s v=" 42.3187 "/>
    <x v="0"/>
    <n v="2171209"/>
    <m/>
    <m/>
  </r>
  <r>
    <x v="3"/>
    <x v="2"/>
    <s v="C:\Users\andre\Desktop\REACTIV CEFAS\Cromolyn\Cromolyn/20201202_Cefas_Test8_Run2/Plate 1/@14/B9_01.tif "/>
    <s v=" 50051.5762 "/>
    <s v=" 37.4166 "/>
    <x v="0"/>
    <n v="1872760"/>
    <m/>
    <m/>
  </r>
  <r>
    <x v="3"/>
    <x v="2"/>
    <s v="C:\Users\andre\Desktop\REACTIV CEFAS\Cromolyn\Cromolyn/20201202_Cefas_Test8_Run2/Plate 1/@14/B9_02.tif "/>
    <s v=" 38782.4011 "/>
    <s v=" 35.6665 "/>
    <x v="0"/>
    <n v="1383232"/>
    <m/>
    <m/>
  </r>
  <r>
    <x v="3"/>
    <x v="2"/>
    <s v="C:\Users\andre\Desktop\REACTIV CEFAS\Cromolyn\Cromolyn/20201202_Cefas_Test8_Run2/Plate 1/@14/B9_03.tif "/>
    <s v=" 32379.9523 "/>
    <s v=" 34.8437 "/>
    <x v="0"/>
    <n v="1128237"/>
    <m/>
    <m/>
  </r>
  <r>
    <x v="3"/>
    <x v="3"/>
    <s v="C:\Users\andre\Desktop\REACTIV CEFAS\Cromolyn\Cromolyn/20201202_Cefas_Test8_Run2/Plate 1/@14/C9_01.tif "/>
    <s v=" 30281.8525 "/>
    <s v=" 37.925 "/>
    <x v="0"/>
    <n v="1148439"/>
    <m/>
    <m/>
  </r>
  <r>
    <x v="3"/>
    <x v="3"/>
    <s v="C:\Users\andre\Desktop\REACTIV CEFAS\Cromolyn\Cromolyn/20201202_Cefas_Test8_Run2/Plate 1/@14/C9_02- exclu.tif"/>
    <m/>
    <m/>
    <x v="1"/>
    <m/>
    <m/>
    <m/>
  </r>
  <r>
    <x v="3"/>
    <x v="3"/>
    <s v="C:\Users\andre\Desktop\REACTIV CEFAS\Cromolyn\Cromolyn/20201202_Cefas_Test8_Run2/Plate 1/@14/C9_03- exclu.tif"/>
    <m/>
    <m/>
    <x v="1"/>
    <m/>
    <m/>
    <m/>
  </r>
  <r>
    <x v="3"/>
    <x v="4"/>
    <s v="C:\Users\andre\Desktop\REACTIV CEFAS\Cromolyn\Cromolyn/20201202_Cefas_Test8_Run2/Plate 1/@14/D9_01.tif "/>
    <s v=" 45249.7396 "/>
    <s v=" 34.9221 "/>
    <x v="0"/>
    <n v="1580215"/>
    <m/>
    <m/>
  </r>
  <r>
    <x v="3"/>
    <x v="4"/>
    <s v="C:\Users\andre\Desktop\REACTIV CEFAS\Cromolyn\Cromolyn/20201202_Cefas_Test8_Run2/Plate 1/@14/D9_02.tif "/>
    <s v=" 53123.0212 "/>
    <s v=" 38.658 "/>
    <x v="0"/>
    <n v="2053629"/>
    <m/>
    <m/>
  </r>
  <r>
    <x v="3"/>
    <x v="4"/>
    <s v="C:\Users\andre\Desktop\REACTIV CEFAS\Cromolyn\Cromolyn/20201202_Cefas_Test8_Run2/Plate 1/@14/D9_03.tif "/>
    <s v=" 41745.6966 "/>
    <s v=" 35.2922 "/>
    <x v="0"/>
    <n v="1473299"/>
    <m/>
    <m/>
  </r>
  <r>
    <x v="3"/>
    <x v="5"/>
    <s v="C:\Users\andre\Desktop\REACTIV CEFAS\Cromolyn\Cromolyn/20201202_Cefas_Test8_Run2/Plate 1/@14/E9_01.tif "/>
    <s v=" 14665.0686 "/>
    <s v=" 32.9484 "/>
    <x v="0"/>
    <n v="483190"/>
    <m/>
    <m/>
  </r>
  <r>
    <x v="3"/>
    <x v="5"/>
    <s v="C:\Users\andre\Desktop\REACTIV CEFAS\Cromolyn\Cromolyn/20201202_Cefas_Test8_Run2/Plate 1/@14/E9_02.tif "/>
    <s v=" 26669.6601 "/>
    <s v=" 34.4704 "/>
    <x v="0"/>
    <n v="919314"/>
    <m/>
    <m/>
  </r>
  <r>
    <x v="3"/>
    <x v="5"/>
    <s v="C:\Users\andre\Desktop\REACTIV CEFAS\Cromolyn\Cromolyn/20201202_Cefas_Test8_Run2/Plate 1/@14/E9_03.tif "/>
    <s v=" 19964.3927 "/>
    <s v=" 33.3608 "/>
    <x v="0"/>
    <n v="666028"/>
    <m/>
    <m/>
  </r>
  <r>
    <x v="3"/>
    <x v="6"/>
    <s v="C:\Users\andre\Desktop\REACTIV CEFAS\Cromolyn\Cromolyn/20201202_Cefas_Test8_Run2/Plate 1/@14/F9_01.tif "/>
    <s v=" 43281.4192 "/>
    <s v=" 40.1344 "/>
    <x v="0"/>
    <n v="1737075"/>
    <m/>
    <m/>
  </r>
  <r>
    <x v="3"/>
    <x v="6"/>
    <s v="C:\Users\andre\Desktop\REACTIV CEFAS\Cromolyn\Cromolyn/20201202_Cefas_Test8_Run2/Plate 1/@14/F9_02.tif "/>
    <s v=" 47672.2878 "/>
    <s v=" 41.4723 "/>
    <x v="0"/>
    <n v="1977081"/>
    <m/>
    <m/>
  </r>
  <r>
    <x v="3"/>
    <x v="6"/>
    <s v="C:\Users\andre\Desktop\REACTIV CEFAS\Cromolyn\Cromolyn/20201202_Cefas_Test8_Run2/Plate 1/@14/F9_03.tif "/>
    <s v=" 43216.5295 "/>
    <s v=" 37.7492 "/>
    <x v="0"/>
    <n v="1631392"/>
    <m/>
    <m/>
  </r>
  <r>
    <x v="3"/>
    <x v="7"/>
    <s v="C:\Users\andre\Desktop\REACTIV CEFAS\Cromolyn\Cromolyn/20201202_Cefas_Test8_Run2/Plate 1/@14/G9_01- exclu.tif"/>
    <m/>
    <m/>
    <x v="1"/>
    <m/>
    <m/>
    <m/>
  </r>
  <r>
    <x v="3"/>
    <x v="7"/>
    <s v="C:\Users\andre\Desktop\REACTIV CEFAS\Cromolyn\Cromolyn/20201202_Cefas_Test8_Run2/Plate 1/@14/G9_02.tif "/>
    <s v=" 9884.8618 "/>
    <s v=" 37.8512 "/>
    <x v="0"/>
    <n v="374154"/>
    <m/>
    <m/>
  </r>
  <r>
    <x v="3"/>
    <x v="7"/>
    <s v="C:\Users\andre\Desktop\REACTIV CEFAS\Cromolyn\Cromolyn/20201202_Cefas_Test8_Run2/Plate 1/@14/G9_03.tif "/>
    <s v=" 19380.3856 "/>
    <s v=" 34.3605 "/>
    <x v="0"/>
    <n v="665920"/>
    <m/>
    <m/>
  </r>
  <r>
    <x v="3"/>
    <x v="8"/>
    <s v="C:\Users\andre\Desktop\REACTIV CEFAS\Cromolyn\Cromolyn/20201202_Cefas_Test8_Run2/Plate 1/@14/H9_01- exclu.tif"/>
    <m/>
    <m/>
    <x v="1"/>
    <m/>
    <m/>
    <m/>
  </r>
  <r>
    <x v="3"/>
    <x v="8"/>
    <s v="C:\Users\andre\Desktop\REACTIV CEFAS\Cromolyn\Cromolyn/20201202_Cefas_Test8_Run2/Plate 1/@14/H9_02- exclu.tif"/>
    <m/>
    <m/>
    <x v="1"/>
    <m/>
    <m/>
    <m/>
  </r>
  <r>
    <x v="3"/>
    <x v="8"/>
    <s v="C:\Users\andre\Desktop\REACTIV CEFAS\Cromolyn\Cromolyn/20201202_Cefas_Test8_Run2/Plate 1/@14/H9_03- exclu.tif"/>
    <m/>
    <m/>
    <x v="1"/>
    <m/>
    <m/>
    <m/>
  </r>
  <r>
    <x v="0"/>
    <x v="0"/>
    <s v=" "/>
    <m/>
    <m/>
    <x v="1"/>
    <m/>
    <m/>
    <m/>
  </r>
  <r>
    <x v="0"/>
    <x v="0"/>
    <s v="group "/>
    <s v=" "/>
    <s v=" mean of mean fluo "/>
    <x v="2"/>
    <s v=" mean of total fluo "/>
    <s v=" SD total fluo "/>
    <m/>
  </r>
  <r>
    <x v="3"/>
    <x v="9"/>
    <s v="C:\Users\andre\Desktop\REACTIV CEFAS\Cromolyn\Cromolyn/20201202_Cefas_Test8_Run2/Plate 1/@14/ "/>
    <s v=" "/>
    <s v=" 34.107 "/>
    <x v="5"/>
    <s v=" 1184338.71 "/>
    <s v=" 693196.339 "/>
    <m/>
  </r>
  <r>
    <x v="0"/>
    <x v="0"/>
    <s v=" "/>
    <m/>
    <m/>
    <x v="1"/>
    <m/>
    <m/>
    <m/>
  </r>
  <r>
    <x v="0"/>
    <x v="0"/>
    <s v=" "/>
    <m/>
    <m/>
    <x v="1"/>
    <m/>
    <m/>
    <m/>
  </r>
  <r>
    <x v="0"/>
    <x v="0"/>
    <s v=" "/>
    <m/>
    <m/>
    <x v="1"/>
    <m/>
    <m/>
    <m/>
  </r>
  <r>
    <x v="0"/>
    <x v="0"/>
    <s v=" "/>
    <m/>
    <m/>
    <x v="1"/>
    <m/>
    <m/>
    <m/>
  </r>
  <r>
    <x v="0"/>
    <x v="0"/>
    <s v=" "/>
    <m/>
    <m/>
    <x v="1"/>
    <m/>
    <m/>
    <m/>
  </r>
  <r>
    <x v="0"/>
    <x v="0"/>
    <s v="file name "/>
    <s v=" total area "/>
    <s v=" mean intensity "/>
    <x v="0"/>
    <s v=" total fluorescence"/>
    <m/>
    <m/>
  </r>
  <r>
    <x v="4"/>
    <x v="1"/>
    <s v="C:\Users\andre\Desktop\REACTIV CEFAS\Cromolyn\Cromolyn/20201202_Cefas_Test8_Run2/Plate 1/@15/A11_01.tif "/>
    <s v=" 58054.6372 "/>
    <s v=" 47.8651 "/>
    <x v="0"/>
    <n v="2778793"/>
    <m/>
    <m/>
  </r>
  <r>
    <x v="4"/>
    <x v="1"/>
    <s v="C:\Users\andre\Desktop\REACTIV CEFAS\Cromolyn\Cromolyn/20201202_Cefas_Test8_Run2/Plate 1/@15/A11_02.tif "/>
    <s v=" 62964.6233 "/>
    <s v=" 46.3689 "/>
    <x v="0"/>
    <n v="2919603"/>
    <m/>
    <m/>
  </r>
  <r>
    <x v="4"/>
    <x v="1"/>
    <s v="C:\Users\andre\Desktop\REACTIV CEFAS\Cromolyn\Cromolyn/20201202_Cefas_Test8_Run2/Plate 1/@15/A11_03.tif "/>
    <s v=" 63591.8902 "/>
    <s v=" 48.1891 "/>
    <x v="0"/>
    <n v="3064437"/>
    <m/>
    <m/>
  </r>
  <r>
    <x v="4"/>
    <x v="2"/>
    <s v="C:\Users\andre\Desktop\REACTIV CEFAS\Cromolyn\Cromolyn/20201202_Cefas_Test8_Run2/Plate 1/@15/B11_01.tif "/>
    <s v=" 100838.569 "/>
    <s v=" 53.0547 "/>
    <x v="0"/>
    <n v="5349960"/>
    <m/>
    <m/>
  </r>
  <r>
    <x v="4"/>
    <x v="2"/>
    <s v="C:\Users\andre\Desktop\REACTIV CEFAS\Cromolyn\Cromolyn/20201202_Cefas_Test8_Run2/Plate 1/@15/B11_02.tif "/>
    <s v=" 110550.391 "/>
    <s v=" 57.7235 "/>
    <x v="0"/>
    <n v="6381360"/>
    <m/>
    <m/>
  </r>
  <r>
    <x v="4"/>
    <x v="2"/>
    <s v="C:\Users\andre\Desktop\REACTIV CEFAS\Cromolyn\Cromolyn/20201202_Cefas_Test8_Run2/Plate 1/@15/B11_03.tif "/>
    <s v=" 103347.637 "/>
    <s v=" 54.7323 "/>
    <x v="0"/>
    <n v="5656455"/>
    <m/>
    <m/>
  </r>
  <r>
    <x v="4"/>
    <x v="3"/>
    <s v="C:\Users\andre\Desktop\REACTIV CEFAS\Cromolyn\Cromolyn/20201202_Cefas_Test8_Run2/Plate 1/@15/C11_01.tif "/>
    <s v=" 73433.4923 "/>
    <s v=" 54.2695 "/>
    <x v="0"/>
    <n v="3985200"/>
    <m/>
    <m/>
  </r>
  <r>
    <x v="4"/>
    <x v="3"/>
    <s v="C:\Users\andre\Desktop\REACTIV CEFAS\Cromolyn\Cromolyn/20201202_Cefas_Test8_Run2/Plate 1/@15/C11_02.tif "/>
    <s v=" 76483.3074 "/>
    <s v=" 55.3657 "/>
    <x v="0"/>
    <n v="4234549"/>
    <m/>
    <m/>
  </r>
  <r>
    <x v="4"/>
    <x v="3"/>
    <s v="C:\Users\andre\Desktop\REACTIV CEFAS\Cromolyn\Cromolyn/20201202_Cefas_Test8_Run2/Plate 1/@15/C11_03.tif "/>
    <s v=" 76677.9765 "/>
    <s v=" 57.1772 "/>
    <x v="0"/>
    <n v="4384228"/>
    <m/>
    <m/>
  </r>
  <r>
    <x v="4"/>
    <x v="4"/>
    <s v="C:\Users\andre\Desktop\REACTIV CEFAS\Cromolyn\Cromolyn/20201202_Cefas_Test8_Run2/Plate 1/@15/D11_01.tif "/>
    <s v=" 42783.9316 "/>
    <s v=" 45.5308 "/>
    <x v="0"/>
    <n v="1947988"/>
    <m/>
    <m/>
  </r>
  <r>
    <x v="4"/>
    <x v="4"/>
    <s v="C:\Users\andre\Desktop\REACTIV CEFAS\Cromolyn\Cromolyn/20201202_Cefas_Test8_Run2/Plate 1/@15/D11_02.tif "/>
    <s v=" 44168.2448 "/>
    <s v=" 45.0147 "/>
    <x v="0"/>
    <n v="1988220"/>
    <m/>
    <m/>
  </r>
  <r>
    <x v="4"/>
    <x v="4"/>
    <s v="C:\Users\andre\Desktop\REACTIV CEFAS\Cromolyn\Cromolyn/20201202_Cefas_Test8_Run2/Plate 1/@15/D11_03.tif "/>
    <s v=" 44622.4726 "/>
    <s v=" 45.1949 "/>
    <x v="0"/>
    <n v="2016706"/>
    <m/>
    <m/>
  </r>
  <r>
    <x v="4"/>
    <x v="5"/>
    <s v="C:\Users\andre\Desktop\REACTIV CEFAS\Cromolyn\Cromolyn/20201202_Cefas_Test8_Run2/Plate 1/@15/E11_01.tif "/>
    <s v=" 40058.5649 "/>
    <s v=" 42.5918 "/>
    <x v="0"/>
    <n v="1706166"/>
    <m/>
    <m/>
  </r>
  <r>
    <x v="4"/>
    <x v="5"/>
    <s v="C:\Users\andre\Desktop\REACTIV CEFAS\Cromolyn\Cromolyn/20201202_Cefas_Test8_Run2/Plate 1/@15/E11_02.tif "/>
    <s v=" 39258.2588 "/>
    <s v=" 42.3989 "/>
    <x v="0"/>
    <n v="1664507"/>
    <m/>
    <m/>
  </r>
  <r>
    <x v="4"/>
    <x v="5"/>
    <s v="C:\Users\andre\Desktop\REACTIV CEFAS\Cromolyn\Cromolyn/20201202_Cefas_Test8_Run2/Plate 1/@15/E11_03.tif "/>
    <s v=" 39539.4474 "/>
    <s v=" 41.1931 "/>
    <x v="0"/>
    <n v="1628753"/>
    <m/>
    <m/>
  </r>
  <r>
    <x v="4"/>
    <x v="6"/>
    <s v="C:\Users\andre\Desktop\REACTIV CEFAS\Cromolyn\Cromolyn/20201202_Cefas_Test8_Run2/Plate 1/@15/F11_01.tif "/>
    <s v=" 85027.1158 "/>
    <s v=" 56.8148 "/>
    <x v="0"/>
    <n v="4830799"/>
    <m/>
    <m/>
  </r>
  <r>
    <x v="4"/>
    <x v="6"/>
    <s v="C:\Users\andre\Desktop\REACTIV CEFAS\Cromolyn\Cromolyn/20201202_Cefas_Test8_Run2/Plate 1/@15/F11_02.tif "/>
    <s v=" 88271.6 "/>
    <s v=" 55.5624 "/>
    <x v="0"/>
    <n v="4904579"/>
    <m/>
    <m/>
  </r>
  <r>
    <x v="4"/>
    <x v="6"/>
    <s v="C:\Users\andre\Desktop\REACTIV CEFAS\Cromolyn\Cromolyn/20201202_Cefas_Test8_Run2/Plate 1/@15/F11_03.tif "/>
    <s v=" 89828.9524 "/>
    <s v=" 55.9042 "/>
    <x v="0"/>
    <n v="5021813"/>
    <m/>
    <m/>
  </r>
  <r>
    <x v="4"/>
    <x v="7"/>
    <s v="C:\Users\andre\Desktop\REACTIV CEFAS\Cromolyn\Cromolyn/20201202_Cefas_Test8_Run2/Plate 1/@15/G11_01.tif "/>
    <s v=" 89850.5823 "/>
    <s v=" 49.0207 "/>
    <x v="0"/>
    <n v="4404539"/>
    <m/>
    <m/>
  </r>
  <r>
    <x v="4"/>
    <x v="7"/>
    <s v="C:\Users\andre\Desktop\REACTIV CEFAS\Cromolyn\Cromolyn/20201202_Cefas_Test8_Run2/Plate 1/@15/G11_02.tif "/>
    <s v=" 87817.3722 "/>
    <s v=" 53.6456 "/>
    <x v="0"/>
    <n v="4711013"/>
    <m/>
    <m/>
  </r>
  <r>
    <x v="4"/>
    <x v="7"/>
    <s v="C:\Users\andre\Desktop\REACTIV CEFAS\Cromolyn\Cromolyn/20201202_Cefas_Test8_Run2/Plate 1/@15/G11_03.tif "/>
    <s v=" 87709.2227 "/>
    <s v=" 52.9285 "/>
    <x v="0"/>
    <n v="4642316"/>
    <m/>
    <m/>
  </r>
  <r>
    <x v="4"/>
    <x v="8"/>
    <s v="C:\Users\andre\Desktop\REACTIV CEFAS\Cromolyn\Cromolyn/20201202_Cefas_Test8_Run2/Plate 1/@15/H11_01.tif "/>
    <s v=" 70729.7554 "/>
    <s v=" 48.7682 "/>
    <x v="0"/>
    <n v="3449363"/>
    <m/>
    <m/>
  </r>
  <r>
    <x v="4"/>
    <x v="8"/>
    <s v="C:\Users\andre\Desktop\REACTIV CEFAS\Cromolyn\Cromolyn/20201202_Cefas_Test8_Run2/Plate 1/@15/H11_02.tif "/>
    <s v=" 71032.574 "/>
    <s v=" 49.3681 "/>
    <x v="0"/>
    <n v="3506747"/>
    <m/>
    <m/>
  </r>
  <r>
    <x v="4"/>
    <x v="8"/>
    <s v="C:\Users\andre\Desktop\REACTIV CEFAS\Cromolyn\Cromolyn/20201202_Cefas_Test8_Run2/Plate 1/@15/H11_03.tif "/>
    <s v=" 74320.3179 "/>
    <s v=" 52.0731 "/>
    <x v="0"/>
    <n v="3870086"/>
    <m/>
    <m/>
  </r>
  <r>
    <x v="0"/>
    <x v="0"/>
    <s v=" "/>
    <m/>
    <m/>
    <x v="1"/>
    <m/>
    <m/>
    <m/>
  </r>
  <r>
    <x v="0"/>
    <x v="0"/>
    <s v="group "/>
    <s v=" "/>
    <s v=" mean of mean fluo "/>
    <x v="2"/>
    <s v=" mean of total fluo "/>
    <s v=" SD total fluo "/>
    <m/>
  </r>
  <r>
    <x v="4"/>
    <x v="9"/>
    <s v="C:\Users\andre\Desktop\REACTIV CEFAS\Cromolyn\Cromolyn/20201202_Cefas_Test8_Run2/Plate 1/@15/ "/>
    <s v=" "/>
    <s v=" 50.4482 "/>
    <x v="6"/>
    <s v=" 3710340.83 "/>
    <s v=" 1393906.14 "/>
    <m/>
  </r>
  <r>
    <x v="0"/>
    <x v="0"/>
    <s v=" "/>
    <m/>
    <m/>
    <x v="1"/>
    <m/>
    <m/>
    <m/>
  </r>
  <r>
    <x v="0"/>
    <x v="0"/>
    <s v=" "/>
    <m/>
    <m/>
    <x v="1"/>
    <m/>
    <m/>
    <m/>
  </r>
  <r>
    <x v="0"/>
    <x v="0"/>
    <s v=" "/>
    <m/>
    <m/>
    <x v="1"/>
    <m/>
    <m/>
    <m/>
  </r>
  <r>
    <x v="0"/>
    <x v="0"/>
    <s v=" "/>
    <m/>
    <m/>
    <x v="1"/>
    <m/>
    <m/>
    <m/>
  </r>
  <r>
    <x v="0"/>
    <x v="0"/>
    <s v=" "/>
    <m/>
    <m/>
    <x v="1"/>
    <m/>
    <m/>
    <m/>
  </r>
  <r>
    <x v="0"/>
    <x v="0"/>
    <s v="file name "/>
    <s v=" total area "/>
    <s v=" mean intensity "/>
    <x v="0"/>
    <s v=" total fluorescence"/>
    <m/>
    <m/>
  </r>
  <r>
    <x v="5"/>
    <x v="1"/>
    <s v="C:\Users\andre\Desktop\REACTIV CEFAS\Cromolyn\Cromolyn/20201202_Cefas_Test8_Run2/Plate 1/@16/A12_01.tif "/>
    <s v=" 5840.0715 "/>
    <s v=" 34.2037 "/>
    <x v="0"/>
    <n v="199752"/>
    <m/>
    <m/>
  </r>
  <r>
    <x v="5"/>
    <x v="1"/>
    <s v="C:\Users\andre\Desktop\REACTIV CEFAS\Cromolyn\Cromolyn/20201202_Cefas_Test8_Run2/Plate 1/@16/A12_02.tif "/>
    <s v=" 1860.1709 "/>
    <s v=" 33.0581 "/>
    <x v="0"/>
    <n v="61494"/>
    <m/>
    <m/>
  </r>
  <r>
    <x v="5"/>
    <x v="1"/>
    <s v="C:\Users\andre\Desktop\REACTIV CEFAS\Cromolyn\Cromolyn/20201202_Cefas_Test8_Run2/Plate 1/@16/A12_03.tif "/>
    <s v=" 3568.9326 "/>
    <s v=" 34.8848 "/>
    <x v="0"/>
    <n v="124502"/>
    <m/>
    <m/>
  </r>
  <r>
    <x v="5"/>
    <x v="2"/>
    <s v="C:\Users\andre\Desktop\REACTIV CEFAS\Cromolyn\Cromolyn/20201202_Cefas_Test8_Run2/Plate 1/@16/B12_01.tif "/>
    <s v=" 12718.378 "/>
    <s v=" 39.2432 "/>
    <x v="0"/>
    <n v="499110"/>
    <m/>
    <m/>
  </r>
  <r>
    <x v="5"/>
    <x v="2"/>
    <s v="C:\Users\andre\Desktop\REACTIV CEFAS\Cromolyn\Cromolyn/20201202_Cefas_Test8_Run2/Plate 1/@16/B12_02.tif "/>
    <s v=" 10057.901 "/>
    <s v=" 36.5312 "/>
    <x v="0"/>
    <n v="367427"/>
    <m/>
    <m/>
  </r>
  <r>
    <x v="5"/>
    <x v="2"/>
    <s v="C:\Users\andre\Desktop\REACTIV CEFAS\Cromolyn\Cromolyn/20201202_Cefas_Test8_Run2/Plate 1/@16/B12_03.tif "/>
    <s v=" 9884.8618 "/>
    <s v=" 38.2691 "/>
    <x v="0"/>
    <n v="378285"/>
    <m/>
    <m/>
  </r>
  <r>
    <x v="5"/>
    <x v="3"/>
    <s v="C:\Users\andre\Desktop\REACTIV CEFAS\Cromolyn\Cromolyn/20201202_Cefas_Test8_Run2/Plate 1/@16/C12_01.tif "/>
    <s v=" 2098.0998 "/>
    <s v=" 31.7423 "/>
    <x v="0"/>
    <n v="66598"/>
    <m/>
    <m/>
  </r>
  <r>
    <x v="5"/>
    <x v="3"/>
    <s v="C:\Users\andre\Desktop\REACTIV CEFAS\Cromolyn\Cromolyn/20201202_Cefas_Test8_Run2/Plate 1/@16/C12_02.tif "/>
    <s v=" 5407.4737 "/>
    <s v=" 35.956 "/>
    <x v="0"/>
    <n v="194431"/>
    <m/>
    <m/>
  </r>
  <r>
    <x v="5"/>
    <x v="3"/>
    <s v="C:\Users\andre\Desktop\REACTIV CEFAS\Cromolyn\Cromolyn/20201202_Cefas_Test8_Run2/Plate 1/@16/C12_03.tif "/>
    <s v=" 1146.3844 "/>
    <s v=" 31.8679 "/>
    <x v="0"/>
    <n v="36533"/>
    <m/>
    <m/>
  </r>
  <r>
    <x v="5"/>
    <x v="4"/>
    <s v="C:\Users\andre\Desktop\REACTIV CEFAS\Cromolyn\Cromolyn/20201202_Cefas_Test8_Run2/Plate 1/@16/D12_01- exclu.tif"/>
    <m/>
    <m/>
    <x v="1"/>
    <m/>
    <m/>
    <m/>
  </r>
  <r>
    <x v="5"/>
    <x v="4"/>
    <s v="C:\Users\andre\Desktop\REACTIV CEFAS\Cromolyn\Cromolyn/20201202_Cefas_Test8_Run2/Plate 1/@16/D12_02- exclu.tif"/>
    <m/>
    <m/>
    <x v="1"/>
    <m/>
    <m/>
    <m/>
  </r>
  <r>
    <x v="5"/>
    <x v="4"/>
    <s v="C:\Users\andre\Desktop\REACTIV CEFAS\Cromolyn\Cromolyn/20201202_Cefas_Test8_Run2/Plate 1/@16/D12_03.tif "/>
    <s v=" 10187.6804 "/>
    <s v=" 42.0594 "/>
    <x v="0"/>
    <n v="428488"/>
    <m/>
    <m/>
  </r>
  <r>
    <x v="5"/>
    <x v="5"/>
    <s v="C:\Users\andre\Desktop\REACTIV CEFAS\Cromolyn\Cromolyn/20201202_Cefas_Test8_Run2/Plate 1/@16/E12_01.tif "/>
    <s v=" 410.968 "/>
    <s v=" 31.4211 "/>
    <x v="0"/>
    <n v="12913"/>
    <m/>
    <m/>
  </r>
  <r>
    <x v="5"/>
    <x v="5"/>
    <s v="C:\Users\andre\Desktop\REACTIV CEFAS\Cromolyn\Cromolyn/20201202_Cefas_Test8_Run2/Plate 1/@16/E12_02.tif "/>
    <s v=" 4845.0964 "/>
    <s v=" 38.0759 "/>
    <x v="0"/>
    <n v="184481"/>
    <m/>
    <m/>
  </r>
  <r>
    <x v="5"/>
    <x v="5"/>
    <s v="C:\Users\andre\Desktop\REACTIV CEFAS\Cromolyn\Cromolyn/20201202_Cefas_Test8_Run2/Plate 1/@16/E12_03.tif "/>
    <s v=" 2920.0358 "/>
    <s v=" 37.0667 "/>
    <x v="0"/>
    <n v="108236"/>
    <m/>
    <m/>
  </r>
  <r>
    <x v="5"/>
    <x v="6"/>
    <s v="C:\Users\andre\Desktop\REACTIV CEFAS\Cromolyn\Cromolyn/20201202_Cefas_Test8_Run2/Plate 1/@16/F12_01.tif "/>
    <s v=" 3677.0821 "/>
    <s v=" 33.7235 "/>
    <x v="0"/>
    <n v="124004"/>
    <m/>
    <m/>
  </r>
  <r>
    <x v="5"/>
    <x v="6"/>
    <s v="C:\Users\andre\Desktop\REACTIV CEFAS\Cromolyn\Cromolyn/20201202_Cefas_Test8_Run2/Plate 1/@16/F12_02.tif "/>
    <s v=" 7289.2745 "/>
    <s v=" 40.6202 "/>
    <x v="0"/>
    <n v="296092"/>
    <m/>
    <m/>
  </r>
  <r>
    <x v="5"/>
    <x v="6"/>
    <s v="C:\Users\andre\Desktop\REACTIV CEFAS\Cromolyn\Cromolyn/20201202_Cefas_Test8_Run2/Plate 1/@16/F12_03.tif "/>
    <s v=" 4044.7903 "/>
    <s v=" 36.8235 "/>
    <x v="0"/>
    <n v="148943"/>
    <m/>
    <m/>
  </r>
  <r>
    <x v="5"/>
    <x v="7"/>
    <s v="C:\Users\andre\Desktop\REACTIV CEFAS\Cromolyn\Cromolyn/20201202_Cefas_Test8_Run2/Plate 1/@16/G12_01.tif "/>
    <s v=" 151.4093 "/>
    <s v=" 31.7143 "/>
    <x v="0"/>
    <n v="4802"/>
    <m/>
    <m/>
  </r>
  <r>
    <x v="5"/>
    <x v="7"/>
    <s v="C:\Users\andre\Desktop\REACTIV CEFAS\Cromolyn\Cromolyn/20201202_Cefas_Test8_Run2/Plate 1/@16/G12_02.tif "/>
    <s v=" 43.2598 "/>
    <s v=" 30.5 "/>
    <x v="0"/>
    <n v="1319"/>
    <m/>
    <m/>
  </r>
  <r>
    <x v="5"/>
    <x v="7"/>
    <s v="C:\Users\andre\Desktop\REACTIV CEFAS\Cromolyn\Cromolyn/20201202_Cefas_Test8_Run2/Plate 1/@16/G12_03.tif "/>
    <s v=" 497.4876 "/>
    <s v=" 31.5217 "/>
    <x v="0"/>
    <n v="15682"/>
    <m/>
    <m/>
  </r>
  <r>
    <x v="5"/>
    <x v="8"/>
    <s v="C:\Users\andre\Desktop\REACTIV CEFAS\Cromolyn\Cromolyn/20201202_Cefas_Test8_Run2/Plate 1/@16/H12_01.tif "/>
    <s v=" 1103.1246 "/>
    <s v=" 34.4118 "/>
    <x v="0"/>
    <n v="37960"/>
    <m/>
    <m/>
  </r>
  <r>
    <x v="5"/>
    <x v="8"/>
    <s v="C:\Users\andre\Desktop\REACTIV CEFAS\Cromolyn\Cromolyn/20201202_Cefas_Test8_Run2/Plate 1/@16/H12_02.tif "/>
    <s v=" 86.5196 "/>
    <s v=" 30.5 "/>
    <x v="0"/>
    <n v="2639"/>
    <m/>
    <m/>
  </r>
  <r>
    <x v="5"/>
    <x v="8"/>
    <s v="C:\Users\andre\Desktop\REACTIV CEFAS\Cromolyn\Cromolyn/20201202_Cefas_Test8_Run2/Plate 1/@16/H12_03.tif "/>
    <n v="0"/>
    <n v="0"/>
    <x v="0"/>
    <n v="0"/>
    <m/>
    <m/>
  </r>
  <r>
    <x v="0"/>
    <x v="0"/>
    <s v=" "/>
    <m/>
    <m/>
    <x v="1"/>
    <m/>
    <m/>
    <m/>
  </r>
  <r>
    <x v="0"/>
    <x v="0"/>
    <s v="group "/>
    <s v=" "/>
    <s v=" mean of mean fluo "/>
    <x v="2"/>
    <s v=" mean of total fluo "/>
    <s v=" SD total fluo "/>
    <m/>
  </r>
  <r>
    <x v="5"/>
    <x v="9"/>
    <s v="C:\Users\andre\Desktop\REACTIV CEFAS\Cromolyn\Cromolyn/20201202_Cefas_Test8_Run2/Plate 1/@16/ "/>
    <s v=" "/>
    <s v=" 34.9354 "/>
    <x v="7"/>
    <s v=" 213086.875 "/>
    <s v=" 259945.568 "/>
    <m/>
  </r>
  <r>
    <x v="0"/>
    <x v="0"/>
    <s v=" "/>
    <m/>
    <m/>
    <x v="1"/>
    <m/>
    <m/>
    <m/>
  </r>
  <r>
    <x v="0"/>
    <x v="0"/>
    <s v=" "/>
    <m/>
    <m/>
    <x v="1"/>
    <m/>
    <m/>
    <m/>
  </r>
  <r>
    <x v="0"/>
    <x v="0"/>
    <s v=" "/>
    <m/>
    <m/>
    <x v="1"/>
    <m/>
    <m/>
    <m/>
  </r>
  <r>
    <x v="0"/>
    <x v="0"/>
    <s v=" "/>
    <m/>
    <m/>
    <x v="1"/>
    <m/>
    <m/>
    <m/>
  </r>
  <r>
    <x v="0"/>
    <x v="0"/>
    <s v=" "/>
    <m/>
    <m/>
    <x v="1"/>
    <m/>
    <m/>
    <m/>
  </r>
  <r>
    <x v="0"/>
    <x v="0"/>
    <s v="file name "/>
    <s v=" total area "/>
    <s v=" mean intensity "/>
    <x v="0"/>
    <s v=" total fluorescence"/>
    <m/>
    <m/>
  </r>
  <r>
    <x v="6"/>
    <x v="1"/>
    <s v="C:\Users\andre\Desktop\REACTIV CEFAS\Cromolyn\Cromolyn/20201202_Cefas_Test8_Run2/Plate 1/@2/A2_01.tif "/>
    <s v=" 3504.0429 "/>
    <s v=" 33.8457 "/>
    <x v="0"/>
    <n v="118597"/>
    <m/>
    <m/>
  </r>
  <r>
    <x v="6"/>
    <x v="1"/>
    <s v="C:\Users\andre\Desktop\REACTIV CEFAS\Cromolyn\Cromolyn/20201202_Cefas_Test8_Run2/Plate 1/@2/A2_02.tif "/>
    <s v=" 3114.7048 "/>
    <s v=" 33.9236 "/>
    <x v="0"/>
    <n v="105662"/>
    <m/>
    <m/>
  </r>
  <r>
    <x v="6"/>
    <x v="1"/>
    <s v="C:\Users\andre\Desktop\REACTIV CEFAS\Cromolyn\Cromolyn/20201202_Cefas_Test8_Run2/Plate 1/@2/A2_03.tif "/>
    <s v=" 1773.6514 "/>
    <s v=" 33.3537 "/>
    <x v="0"/>
    <n v="59158"/>
    <m/>
    <m/>
  </r>
  <r>
    <x v="6"/>
    <x v="2"/>
    <s v="C:\Users\andre\Desktop\REACTIV CEFAS\Cromolyn\Cromolyn/20201202_Cefas_Test8_Run2/Plate 1/@2/B2_01.tif "/>
    <s v=" 2811.8863 "/>
    <s v=" 34.4308 "/>
    <x v="0"/>
    <n v="96815"/>
    <m/>
    <m/>
  </r>
  <r>
    <x v="6"/>
    <x v="2"/>
    <s v="C:\Users\andre\Desktop\REACTIV CEFAS\Cromolyn\Cromolyn/20201202_Cefas_Test8_Run2/Plate 1/@2/B2_02.tif "/>
    <s v=" 21.6299 "/>
    <n v="30"/>
    <x v="0"/>
    <n v="649"/>
    <m/>
    <m/>
  </r>
  <r>
    <x v="6"/>
    <x v="2"/>
    <s v="C:\Users\andre\Desktop\REACTIV CEFAS\Cromolyn\Cromolyn/20201202_Cefas_Test8_Run2/Plate 1/@2/B2_03.tif "/>
    <s v=" 7354.1642 "/>
    <s v=" 38.0853 "/>
    <x v="0"/>
    <n v="280086"/>
    <m/>
    <m/>
  </r>
  <r>
    <x v="6"/>
    <x v="3"/>
    <s v="C:\Users\andre\Desktop\REACTIV CEFAS\Cromolyn\Cromolyn/20201202_Cefas_Test8_Run2/Plate 1/@2/C2_01.tif "/>
    <s v=" 27707.895 "/>
    <s v=" 34.2045 "/>
    <x v="0"/>
    <n v="947735"/>
    <m/>
    <m/>
  </r>
  <r>
    <x v="6"/>
    <x v="3"/>
    <s v="C:\Users\andre\Desktop\REACTIV CEFAS\Cromolyn\Cromolyn/20201202_Cefas_Test8_Run2/Plate 1/@2/C2_02.tif "/>
    <s v=" 17758.1435 "/>
    <s v=" 33.7942 "/>
    <x v="0"/>
    <n v="600121"/>
    <m/>
    <m/>
  </r>
  <r>
    <x v="6"/>
    <x v="3"/>
    <s v="C:\Users\andre\Desktop\REACTIV CEFAS\Cromolyn\Cromolyn/20201202_Cefas_Test8_Run2/Plate 1/@2/C2_03.tif "/>
    <s v=" 20937.738 "/>
    <s v=" 34.3089 "/>
    <x v="0"/>
    <n v="718350"/>
    <m/>
    <m/>
  </r>
  <r>
    <x v="6"/>
    <x v="4"/>
    <s v="C:\Users\andre\Desktop\REACTIV CEFAS\Cromolyn\Cromolyn/20201202_Cefas_Test8_Run2/Plate 1/@2/D2_01.tif "/>
    <s v=" 865.1958 "/>
    <s v=" 31.95 "/>
    <x v="0"/>
    <n v="27643"/>
    <m/>
    <m/>
  </r>
  <r>
    <x v="6"/>
    <x v="4"/>
    <s v="C:\Users\andre\Desktop\REACTIV CEFAS\Cromolyn\Cromolyn/20201202_Cefas_Test8_Run2/Plate 1/@2/D2_02.tif "/>
    <s v=" 4715.317 "/>
    <s v=" 34.6835 "/>
    <x v="0"/>
    <n v="163544"/>
    <m/>
    <m/>
  </r>
  <r>
    <x v="6"/>
    <x v="4"/>
    <s v="C:\Users\andre\Desktop\REACTIV CEFAS\Cromolyn\Cromolyn/20201202_Cefas_Test8_Run2/Plate 1/@2/D2_03.tif "/>
    <s v=" 1319.4236 "/>
    <s v=" 32.4918 "/>
    <x v="0"/>
    <n v="42870"/>
    <m/>
    <m/>
  </r>
  <r>
    <x v="6"/>
    <x v="5"/>
    <s v="C:\Users\andre\Desktop\REACTIV CEFAS\Cromolyn\Cromolyn/20201202_Cefas_Test8_Run2/Plate 1/@2/E2_01.tif "/>
    <s v=" 4023.1604 "/>
    <s v=" 34.6344 "/>
    <x v="0"/>
    <n v="139340"/>
    <m/>
    <m/>
  </r>
  <r>
    <x v="6"/>
    <x v="5"/>
    <s v="C:\Users\andre\Desktop\REACTIV CEFAS\Cromolyn\Cromolyn/20201202_Cefas_Test8_Run2/Plate 1/@2/E2_02.tif "/>
    <s v=" 3049.8151 "/>
    <s v=" 36.305 "/>
    <x v="0"/>
    <n v="110723"/>
    <m/>
    <m/>
  </r>
  <r>
    <x v="6"/>
    <x v="5"/>
    <s v="C:\Users\andre\Desktop\REACTIV CEFAS\Cromolyn\Cromolyn/20201202_Cefas_Test8_Run2/Plate 1/@2/E2_03.tif "/>
    <s v=" 2876.776 "/>
    <s v=" 35.7293 "/>
    <x v="0"/>
    <n v="102785"/>
    <m/>
    <m/>
  </r>
  <r>
    <x v="6"/>
    <x v="6"/>
    <s v="C:\Users\andre\Desktop\REACTIV CEFAS\Cromolyn\Cromolyn/20201202_Cefas_Test8_Run2/Plate 1/@2/F2_01.tif "/>
    <s v=" 2876.776 "/>
    <s v=" 33.3308 "/>
    <x v="0"/>
    <n v="95885"/>
    <m/>
    <m/>
  </r>
  <r>
    <x v="6"/>
    <x v="6"/>
    <s v="C:\Users\andre\Desktop\REACTIV CEFAS\Cromolyn\Cromolyn/20201202_Cefas_Test8_Run2/Plate 1/@2/F2_02.tif "/>
    <s v=" 3222.8543 "/>
    <s v=" 32.9195 "/>
    <x v="0"/>
    <n v="106095"/>
    <m/>
    <m/>
  </r>
  <r>
    <x v="6"/>
    <x v="6"/>
    <s v="C:\Users\andre\Desktop\REACTIV CEFAS\Cromolyn\Cromolyn/20201202_Cefas_Test8_Run2/Plate 1/@2/F2_03.tif "/>
    <s v=" 1470.8328 "/>
    <s v=" 32.7353 "/>
    <x v="0"/>
    <n v="48148"/>
    <m/>
    <m/>
  </r>
  <r>
    <x v="6"/>
    <x v="7"/>
    <s v="C:\Users\andre\Desktop\REACTIV CEFAS\Cromolyn\Cromolyn/20201202_Cefas_Test8_Run2/Plate 1/@2/G2_01.tif "/>
    <s v=" 7289.2745 "/>
    <s v=" 38.9525 "/>
    <x v="0"/>
    <n v="283936"/>
    <m/>
    <m/>
  </r>
  <r>
    <x v="6"/>
    <x v="7"/>
    <s v="C:\Users\andre\Desktop\REACTIV CEFAS\Cromolyn\Cromolyn/20201202_Cefas_Test8_Run2/Plate 1/@2/G2_02.tif "/>
    <s v=" 5775.1819 "/>
    <s v=" 34.8165 "/>
    <x v="0"/>
    <n v="201072"/>
    <m/>
    <m/>
  </r>
  <r>
    <x v="6"/>
    <x v="7"/>
    <s v="C:\Users\andre\Desktop\REACTIV CEFAS\Cromolyn\Cromolyn/20201202_Cefas_Test8_Run2/Plate 1/@2/G2_03.tif "/>
    <s v=" 2746.9966 "/>
    <s v=" 34.7087 "/>
    <x v="0"/>
    <n v="95345"/>
    <m/>
    <m/>
  </r>
  <r>
    <x v="6"/>
    <x v="8"/>
    <s v="C:\Users\andre\Desktop\REACTIV CEFAS\Cromolyn\Cromolyn/20201202_Cefas_Test8_Run2/Plate 1/@2/H2_01.tif "/>
    <s v=" 5234.4345 "/>
    <s v=" 37.4463 "/>
    <x v="0"/>
    <n v="196010"/>
    <m/>
    <m/>
  </r>
  <r>
    <x v="6"/>
    <x v="8"/>
    <s v="C:\Users\andre\Desktop\REACTIV CEFAS\Cromolyn\Cromolyn/20201202_Cefas_Test8_Run2/Plate 1/@2/H2_02.tif "/>
    <s v=" 3287.744 "/>
    <s v=" 37.9276 "/>
    <x v="0"/>
    <n v="124696"/>
    <m/>
    <m/>
  </r>
  <r>
    <x v="6"/>
    <x v="8"/>
    <s v="C:\Users\andre\Desktop\REACTIV CEFAS\Cromolyn\Cromolyn/20201202_Cefas_Test8_Run2/Plate 1/@2/H2_03.tif "/>
    <s v=" 1254.5339 "/>
    <s v=" 31.9655 "/>
    <x v="0"/>
    <n v="40102"/>
    <m/>
    <m/>
  </r>
  <r>
    <x v="0"/>
    <x v="0"/>
    <s v=" "/>
    <m/>
    <m/>
    <x v="1"/>
    <m/>
    <m/>
    <m/>
  </r>
  <r>
    <x v="0"/>
    <x v="0"/>
    <s v="group "/>
    <s v=" "/>
    <s v=" mean of mean fluo "/>
    <x v="2"/>
    <s v=" mean of total fluo "/>
    <s v=" SD total fluo "/>
    <m/>
  </r>
  <r>
    <x v="6"/>
    <x v="9"/>
    <s v="C:\Users\andre\Desktop\REACTIV CEFAS\Cromolyn\Cromolyn/20201202_Cefas_Test8_Run2/Plate 1/@2/ "/>
    <s v=" "/>
    <s v=" 34.4393 "/>
    <x v="8"/>
    <s v=" 196056.958 "/>
    <s v=" 232984.333 "/>
    <m/>
  </r>
  <r>
    <x v="0"/>
    <x v="0"/>
    <s v=" "/>
    <m/>
    <m/>
    <x v="1"/>
    <m/>
    <m/>
    <m/>
  </r>
  <r>
    <x v="0"/>
    <x v="0"/>
    <s v=" "/>
    <m/>
    <m/>
    <x v="1"/>
    <m/>
    <m/>
    <m/>
  </r>
  <r>
    <x v="0"/>
    <x v="0"/>
    <s v=" "/>
    <m/>
    <m/>
    <x v="1"/>
    <m/>
    <m/>
    <m/>
  </r>
  <r>
    <x v="0"/>
    <x v="0"/>
    <s v=" "/>
    <m/>
    <m/>
    <x v="1"/>
    <m/>
    <m/>
    <m/>
  </r>
  <r>
    <x v="0"/>
    <x v="0"/>
    <s v=" "/>
    <m/>
    <m/>
    <x v="1"/>
    <m/>
    <m/>
    <m/>
  </r>
  <r>
    <x v="0"/>
    <x v="0"/>
    <s v="file name "/>
    <s v=" total area "/>
    <s v=" mean intensity "/>
    <x v="0"/>
    <s v=" total fluorescence"/>
    <m/>
    <m/>
  </r>
  <r>
    <x v="7"/>
    <x v="1"/>
    <s v="C:\Users\andre\Desktop\REACTIV CEFAS\Cromolyn\Cromolyn/20201202_Cefas_Test8_Run2/Plate 1/@3/A3_01- exclu.tif"/>
    <m/>
    <m/>
    <x v="1"/>
    <m/>
    <m/>
    <m/>
  </r>
  <r>
    <x v="7"/>
    <x v="1"/>
    <s v="C:\Users\andre\Desktop\REACTIV CEFAS\Cromolyn\Cromolyn/20201202_Cefas_Test8_Run2/Plate 1/@3/A3_02- exclu.tif"/>
    <m/>
    <m/>
    <x v="1"/>
    <m/>
    <m/>
    <m/>
  </r>
  <r>
    <x v="7"/>
    <x v="1"/>
    <s v="C:\Users\andre\Desktop\REACTIV CEFAS\Cromolyn\Cromolyn/20201202_Cefas_Test8_Run2/Plate 1/@3/A3_03- exclu.tif"/>
    <m/>
    <m/>
    <x v="1"/>
    <m/>
    <m/>
    <m/>
  </r>
  <r>
    <x v="7"/>
    <x v="2"/>
    <s v="C:\Users\andre\Desktop\REACTIV CEFAS\Cromolyn\Cromolyn/20201202_Cefas_Test8_Run2/Plate 1/@3/B3_01.tif "/>
    <s v=" 1427.573 "/>
    <s v=" 33.0303 "/>
    <x v="0"/>
    <n v="47153"/>
    <m/>
    <m/>
  </r>
  <r>
    <x v="7"/>
    <x v="2"/>
    <s v="C:\Users\andre\Desktop\REACTIV CEFAS\Cromolyn\Cromolyn/20201202_Cefas_Test8_Run2/Plate 1/@3/B3_02.tif "/>
    <s v=" 2746.9966 "/>
    <s v=" 33.5354 "/>
    <x v="0"/>
    <n v="92122"/>
    <m/>
    <m/>
  </r>
  <r>
    <x v="7"/>
    <x v="2"/>
    <s v="C:\Users\andre\Desktop\REACTIV CEFAS\Cromolyn\Cromolyn/20201202_Cefas_Test8_Run2/Plate 1/@3/B3_03.tif "/>
    <s v=" 4066.4202 "/>
    <s v=" 36.1915 "/>
    <x v="0"/>
    <n v="147170"/>
    <m/>
    <m/>
  </r>
  <r>
    <x v="7"/>
    <x v="3"/>
    <s v="C:\Users\andre\Desktop\REACTIV CEFAS\Cromolyn\Cromolyn/20201202_Cefas_Test8_Run2/Plate 1/@3/C3_01.tif "/>
    <s v=" 1384.3133 "/>
    <s v=" 33.3125 "/>
    <x v="0"/>
    <n v="46115"/>
    <m/>
    <m/>
  </r>
  <r>
    <x v="7"/>
    <x v="3"/>
    <s v="C:\Users\andre\Desktop\REACTIV CEFAS\Cromolyn\Cromolyn/20201202_Cefas_Test8_Run2/Plate 1/@3/C3_02.tif "/>
    <n v="0"/>
    <n v="0"/>
    <x v="0"/>
    <n v="0"/>
    <m/>
    <m/>
  </r>
  <r>
    <x v="7"/>
    <x v="3"/>
    <s v="C:\Users\andre\Desktop\REACTIV CEFAS\Cromolyn\Cromolyn/20201202_Cefas_Test8_Run2/Plate 1/@3/C3_03.tif "/>
    <s v=" 4217.8295 "/>
    <s v=" 36.5077 "/>
    <x v="0"/>
    <n v="153983"/>
    <m/>
    <m/>
  </r>
  <r>
    <x v="7"/>
    <x v="4"/>
    <s v="C:\Users\andre\Desktop\REACTIV CEFAS\Cromolyn\Cromolyn/20201202_Cefas_Test8_Run2/Plate 1/@3/D3_01.tif "/>
    <s v=" 7246.0147 "/>
    <s v=" 32.9403 "/>
    <x v="0"/>
    <n v="238686"/>
    <m/>
    <m/>
  </r>
  <r>
    <x v="7"/>
    <x v="4"/>
    <s v="C:\Users\andre\Desktop\REACTIV CEFAS\Cromolyn\Cromolyn/20201202_Cefas_Test8_Run2/Plate 1/@3/D3_02.tif "/>
    <s v=" 15249.0757 "/>
    <s v=" 32.0241 "/>
    <x v="0"/>
    <n v="488338"/>
    <m/>
    <m/>
  </r>
  <r>
    <x v="7"/>
    <x v="4"/>
    <s v="C:\Users\andre\Desktop\REACTIV CEFAS\Cromolyn\Cromolyn/20201202_Cefas_Test8_Run2/Plate 1/@3/D3_03.tif "/>
    <s v=" 11420.5844 "/>
    <s v=" 34.8693 "/>
    <x v="0"/>
    <n v="398228"/>
    <m/>
    <m/>
  </r>
  <r>
    <x v="7"/>
    <x v="5"/>
    <s v="C:\Users\andre\Desktop\REACTIV CEFAS\Cromolyn\Cromolyn/20201202_Cefas_Test8_Run2/Plate 1/@3/E3_01- exclu.tif"/>
    <m/>
    <m/>
    <x v="1"/>
    <m/>
    <m/>
    <m/>
  </r>
  <r>
    <x v="7"/>
    <x v="5"/>
    <s v="C:\Users\andre\Desktop\REACTIV CEFAS\Cromolyn\Cromolyn/20201202_Cefas_Test8_Run2/Plate 1/@3/E3_02- exclu.tif"/>
    <m/>
    <m/>
    <x v="1"/>
    <m/>
    <m/>
    <m/>
  </r>
  <r>
    <x v="7"/>
    <x v="5"/>
    <s v="C:\Users\andre\Desktop\REACTIV CEFAS\Cromolyn\Cromolyn/20201202_Cefas_Test8_Run2/Plate 1/@3/E3_03- exclu.tif"/>
    <m/>
    <m/>
    <x v="1"/>
    <m/>
    <m/>
    <m/>
  </r>
  <r>
    <x v="7"/>
    <x v="6"/>
    <s v="C:\Users\andre\Desktop\REACTIV CEFAS\Cromolyn\Cromolyn/20201202_Cefas_Test8_Run2/Plate 1/@3/F3_01.tif "/>
    <s v=" 951.7154 "/>
    <s v=" 31.8864 "/>
    <x v="0"/>
    <n v="30347"/>
    <m/>
    <m/>
  </r>
  <r>
    <x v="7"/>
    <x v="6"/>
    <s v="C:\Users\andre\Desktop\REACTIV CEFAS\Cromolyn\Cromolyn/20201202_Cefas_Test8_Run2/Plate 1/@3/F3_02.tif "/>
    <s v=" 194.6691 "/>
    <n v="31"/>
    <x v="0"/>
    <n v="6035"/>
    <m/>
    <m/>
  </r>
  <r>
    <x v="7"/>
    <x v="6"/>
    <s v="C:\Users\andre\Desktop\REACTIV CEFAS\Cromolyn\Cromolyn/20201202_Cefas_Test8_Run2/Plate 1/@3/F3_03.tif "/>
    <s v=" 886.8257 "/>
    <s v=" 31.4146 "/>
    <x v="0"/>
    <n v="27859"/>
    <m/>
    <m/>
  </r>
  <r>
    <x v="7"/>
    <x v="7"/>
    <s v="C:\Users\andre\Desktop\REACTIV CEFAS\Cromolyn\Cromolyn/20201202_Cefas_Test8_Run2/Plate 1/@3/G3_01.tif "/>
    <n v="0"/>
    <n v="0"/>
    <x v="0"/>
    <n v="0"/>
    <m/>
    <m/>
  </r>
  <r>
    <x v="7"/>
    <x v="7"/>
    <s v="C:\Users\andre\Desktop\REACTIV CEFAS\Cromolyn\Cromolyn/20201202_Cefas_Test8_Run2/Plate 1/@3/G3_02.tif "/>
    <s v=" 10036.2711 "/>
    <s v=" 39.6379 "/>
    <x v="0"/>
    <n v="397817"/>
    <m/>
    <m/>
  </r>
  <r>
    <x v="7"/>
    <x v="7"/>
    <s v="C:\Users\andre\Desktop\REACTIV CEFAS\Cromolyn\Cromolyn/20201202_Cefas_Test8_Run2/Plate 1/@3/G3_03- exclu.tif"/>
    <m/>
    <m/>
    <x v="1"/>
    <m/>
    <m/>
    <m/>
  </r>
  <r>
    <x v="7"/>
    <x v="8"/>
    <s v="C:\Users\andre\Desktop\REACTIV CEFAS\Cromolyn\Cromolyn/20201202_Cefas_Test8_Run2/Plate 1/@3/H3_01.tif "/>
    <s v=" 2638.8471 "/>
    <s v=" 31.1967 "/>
    <x v="0"/>
    <n v="82323"/>
    <m/>
    <m/>
  </r>
  <r>
    <x v="7"/>
    <x v="8"/>
    <s v="C:\Users\andre\Desktop\REACTIV CEFAS\Cromolyn\Cromolyn/20201202_Cefas_Test8_Run2/Plate 1/@3/H3_02- exclu.tif"/>
    <m/>
    <m/>
    <x v="1"/>
    <m/>
    <m/>
    <m/>
  </r>
  <r>
    <x v="7"/>
    <x v="8"/>
    <s v="C:\Users\andre\Desktop\REACTIV CEFAS\Cromolyn\Cromolyn/20201202_Cefas_Test8_Run2/Plate 1/@3/H3_03.tif "/>
    <s v=" 605.637 "/>
    <s v=" 31.4643 "/>
    <x v="0"/>
    <n v="19056"/>
    <m/>
    <m/>
  </r>
  <r>
    <x v="0"/>
    <x v="0"/>
    <s v=" "/>
    <m/>
    <m/>
    <x v="1"/>
    <m/>
    <m/>
    <m/>
  </r>
  <r>
    <x v="0"/>
    <x v="0"/>
    <s v="group "/>
    <s v=" "/>
    <s v=" mean of mean fluo "/>
    <x v="2"/>
    <s v=" mean of total fluo "/>
    <s v=" SD total fluo "/>
    <m/>
  </r>
  <r>
    <x v="7"/>
    <x v="9"/>
    <s v="C:\Users\andre\Desktop\REACTIV CEFAS\Cromolyn\Cromolyn/20201202_Cefas_Test8_Run2/Plate 1/@3/ "/>
    <s v=" "/>
    <s v=" 27.0137 "/>
    <x v="9"/>
    <s v=" 167286.5 "/>
    <s v=" 194947.832 "/>
    <m/>
  </r>
  <r>
    <x v="0"/>
    <x v="0"/>
    <s v=" "/>
    <m/>
    <m/>
    <x v="1"/>
    <m/>
    <m/>
    <m/>
  </r>
  <r>
    <x v="0"/>
    <x v="0"/>
    <s v=" "/>
    <m/>
    <m/>
    <x v="1"/>
    <m/>
    <m/>
    <m/>
  </r>
  <r>
    <x v="0"/>
    <x v="0"/>
    <s v=" "/>
    <m/>
    <m/>
    <x v="1"/>
    <m/>
    <m/>
    <m/>
  </r>
  <r>
    <x v="0"/>
    <x v="0"/>
    <s v=" "/>
    <m/>
    <m/>
    <x v="1"/>
    <m/>
    <m/>
    <m/>
  </r>
  <r>
    <x v="0"/>
    <x v="0"/>
    <s v=" "/>
    <m/>
    <m/>
    <x v="1"/>
    <m/>
    <m/>
    <m/>
  </r>
  <r>
    <x v="0"/>
    <x v="0"/>
    <s v="file name "/>
    <s v=" total area "/>
    <s v=" mean intensity "/>
    <x v="0"/>
    <s v=" total fluorescence"/>
    <m/>
    <m/>
  </r>
  <r>
    <x v="8"/>
    <x v="1"/>
    <s v="C:\Users\andre\Desktop\REACTIV CEFAS\Cromolyn\Cromolyn/20201202_Cefas_Test8_Run2/Plate 1/@4/A4_01.tif "/>
    <s v=" 11074.506 "/>
    <s v=" 38.916 "/>
    <x v="0"/>
    <n v="430976"/>
    <m/>
    <m/>
  </r>
  <r>
    <x v="8"/>
    <x v="1"/>
    <s v="C:\Users\andre\Desktop\REACTIV CEFAS\Cromolyn\Cromolyn/20201202_Cefas_Test8_Run2/Plate 1/@4/A4_02.tif "/>
    <s v=" 4066.4202 "/>
    <s v=" 32.2713 "/>
    <x v="0"/>
    <n v="131229"/>
    <m/>
    <m/>
  </r>
  <r>
    <x v="8"/>
    <x v="1"/>
    <s v="C:\Users\andre\Desktop\REACTIV CEFAS\Cromolyn\Cromolyn/20201202_Cefas_Test8_Run2/Plate 1/@4/A4_03.tif "/>
    <s v=" 7354.1642 "/>
    <s v=" 36.8706 "/>
    <x v="0"/>
    <n v="271152"/>
    <m/>
    <m/>
  </r>
  <r>
    <x v="8"/>
    <x v="2"/>
    <s v="C:\Users\andre\Desktop\REACTIV CEFAS\Cromolyn\Cromolyn/20201202_Cefas_Test8_Run2/Plate 1/@4/B4_01.tif "/>
    <s v=" 64089.3778 "/>
    <s v=" 38.5251 "/>
    <x v="0"/>
    <n v="2469052"/>
    <m/>
    <m/>
  </r>
  <r>
    <x v="8"/>
    <x v="2"/>
    <s v="C:\Users\andre\Desktop\REACTIV CEFAS\Cromolyn\Cromolyn/20201202_Cefas_Test8_Run2/Plate 1/@4/B4_02- exclu.tif"/>
    <m/>
    <m/>
    <x v="1"/>
    <m/>
    <m/>
    <m/>
  </r>
  <r>
    <x v="8"/>
    <x v="2"/>
    <s v="C:\Users\andre\Desktop\REACTIV CEFAS\Cromolyn\Cromolyn/20201202_Cefas_Test8_Run2/Plate 1/@4/B4_03.tif "/>
    <s v=" 50051.5762 "/>
    <s v=" 36.7334 "/>
    <x v="0"/>
    <n v="1838563"/>
    <m/>
    <m/>
  </r>
  <r>
    <x v="8"/>
    <x v="3"/>
    <s v="C:\Users\andre\Desktop\REACTIV CEFAS\Cromolyn\Cromolyn/20201202_Cefas_Test8_Run2/Plate 1/@4/C4_01.tif "/>
    <s v=" 37852.3156 "/>
    <s v=" 34.012 "/>
    <x v="0"/>
    <n v="1287433"/>
    <m/>
    <m/>
  </r>
  <r>
    <x v="8"/>
    <x v="3"/>
    <s v="C:\Users\andre\Desktop\REACTIV CEFAS\Cromolyn\Cromolyn/20201202_Cefas_Test8_Run2/Plate 1/@4/C4_02.tif "/>
    <s v=" 54053.1067 "/>
    <s v=" 37.1072 "/>
    <x v="0"/>
    <n v="2005762"/>
    <m/>
    <m/>
  </r>
  <r>
    <x v="8"/>
    <x v="3"/>
    <s v="C:\Users\andre\Desktop\REACTIV CEFAS\Cromolyn\Cromolyn/20201202_Cefas_Test8_Run2/Plate 1/@4/C4_03.tif "/>
    <s v=" 44514.3231 "/>
    <s v=" 35.3134 "/>
    <x v="0"/>
    <n v="1571953"/>
    <m/>
    <m/>
  </r>
  <r>
    <x v="8"/>
    <x v="4"/>
    <s v="C:\Users\andre\Desktop\REACTIV CEFAS\Cromolyn\Cromolyn/20201202_Cefas_Test8_Run2/Plate 1/@4/D4_01.tif "/>
    <s v=" 43173.2697 "/>
    <s v=" 39.3086 "/>
    <x v="0"/>
    <n v="1697082"/>
    <m/>
    <m/>
  </r>
  <r>
    <x v="8"/>
    <x v="4"/>
    <s v="C:\Users\andre\Desktop\REACTIV CEFAS\Cromolyn\Cromolyn/20201202_Cefas_Test8_Run2/Plate 1/@4/D4_02.tif "/>
    <s v=" 36554.5219 "/>
    <s v=" 35.8373 "/>
    <x v="0"/>
    <n v="1310015"/>
    <m/>
    <m/>
  </r>
  <r>
    <x v="8"/>
    <x v="4"/>
    <s v="C:\Users\andre\Desktop\REACTIV CEFAS\Cromolyn\Cromolyn/20201202_Cefas_Test8_Run2/Plate 1/@4/D4_03.tif "/>
    <s v=" 31904.0946 "/>
    <s v=" 34.8563 "/>
    <x v="0"/>
    <n v="1112058"/>
    <m/>
    <m/>
  </r>
  <r>
    <x v="8"/>
    <x v="5"/>
    <s v="C:\Users\andre\Desktop\REACTIV CEFAS\Cromolyn\Cromolyn/20201202_Cefas_Test8_Run2/Plate 1/@4/E4_01- exclu.tif"/>
    <m/>
    <m/>
    <x v="1"/>
    <m/>
    <m/>
    <m/>
  </r>
  <r>
    <x v="8"/>
    <x v="5"/>
    <s v="C:\Users\andre\Desktop\REACTIV CEFAS\Cromolyn\Cromolyn/20201202_Cefas_Test8_Run2/Plate 1/@4/E4_02- exclu.tif"/>
    <m/>
    <m/>
    <x v="1"/>
    <m/>
    <m/>
    <m/>
  </r>
  <r>
    <x v="8"/>
    <x v="5"/>
    <s v="C:\Users\andre\Desktop\REACTIV CEFAS\Cromolyn\Cromolyn/20201202_Cefas_Test8_Run2/Plate 1/@4/E4_03- exclu.tif"/>
    <m/>
    <m/>
    <x v="1"/>
    <m/>
    <m/>
    <m/>
  </r>
  <r>
    <x v="8"/>
    <x v="6"/>
    <s v="C:\Users\andre\Desktop\REACTIV CEFAS\Cromolyn\Cromolyn/20201202_Cefas_Test8_Run2/Plate 1/@4/F4_01.tif "/>
    <s v=" 50808.6225 "/>
    <s v=" 35.5539 "/>
    <x v="0"/>
    <n v="1806442"/>
    <m/>
    <m/>
  </r>
  <r>
    <x v="8"/>
    <x v="6"/>
    <s v="C:\Users\andre\Desktop\REACTIV CEFAS\Cromolyn\Cromolyn/20201202_Cefas_Test8_Run2/Plate 1/@4/F4_02.tif "/>
    <s v=" 48861.932 "/>
    <s v=" 35.7242 "/>
    <x v="0"/>
    <n v="1745554"/>
    <m/>
    <m/>
  </r>
  <r>
    <x v="8"/>
    <x v="6"/>
    <s v="C:\Users\andre\Desktop\REACTIV CEFAS\Cromolyn\Cromolyn/20201202_Cefas_Test8_Run2/Plate 1/@4/F4_03.tif "/>
    <s v=" 46958.5012 "/>
    <s v=" 34.8669 "/>
    <x v="0"/>
    <n v="1637297"/>
    <m/>
    <m/>
  </r>
  <r>
    <x v="8"/>
    <x v="7"/>
    <s v="C:\Users\andre\Desktop\REACTIV CEFAS\Cromolyn\Cromolyn/20201202_Cefas_Test8_Run2/Plate 1/@4/G4_01.tif "/>
    <s v=" 10317.4597 "/>
    <s v=" 34.2872 "/>
    <x v="0"/>
    <n v="353757"/>
    <m/>
    <m/>
  </r>
  <r>
    <x v="8"/>
    <x v="7"/>
    <s v="C:\Users\andre\Desktop\REACTIV CEFAS\Cromolyn\Cromolyn/20201202_Cefas_Test8_Run2/Plate 1/@4/G4_02.tif "/>
    <s v=" 17001.0972 "/>
    <s v=" 35.6018 "/>
    <x v="0"/>
    <n v="605269"/>
    <m/>
    <m/>
  </r>
  <r>
    <x v="8"/>
    <x v="7"/>
    <s v="C:\Users\andre\Desktop\REACTIV CEFAS\Cromolyn\Cromolyn/20201202_Cefas_Test8_Run2/Plate 1/@4/G4_03.tif "/>
    <s v=" 14556.9191 "/>
    <s v=" 35.2288 "/>
    <x v="0"/>
    <n v="512823"/>
    <m/>
    <m/>
  </r>
  <r>
    <x v="8"/>
    <x v="8"/>
    <s v="C:\Users\andre\Desktop\REACTIV CEFAS\Cromolyn\Cromolyn/20201202_Cefas_Test8_Run2/Plate 1/@4/H4_01- exclu.tif"/>
    <m/>
    <m/>
    <x v="1"/>
    <m/>
    <m/>
    <m/>
  </r>
  <r>
    <x v="8"/>
    <x v="8"/>
    <s v="C:\Users\andre\Desktop\REACTIV CEFAS\Cromolyn\Cromolyn/20201202_Cefas_Test8_Run2/Plate 1/@4/H4_02- exclu.tif"/>
    <m/>
    <m/>
    <x v="1"/>
    <m/>
    <m/>
    <m/>
  </r>
  <r>
    <x v="8"/>
    <x v="8"/>
    <s v="C:\Users\andre\Desktop\REACTIV CEFAS\Cromolyn\Cromolyn/20201202_Cefas_Test8_Run2/Plate 1/@4/H4_03- exclu.tif"/>
    <m/>
    <m/>
    <x v="1"/>
    <m/>
    <m/>
    <m/>
  </r>
  <r>
    <x v="0"/>
    <x v="0"/>
    <s v=" "/>
    <m/>
    <m/>
    <x v="1"/>
    <m/>
    <m/>
    <m/>
  </r>
  <r>
    <x v="0"/>
    <x v="0"/>
    <s v="group "/>
    <s v=" "/>
    <s v=" mean of mean fluo "/>
    <x v="2"/>
    <s v=" mean of total fluo "/>
    <s v=" SD total fluo "/>
    <m/>
  </r>
  <r>
    <x v="8"/>
    <x v="9"/>
    <s v="C:\Users\andre\Desktop\REACTIV CEFAS\Cromolyn\Cromolyn/20201202_Cefas_Test8_Run2/Plate 1/@4/ "/>
    <s v=" "/>
    <s v=" 31.0104 "/>
    <x v="10"/>
    <s v=" 934927.083 "/>
    <s v=" 807607.877 "/>
    <m/>
  </r>
  <r>
    <x v="0"/>
    <x v="0"/>
    <s v=" "/>
    <m/>
    <m/>
    <x v="1"/>
    <m/>
    <m/>
    <m/>
  </r>
  <r>
    <x v="0"/>
    <x v="0"/>
    <s v=" "/>
    <m/>
    <m/>
    <x v="1"/>
    <m/>
    <m/>
    <m/>
  </r>
  <r>
    <x v="0"/>
    <x v="0"/>
    <s v=" "/>
    <m/>
    <m/>
    <x v="1"/>
    <m/>
    <m/>
    <m/>
  </r>
  <r>
    <x v="0"/>
    <x v="0"/>
    <s v=" "/>
    <m/>
    <m/>
    <x v="1"/>
    <m/>
    <m/>
    <m/>
  </r>
  <r>
    <x v="0"/>
    <x v="0"/>
    <s v=" "/>
    <m/>
    <m/>
    <x v="1"/>
    <m/>
    <m/>
    <m/>
  </r>
  <r>
    <x v="0"/>
    <x v="0"/>
    <s v="file name "/>
    <s v=" total area "/>
    <s v=" mean intensity "/>
    <x v="0"/>
    <s v=" total fluorescence"/>
    <m/>
    <m/>
  </r>
  <r>
    <x v="9"/>
    <x v="1"/>
    <s v="C:\Users\andre\Desktop\REACTIV CEFAS\Cromolyn\Cromolyn/20201202_Cefas_Test8_Run2/Plate 1/@5/A5_01.tif "/>
    <s v=" 39561.0773 "/>
    <s v=" 36.9371 "/>
    <x v="0"/>
    <n v="1461272"/>
    <m/>
    <m/>
  </r>
  <r>
    <x v="9"/>
    <x v="1"/>
    <s v="C:\Users\andre\Desktop\REACTIV CEFAS\Cromolyn\Cromolyn/20201202_Cefas_Test8_Run2/Plate 1/@5/A5_02.tif "/>
    <s v=" 42264.8141 "/>
    <s v=" 37.0942 "/>
    <x v="0"/>
    <n v="1567778"/>
    <m/>
    <m/>
  </r>
  <r>
    <x v="9"/>
    <x v="1"/>
    <s v="C:\Users\andre\Desktop\REACTIV CEFAS\Cromolyn\Cromolyn/20201202_Cefas_Test8_Run2/Plate 1/@5/A5_03.tif "/>
    <s v=" 34456.4221 "/>
    <s v=" 34.5016 "/>
    <x v="0"/>
    <n v="1188801"/>
    <m/>
    <m/>
  </r>
  <r>
    <x v="9"/>
    <x v="2"/>
    <s v="C:\Users\andre\Desktop\REACTIV CEFAS\Cromolyn\Cromolyn/20201202_Cefas_Test8_Run2/Plate 1/@5/B5_01.tif "/>
    <s v=" 61558.6801 "/>
    <s v=" 40.4874 "/>
    <x v="0"/>
    <n v="2492348"/>
    <m/>
    <m/>
  </r>
  <r>
    <x v="9"/>
    <x v="2"/>
    <s v="C:\Users\andre\Desktop\REACTIV CEFAS\Cromolyn\Cromolyn/20201202_Cefas_Test8_Run2/Plate 1/@5/B5_02.tif "/>
    <s v=" 63094.4026 "/>
    <s v=" 40.2873 "/>
    <x v="0"/>
    <n v="2541902"/>
    <m/>
    <m/>
  </r>
  <r>
    <x v="9"/>
    <x v="2"/>
    <s v="C:\Users\andre\Desktop\REACTIV CEFAS\Cromolyn\Cromolyn/20201202_Cefas_Test8_Run2/Plate 1/@5/B5_03.tif "/>
    <s v=" 49575.7185 "/>
    <s v=" 37.6976 "/>
    <x v="0"/>
    <n v="1868888"/>
    <m/>
    <m/>
  </r>
  <r>
    <x v="9"/>
    <x v="3"/>
    <s v="C:\Users\andre\Desktop\REACTIV CEFAS\Cromolyn\Cromolyn/20201202_Cefas_Test8_Run2/Plate 1/@5/C5_01.tif "/>
    <s v=" 44773.8819 "/>
    <s v=" 40.5493 "/>
    <x v="0"/>
    <n v="1815548"/>
    <m/>
    <m/>
  </r>
  <r>
    <x v="9"/>
    <x v="3"/>
    <s v="C:\Users\andre\Desktop\REACTIV CEFAS\Cromolyn\Cromolyn/20201202_Cefas_Test8_Run2/Plate 1/@5/C5_02.tif "/>
    <s v=" 45422.7787 "/>
    <s v=" 38.7295 "/>
    <x v="0"/>
    <n v="1759203"/>
    <m/>
    <m/>
  </r>
  <r>
    <x v="9"/>
    <x v="3"/>
    <s v="C:\Users\andre\Desktop\REACTIV CEFAS\Cromolyn\Cromolyn/20201202_Cefas_Test8_Run2/Plate 1/@5/C5_03.tif "/>
    <s v=" 47304.5796 "/>
    <s v=" 40.7124 "/>
    <x v="0"/>
    <n v="1925883"/>
    <m/>
    <m/>
  </r>
  <r>
    <x v="9"/>
    <x v="4"/>
    <s v="C:\Users\andre\Desktop\REACTIV CEFAS\Cromolyn\Cromolyn/20201202_Cefas_Test8_Run2/Plate 1/@5/D5_01.tif "/>
    <s v=" 51544.0389 "/>
    <s v=" 39.7499 "/>
    <x v="0"/>
    <n v="2048870"/>
    <m/>
    <m/>
  </r>
  <r>
    <x v="9"/>
    <x v="4"/>
    <s v="C:\Users\andre\Desktop\REACTIV CEFAS\Cromolyn\Cromolyn/20201202_Cefas_Test8_Run2/Plate 1/@5/D5_02.tif "/>
    <s v=" 50570.6936 "/>
    <s v=" 39.2258 "/>
    <x v="0"/>
    <n v="1983678"/>
    <m/>
    <m/>
  </r>
  <r>
    <x v="9"/>
    <x v="4"/>
    <s v="C:\Users\andre\Desktop\REACTIV CEFAS\Cromolyn\Cromolyn/20201202_Cefas_Test8_Run2/Plate 1/@5/D5_03.tif "/>
    <s v=" 47542.5084 "/>
    <s v=" 37.0273 "/>
    <x v="0"/>
    <n v="1760371"/>
    <m/>
    <m/>
  </r>
  <r>
    <x v="9"/>
    <x v="5"/>
    <s v="C:\Users\andre\Desktop\REACTIV CEFAS\Cromolyn\Cromolyn/20201202_Cefas_Test8_Run2/Plate 1/@5/E5_01.tif "/>
    <s v=" 44644.1025 "/>
    <s v=" 41.6928 "/>
    <x v="0"/>
    <n v="1861339"/>
    <m/>
    <m/>
  </r>
  <r>
    <x v="9"/>
    <x v="5"/>
    <s v="C:\Users\andre\Desktop\REACTIV CEFAS\Cromolyn\Cromolyn/20201202_Cefas_Test8_Run2/Plate 1/@5/E5_02.tif "/>
    <s v=" 42567.6326 "/>
    <s v=" 39.5767 "/>
    <x v="0"/>
    <n v="1684688"/>
    <m/>
    <m/>
  </r>
  <r>
    <x v="9"/>
    <x v="5"/>
    <s v="C:\Users\andre\Desktop\REACTIV CEFAS\Cromolyn\Cromolyn/20201202_Cefas_Test8_Run2/Plate 1/@5/E5_03.tif "/>
    <s v=" 38522.8423 "/>
    <s v=" 39.0898 "/>
    <x v="0"/>
    <n v="1505852"/>
    <m/>
    <m/>
  </r>
  <r>
    <x v="9"/>
    <x v="6"/>
    <s v="C:\Users\andre\Desktop\REACTIV CEFAS\Cromolyn\Cromolyn/20201202_Cefas_Test8_Run2/Plate 1/@5/F5_01.tif "/>
    <s v=" 63397.2212 "/>
    <s v=" 40.4674 "/>
    <x v="0"/>
    <n v="2565522"/>
    <m/>
    <m/>
  </r>
  <r>
    <x v="9"/>
    <x v="6"/>
    <s v="C:\Users\andre\Desktop\REACTIV CEFAS\Cromolyn\Cromolyn/20201202_Cefas_Test8_Run2/Plate 1/@5/F5_02.tif "/>
    <s v=" 48299.5547 "/>
    <s v=" 38.1026 "/>
    <x v="0"/>
    <n v="1840336"/>
    <m/>
    <m/>
  </r>
  <r>
    <x v="9"/>
    <x v="6"/>
    <s v="C:\Users\andre\Desktop\REACTIV CEFAS\Cromolyn\Cromolyn/20201202_Cefas_Test8_Run2/Plate 1/@5/F5_03.tif "/>
    <s v=" 56043.057 "/>
    <s v=" 40.6538 "/>
    <x v="0"/>
    <n v="2278363"/>
    <m/>
    <m/>
  </r>
  <r>
    <x v="9"/>
    <x v="7"/>
    <s v="C:\Users\andre\Desktop\REACTIV CEFAS\Cromolyn\Cromolyn/20201202_Cefas_Test8_Run2/Plate 1/@5/G5_01.tif "/>
    <s v=" 54312.6654 "/>
    <s v=" 38.233 "/>
    <x v="0"/>
    <n v="2076535"/>
    <m/>
    <m/>
  </r>
  <r>
    <x v="9"/>
    <x v="7"/>
    <s v="C:\Users\andre\Desktop\REACTIV CEFAS\Cromolyn\Cromolyn/20201202_Cefas_Test8_Run2/Plate 1/@5/G5_02.tif "/>
    <s v=" 52625.5336 "/>
    <s v=" 37.7493 "/>
    <x v="0"/>
    <n v="1986576"/>
    <m/>
    <m/>
  </r>
  <r>
    <x v="9"/>
    <x v="7"/>
    <s v="C:\Users\andre\Desktop\REACTIV CEFAS\Cromolyn\Cromolyn/20201202_Cefas_Test8_Run2/Plate 1/@5/G5_03.tif "/>
    <s v=" 57189.4414 "/>
    <s v=" 41.4107 "/>
    <x v="0"/>
    <n v="2368257"/>
    <m/>
    <m/>
  </r>
  <r>
    <x v="9"/>
    <x v="8"/>
    <s v="C:\Users\andre\Desktop\REACTIV CEFAS\Cromolyn\Cromolyn/20201202_Cefas_Test8_Run2/Plate 1/@5/H5_01.tif "/>
    <s v=" 15076.0366 "/>
    <s v=" 34.0416 "/>
    <x v="0"/>
    <n v="513213"/>
    <m/>
    <m/>
  </r>
  <r>
    <x v="9"/>
    <x v="8"/>
    <s v="C:\Users\andre\Desktop\REACTIV CEFAS\Cromolyn\Cromolyn/20201202_Cefas_Test8_Run2/Plate 1/@5/H5_02.tif "/>
    <s v=" 22062.4925 "/>
    <s v=" 37.1657 "/>
    <x v="0"/>
    <n v="819968"/>
    <m/>
    <m/>
  </r>
  <r>
    <x v="9"/>
    <x v="8"/>
    <s v="C:\Users\andre\Desktop\REACTIV CEFAS\Cromolyn\Cromolyn/20201202_Cefas_Test8_Run2/Plate 1/@5/H5_03.tif "/>
    <s v=" 21218.9266 "/>
    <s v=" 36.208 "/>
    <x v="0"/>
    <n v="768294"/>
    <m/>
    <m/>
  </r>
  <r>
    <x v="0"/>
    <x v="0"/>
    <s v=" "/>
    <m/>
    <m/>
    <x v="1"/>
    <m/>
    <m/>
    <m/>
  </r>
  <r>
    <x v="0"/>
    <x v="0"/>
    <s v="group "/>
    <s v=" "/>
    <s v=" mean of mean fluo "/>
    <x v="2"/>
    <s v=" mean of total fluo "/>
    <s v=" SD total fluo "/>
    <m/>
  </r>
  <r>
    <x v="9"/>
    <x v="9"/>
    <s v="C:\Users\andre\Desktop\REACTIV CEFAS\Cromolyn\Cromolyn/20201202_Cefas_Test8_Run2/Plate 1/@5/ "/>
    <s v=" "/>
    <s v=" 38.6413 "/>
    <x v="11"/>
    <s v=" 1778478.54 "/>
    <s v=" 540353.432 "/>
    <m/>
  </r>
  <r>
    <x v="0"/>
    <x v="0"/>
    <s v=" "/>
    <m/>
    <m/>
    <x v="1"/>
    <m/>
    <m/>
    <m/>
  </r>
  <r>
    <x v="0"/>
    <x v="0"/>
    <s v=" "/>
    <m/>
    <m/>
    <x v="1"/>
    <m/>
    <m/>
    <m/>
  </r>
  <r>
    <x v="0"/>
    <x v="0"/>
    <s v=" "/>
    <m/>
    <m/>
    <x v="1"/>
    <m/>
    <m/>
    <m/>
  </r>
  <r>
    <x v="0"/>
    <x v="0"/>
    <s v=" "/>
    <m/>
    <m/>
    <x v="1"/>
    <m/>
    <m/>
    <m/>
  </r>
  <r>
    <x v="0"/>
    <x v="0"/>
    <s v=" "/>
    <m/>
    <m/>
    <x v="1"/>
    <m/>
    <m/>
    <m/>
  </r>
  <r>
    <x v="0"/>
    <x v="0"/>
    <s v="file name "/>
    <s v=" total area "/>
    <s v=" mean intensity "/>
    <x v="0"/>
    <s v=" total fluorescence"/>
    <m/>
    <m/>
  </r>
  <r>
    <x v="10"/>
    <x v="1"/>
    <s v="C:\Users\andre\Desktop\REACTIV CEFAS\Cromolyn\Cromolyn/20201202_Cefas_Test8_Run2/Plate 1/@6/A6_01.tif "/>
    <s v=" 58292.566 "/>
    <s v=" 49.0059 "/>
    <x v="0"/>
    <n v="2856682"/>
    <m/>
    <m/>
  </r>
  <r>
    <x v="10"/>
    <x v="1"/>
    <s v="C:\Users\andre\Desktop\REACTIV CEFAS\Cromolyn\Cromolyn/20201202_Cefas_Test8_Run2/Plate 1/@6/A6_02.tif "/>
    <s v=" 66706.595 "/>
    <s v=" 49.332 "/>
    <x v="0"/>
    <n v="3290772"/>
    <m/>
    <m/>
  </r>
  <r>
    <x v="10"/>
    <x v="1"/>
    <s v="C:\Users\andre\Desktop\REACTIV CEFAS\Cromolyn\Cromolyn/20201202_Cefas_Test8_Run2/Plate 1/@6/A6_03.tif "/>
    <s v=" 74601.5066 "/>
    <s v=" 47.8449 "/>
    <x v="0"/>
    <n v="3569300"/>
    <m/>
    <m/>
  </r>
  <r>
    <x v="10"/>
    <x v="2"/>
    <s v="C:\Users\andre\Desktop\REACTIV CEFAS\Cromolyn\Cromolyn/20201202_Cefas_Test8_Run2/Plate 1/@6/B6_01.tif "/>
    <s v=" 35343.2478 "/>
    <s v=" 37.7289 "/>
    <x v="0"/>
    <n v="1333461"/>
    <m/>
    <m/>
  </r>
  <r>
    <x v="10"/>
    <x v="2"/>
    <s v="C:\Users\andre\Desktop\REACTIV CEFAS\Cromolyn\Cromolyn/20201202_Cefas_Test8_Run2/Plate 1/@6/B6_02.tif "/>
    <s v=" 33007.2192 "/>
    <s v=" 43.8172 "/>
    <x v="0"/>
    <n v="1446283"/>
    <m/>
    <m/>
  </r>
  <r>
    <x v="10"/>
    <x v="2"/>
    <s v="C:\Users\andre\Desktop\REACTIV CEFAS\Cromolyn\Cromolyn/20201202_Cefas_Test8_Run2/Plate 1/@6/B6_03.tif "/>
    <s v=" 37722.5362 "/>
    <s v=" 42.3039 "/>
    <x v="0"/>
    <n v="1595810"/>
    <m/>
    <m/>
  </r>
  <r>
    <x v="10"/>
    <x v="3"/>
    <s v="C:\Users\andre\Desktop\REACTIV CEFAS\Cromolyn\Cromolyn/20201202_Cefas_Test8_Run2/Plate 1/@6/C6_01.tif "/>
    <s v=" 87363.1444 "/>
    <s v=" 46.5454 "/>
    <x v="0"/>
    <n v="4066355"/>
    <m/>
    <m/>
  </r>
  <r>
    <x v="10"/>
    <x v="3"/>
    <s v="C:\Users\andre\Desktop\REACTIV CEFAS\Cromolyn\Cromolyn/20201202_Cefas_Test8_Run2/Plate 1/@6/C6_02.tif "/>
    <s v=" 90239.9204 "/>
    <s v=" 44.5916 "/>
    <x v="0"/>
    <n v="4023939"/>
    <m/>
    <m/>
  </r>
  <r>
    <x v="10"/>
    <x v="3"/>
    <s v="C:\Users\andre\Desktop\REACTIV CEFAS\Cromolyn\Cromolyn/20201202_Cefas_Test8_Run2/Plate 1/@6/C6_03.tif "/>
    <s v=" 78538.1474 "/>
    <s v=" 43.4693 "/>
    <x v="0"/>
    <n v="3413998"/>
    <m/>
    <m/>
  </r>
  <r>
    <x v="10"/>
    <x v="4"/>
    <s v="C:\Users\andre\Desktop\REACTIV CEFAS\Cromolyn\Cromolyn/20201202_Cefas_Test8_Run2/Plate 1/@6/D6_01.tif "/>
    <s v=" 76375.1579 "/>
    <s v=" 48.9351 "/>
    <x v="0"/>
    <n v="3737429"/>
    <m/>
    <m/>
  </r>
  <r>
    <x v="10"/>
    <x v="4"/>
    <s v="C:\Users\andre\Desktop\REACTIV CEFAS\Cromolyn\Cromolyn/20201202_Cefas_Test8_Run2/Plate 1/@6/D6_02.tif "/>
    <s v=" 74233.7984 "/>
    <s v=" 49.9677 "/>
    <x v="0"/>
    <n v="3709289"/>
    <m/>
    <m/>
  </r>
  <r>
    <x v="10"/>
    <x v="4"/>
    <s v="C:\Users\andre\Desktop\REACTIV CEFAS\Cromolyn\Cromolyn/20201202_Cefas_Test8_Run2/Plate 1/@6/D6_03.tif "/>
    <s v=" 75639.7415 "/>
    <s v=" 49.5685 "/>
    <x v="0"/>
    <n v="3749348"/>
    <m/>
    <m/>
  </r>
  <r>
    <x v="10"/>
    <x v="5"/>
    <s v="C:\Users\andre\Desktop\REACTIV CEFAS\Cromolyn\Cromolyn/20201202_Cefas_Test8_Run2/Plate 1/@6/E6_01.tif "/>
    <s v=" 75596.4817 "/>
    <s v=" 48.0472 "/>
    <x v="0"/>
    <n v="3632200"/>
    <m/>
    <m/>
  </r>
  <r>
    <x v="10"/>
    <x v="5"/>
    <s v="C:\Users\andre\Desktop\REACTIV CEFAS\Cromolyn\Cromolyn/20201202_Cefas_Test8_Run2/Plate 1/@6/E6_02.tif "/>
    <s v=" 73195.5634 "/>
    <s v=" 46.781 "/>
    <x v="0"/>
    <n v="3424164"/>
    <m/>
    <m/>
  </r>
  <r>
    <x v="10"/>
    <x v="5"/>
    <s v="C:\Users\andre\Desktop\REACTIV CEFAS\Cromolyn\Cromolyn/20201202_Cefas_Test8_Run2/Plate 1/@6/E6_03.tif "/>
    <s v=" 79662.9019 "/>
    <s v=" 48.6891 "/>
    <x v="0"/>
    <n v="3878716"/>
    <m/>
    <m/>
  </r>
  <r>
    <x v="10"/>
    <x v="6"/>
    <s v="C:\Users\andre\Desktop\REACTIV CEFAS\Cromolyn\Cromolyn/20201202_Cefas_Test8_Run2/Plate 1/@6/F6_01.tif "/>
    <s v=" 71140.7234 "/>
    <s v=" 48.2299 "/>
    <x v="0"/>
    <n v="3431107"/>
    <m/>
    <m/>
  </r>
  <r>
    <x v="10"/>
    <x v="6"/>
    <s v="C:\Users\andre\Desktop\REACTIV CEFAS\Cromolyn\Cromolyn/20201202_Cefas_Test8_Run2/Plate 1/@6/F6_02.tif "/>
    <s v=" 64413.8262 "/>
    <s v=" 47.8556 "/>
    <x v="0"/>
    <n v="3082563"/>
    <m/>
    <m/>
  </r>
  <r>
    <x v="10"/>
    <x v="6"/>
    <s v="C:\Users\andre\Desktop\REACTIV CEFAS\Cromolyn\Cromolyn/20201202_Cefas_Test8_Run2/Plate 1/@6/F6_03.tif "/>
    <s v=" 71789.6203 "/>
    <s v=" 46.1392 "/>
    <x v="0"/>
    <n v="3312316"/>
    <m/>
    <m/>
  </r>
  <r>
    <x v="10"/>
    <x v="7"/>
    <s v="C:\Users\andre\Desktop\REACTIV CEFAS\Cromolyn\Cromolyn/20201202_Cefas_Test8_Run2/Plate 1/@6/G6_01.tif "/>
    <s v=" 84724.2973 "/>
    <s v=" 42.8478 "/>
    <x v="0"/>
    <n v="3630253"/>
    <m/>
    <m/>
  </r>
  <r>
    <x v="10"/>
    <x v="7"/>
    <s v="C:\Users\andre\Desktop\REACTIV CEFAS\Cromolyn\Cromolyn/20201202_Cefas_Test8_Run2/Plate 1/@6/G6_02.tif "/>
    <s v=" 83404.8737 "/>
    <s v=" 44.5309 "/>
    <x v="0"/>
    <n v="3714091"/>
    <m/>
    <m/>
  </r>
  <r>
    <x v="10"/>
    <x v="7"/>
    <s v="C:\Users\andre\Desktop\REACTIV CEFAS\Cromolyn\Cromolyn/20201202_Cefas_Test8_Run2/Plate 1/@6/G6_03.tif "/>
    <s v=" 70729.7554 "/>
    <s v=" 42.7327 "/>
    <x v="0"/>
    <n v="3022475"/>
    <m/>
    <m/>
  </r>
  <r>
    <x v="10"/>
    <x v="8"/>
    <s v="C:\Users\andre\Desktop\REACTIV CEFAS\Cromolyn\Cromolyn/20201202_Cefas_Test8_Run2/Plate 1/@6/H6_01.tif "/>
    <s v=" 51349.3698 "/>
    <s v=" 44.5998 "/>
    <x v="0"/>
    <n v="2290173"/>
    <m/>
    <m/>
  </r>
  <r>
    <x v="10"/>
    <x v="8"/>
    <s v="C:\Users\andre\Desktop\REACTIV CEFAS\Cromolyn\Cromolyn/20201202_Cefas_Test8_Run2/Plate 1/@6/H6_02.tif "/>
    <s v=" 46439.3838 "/>
    <s v=" 46.1053 "/>
    <x v="0"/>
    <n v="2141100"/>
    <m/>
    <m/>
  </r>
  <r>
    <x v="10"/>
    <x v="8"/>
    <s v="C:\Users\andre\Desktop\REACTIV CEFAS\Cromolyn\Cromolyn/20201202_Cefas_Test8_Run2/Plate 1/@6/H6_03.tif "/>
    <s v=" 48537.4835 "/>
    <s v=" 45.6012 "/>
    <x v="0"/>
    <n v="2213365"/>
    <m/>
    <m/>
  </r>
  <r>
    <x v="0"/>
    <x v="0"/>
    <s v=" "/>
    <m/>
    <m/>
    <x v="1"/>
    <m/>
    <m/>
    <m/>
  </r>
  <r>
    <x v="0"/>
    <x v="0"/>
    <s v="group "/>
    <s v=" "/>
    <s v=" mean of mean fluo "/>
    <x v="2"/>
    <s v=" mean of total fluo "/>
    <s v=" SD total fluo "/>
    <m/>
  </r>
  <r>
    <x v="10"/>
    <x v="9"/>
    <s v="C:\Users\andre\Desktop\REACTIV CEFAS\Cromolyn\Cromolyn/20201202_Cefas_Test8_Run2/Plate 1/@6/ "/>
    <s v=" "/>
    <s v=" 46.0529 "/>
    <x v="12"/>
    <s v=" 3106882.88 "/>
    <s v=" 826029.811 "/>
    <m/>
  </r>
  <r>
    <x v="0"/>
    <x v="0"/>
    <s v=" "/>
    <m/>
    <m/>
    <x v="1"/>
    <m/>
    <m/>
    <m/>
  </r>
  <r>
    <x v="0"/>
    <x v="0"/>
    <s v=" "/>
    <m/>
    <m/>
    <x v="1"/>
    <m/>
    <m/>
    <m/>
  </r>
  <r>
    <x v="0"/>
    <x v="0"/>
    <s v=" "/>
    <m/>
    <m/>
    <x v="1"/>
    <m/>
    <m/>
    <m/>
  </r>
  <r>
    <x v="0"/>
    <x v="0"/>
    <s v=" "/>
    <m/>
    <m/>
    <x v="1"/>
    <m/>
    <m/>
    <m/>
  </r>
  <r>
    <x v="0"/>
    <x v="0"/>
    <s v=" "/>
    <m/>
    <m/>
    <x v="1"/>
    <m/>
    <m/>
    <m/>
  </r>
  <r>
    <x v="0"/>
    <x v="0"/>
    <s v="file name "/>
    <s v=" total area "/>
    <s v=" mean intensity "/>
    <x v="0"/>
    <s v=" total fluorescence"/>
    <m/>
    <m/>
  </r>
  <r>
    <x v="11"/>
    <x v="1"/>
    <s v="C:\Users\andre\Desktop\REACTIV CEFAS\Cromolyn\Cromolyn/20201202_Cefas_Test8_Run2/Plate 1/@7/A7_01.tif "/>
    <s v=" 46742.2023 "/>
    <s v=" 58.5021 "/>
    <x v="0"/>
    <n v="2734516"/>
    <m/>
    <m/>
  </r>
  <r>
    <x v="11"/>
    <x v="1"/>
    <s v="C:\Users\andre\Desktop\REACTIV CEFAS\Cromolyn\Cromolyn/20201202_Cefas_Test8_Run2/Plate 1/@7/A7_02.tif "/>
    <s v=" 54269.4056 "/>
    <s v=" 60.5727 "/>
    <x v="0"/>
    <n v="3287246"/>
    <m/>
    <m/>
  </r>
  <r>
    <x v="11"/>
    <x v="1"/>
    <s v="C:\Users\andre\Desktop\REACTIV CEFAS\Cromolyn\Cromolyn/20201202_Cefas_Test8_Run2/Plate 1/@7/A7_03.tif "/>
    <s v=" 60909.7833 "/>
    <s v=" 55.0202 "/>
    <x v="0"/>
    <n v="3351271"/>
    <m/>
    <m/>
  </r>
  <r>
    <x v="11"/>
    <x v="2"/>
    <s v="C:\Users\andre\Desktop\REACTIV CEFAS\Cromolyn\Cromolyn/20201202_Cefas_Test8_Run2/Plate 1/@7/B7_01.tif "/>
    <s v=" 53231.1707 "/>
    <s v=" 60.3243 "/>
    <x v="0"/>
    <n v="3211131"/>
    <m/>
    <m/>
  </r>
  <r>
    <x v="11"/>
    <x v="2"/>
    <s v="C:\Users\andre\Desktop\REACTIV CEFAS\Cromolyn\Cromolyn/20201202_Cefas_Test8_Run2/Plate 1/@7/B7_02- exclu.tif"/>
    <m/>
    <m/>
    <x v="1"/>
    <m/>
    <m/>
    <m/>
  </r>
  <r>
    <x v="11"/>
    <x v="2"/>
    <s v="C:\Users\andre\Desktop\REACTIV CEFAS\Cromolyn\Cromolyn/20201202_Cefas_Test8_Run2/Plate 1/@7/B7_03.tif "/>
    <s v=" 86606.0981 "/>
    <s v=" 62.0649 "/>
    <x v="0"/>
    <n v="5375202"/>
    <m/>
    <m/>
  </r>
  <r>
    <x v="11"/>
    <x v="3"/>
    <s v="C:\Users\andre\Desktop\REACTIV CEFAS\Cromolyn\Cromolyn/20201202_Cefas_Test8_Run2/Plate 1/@7/C7_01.tif "/>
    <s v=" 84270.0695 "/>
    <s v=" 61.0898 "/>
    <x v="0"/>
    <n v="5148045"/>
    <m/>
    <m/>
  </r>
  <r>
    <x v="11"/>
    <x v="3"/>
    <s v="C:\Users\andre\Desktop\REACTIV CEFAS\Cromolyn\Cromolyn/20201202_Cefas_Test8_Run2/Plate 1/@7/C7_02.tif "/>
    <s v=" 84897.3364 "/>
    <s v=" 56.3699 "/>
    <x v="0"/>
    <n v="4785657"/>
    <m/>
    <m/>
  </r>
  <r>
    <x v="11"/>
    <x v="3"/>
    <s v="C:\Users\andre\Desktop\REACTIV CEFAS\Cromolyn\Cromolyn/20201202_Cefas_Test8_Run2/Plate 1/@7/C7_03.tif "/>
    <s v=" 81804.2615 "/>
    <s v=" 64.2644 "/>
    <x v="0"/>
    <n v="5257103"/>
    <m/>
    <m/>
  </r>
  <r>
    <x v="11"/>
    <x v="4"/>
    <s v="C:\Users\andre\Desktop\REACTIV CEFAS\Cromolyn\Cromolyn/20201202_Cefas_Test8_Run2/Plate 1/@7/D7_01.tif "/>
    <s v=" 86260.0198 "/>
    <s v=" 62.3608 "/>
    <x v="0"/>
    <n v="5379247"/>
    <m/>
    <m/>
  </r>
  <r>
    <x v="11"/>
    <x v="4"/>
    <s v="C:\Users\andre\Desktop\REACTIV CEFAS\Cromolyn\Cromolyn/20201202_Cefas_Test8_Run2/Plate 1/@7/D7_02.tif "/>
    <s v=" 82712.7171 "/>
    <s v=" 57.5544 "/>
    <x v="0"/>
    <n v="4760480"/>
    <m/>
    <m/>
  </r>
  <r>
    <x v="11"/>
    <x v="4"/>
    <s v="C:\Users\andre\Desktop\REACTIV CEFAS\Cromolyn\Cromolyn/20201202_Cefas_Test8_Run2/Plate 1/@7/D7_03.tif "/>
    <s v=" 86389.7991 "/>
    <s v=" 61.4394 "/>
    <x v="0"/>
    <n v="5307738"/>
    <m/>
    <m/>
  </r>
  <r>
    <x v="11"/>
    <x v="5"/>
    <s v="C:\Users\andre\Desktop\REACTIV CEFAS\Cromolyn\Cromolyn/20201202_Cefas_Test8_Run2/Plate 1/@7/E7_01.tif "/>
    <s v=" 58487.2351 "/>
    <s v=" 56.2703 "/>
    <x v="0"/>
    <n v="3291097"/>
    <m/>
    <m/>
  </r>
  <r>
    <x v="11"/>
    <x v="5"/>
    <s v="C:\Users\andre\Desktop\REACTIV CEFAS\Cromolyn\Cromolyn/20201202_Cefas_Test8_Run2/Plate 1/@7/E7_02.tif "/>
    <s v=" 68328.8371 "/>
    <s v=" 56.2858 "/>
    <x v="0"/>
    <n v="3845947"/>
    <m/>
    <m/>
  </r>
  <r>
    <x v="11"/>
    <x v="5"/>
    <s v="C:\Users\andre\Desktop\REACTIV CEFAS\Cromolyn\Cromolyn/20201202_Cefas_Test8_Run2/Plate 1/@7/E7_03.tif "/>
    <s v=" 63353.9614 "/>
    <s v=" 54.5002 "/>
    <x v="0"/>
    <n v="3452802"/>
    <m/>
    <m/>
  </r>
  <r>
    <x v="11"/>
    <x v="6"/>
    <s v="C:\Users\andre\Desktop\REACTIV CEFAS\Cromolyn\Cromolyn/20201202_Cefas_Test8_Run2/Plate 1/@7/F7_01.tif "/>
    <s v=" 95236.4261 "/>
    <s v=" 54.4708 "/>
    <x v="0"/>
    <n v="5187606"/>
    <m/>
    <m/>
  </r>
  <r>
    <x v="11"/>
    <x v="6"/>
    <s v="C:\Users\andre\Desktop\REACTIV CEFAS\Cromolyn\Cromolyn/20201202_Cefas_Test8_Run2/Plate 1/@7/F7_02.tif "/>
    <s v=" 98394.3907 "/>
    <s v=" 52.6098 "/>
    <x v="0"/>
    <n v="5176510"/>
    <m/>
    <m/>
  </r>
  <r>
    <x v="11"/>
    <x v="6"/>
    <s v="C:\Users\andre\Desktop\REACTIV CEFAS\Cromolyn\Cromolyn/20201202_Cefas_Test8_Run2/Plate 1/@7/F7_03.tif "/>
    <s v=" 98632.3195 "/>
    <s v=" 55.2838 "/>
    <x v="0"/>
    <n v="5452767"/>
    <m/>
    <m/>
  </r>
  <r>
    <x v="11"/>
    <x v="7"/>
    <s v="C:\Users\andre\Desktop\REACTIV CEFAS\Cromolyn\Cromolyn/20201202_Cefas_Test8_Run2/Plate 1/@7/G7_01.tif "/>
    <s v=" 75618.1116 "/>
    <s v=" 60.3132 "/>
    <x v="0"/>
    <n v="4560771"/>
    <m/>
    <m/>
  </r>
  <r>
    <x v="11"/>
    <x v="7"/>
    <s v="C:\Users\andre\Desktop\REACTIV CEFAS\Cromolyn\Cromolyn/20201202_Cefas_Test8_Run2/Plate 1/@7/G7_02.tif "/>
    <s v=" 93808.853 "/>
    <s v=" 62.8836 "/>
    <x v="0"/>
    <n v="5899035"/>
    <m/>
    <m/>
  </r>
  <r>
    <x v="11"/>
    <x v="7"/>
    <s v="C:\Users\andre\Desktop\REACTIV CEFAS\Cromolyn\Cromolyn/20201202_Cefas_Test8_Run2/Plate 1/@7/G7_03.tif "/>
    <s v=" 73044.1542 "/>
    <s v=" 63.9902 "/>
    <x v="0"/>
    <n v="4674112"/>
    <m/>
    <m/>
  </r>
  <r>
    <x v="11"/>
    <x v="8"/>
    <s v="C:\Users\andre\Desktop\REACTIV CEFAS\Cromolyn\Cromolyn/20201202_Cefas_Test8_Run2/Plate 1/@7/H7_01- exclu.tif"/>
    <m/>
    <m/>
    <x v="1"/>
    <m/>
    <m/>
    <m/>
  </r>
  <r>
    <x v="11"/>
    <x v="8"/>
    <s v="C:\Users\andre\Desktop\REACTIV CEFAS\Cromolyn\Cromolyn/20201202_Cefas_Test8_Run2/Plate 1/@7/H7_02- exclu.tif"/>
    <m/>
    <m/>
    <x v="1"/>
    <m/>
    <m/>
    <m/>
  </r>
  <r>
    <x v="11"/>
    <x v="8"/>
    <s v="C:\Users\andre\Desktop\REACTIV CEFAS\Cromolyn\Cromolyn/20201202_Cefas_Test8_Run2/Plate 1/@7/H7_03- exclu.tif"/>
    <m/>
    <m/>
    <x v="1"/>
    <m/>
    <m/>
    <m/>
  </r>
  <r>
    <x v="0"/>
    <x v="0"/>
    <s v=" "/>
    <m/>
    <m/>
    <x v="1"/>
    <m/>
    <m/>
    <m/>
  </r>
  <r>
    <x v="0"/>
    <x v="0"/>
    <s v="group "/>
    <s v=" "/>
    <s v=" mean of mean fluo "/>
    <x v="2"/>
    <s v=" mean of total fluo "/>
    <s v=" SD total fluo "/>
    <m/>
  </r>
  <r>
    <x v="11"/>
    <x v="9"/>
    <s v="C:\Users\andre\Desktop\REACTIV CEFAS\Cromolyn\Cromolyn/20201202_Cefas_Test8_Run2/Plate 1/@7/ "/>
    <s v=" "/>
    <s v=" 57.7064 "/>
    <x v="13"/>
    <s v=" 4398670.79 "/>
    <s v=" 1107118.27 "/>
    <m/>
  </r>
  <r>
    <x v="0"/>
    <x v="0"/>
    <s v=" "/>
    <m/>
    <m/>
    <x v="1"/>
    <m/>
    <m/>
    <m/>
  </r>
  <r>
    <x v="0"/>
    <x v="0"/>
    <s v=" "/>
    <m/>
    <m/>
    <x v="1"/>
    <m/>
    <m/>
    <m/>
  </r>
  <r>
    <x v="0"/>
    <x v="0"/>
    <s v=" "/>
    <m/>
    <m/>
    <x v="1"/>
    <m/>
    <m/>
    <m/>
  </r>
  <r>
    <x v="0"/>
    <x v="0"/>
    <s v=" "/>
    <m/>
    <m/>
    <x v="1"/>
    <m/>
    <m/>
    <m/>
  </r>
  <r>
    <x v="0"/>
    <x v="0"/>
    <s v=" "/>
    <m/>
    <m/>
    <x v="1"/>
    <m/>
    <m/>
    <m/>
  </r>
  <r>
    <x v="0"/>
    <x v="0"/>
    <s v="file name "/>
    <s v=" total area "/>
    <s v=" mean intensity "/>
    <x v="0"/>
    <s v=" total fluorescence"/>
    <m/>
    <m/>
  </r>
  <r>
    <x v="12"/>
    <x v="1"/>
    <s v="C:\Users\andre\Desktop\REACTIV CEFAS\Cromolyn\Cromolyn/20201202_Cefas_Test8_Run2/Plate 4/@10/A4_01.tif "/>
    <n v="0"/>
    <n v="0"/>
    <x v="0"/>
    <n v="0"/>
    <m/>
    <m/>
  </r>
  <r>
    <x v="12"/>
    <x v="1"/>
    <s v="C:\Users\andre\Desktop\REACTIV CEFAS\Cromolyn\Cromolyn/20201202_Cefas_Test8_Run2/Plate 4/@10/A4_02- exclu.tif"/>
    <m/>
    <m/>
    <x v="1"/>
    <m/>
    <m/>
    <m/>
  </r>
  <r>
    <x v="12"/>
    <x v="1"/>
    <s v="C:\Users\andre\Desktop\REACTIV CEFAS\Cromolyn\Cromolyn/20201202_Cefas_Test8_Run2/Plate 4/@10/A4_03- exclu.tif"/>
    <m/>
    <m/>
    <x v="1"/>
    <m/>
    <m/>
    <m/>
  </r>
  <r>
    <x v="12"/>
    <x v="2"/>
    <s v="C:\Users\andre\Desktop\REACTIV CEFAS\Cromolyn\Cromolyn/20201202_Cefas_Test8_Run2/Plate 4/@10/B4_01.tif "/>
    <s v=" 324.4484 "/>
    <s v=" 31.9333 "/>
    <x v="0"/>
    <n v="10361"/>
    <m/>
    <m/>
  </r>
  <r>
    <x v="12"/>
    <x v="2"/>
    <s v="C:\Users\andre\Desktop\REACTIV CEFAS\Cromolyn\Cromolyn/20201202_Cefas_Test8_Run2/Plate 4/@10/B4_02.tif "/>
    <s v=" 2184.6194 "/>
    <s v=" 35.4257 "/>
    <x v="0"/>
    <n v="77392"/>
    <m/>
    <m/>
  </r>
  <r>
    <x v="12"/>
    <x v="2"/>
    <s v="C:\Users\andre\Desktop\REACTIV CEFAS\Cromolyn\Cromolyn/20201202_Cefas_Test8_Run2/Plate 4/@10/B4_03.tif "/>
    <s v=" 4347.6088 "/>
    <s v=" 36.1542 "/>
    <x v="0"/>
    <n v="157184"/>
    <m/>
    <m/>
  </r>
  <r>
    <x v="12"/>
    <x v="3"/>
    <s v="C:\Users\andre\Desktop\REACTIV CEFAS\Cromolyn\Cromolyn/20201202_Cefas_Test8_Run2/Plate 4/@10/C4_01.tif "/>
    <s v=" 11831.5524 "/>
    <s v=" 43.0676 "/>
    <x v="0"/>
    <n v="509557"/>
    <m/>
    <m/>
  </r>
  <r>
    <x v="12"/>
    <x v="3"/>
    <s v="C:\Users\andre\Desktop\REACTIV CEFAS\Cromolyn\Cromolyn/20201202_Cefas_Test8_Run2/Plate 4/@10/C4_02.tif "/>
    <s v=" 10187.6804 "/>
    <s v=" 43.3333 "/>
    <x v="0"/>
    <n v="441466"/>
    <m/>
    <m/>
  </r>
  <r>
    <x v="12"/>
    <x v="3"/>
    <s v="C:\Users\andre\Desktop\REACTIV CEFAS\Cromolyn\Cromolyn/20201202_Cefas_Test8_Run2/Plate 4/@10/C4_03.tif "/>
    <s v=" 11355.6947 "/>
    <s v=" 44.341 "/>
    <x v="0"/>
    <n v="503522"/>
    <m/>
    <m/>
  </r>
  <r>
    <x v="12"/>
    <x v="4"/>
    <s v="C:\Users\andre\Desktop\REACTIV CEFAS\Cromolyn\Cromolyn/20201202_Cefas_Test8_Run2/Plate 4/@10/D4_01- exclu.tif"/>
    <m/>
    <m/>
    <x v="1"/>
    <m/>
    <m/>
    <m/>
  </r>
  <r>
    <x v="12"/>
    <x v="4"/>
    <s v="C:\Users\andre\Desktop\REACTIV CEFAS\Cromolyn\Cromolyn/20201202_Cefas_Test8_Run2/Plate 4/@10/D4_02.tif "/>
    <s v=" 173.0392 "/>
    <s v=" 31.125 "/>
    <x v="0"/>
    <n v="5386"/>
    <m/>
    <m/>
  </r>
  <r>
    <x v="12"/>
    <x v="4"/>
    <s v="C:\Users\andre\Desktop\REACTIV CEFAS\Cromolyn\Cromolyn/20201202_Cefas_Test8_Run2/Plate 4/@10/D4_03.tif "/>
    <s v=" 281.1886 "/>
    <s v=" 30.5385 "/>
    <x v="0"/>
    <n v="8587"/>
    <m/>
    <m/>
  </r>
  <r>
    <x v="12"/>
    <x v="5"/>
    <s v="C:\Users\andre\Desktop\REACTIV CEFAS\Cromolyn\Cromolyn/20201202_Cefas_Test8_Run2/Plate 4/@10/E4_01.tif "/>
    <s v=" 5602.1427 "/>
    <s v=" 36.2432 "/>
    <x v="0"/>
    <n v="203040"/>
    <m/>
    <m/>
  </r>
  <r>
    <x v="12"/>
    <x v="5"/>
    <s v="C:\Users\andre\Desktop\REACTIV CEFAS\Cromolyn\Cromolyn/20201202_Cefas_Test8_Run2/Plate 4/@10/E4_02.tif "/>
    <s v=" 8738.4774 "/>
    <s v=" 38.6609 "/>
    <x v="0"/>
    <n v="337837"/>
    <m/>
    <m/>
  </r>
  <r>
    <x v="12"/>
    <x v="5"/>
    <s v="C:\Users\andre\Desktop\REACTIV CEFAS\Cromolyn\Cromolyn/20201202_Cefas_Test8_Run2/Plate 4/@10/E4_03.tif "/>
    <s v=" 7289.2745 "/>
    <s v=" 38.1929 "/>
    <x v="0"/>
    <n v="278398"/>
    <m/>
    <m/>
  </r>
  <r>
    <x v="12"/>
    <x v="6"/>
    <s v="C:\Users\andre\Desktop\REACTIV CEFAS\Cromolyn\Cromolyn/20201202_Cefas_Test8_Run2/Plate 4/@10/F4_01.tif "/>
    <s v=" 9149.4454 "/>
    <s v=" 44.7541 "/>
    <x v="0"/>
    <n v="409476"/>
    <m/>
    <m/>
  </r>
  <r>
    <x v="12"/>
    <x v="6"/>
    <s v="C:\Users\andre\Desktop\REACTIV CEFAS\Cromolyn\Cromolyn/20201202_Cefas_Test8_Run2/Plate 4/@10/F4_02.tif "/>
    <s v=" 7224.3848 "/>
    <s v=" 37.1437 "/>
    <x v="0"/>
    <n v="268340"/>
    <m/>
    <m/>
  </r>
  <r>
    <x v="12"/>
    <x v="6"/>
    <s v="C:\Users\andre\Desktop\REACTIV CEFAS\Cromolyn\Cromolyn/20201202_Cefas_Test8_Run2/Plate 4/@10/F4_03.tif "/>
    <s v=" 3504.0429 "/>
    <s v=" 32.0802 "/>
    <x v="0"/>
    <n v="112411"/>
    <m/>
    <m/>
  </r>
  <r>
    <x v="12"/>
    <x v="7"/>
    <s v="C:\Users\andre\Desktop\REACTIV CEFAS\Cromolyn\Cromolyn/20201202_Cefas_Test8_Run2/Plate 4/@10/G4_01.tif "/>
    <s v=" 1319.4236 "/>
    <s v=" 31.8361 "/>
    <x v="0"/>
    <n v="42005"/>
    <m/>
    <m/>
  </r>
  <r>
    <x v="12"/>
    <x v="7"/>
    <s v="C:\Users\andre\Desktop\REACTIV CEFAS\Cromolyn\Cromolyn/20201202_Cefas_Test8_Run2/Plate 4/@10/G4_02.tif "/>
    <s v=" 6748.5271 "/>
    <s v=" 39.3013 "/>
    <x v="0"/>
    <n v="265226"/>
    <m/>
    <m/>
  </r>
  <r>
    <x v="12"/>
    <x v="7"/>
    <s v="C:\Users\andre\Desktop\REACTIV CEFAS\Cromolyn\Cromolyn/20201202_Cefas_Test8_Run2/Plate 4/@10/G4_03.tif "/>
    <s v=" 4369.2387 "/>
    <s v=" 33.9307 "/>
    <x v="0"/>
    <n v="148251"/>
    <m/>
    <m/>
  </r>
  <r>
    <x v="12"/>
    <x v="8"/>
    <s v="C:\Users\andre\Desktop\REACTIV CEFAS\Cromolyn\Cromolyn/20201202_Cefas_Test8_Run2/Plate 4/@10/H4_01.tif "/>
    <s v=" 1470.8328 "/>
    <s v=" 34.8088 "/>
    <x v="0"/>
    <n v="51198"/>
    <m/>
    <m/>
  </r>
  <r>
    <x v="12"/>
    <x v="8"/>
    <s v="C:\Users\andre\Desktop\REACTIV CEFAS\Cromolyn\Cromolyn/20201202_Cefas_Test8_Run2/Plate 4/@10/H4_02.tif "/>
    <s v=" 3395.8935 "/>
    <s v=" 38.6752 "/>
    <x v="0"/>
    <n v="131337"/>
    <m/>
    <m/>
  </r>
  <r>
    <x v="12"/>
    <x v="8"/>
    <s v="C:\Users\andre\Desktop\REACTIV CEFAS\Cromolyn\Cromolyn/20201202_Cefas_Test8_Run2/Plate 4/@10/H4_03.tif "/>
    <s v=" 6986.456 "/>
    <s v=" 37.6037 "/>
    <x v="0"/>
    <n v="262717"/>
    <m/>
    <m/>
  </r>
  <r>
    <x v="0"/>
    <x v="0"/>
    <s v=" "/>
    <m/>
    <m/>
    <x v="1"/>
    <m/>
    <m/>
    <m/>
  </r>
  <r>
    <x v="0"/>
    <x v="0"/>
    <s v="group "/>
    <s v=" "/>
    <s v=" mean of mean fluo "/>
    <x v="2"/>
    <s v=" mean of total fluo "/>
    <s v=" SD total fluo "/>
    <m/>
  </r>
  <r>
    <x v="12"/>
    <x v="9"/>
    <s v="C:\Users\andre\Desktop\REACTIV CEFAS\Cromolyn\Cromolyn/20201202_Cefas_Test8_Run2/Plate 4/@10/ "/>
    <s v=" "/>
    <s v=" 36.1136 "/>
    <x v="14"/>
    <s v=" 235958.708 "/>
    <s v=" 190749.832 "/>
    <m/>
  </r>
  <r>
    <x v="0"/>
    <x v="0"/>
    <s v=" "/>
    <m/>
    <m/>
    <x v="1"/>
    <m/>
    <m/>
    <m/>
  </r>
  <r>
    <x v="0"/>
    <x v="0"/>
    <s v=" "/>
    <m/>
    <m/>
    <x v="1"/>
    <m/>
    <m/>
    <m/>
  </r>
  <r>
    <x v="0"/>
    <x v="0"/>
    <s v=" "/>
    <m/>
    <m/>
    <x v="1"/>
    <m/>
    <m/>
    <m/>
  </r>
  <r>
    <x v="0"/>
    <x v="0"/>
    <s v=" "/>
    <m/>
    <m/>
    <x v="1"/>
    <m/>
    <m/>
    <m/>
  </r>
  <r>
    <x v="0"/>
    <x v="0"/>
    <s v=" "/>
    <m/>
    <m/>
    <x v="1"/>
    <m/>
    <m/>
    <m/>
  </r>
  <r>
    <x v="0"/>
    <x v="0"/>
    <s v="file name "/>
    <s v=" total area "/>
    <s v=" mean intensity "/>
    <x v="0"/>
    <s v=" total fluorescence"/>
    <m/>
    <m/>
  </r>
  <r>
    <x v="13"/>
    <x v="1"/>
    <s v="C:\Users\andre\Desktop\REACTIV CEFAS\Cromolyn\Cromolyn/20201202_Cefas_Test8_Run2/Plate 4/@11/A5_01- exclu.tif"/>
    <m/>
    <m/>
    <x v="1"/>
    <m/>
    <m/>
    <m/>
  </r>
  <r>
    <x v="13"/>
    <x v="1"/>
    <s v="C:\Users\andre\Desktop\REACTIV CEFAS\Cromolyn\Cromolyn/20201202_Cefas_Test8_Run2/Plate 4/@11/A5_02- exclu.tif"/>
    <m/>
    <m/>
    <x v="1"/>
    <m/>
    <m/>
    <m/>
  </r>
  <r>
    <x v="13"/>
    <x v="1"/>
    <s v="C:\Users\andre\Desktop\REACTIV CEFAS\Cromolyn\Cromolyn/20201202_Cefas_Test8_Run2/Plate 4/@11/A5_03- exclu.tif"/>
    <m/>
    <m/>
    <x v="1"/>
    <m/>
    <m/>
    <m/>
  </r>
  <r>
    <x v="13"/>
    <x v="2"/>
    <s v="C:\Users\andre\Desktop\REACTIV CEFAS\Cromolyn\Cromolyn/20201202_Cefas_Test8_Run2/Plate 4/@11/B5_01.tif "/>
    <s v=" 6056.3705 "/>
    <s v=" 40.5214 "/>
    <x v="0"/>
    <n v="245413"/>
    <m/>
    <m/>
  </r>
  <r>
    <x v="13"/>
    <x v="2"/>
    <s v="C:\Users\andre\Desktop\REACTIV CEFAS\Cromolyn\Cromolyn/20201202_Cefas_Test8_Run2/Plate 4/@11/B5_02.tif "/>
    <s v=" 7440.6838 "/>
    <s v=" 38.0145 "/>
    <x v="0"/>
    <n v="282854"/>
    <m/>
    <m/>
  </r>
  <r>
    <x v="13"/>
    <x v="2"/>
    <s v="C:\Users\andre\Desktop\REACTIV CEFAS\Cromolyn\Cromolyn/20201202_Cefas_Test8_Run2/Plate 4/@11/B5_03.tif "/>
    <s v=" 13086.0863 "/>
    <s v=" 44.924 "/>
    <x v="0"/>
    <n v="587879"/>
    <m/>
    <m/>
  </r>
  <r>
    <x v="13"/>
    <x v="3"/>
    <s v="C:\Users\andre\Desktop\REACTIV CEFAS\Cromolyn\Cromolyn/20201202_Cefas_Test8_Run2/Plate 4/@11/C5_01.tif "/>
    <s v=" 21.6299 "/>
    <n v="31"/>
    <x v="0"/>
    <n v="671"/>
    <m/>
    <m/>
  </r>
  <r>
    <x v="13"/>
    <x v="3"/>
    <s v="C:\Users\andre\Desktop\REACTIV CEFAS\Cromolyn\Cromolyn/20201202_Cefas_Test8_Run2/Plate 4/@11/C5_02.tif "/>
    <s v=" 216.2989 "/>
    <s v=" 31.4 "/>
    <x v="0"/>
    <n v="6792"/>
    <m/>
    <m/>
  </r>
  <r>
    <x v="13"/>
    <x v="3"/>
    <s v="C:\Users\andre\Desktop\REACTIV CEFAS\Cromolyn\Cromolyn/20201202_Cefas_Test8_Run2/Plate 4/@11/C5_03.tif "/>
    <n v="0"/>
    <n v="0"/>
    <x v="0"/>
    <n v="0"/>
    <m/>
    <m/>
  </r>
  <r>
    <x v="13"/>
    <x v="4"/>
    <s v="C:\Users\andre\Desktop\REACTIV CEFAS\Cromolyn\Cromolyn/20201202_Cefas_Test8_Run2/Plate 4/@11/D5_01.tif "/>
    <s v=" 821.936 "/>
    <s v=" 33.1842 "/>
    <x v="0"/>
    <n v="27275"/>
    <m/>
    <m/>
  </r>
  <r>
    <x v="13"/>
    <x v="4"/>
    <s v="C:\Users\andre\Desktop\REACTIV CEFAS\Cromolyn\Cromolyn/20201202_Cefas_Test8_Run2/Plate 4/@11/D5_02.tif "/>
    <s v=" 497.4876 "/>
    <s v=" 32.3913 "/>
    <x v="0"/>
    <n v="16114"/>
    <m/>
    <m/>
  </r>
  <r>
    <x v="13"/>
    <x v="4"/>
    <s v="C:\Users\andre\Desktop\REACTIV CEFAS\Cromolyn\Cromolyn/20201202_Cefas_Test8_Run2/Plate 4/@11/D5_03.tif "/>
    <n v="0"/>
    <n v="0"/>
    <x v="0"/>
    <n v="0"/>
    <m/>
    <m/>
  </r>
  <r>
    <x v="13"/>
    <x v="5"/>
    <s v="C:\Users\andre\Desktop\REACTIV CEFAS\Cromolyn\Cromolyn/20201202_Cefas_Test8_Run2/Plate 4/@11/E5_01.tif "/>
    <s v=" 7397.424 "/>
    <s v=" 38.538 "/>
    <x v="0"/>
    <n v="285082"/>
    <m/>
    <m/>
  </r>
  <r>
    <x v="13"/>
    <x v="5"/>
    <s v="C:\Users\andre\Desktop\REACTIV CEFAS\Cromolyn\Cromolyn/20201202_Cefas_Test8_Run2/Plate 4/@11/E5_02.tif "/>
    <s v=" 8154.4703 "/>
    <s v=" 41.1883 "/>
    <x v="0"/>
    <n v="335869"/>
    <m/>
    <m/>
  </r>
  <r>
    <x v="13"/>
    <x v="5"/>
    <s v="C:\Users\andre\Desktop\REACTIV CEFAS\Cromolyn\Cromolyn/20201202_Cefas_Test8_Run2/Plate 4/@11/E5_03.tif "/>
    <s v=" 5407.4737 "/>
    <s v=" 39.976 "/>
    <x v="0"/>
    <n v="216169"/>
    <m/>
    <m/>
  </r>
  <r>
    <x v="13"/>
    <x v="6"/>
    <s v="C:\Users\andre\Desktop\REACTIV CEFAS\Cromolyn\Cromolyn/20201202_Cefas_Test8_Run2/Plate 4/@11/F5_01.tif "/>
    <s v=" 8543.8084 "/>
    <s v=" 42.4785 "/>
    <x v="0"/>
    <n v="362928"/>
    <m/>
    <m/>
  </r>
  <r>
    <x v="13"/>
    <x v="6"/>
    <s v="C:\Users\andre\Desktop\REACTIV CEFAS\Cromolyn\Cromolyn/20201202_Cefas_Test8_Run2/Plate 4/@11/F5_02.tif "/>
    <s v=" 5472.3633 "/>
    <s v=" 39.2767 "/>
    <x v="0"/>
    <n v="214936"/>
    <m/>
    <m/>
  </r>
  <r>
    <x v="13"/>
    <x v="6"/>
    <s v="C:\Users\andre\Desktop\REACTIV CEFAS\Cromolyn\Cromolyn/20201202_Cefas_Test8_Run2/Plate 4/@11/F5_03.tif "/>
    <s v=" 7354.1642 "/>
    <s v=" 43.3588 "/>
    <x v="0"/>
    <n v="318868"/>
    <m/>
    <m/>
  </r>
  <r>
    <x v="13"/>
    <x v="7"/>
    <s v="C:\Users\andre\Desktop\REACTIV CEFAS\Cromolyn\Cromolyn/20201202_Cefas_Test8_Run2/Plate 4/@11/G5_01.tif "/>
    <s v=" 2811.8863 "/>
    <s v=" 33.3923 "/>
    <x v="0"/>
    <n v="93895"/>
    <m/>
    <m/>
  </r>
  <r>
    <x v="13"/>
    <x v="7"/>
    <s v="C:\Users\andre\Desktop\REACTIV CEFAS\Cromolyn\Cromolyn/20201202_Cefas_Test8_Run2/Plate 4/@11/G5_02.tif "/>
    <s v=" 778.6762 "/>
    <s v=" 31.3056 "/>
    <x v="0"/>
    <n v="24377"/>
    <m/>
    <m/>
  </r>
  <r>
    <x v="13"/>
    <x v="7"/>
    <s v="C:\Users\andre\Desktop\REACTIV CEFAS\Cromolyn\Cromolyn/20201202_Cefas_Test8_Run2/Plate 4/@11/G5_03.tif "/>
    <s v=" 3157.9646 "/>
    <s v=" 32.7534 "/>
    <x v="0"/>
    <n v="103434"/>
    <m/>
    <m/>
  </r>
  <r>
    <x v="13"/>
    <x v="8"/>
    <s v="C:\Users\andre\Desktop\REACTIV CEFAS\Cromolyn\Cromolyn/20201202_Cefas_Test8_Run2/Plate 4/@11/H5_01.tif "/>
    <s v=" 2660.477 "/>
    <s v=" 34.3333 "/>
    <x v="0"/>
    <n v="91343"/>
    <m/>
    <m/>
  </r>
  <r>
    <x v="13"/>
    <x v="8"/>
    <s v="C:\Users\andre\Desktop\REACTIV CEFAS\Cromolyn\Cromolyn/20201202_Cefas_Test8_Run2/Plate 4/@11/H5_02.tif "/>
    <n v="0"/>
    <n v="0"/>
    <x v="0"/>
    <n v="0"/>
    <m/>
    <m/>
  </r>
  <r>
    <x v="13"/>
    <x v="8"/>
    <s v="C:\Users\andre\Desktop\REACTIV CEFAS\Cromolyn\Cromolyn/20201202_Cefas_Test8_Run2/Plate 4/@11/H5_03.tif "/>
    <s v=" 3504.0429 "/>
    <s v=" 33.8086 "/>
    <x v="0"/>
    <n v="118467"/>
    <m/>
    <m/>
  </r>
  <r>
    <x v="0"/>
    <x v="0"/>
    <s v=" "/>
    <m/>
    <m/>
    <x v="1"/>
    <m/>
    <m/>
    <m/>
  </r>
  <r>
    <x v="0"/>
    <x v="0"/>
    <s v="group "/>
    <s v=" "/>
    <s v=" mean of mean fluo "/>
    <x v="2"/>
    <s v=" mean of total fluo "/>
    <s v=" SD total fluo "/>
    <m/>
  </r>
  <r>
    <x v="13"/>
    <x v="9"/>
    <s v="C:\Users\andre\Desktop\REACTIV CEFAS\Cromolyn\Cromolyn/20201202_Cefas_Test8_Run2/Plate 4/@11/ "/>
    <s v=" "/>
    <s v=" 32.5762 "/>
    <x v="15"/>
    <s v=" 186663.25 "/>
    <s v=" 169566.262 "/>
    <m/>
  </r>
  <r>
    <x v="0"/>
    <x v="0"/>
    <s v=" "/>
    <m/>
    <m/>
    <x v="1"/>
    <m/>
    <m/>
    <m/>
  </r>
  <r>
    <x v="0"/>
    <x v="0"/>
    <s v=" "/>
    <m/>
    <m/>
    <x v="1"/>
    <m/>
    <m/>
    <m/>
  </r>
  <r>
    <x v="0"/>
    <x v="0"/>
    <s v=" "/>
    <m/>
    <m/>
    <x v="1"/>
    <m/>
    <m/>
    <m/>
  </r>
  <r>
    <x v="0"/>
    <x v="0"/>
    <s v=" "/>
    <m/>
    <m/>
    <x v="1"/>
    <m/>
    <m/>
    <m/>
  </r>
  <r>
    <x v="0"/>
    <x v="0"/>
    <s v=" "/>
    <m/>
    <m/>
    <x v="1"/>
    <m/>
    <m/>
    <m/>
  </r>
  <r>
    <x v="0"/>
    <x v="0"/>
    <s v="file name "/>
    <s v=" total area "/>
    <s v=" mean intensity "/>
    <x v="0"/>
    <s v=" total fluorescence"/>
    <m/>
    <m/>
  </r>
  <r>
    <x v="14"/>
    <x v="1"/>
    <s v="C:\Users\andre\Desktop\REACTIV CEFAS\Cromolyn\Cromolyn/20201202_Cefas_Test8_Run2/Plate 4/@12/A6_01.tif "/>
    <s v=" 3979.9006 "/>
    <s v=" 36.1957 "/>
    <x v="0"/>
    <n v="144055"/>
    <m/>
    <m/>
  </r>
  <r>
    <x v="14"/>
    <x v="1"/>
    <s v="C:\Users\andre\Desktop\REACTIV CEFAS\Cromolyn\Cromolyn/20201202_Cefas_Test8_Run2/Plate 4/@12/A6_02.tif "/>
    <s v=" 8219.36 "/>
    <s v=" 37.7211 "/>
    <x v="0"/>
    <n v="310043"/>
    <m/>
    <m/>
  </r>
  <r>
    <x v="14"/>
    <x v="1"/>
    <s v="C:\Users\andre\Desktop\REACTIV CEFAS\Cromolyn\Cromolyn/20201202_Cefas_Test8_Run2/Plate 4/@12/A6_03.tif "/>
    <s v=" 6813.4168 "/>
    <s v=" 39.2127 "/>
    <x v="0"/>
    <n v="267172"/>
    <m/>
    <m/>
  </r>
  <r>
    <x v="14"/>
    <x v="2"/>
    <s v="C:\Users\andre\Desktop\REACTIV CEFAS\Cromolyn\Cromolyn/20201202_Cefas_Test8_Run2/Plate 4/@12/B6_01.tif "/>
    <s v=" 11096.1359 "/>
    <s v=" 41.2827 "/>
    <x v="0"/>
    <n v="458078"/>
    <m/>
    <m/>
  </r>
  <r>
    <x v="14"/>
    <x v="2"/>
    <s v="C:\Users\andre\Desktop\REACTIV CEFAS\Cromolyn\Cromolyn/20201202_Cefas_Test8_Run2/Plate 4/@12/B6_02.tif "/>
    <s v=" 2833.5162 "/>
    <s v=" 33.0763 "/>
    <x v="0"/>
    <n v="93722"/>
    <m/>
    <m/>
  </r>
  <r>
    <x v="14"/>
    <x v="2"/>
    <s v="C:\Users\andre\Desktop\REACTIV CEFAS\Cromolyn\Cromolyn/20201202_Cefas_Test8_Run2/Plate 4/@12/B6_03.tif "/>
    <s v=" 7786.7621 "/>
    <s v=" 35.6444 "/>
    <x v="0"/>
    <n v="277555"/>
    <m/>
    <m/>
  </r>
  <r>
    <x v="14"/>
    <x v="3"/>
    <s v="C:\Users\andre\Desktop\REACTIV CEFAS\Cromolyn\Cromolyn/20201202_Cefas_Test8_Run2/Plate 4/@12/C6_01.tif "/>
    <s v=" 64.8897 "/>
    <s v=" 32.6667 "/>
    <x v="0"/>
    <n v="2120"/>
    <m/>
    <m/>
  </r>
  <r>
    <x v="14"/>
    <x v="3"/>
    <s v="C:\Users\andre\Desktop\REACTIV CEFAS\Cromolyn\Cromolyn/20201202_Cefas_Test8_Run2/Plate 4/@12/C6_02.tif "/>
    <n v="0"/>
    <n v="0"/>
    <x v="0"/>
    <n v="0"/>
    <m/>
    <m/>
  </r>
  <r>
    <x v="14"/>
    <x v="3"/>
    <s v="C:\Users\andre\Desktop\REACTIV CEFAS\Cromolyn\Cromolyn/20201202_Cefas_Test8_Run2/Plate 4/@12/C6_03- exclu.tif"/>
    <m/>
    <m/>
    <x v="1"/>
    <m/>
    <m/>
    <m/>
  </r>
  <r>
    <x v="14"/>
    <x v="4"/>
    <s v="C:\Users\andre\Desktop\REACTIV CEFAS\Cromolyn\Cromolyn/20201202_Cefas_Test8_Run2/Plate 4/@12/D6_01.tif "/>
    <s v=" 11204.2854 "/>
    <s v=" 46.5444 "/>
    <x v="0"/>
    <n v="521497"/>
    <m/>
    <m/>
  </r>
  <r>
    <x v="14"/>
    <x v="4"/>
    <s v="C:\Users\andre\Desktop\REACTIV CEFAS\Cromolyn\Cromolyn/20201202_Cefas_Test8_Run2/Plate 4/@12/D6_02- exclu.tif"/>
    <m/>
    <m/>
    <x v="1"/>
    <m/>
    <m/>
    <m/>
  </r>
  <r>
    <x v="14"/>
    <x v="4"/>
    <s v="C:\Users\andre\Desktop\REACTIV CEFAS\Cromolyn\Cromolyn/20201202_Cefas_Test8_Run2/Plate 4/@12/D6_03- exclu.tif"/>
    <m/>
    <m/>
    <x v="1"/>
    <m/>
    <m/>
    <m/>
  </r>
  <r>
    <x v="14"/>
    <x v="5"/>
    <s v="C:\Users\andre\Desktop\REACTIV CEFAS\Cromolyn\Cromolyn/20201202_Cefas_Test8_Run2/Plate 4/@12/E6_01.tif "/>
    <s v=" 1795.2813 "/>
    <s v=" 35.4819 "/>
    <x v="0"/>
    <n v="63700"/>
    <m/>
    <m/>
  </r>
  <r>
    <x v="14"/>
    <x v="5"/>
    <s v="C:\Users\andre\Desktop\REACTIV CEFAS\Cromolyn\Cromolyn/20201202_Cefas_Test8_Run2/Plate 4/@12/E6_02.tif "/>
    <s v=" 4996.5057 "/>
    <s v=" 41.2641 "/>
    <x v="0"/>
    <n v="206176"/>
    <m/>
    <m/>
  </r>
  <r>
    <x v="14"/>
    <x v="5"/>
    <s v="C:\Users\andre\Desktop\REACTIV CEFAS\Cromolyn\Cromolyn/20201202_Cefas_Test8_Run2/Plate 4/@12/E6_03.tif "/>
    <s v=" 64.8897 "/>
    <n v="30"/>
    <x v="0"/>
    <n v="1947"/>
    <m/>
    <m/>
  </r>
  <r>
    <x v="14"/>
    <x v="6"/>
    <s v="C:\Users\andre\Desktop\REACTIV CEFAS\Cromolyn\Cromolyn/20201202_Cefas_Test8_Run2/Plate 4/@12/F6_01.tif "/>
    <s v=" 1860.1709 "/>
    <s v=" 33.9186 "/>
    <x v="0"/>
    <n v="63094"/>
    <m/>
    <m/>
  </r>
  <r>
    <x v="14"/>
    <x v="6"/>
    <s v="C:\Users\andre\Desktop\REACTIV CEFAS\Cromolyn\Cromolyn/20201202_Cefas_Test8_Run2/Plate 4/@12/F6_02.tif "/>
    <s v=" 5537.253 "/>
    <s v=" 36.3281 "/>
    <x v="0"/>
    <n v="201158"/>
    <m/>
    <m/>
  </r>
  <r>
    <x v="14"/>
    <x v="6"/>
    <s v="C:\Users\andre\Desktop\REACTIV CEFAS\Cromolyn\Cromolyn/20201202_Cefas_Test8_Run2/Plate 4/@12/F6_03- exclu.tif"/>
    <m/>
    <m/>
    <x v="1"/>
    <m/>
    <m/>
    <m/>
  </r>
  <r>
    <x v="14"/>
    <x v="7"/>
    <s v="C:\Users\andre\Desktop\REACTIV CEFAS\Cromolyn\Cromolyn/20201202_Cefas_Test8_Run2/Plate 4/@12/G6_01.tif "/>
    <n v="0"/>
    <n v="0"/>
    <x v="0"/>
    <n v="0"/>
    <m/>
    <m/>
  </r>
  <r>
    <x v="14"/>
    <x v="7"/>
    <s v="C:\Users\andre\Desktop\REACTIV CEFAS\Cromolyn\Cromolyn/20201202_Cefas_Test8_Run2/Plate 4/@12/G6_02.tif "/>
    <s v=" 454.2278 "/>
    <s v=" 30.7143 "/>
    <x v="0"/>
    <n v="13951"/>
    <m/>
    <m/>
  </r>
  <r>
    <x v="14"/>
    <x v="7"/>
    <s v="C:\Users\andre\Desktop\REACTIV CEFAS\Cromolyn\Cromolyn/20201202_Cefas_Test8_Run2/Plate 4/@12/G6_03.tif "/>
    <s v=" 4996.5057 "/>
    <s v=" 35.3636 "/>
    <x v="0"/>
    <n v="176695"/>
    <m/>
    <m/>
  </r>
  <r>
    <x v="14"/>
    <x v="8"/>
    <s v="C:\Users\andre\Desktop\REACTIV CEFAS\Cromolyn\Cromolyn/20201202_Cefas_Test8_Run2/Plate 4/@12/H6_01.tif "/>
    <n v="0"/>
    <n v="0"/>
    <x v="0"/>
    <n v="0"/>
    <m/>
    <m/>
  </r>
  <r>
    <x v="14"/>
    <x v="8"/>
    <s v="C:\Users\andre\Desktop\REACTIV CEFAS\Cromolyn\Cromolyn/20201202_Cefas_Test8_Run2/Plate 4/@12/H6_02.tif "/>
    <s v=" 7072.9755 "/>
    <s v=" 43.367 "/>
    <x v="0"/>
    <n v="306734"/>
    <m/>
    <m/>
  </r>
  <r>
    <x v="14"/>
    <x v="8"/>
    <s v="C:\Users\andre\Desktop\REACTIV CEFAS\Cromolyn\Cromolyn/20201202_Cefas_Test8_Run2/Plate 4/@12/H6_03.tif "/>
    <s v=" 7505.5734 "/>
    <s v=" 39.3862 "/>
    <x v="0"/>
    <n v="295616"/>
    <m/>
    <m/>
  </r>
  <r>
    <x v="0"/>
    <x v="0"/>
    <s v=" "/>
    <m/>
    <m/>
    <x v="1"/>
    <m/>
    <m/>
    <m/>
  </r>
  <r>
    <x v="0"/>
    <x v="0"/>
    <s v="group "/>
    <s v=" "/>
    <s v=" mean of mean fluo "/>
    <x v="2"/>
    <s v=" mean of total fluo "/>
    <s v=" SD total fluo "/>
    <m/>
  </r>
  <r>
    <x v="14"/>
    <x v="9"/>
    <s v="C:\Users\andre\Desktop\REACTIV CEFAS\Cromolyn\Cromolyn/20201202_Cefas_Test8_Run2/Plate 4/@12/ "/>
    <s v=" "/>
    <s v=" 32.9525 "/>
    <x v="16"/>
    <s v=" 195956.958 "/>
    <s v=" 191419.397 "/>
    <m/>
  </r>
  <r>
    <x v="0"/>
    <x v="0"/>
    <s v=" "/>
    <m/>
    <m/>
    <x v="1"/>
    <m/>
    <m/>
    <m/>
  </r>
  <r>
    <x v="0"/>
    <x v="0"/>
    <s v=" "/>
    <m/>
    <m/>
    <x v="1"/>
    <m/>
    <m/>
    <m/>
  </r>
  <r>
    <x v="0"/>
    <x v="0"/>
    <s v=" "/>
    <m/>
    <m/>
    <x v="1"/>
    <m/>
    <m/>
    <m/>
  </r>
  <r>
    <x v="0"/>
    <x v="0"/>
    <s v=" "/>
    <m/>
    <m/>
    <x v="1"/>
    <m/>
    <m/>
    <m/>
  </r>
  <r>
    <x v="0"/>
    <x v="0"/>
    <s v=" "/>
    <m/>
    <m/>
    <x v="1"/>
    <m/>
    <m/>
    <m/>
  </r>
  <r>
    <x v="0"/>
    <x v="0"/>
    <s v="file name "/>
    <s v=" total area "/>
    <s v=" mean intensity "/>
    <x v="0"/>
    <s v=" total fluorescence"/>
    <m/>
    <m/>
  </r>
  <r>
    <x v="15"/>
    <x v="1"/>
    <s v="C:\Users\andre\Desktop\REACTIV CEFAS\Cromolyn\Cromolyn/20201202_Cefas_Test8_Run2/Plate 4/@17/A8_01.tif "/>
    <s v=" 30887.4895 "/>
    <s v=" 36.8018 "/>
    <x v="0"/>
    <n v="1136716"/>
    <m/>
    <m/>
  </r>
  <r>
    <x v="15"/>
    <x v="1"/>
    <s v="C:\Users\andre\Desktop\REACTIV CEFAS\Cromolyn\Cromolyn/20201202_Cefas_Test8_Run2/Plate 4/@17/A8_02.tif "/>
    <s v=" 47218.06 "/>
    <s v=" 38.77 "/>
    <x v="0"/>
    <n v="1830646"/>
    <m/>
    <m/>
  </r>
  <r>
    <x v="15"/>
    <x v="1"/>
    <s v="C:\Users\andre\Desktop\REACTIV CEFAS\Cromolyn\Cromolyn/20201202_Cefas_Test8_Run2/Plate 4/@17/A8_03.tif "/>
    <s v=" 34175.2335 "/>
    <s v=" 37.9297 "/>
    <x v="0"/>
    <n v="1296258"/>
    <m/>
    <m/>
  </r>
  <r>
    <x v="15"/>
    <x v="2"/>
    <s v="C:\Users\andre\Desktop\REACTIV CEFAS\Cromolyn\Cromolyn/20201202_Cefas_Test8_Run2/Plate 4/@17/B8_01.tif "/>
    <s v=" 26064.023 "/>
    <s v=" 34.0988 "/>
    <x v="0"/>
    <n v="888751"/>
    <m/>
    <m/>
  </r>
  <r>
    <x v="15"/>
    <x v="2"/>
    <s v="C:\Users\andre\Desktop\REACTIV CEFAS\Cromolyn\Cromolyn/20201202_Cefas_Test8_Run2/Plate 4/@17/B8_02.tif "/>
    <s v=" 33050.479 "/>
    <s v=" 34.3645 "/>
    <x v="0"/>
    <n v="1135764"/>
    <m/>
    <m/>
  </r>
  <r>
    <x v="15"/>
    <x v="2"/>
    <s v="C:\Users\andre\Desktop\REACTIV CEFAS\Cromolyn\Cromolyn/20201202_Cefas_Test8_Run2/Plate 4/@17/B8_03.tif "/>
    <s v=" 24268.7418 "/>
    <s v=" 33.9831 "/>
    <x v="0"/>
    <n v="824726"/>
    <m/>
    <m/>
  </r>
  <r>
    <x v="15"/>
    <x v="3"/>
    <s v="C:\Users\andre\Desktop\REACTIV CEFAS\Cromolyn\Cromolyn/20201202_Cefas_Test8_Run2/Plate 4/@17/C8_01.tif "/>
    <s v=" 24225.482 "/>
    <s v=" 37.1509 "/>
    <x v="0"/>
    <n v="899998"/>
    <m/>
    <m/>
  </r>
  <r>
    <x v="15"/>
    <x v="3"/>
    <s v="C:\Users\andre\Desktop\REACTIV CEFAS\Cromolyn\Cromolyn/20201202_Cefas_Test8_Run2/Plate 4/@17/C8_02.tif "/>
    <s v=" 28551.4609 "/>
    <s v=" 37.1553 "/>
    <x v="0"/>
    <n v="1060838"/>
    <m/>
    <m/>
  </r>
  <r>
    <x v="15"/>
    <x v="3"/>
    <s v="C:\Users\andre\Desktop\REACTIV CEFAS\Cromolyn\Cromolyn/20201202_Cefas_Test8_Run2/Plate 4/@17/C8_03- exclu.tif"/>
    <m/>
    <m/>
    <x v="1"/>
    <m/>
    <m/>
    <m/>
  </r>
  <r>
    <x v="15"/>
    <x v="4"/>
    <s v="C:\Users\andre\Desktop\REACTIV CEFAS\Cromolyn\Cromolyn/20201202_Cefas_Test8_Run2/Plate 4/@17/D8_01.tif "/>
    <s v=" 65538.5807 "/>
    <s v=" 44.4835 "/>
    <x v="0"/>
    <n v="2915385"/>
    <m/>
    <m/>
  </r>
  <r>
    <x v="15"/>
    <x v="4"/>
    <s v="C:\Users\andre\Desktop\REACTIV CEFAS\Cromolyn\Cromolyn/20201202_Cefas_Test8_Run2/Plate 4/@17/D8_02.tif "/>
    <s v=" 70080.8586 "/>
    <s v=" 45.2037 "/>
    <x v="0"/>
    <n v="3167914"/>
    <m/>
    <m/>
  </r>
  <r>
    <x v="15"/>
    <x v="4"/>
    <s v="C:\Users\andre\Desktop\REACTIV CEFAS\Cromolyn\Cromolyn/20201202_Cefas_Test8_Run2/Plate 4/@17/D8_03.tif "/>
    <s v=" 65105.9828 "/>
    <s v=" 42.0352 "/>
    <x v="0"/>
    <n v="2736744"/>
    <m/>
    <m/>
  </r>
  <r>
    <x v="15"/>
    <x v="5"/>
    <s v="C:\Users\andre\Desktop\REACTIV CEFAS\Cromolyn\Cromolyn/20201202_Cefas_Test8_Run2/Plate 4/@17/E8_01.tif "/>
    <s v=" 47196.4301 "/>
    <s v=" 42.9184 "/>
    <x v="0"/>
    <n v="2025596"/>
    <m/>
    <m/>
  </r>
  <r>
    <x v="15"/>
    <x v="5"/>
    <s v="C:\Users\andre\Desktop\REACTIV CEFAS\Cromolyn\Cromolyn/20201202_Cefas_Test8_Run2/Plate 4/@17/E8_02.tif "/>
    <s v=" 51587.2987 "/>
    <s v=" 41.6063 "/>
    <x v="0"/>
    <n v="2146356"/>
    <m/>
    <m/>
  </r>
  <r>
    <x v="15"/>
    <x v="5"/>
    <s v="C:\Users\andre\Desktop\REACTIV CEFAS\Cromolyn\Cromolyn/20201202_Cefas_Test8_Run2/Plate 4/@17/E8_03.tif "/>
    <s v=" 49424.3092 "/>
    <s v=" 41.0372 "/>
    <x v="0"/>
    <n v="2028235"/>
    <m/>
    <m/>
  </r>
  <r>
    <x v="15"/>
    <x v="6"/>
    <s v="C:\Users\andre\Desktop\REACTIV CEFAS\Cromolyn\Cromolyn/20201202_Cefas_Test8_Run2/Plate 4/@17/F8_01- exclu.tif"/>
    <m/>
    <m/>
    <x v="1"/>
    <m/>
    <m/>
    <m/>
  </r>
  <r>
    <x v="15"/>
    <x v="6"/>
    <s v="C:\Users\andre\Desktop\REACTIV CEFAS\Cromolyn\Cromolyn/20201202_Cefas_Test8_Run2/Plate 4/@17/F8_02- exclu.tif"/>
    <m/>
    <m/>
    <x v="1"/>
    <m/>
    <m/>
    <m/>
  </r>
  <r>
    <x v="15"/>
    <x v="6"/>
    <s v="C:\Users\andre\Desktop\REACTIV CEFAS\Cromolyn\Cromolyn/20201202_Cefas_Test8_Run2/Plate 4/@17/F8_03- exclu.tif"/>
    <m/>
    <m/>
    <x v="1"/>
    <m/>
    <m/>
    <m/>
  </r>
  <r>
    <x v="15"/>
    <x v="7"/>
    <s v="C:\Users\andre\Desktop\REACTIV CEFAS\Cromolyn\Cromolyn/20201202_Cefas_Test8_Run2/Plate 4/@17/G8_01.tif "/>
    <s v=" 33742.6356 "/>
    <s v=" 37.6051 "/>
    <x v="0"/>
    <n v="1268896"/>
    <m/>
    <m/>
  </r>
  <r>
    <x v="15"/>
    <x v="7"/>
    <s v="C:\Users\andre\Desktop\REACTIV CEFAS\Cromolyn\Cromolyn/20201202_Cefas_Test8_Run2/Plate 4/@17/G8_02.tif "/>
    <s v=" 34413.1624 "/>
    <s v=" 38.7121 "/>
    <x v="0"/>
    <n v="1332207"/>
    <m/>
    <m/>
  </r>
  <r>
    <x v="15"/>
    <x v="7"/>
    <s v="C:\Users\andre\Desktop\REACTIV CEFAS\Cromolyn\Cromolyn/20201202_Cefas_Test8_Run2/Plate 4/@17/G8_03.tif "/>
    <s v=" 30649.5607 "/>
    <s v=" 36.5822 "/>
    <x v="0"/>
    <n v="1121229"/>
    <m/>
    <m/>
  </r>
  <r>
    <x v="15"/>
    <x v="8"/>
    <s v="C:\Users\andre\Desktop\REACTIV CEFAS\Cromolyn\Cromolyn/20201202_Cefas_Test8_Run2/Plate 4/@17/H8_01.tif "/>
    <s v=" 30584.671 "/>
    <s v=" 41.5141 "/>
    <x v="0"/>
    <n v="1269696"/>
    <m/>
    <m/>
  </r>
  <r>
    <x v="15"/>
    <x v="8"/>
    <s v="C:\Users\andre\Desktop\REACTIV CEFAS\Cromolyn\Cromolyn/20201202_Cefas_Test8_Run2/Plate 4/@17/H8_02- exclu.tif"/>
    <m/>
    <m/>
    <x v="1"/>
    <m/>
    <m/>
    <m/>
  </r>
  <r>
    <x v="15"/>
    <x v="8"/>
    <s v="C:\Users\andre\Desktop\REACTIV CEFAS\Cromolyn\Cromolyn/20201202_Cefas_Test8_Run2/Plate 4/@17/H8_03.tif "/>
    <s v=" 23987.5531 "/>
    <s v=" 38.9477 "/>
    <x v="0"/>
    <n v="934260"/>
    <m/>
    <m/>
  </r>
  <r>
    <x v="0"/>
    <x v="0"/>
    <s v=" "/>
    <m/>
    <m/>
    <x v="1"/>
    <m/>
    <m/>
    <m/>
  </r>
  <r>
    <x v="0"/>
    <x v="0"/>
    <s v="group "/>
    <s v=" "/>
    <s v=" mean of mean fluo "/>
    <x v="2"/>
    <s v=" mean of total fluo "/>
    <s v=" SD total fluo "/>
    <m/>
  </r>
  <r>
    <x v="15"/>
    <x v="9"/>
    <s v="C:\Users\andre\Desktop\REACTIV CEFAS\Cromolyn\Cromolyn/20201202_Cefas_Test8_Run2/Plate 4/@17/ "/>
    <s v=" "/>
    <s v=" 39.0088 "/>
    <x v="17"/>
    <s v=" 1469178.04 "/>
    <s v=" 750343.635 "/>
    <m/>
  </r>
  <r>
    <x v="0"/>
    <x v="0"/>
    <s v=" "/>
    <m/>
    <m/>
    <x v="1"/>
    <m/>
    <m/>
    <m/>
  </r>
  <r>
    <x v="0"/>
    <x v="0"/>
    <s v=" "/>
    <m/>
    <m/>
    <x v="1"/>
    <m/>
    <m/>
    <m/>
  </r>
  <r>
    <x v="0"/>
    <x v="0"/>
    <s v=" "/>
    <m/>
    <m/>
    <x v="1"/>
    <m/>
    <m/>
    <m/>
  </r>
  <r>
    <x v="0"/>
    <x v="0"/>
    <s v=" "/>
    <m/>
    <m/>
    <x v="1"/>
    <m/>
    <m/>
    <m/>
  </r>
  <r>
    <x v="0"/>
    <x v="0"/>
    <s v=" "/>
    <m/>
    <m/>
    <x v="1"/>
    <m/>
    <m/>
    <m/>
  </r>
  <r>
    <x v="0"/>
    <x v="0"/>
    <s v="file name "/>
    <s v=" total area "/>
    <s v=" mean intensity "/>
    <x v="0"/>
    <s v=" total fluorescence"/>
    <m/>
    <m/>
  </r>
  <r>
    <x v="16"/>
    <x v="1"/>
    <s v="C:\Users\andre\Desktop\REACTIV CEFAS\Cromolyn\Cromolyn/20201202_Cefas_Test8_Run2/Plate 4/@18/A9_01.tif "/>
    <s v=" 33634.4861 "/>
    <s v=" 39.3023 "/>
    <x v="0"/>
    <n v="1321911"/>
    <m/>
    <m/>
  </r>
  <r>
    <x v="16"/>
    <x v="1"/>
    <s v="C:\Users\andre\Desktop\REACTIV CEFAS\Cromolyn\Cromolyn/20201202_Cefas_Test8_Run2/Plate 4/@18/A9_02.tif "/>
    <s v=" 35256.7282 "/>
    <s v=" 37.2883 "/>
    <x v="0"/>
    <n v="1314665"/>
    <m/>
    <m/>
  </r>
  <r>
    <x v="16"/>
    <x v="1"/>
    <s v="C:\Users\andre\Desktop\REACTIV CEFAS\Cromolyn\Cromolyn/20201202_Cefas_Test8_Run2/Plate 4/@18/A9_03.tif "/>
    <s v=" 46590.793 "/>
    <s v=" 38.4768 "/>
    <x v="0"/>
    <n v="1792664"/>
    <m/>
    <m/>
  </r>
  <r>
    <x v="16"/>
    <x v="2"/>
    <s v="C:\Users\andre\Desktop\REACTIV CEFAS\Cromolyn\Cromolyn/20201202_Cefas_Test8_Run2/Plate 4/@18/B9_01.tif "/>
    <s v=" 25523.2757 "/>
    <s v=" 34.9492 "/>
    <x v="0"/>
    <n v="892017"/>
    <m/>
    <m/>
  </r>
  <r>
    <x v="16"/>
    <x v="2"/>
    <s v="C:\Users\andre\Desktop\REACTIV CEFAS\Cromolyn\Cromolyn/20201202_Cefas_Test8_Run2/Plate 4/@18/B9_02.tif "/>
    <s v=" 22970.9481 "/>
    <s v=" 35.8531 "/>
    <x v="0"/>
    <n v="823580"/>
    <m/>
    <m/>
  </r>
  <r>
    <x v="16"/>
    <x v="2"/>
    <s v="C:\Users\andre\Desktop\REACTIV CEFAS\Cromolyn\Cromolyn/20201202_Cefas_Test8_Run2/Plate 4/@18/B9_03- exclu.tif"/>
    <m/>
    <m/>
    <x v="1"/>
    <m/>
    <m/>
    <m/>
  </r>
  <r>
    <x v="16"/>
    <x v="3"/>
    <s v="C:\Users\andre\Desktop\REACTIV CEFAS\Cromolyn\Cromolyn/20201202_Cefas_Test8_Run2/Plate 4/@18/C9_01.tif "/>
    <s v=" 27945.8239 "/>
    <s v=" 37.9598 "/>
    <x v="0"/>
    <n v="1060817"/>
    <m/>
    <m/>
  </r>
  <r>
    <x v="16"/>
    <x v="3"/>
    <s v="C:\Users\andre\Desktop\REACTIV CEFAS\Cromolyn\Cromolyn/20201202_Cefas_Test8_Run2/Plate 4/@18/C9_02.tif "/>
    <s v=" 31276.8276 "/>
    <s v=" 35.3548 "/>
    <x v="0"/>
    <n v="1105785"/>
    <m/>
    <m/>
  </r>
  <r>
    <x v="16"/>
    <x v="3"/>
    <s v="C:\Users\andre\Desktop\REACTIV CEFAS\Cromolyn\Cromolyn/20201202_Cefas_Test8_Run2/Plate 4/@18/C9_03.tif "/>
    <s v=" 27945.8239 "/>
    <s v=" 36.3646 "/>
    <x v="0"/>
    <n v="1016237"/>
    <m/>
    <m/>
  </r>
  <r>
    <x v="16"/>
    <x v="4"/>
    <s v="C:\Users\andre\Desktop\REACTIV CEFAS\Cromolyn\Cromolyn/20201202_Cefas_Test8_Run2/Plate 4/@18/D9_01.tif "/>
    <s v=" 7873.2816 "/>
    <s v=" 41.7555 "/>
    <x v="0"/>
    <n v="328753"/>
    <m/>
    <m/>
  </r>
  <r>
    <x v="16"/>
    <x v="4"/>
    <s v="C:\Users\andre\Desktop\REACTIV CEFAS\Cromolyn\Cromolyn/20201202_Cefas_Test8_Run2/Plate 4/@18/D9_02.tif "/>
    <s v=" 1752.0215 "/>
    <s v=" 32.3333 "/>
    <x v="0"/>
    <n v="56649"/>
    <m/>
    <m/>
  </r>
  <r>
    <x v="16"/>
    <x v="4"/>
    <s v="C:\Users\andre\Desktop\REACTIV CEFAS\Cromolyn\Cromolyn/20201202_Cefas_Test8_Run2/Plate 4/@18/D9_03.tif "/>
    <s v=" 7765.1322 "/>
    <s v=" 35.0724 "/>
    <x v="0"/>
    <n v="272342"/>
    <m/>
    <m/>
  </r>
  <r>
    <x v="16"/>
    <x v="5"/>
    <s v="C:\Users\andre\Desktop\REACTIV CEFAS\Cromolyn\Cromolyn/20201202_Cefas_Test8_Run2/Plate 4/@18/E9_01.tif "/>
    <s v=" 21521.7452 "/>
    <s v=" 39.3698 "/>
    <x v="0"/>
    <n v="847308"/>
    <m/>
    <m/>
  </r>
  <r>
    <x v="16"/>
    <x v="5"/>
    <s v="C:\Users\andre\Desktop\REACTIV CEFAS\Cromolyn\Cromolyn/20201202_Cefas_Test8_Run2/Plate 4/@18/E9_02.tif "/>
    <s v=" 34045.4541 "/>
    <s v=" 41.7681 "/>
    <x v="0"/>
    <n v="1422014"/>
    <m/>
    <m/>
  </r>
  <r>
    <x v="16"/>
    <x v="5"/>
    <s v="C:\Users\andre\Desktop\REACTIV CEFAS\Cromolyn\Cromolyn/20201202_Cefas_Test8_Run2/Plate 4/@18/E9_03.tif "/>
    <s v=" 43194.8996 "/>
    <s v=" 42.334 "/>
    <x v="0"/>
    <n v="1828613"/>
    <m/>
    <m/>
  </r>
  <r>
    <x v="16"/>
    <x v="6"/>
    <s v="C:\Users\andre\Desktop\REACTIV CEFAS\Cromolyn\Cromolyn/20201202_Cefas_Test8_Run2/Plate 4/@18/F9_01.tif "/>
    <s v=" 37225.0487 "/>
    <s v=" 37.1685 "/>
    <x v="0"/>
    <n v="1383599"/>
    <m/>
    <m/>
  </r>
  <r>
    <x v="16"/>
    <x v="6"/>
    <s v="C:\Users\andre\Desktop\REACTIV CEFAS\Cromolyn\Cromolyn/20201202_Cefas_Test8_Run2/Plate 4/@18/F9_02.tif "/>
    <s v=" 24701.3397 "/>
    <s v=" 34.648 "/>
    <x v="0"/>
    <n v="855852"/>
    <m/>
    <m/>
  </r>
  <r>
    <x v="16"/>
    <x v="6"/>
    <s v="C:\Users\andre\Desktop\REACTIV CEFAS\Cromolyn\Cromolyn/20201202_Cefas_Test8_Run2/Plate 4/@18/F9_03.tif "/>
    <s v=" 33093.7388 "/>
    <s v=" 35.4386 "/>
    <x v="0"/>
    <n v="1172795"/>
    <m/>
    <m/>
  </r>
  <r>
    <x v="16"/>
    <x v="7"/>
    <s v="C:\Users\andre\Desktop\REACTIV CEFAS\Cromolyn\Cromolyn/20201202_Cefas_Test8_Run2/Plate 4/@18/G9_01- exclu.tif"/>
    <m/>
    <m/>
    <x v="1"/>
    <m/>
    <m/>
    <m/>
  </r>
  <r>
    <x v="16"/>
    <x v="7"/>
    <s v="C:\Users\andre\Desktop\REACTIV CEFAS\Cromolyn\Cromolyn/20201202_Cefas_Test8_Run2/Plate 4/@18/G9_02.tif "/>
    <s v=" 12220.8905 "/>
    <s v=" 44.0761 "/>
    <x v="0"/>
    <n v="538649"/>
    <m/>
    <m/>
  </r>
  <r>
    <x v="16"/>
    <x v="7"/>
    <s v="C:\Users\andre\Desktop\REACTIV CEFAS\Cromolyn\Cromolyn/20201202_Cefas_Test8_Run2/Plate 4/@18/G9_03.tif "/>
    <s v=" 10901.4669 "/>
    <s v=" 32.5952 "/>
    <x v="0"/>
    <n v="355336"/>
    <m/>
    <m/>
  </r>
  <r>
    <x v="16"/>
    <x v="8"/>
    <s v="C:\Users\andre\Desktop\REACTIV CEFAS\Cromolyn\Cromolyn/20201202_Cefas_Test8_Run2/Plate 4/@18/H9_01.tif "/>
    <s v=" 6640.3777 "/>
    <s v=" 33.4332 "/>
    <x v="0"/>
    <n v="222009"/>
    <m/>
    <m/>
  </r>
  <r>
    <x v="16"/>
    <x v="8"/>
    <s v="C:\Users\andre\Desktop\REACTIV CEFAS\Cromolyn\Cromolyn/20201202_Cefas_Test8_Run2/Plate 4/@18/H9_02.tif "/>
    <s v=" 7267.6446 "/>
    <s v=" 32.5089 "/>
    <x v="0"/>
    <n v="236263"/>
    <m/>
    <m/>
  </r>
  <r>
    <x v="16"/>
    <x v="8"/>
    <s v="C:\Users\andre\Desktop\REACTIV CEFAS\Cromolyn\Cromolyn/20201202_Cefas_Test8_Run2/Plate 4/@18/H9_03.tif "/>
    <s v=" 4261.0892 "/>
    <s v=" 32.5381 "/>
    <x v="0"/>
    <n v="138648"/>
    <m/>
    <m/>
  </r>
  <r>
    <x v="0"/>
    <x v="0"/>
    <s v=" "/>
    <m/>
    <m/>
    <x v="1"/>
    <m/>
    <m/>
    <m/>
  </r>
  <r>
    <x v="0"/>
    <x v="0"/>
    <s v="group "/>
    <s v=" "/>
    <s v=" mean of mean fluo "/>
    <x v="2"/>
    <s v=" mean of total fluo "/>
    <s v=" SD total fluo "/>
    <m/>
  </r>
  <r>
    <x v="16"/>
    <x v="9"/>
    <s v="C:\Users\andre\Desktop\REACTIV CEFAS\Cromolyn\Cromolyn/20201202_Cefas_Test8_Run2/Plate 4/@18/ "/>
    <s v=" "/>
    <s v=" 37.1812 "/>
    <x v="18"/>
    <n v="840727"/>
    <s v=" 517375.4 "/>
    <m/>
  </r>
  <r>
    <x v="0"/>
    <x v="0"/>
    <s v=" "/>
    <m/>
    <m/>
    <x v="1"/>
    <m/>
    <m/>
    <m/>
  </r>
  <r>
    <x v="0"/>
    <x v="0"/>
    <s v=" "/>
    <m/>
    <m/>
    <x v="1"/>
    <m/>
    <m/>
    <m/>
  </r>
  <r>
    <x v="0"/>
    <x v="0"/>
    <s v=" "/>
    <m/>
    <m/>
    <x v="1"/>
    <m/>
    <m/>
    <m/>
  </r>
  <r>
    <x v="0"/>
    <x v="0"/>
    <s v=" "/>
    <m/>
    <m/>
    <x v="1"/>
    <m/>
    <m/>
    <m/>
  </r>
  <r>
    <x v="0"/>
    <x v="0"/>
    <s v=" "/>
    <m/>
    <m/>
    <x v="1"/>
    <m/>
    <m/>
    <m/>
  </r>
  <r>
    <x v="0"/>
    <x v="0"/>
    <s v="file name "/>
    <s v=" total area "/>
    <s v=" mean intensity "/>
    <x v="0"/>
    <s v=" total fluorescence"/>
    <m/>
    <m/>
  </r>
  <r>
    <x v="17"/>
    <x v="1"/>
    <s v="C:\Users\andre\Desktop\REACTIV CEFAS\Cromolyn\Cromolyn/20201202_Cefas_Test8_Run2/Plate 4/@19/A10_01.tif "/>
    <s v=" 843.5659 "/>
    <s v=" 32.1026 "/>
    <x v="0"/>
    <n v="27081"/>
    <m/>
    <m/>
  </r>
  <r>
    <x v="17"/>
    <x v="1"/>
    <s v="C:\Users\andre\Desktop\REACTIV CEFAS\Cromolyn\Cromolyn/20201202_Cefas_Test8_Run2/Plate 4/@19/A10_02.tif "/>
    <s v=" 1708.7617 "/>
    <s v=" 32.2658 "/>
    <x v="0"/>
    <n v="55135"/>
    <m/>
    <m/>
  </r>
  <r>
    <x v="17"/>
    <x v="1"/>
    <s v="C:\Users\andre\Desktop\REACTIV CEFAS\Cromolyn\Cromolyn/20201202_Cefas_Test8_Run2/Plate 4/@19/A10_03.tif "/>
    <s v=" 5061.3953 "/>
    <s v=" 32.5128 "/>
    <x v="0"/>
    <n v="164560"/>
    <m/>
    <m/>
  </r>
  <r>
    <x v="17"/>
    <x v="2"/>
    <s v="C:\Users\andre\Desktop\REACTIV CEFAS\Cromolyn\Cromolyn/20201202_Cefas_Test8_Run2/Plate 4/@19/B10_01.tif "/>
    <s v=" 16352.2003 "/>
    <s v=" 33.7672 "/>
    <x v="0"/>
    <n v="552168"/>
    <m/>
    <m/>
  </r>
  <r>
    <x v="17"/>
    <x v="2"/>
    <s v="C:\Users\andre\Desktop\REACTIV CEFAS\Cromolyn\Cromolyn/20201202_Cefas_Test8_Run2/Plate 4/@19/B10_02.tif "/>
    <s v=" 29113.8382 "/>
    <s v=" 36.4725 "/>
    <x v="0"/>
    <n v="1061855"/>
    <m/>
    <m/>
  </r>
  <r>
    <x v="17"/>
    <x v="2"/>
    <s v="C:\Users\andre\Desktop\REACTIV CEFAS\Cromolyn\Cromolyn/20201202_Cefas_Test8_Run2/Plate 4/@19/B10_03.tif "/>
    <s v=" 25696.3148 "/>
    <s v=" 35.0295 "/>
    <x v="0"/>
    <n v="900128"/>
    <m/>
    <m/>
  </r>
  <r>
    <x v="17"/>
    <x v="3"/>
    <s v="C:\Users\andre\Desktop\REACTIV CEFAS\Cromolyn\Cromolyn/20201202_Cefas_Test8_Run2/Plate 4/@19/C10_01.tif "/>
    <s v=" 59979.6978 "/>
    <s v=" 40.396 "/>
    <x v="0"/>
    <n v="2422938"/>
    <m/>
    <m/>
  </r>
  <r>
    <x v="17"/>
    <x v="3"/>
    <s v="C:\Users\andre\Desktop\REACTIV CEFAS\Cromolyn\Cromolyn/20201202_Cefas_Test8_Run2/Plate 4/@19/C10_02.tif "/>
    <s v=" 53685.3985 "/>
    <s v=" 36.6515 "/>
    <x v="0"/>
    <n v="1967650"/>
    <m/>
    <m/>
  </r>
  <r>
    <x v="17"/>
    <x v="3"/>
    <s v="C:\Users\andre\Desktop\REACTIV CEFAS\Cromolyn\Cromolyn/20201202_Cefas_Test8_Run2/Plate 4/@19/C10_03.tif "/>
    <s v=" 54615.4839 "/>
    <s v=" 38.5109 "/>
    <x v="0"/>
    <n v="2103291"/>
    <m/>
    <m/>
  </r>
  <r>
    <x v="17"/>
    <x v="4"/>
    <s v="C:\Users\andre\Desktop\REACTIV CEFAS\Cromolyn\Cromolyn/20201202_Cefas_Test8_Run2/Plate 4/@19/D10_01.tif "/>
    <s v=" 15335.5953 "/>
    <s v=" 36.0353 "/>
    <x v="0"/>
    <n v="552622"/>
    <m/>
    <m/>
  </r>
  <r>
    <x v="17"/>
    <x v="4"/>
    <s v="C:\Users\andre\Desktop\REACTIV CEFAS\Cromolyn\Cromolyn/20201202_Cefas_Test8_Run2/Plate 4/@19/D10_02.tif "/>
    <s v=" 22451.8306 "/>
    <s v=" 36.4711 "/>
    <x v="0"/>
    <n v="818843"/>
    <m/>
    <m/>
  </r>
  <r>
    <x v="17"/>
    <x v="4"/>
    <s v="C:\Users\andre\Desktop\REACTIV CEFAS\Cromolyn\Cromolyn/20201202_Cefas_Test8_Run2/Plate 4/@19/D10_03.tif "/>
    <s v=" 21521.7452 "/>
    <s v=" 37.4482 "/>
    <x v="0"/>
    <n v="805952"/>
    <m/>
    <m/>
  </r>
  <r>
    <x v="17"/>
    <x v="5"/>
    <s v="C:\Users\andre\Desktop\REACTIV CEFAS\Cromolyn\Cromolyn/20201202_Cefas_Test8_Run2/Plate 4/@19/E10_01.tif "/>
    <s v=" 50743.7328 "/>
    <s v=" 35.0171 "/>
    <x v="0"/>
    <n v="1776896"/>
    <m/>
    <m/>
  </r>
  <r>
    <x v="17"/>
    <x v="5"/>
    <s v="C:\Users\andre\Desktop\REACTIV CEFAS\Cromolyn\Cromolyn/20201202_Cefas_Test8_Run2/Plate 4/@19/E10_02.tif "/>
    <s v=" 60606.9648 "/>
    <s v=" 36.3044 "/>
    <x v="0"/>
    <n v="2200301"/>
    <m/>
    <m/>
  </r>
  <r>
    <x v="17"/>
    <x v="5"/>
    <s v="C:\Users\andre\Desktop\REACTIV CEFAS\Cromolyn\Cromolyn/20201202_Cefas_Test8_Run2/Plate 4/@19/E10_03.tif "/>
    <s v=" 59092.8721 "/>
    <s v=" 39.5728 "/>
    <x v="0"/>
    <n v="2338473"/>
    <m/>
    <m/>
  </r>
  <r>
    <x v="17"/>
    <x v="6"/>
    <s v="C:\Users\andre\Desktop\REACTIV CEFAS\Cromolyn\Cromolyn/20201202_Cefas_Test8_Run2/Plate 4/@19/F10_01- exclu.tif"/>
    <m/>
    <m/>
    <x v="1"/>
    <m/>
    <m/>
    <m/>
  </r>
  <r>
    <x v="17"/>
    <x v="6"/>
    <s v="C:\Users\andre\Desktop\REACTIV CEFAS\Cromolyn\Cromolyn/20201202_Cefas_Test8_Run2/Plate 4/@19/F10_02.tif "/>
    <s v=" 72503.4068 "/>
    <s v=" 46.256 "/>
    <x v="0"/>
    <n v="3353715"/>
    <m/>
    <m/>
  </r>
  <r>
    <x v="17"/>
    <x v="6"/>
    <s v="C:\Users\andre\Desktop\REACTIV CEFAS\Cromolyn\Cromolyn/20201202_Cefas_Test8_Run2/Plate 4/@19/F10_03.tif "/>
    <s v=" 73368.6026 "/>
    <s v=" 47.467 "/>
    <x v="0"/>
    <n v="3482586"/>
    <m/>
    <m/>
  </r>
  <r>
    <x v="17"/>
    <x v="7"/>
    <s v="C:\Users\andre\Desktop\REACTIV CEFAS\Cromolyn\Cromolyn/20201202_Cefas_Test8_Run2/Plate 4/@19/G10_01.tif "/>
    <s v=" 38263.2836 "/>
    <s v=" 36.0475 "/>
    <x v="0"/>
    <n v="1379295"/>
    <m/>
    <m/>
  </r>
  <r>
    <x v="17"/>
    <x v="7"/>
    <s v="C:\Users\andre\Desktop\REACTIV CEFAS\Cromolyn\Cromolyn/20201202_Cefas_Test8_Run2/Plate 4/@19/G10_02.tif "/>
    <s v=" 30390.002 "/>
    <s v=" 34.0249 "/>
    <x v="0"/>
    <n v="1034017"/>
    <m/>
    <m/>
  </r>
  <r>
    <x v="17"/>
    <x v="7"/>
    <s v="C:\Users\andre\Desktop\REACTIV CEFAS\Cromolyn\Cromolyn/20201202_Cefas_Test8_Run2/Plate 4/@19/G10_03.tif "/>
    <s v=" 30909.1194 "/>
    <s v=" 33.9279 "/>
    <x v="0"/>
    <n v="1048682"/>
    <m/>
    <m/>
  </r>
  <r>
    <x v="17"/>
    <x v="8"/>
    <s v="C:\Users\andre\Desktop\REACTIV CEFAS\Cromolyn\Cromolyn/20201202_Cefas_Test8_Run2/Plate 4/@19/H10_01.tif "/>
    <s v=" 15205.8159 "/>
    <s v=" 39.1664 "/>
    <x v="0"/>
    <n v="595558"/>
    <m/>
    <m/>
  </r>
  <r>
    <x v="17"/>
    <x v="8"/>
    <s v="C:\Users\andre\Desktop\REACTIV CEFAS\Cromolyn\Cromolyn/20201202_Cefas_Test8_Run2/Plate 4/@19/H10_02.tif "/>
    <s v=" 18904.5279 "/>
    <s v=" 39.5561 "/>
    <x v="0"/>
    <n v="747789"/>
    <m/>
    <m/>
  </r>
  <r>
    <x v="17"/>
    <x v="8"/>
    <s v="C:\Users\andre\Desktop\REACTIV CEFAS\Cromolyn\Cromolyn/20201202_Cefas_Test8_Run2/Plate 4/@19/H10_03.tif "/>
    <s v=" 27296.927 "/>
    <s v=" 38.8423 "/>
    <x v="0"/>
    <n v="1060276"/>
    <m/>
    <m/>
  </r>
  <r>
    <x v="0"/>
    <x v="0"/>
    <s v=" "/>
    <m/>
    <m/>
    <x v="1"/>
    <m/>
    <m/>
    <m/>
  </r>
  <r>
    <x v="0"/>
    <x v="0"/>
    <s v="group "/>
    <s v=" "/>
    <s v=" mean of mean fluo "/>
    <x v="2"/>
    <s v=" mean of total fluo "/>
    <s v=" SD total fluo "/>
    <m/>
  </r>
  <r>
    <x v="17"/>
    <x v="9"/>
    <s v="C:\Users\andre\Desktop\REACTIV CEFAS\Cromolyn\Cromolyn/20201202_Cefas_Test8_Run2/Plate 4/@19/ "/>
    <s v=" "/>
    <s v=" 37.5661 "/>
    <x v="19"/>
    <s v=" 1417654.04 "/>
    <s v=" 1054107.75 "/>
    <m/>
  </r>
  <r>
    <x v="0"/>
    <x v="0"/>
    <s v=" "/>
    <m/>
    <m/>
    <x v="1"/>
    <m/>
    <m/>
    <m/>
  </r>
  <r>
    <x v="0"/>
    <x v="0"/>
    <s v=" "/>
    <m/>
    <m/>
    <x v="1"/>
    <m/>
    <m/>
    <m/>
  </r>
  <r>
    <x v="0"/>
    <x v="0"/>
    <s v=" "/>
    <m/>
    <m/>
    <x v="1"/>
    <m/>
    <m/>
    <m/>
  </r>
  <r>
    <x v="0"/>
    <x v="0"/>
    <s v=" "/>
    <m/>
    <m/>
    <x v="1"/>
    <m/>
    <m/>
    <m/>
  </r>
  <r>
    <x v="0"/>
    <x v="0"/>
    <s v=" "/>
    <m/>
    <m/>
    <x v="1"/>
    <m/>
    <m/>
    <m/>
  </r>
  <r>
    <x v="0"/>
    <x v="0"/>
    <s v="file name "/>
    <s v=" total area "/>
    <s v=" mean intensity "/>
    <x v="0"/>
    <s v=" total fluorescence"/>
    <m/>
    <m/>
  </r>
  <r>
    <x v="18"/>
    <x v="1"/>
    <s v="C:\Users\andre\Desktop\REACTIV CEFAS\Cromolyn\Cromolyn/20201202_Cefas_Test8_Run2/Plate 4/@20/A11_01.tif "/>
    <s v=" 39669.2267 "/>
    <s v=" 37.3195 "/>
    <x v="0"/>
    <n v="1480437"/>
    <m/>
    <m/>
  </r>
  <r>
    <x v="18"/>
    <x v="1"/>
    <s v="C:\Users\andre\Desktop\REACTIV CEFAS\Cromolyn\Cromolyn/20201202_Cefas_Test8_Run2/Plate 4/@20/A11_02.tif "/>
    <s v=" 31125.4184 "/>
    <s v=" 35.2926 "/>
    <x v="0"/>
    <n v="1098496"/>
    <m/>
    <m/>
  </r>
  <r>
    <x v="18"/>
    <x v="1"/>
    <s v="C:\Users\andre\Desktop\REACTIV CEFAS\Cromolyn\Cromolyn/20201202_Cefas_Test8_Run2/Plate 4/@20/A11_03.tif "/>
    <s v=" 41183.3194 "/>
    <s v=" 39.3388 "/>
    <x v="0"/>
    <n v="1620101"/>
    <m/>
    <m/>
  </r>
  <r>
    <x v="18"/>
    <x v="2"/>
    <s v="C:\Users\andre\Desktop\REACTIV CEFAS\Cromolyn\Cromolyn/20201202_Cefas_Test8_Run2/Plate 4/@20/B11_01.tif "/>
    <s v=" 16957.8374 "/>
    <s v=" 34.5319 "/>
    <x v="0"/>
    <n v="585586"/>
    <m/>
    <m/>
  </r>
  <r>
    <x v="18"/>
    <x v="2"/>
    <s v="C:\Users\andre\Desktop\REACTIV CEFAS\Cromolyn\Cromolyn/20201202_Cefas_Test8_Run2/Plate 4/@20/B11_02.tif "/>
    <s v=" 21045.8875 "/>
    <s v=" 36.0781 "/>
    <x v="0"/>
    <n v="759296"/>
    <m/>
    <m/>
  </r>
  <r>
    <x v="18"/>
    <x v="2"/>
    <s v="C:\Users\andre\Desktop\REACTIV CEFAS\Cromolyn\Cromolyn/20201202_Cefas_Test8_Run2/Plate 4/@20/B11_03.tif "/>
    <s v=" 18060.962 "/>
    <s v=" 37.9222 "/>
    <x v="0"/>
    <n v="684911"/>
    <m/>
    <m/>
  </r>
  <r>
    <x v="18"/>
    <x v="3"/>
    <s v="C:\Users\andre\Desktop\REACTIV CEFAS\Cromolyn\Cromolyn/20201202_Cefas_Test8_Run2/Plate 4/@20/C11_01.tif "/>
    <s v=" 9668.5629 "/>
    <s v=" 33.6376 "/>
    <x v="0"/>
    <n v="325227"/>
    <m/>
    <m/>
  </r>
  <r>
    <x v="18"/>
    <x v="3"/>
    <s v="C:\Users\andre\Desktop\REACTIV CEFAS\Cromolyn\Cromolyn/20201202_Cefas_Test8_Run2/Plate 4/@20/C11_02.tif "/>
    <s v=" 15313.9654 "/>
    <s v=" 37.8658 "/>
    <x v="0"/>
    <n v="579876"/>
    <m/>
    <m/>
  </r>
  <r>
    <x v="18"/>
    <x v="3"/>
    <s v="C:\Users\andre\Desktop\REACTIV CEFAS\Cromolyn\Cromolyn/20201202_Cefas_Test8_Run2/Plate 4/@20/C11_03.tif "/>
    <s v=" 6272.6694 "/>
    <s v=" 36.6552 "/>
    <x v="0"/>
    <n v="229926"/>
    <m/>
    <m/>
  </r>
  <r>
    <x v="18"/>
    <x v="4"/>
    <s v="C:\Users\andre\Desktop\REACTIV CEFAS\Cromolyn\Cromolyn/20201202_Cefas_Test8_Run2/Plate 4/@20/D11_01.tif "/>
    <s v=" 34759.2407 "/>
    <s v=" 42.392 "/>
    <x v="0"/>
    <n v="1473515"/>
    <m/>
    <m/>
  </r>
  <r>
    <x v="18"/>
    <x v="4"/>
    <s v="C:\Users\andre\Desktop\REACTIV CEFAS\Cromolyn\Cromolyn/20201202_Cefas_Test8_Run2/Plate 4/@20/D11_02.tif "/>
    <s v=" 32488.1017 "/>
    <s v=" 38.6505 "/>
    <x v="0"/>
    <n v="1255680"/>
    <m/>
    <m/>
  </r>
  <r>
    <x v="18"/>
    <x v="4"/>
    <s v="C:\Users\andre\Desktop\REACTIV CEFAS\Cromolyn\Cromolyn/20201202_Cefas_Test8_Run2/Plate 4/@20/D11_03.tif "/>
    <s v=" 28875.9093 "/>
    <s v=" 38.4876 "/>
    <x v="0"/>
    <n v="1111366"/>
    <m/>
    <m/>
  </r>
  <r>
    <x v="18"/>
    <x v="5"/>
    <s v="C:\Users\andre\Desktop\REACTIV CEFAS\Cromolyn\Cromolyn/20201202_Cefas_Test8_Run2/Plate 4/@20/E11_01.tif "/>
    <s v=" 16719.9085 "/>
    <s v=" 43.784 "/>
    <x v="0"/>
    <n v="732064"/>
    <m/>
    <m/>
  </r>
  <r>
    <x v="18"/>
    <x v="5"/>
    <s v="C:\Users\andre\Desktop\REACTIV CEFAS\Cromolyn\Cromolyn/20201202_Cefas_Test8_Run2/Plate 4/@20/E11_02.tif "/>
    <s v=" 18623.3393 "/>
    <s v=" 44.1254 "/>
    <x v="0"/>
    <n v="821763"/>
    <m/>
    <m/>
  </r>
  <r>
    <x v="18"/>
    <x v="5"/>
    <s v="C:\Users\andre\Desktop\REACTIV CEFAS\Cromolyn\Cromolyn/20201202_Cefas_Test8_Run2/Plate 4/@20/E11_03.tif "/>
    <s v=" 18926.1578 "/>
    <s v=" 46.8857 "/>
    <x v="0"/>
    <n v="887366"/>
    <m/>
    <m/>
  </r>
  <r>
    <x v="18"/>
    <x v="6"/>
    <s v="C:\Users\andre\Desktop\REACTIV CEFAS\Cromolyn\Cromolyn/20201202_Cefas_Test8_Run2/Plate 4/@20/F11_01.tif "/>
    <s v=" 34953.9097 "/>
    <s v=" 34.6887 "/>
    <x v="0"/>
    <n v="1212507"/>
    <m/>
    <m/>
  </r>
  <r>
    <x v="18"/>
    <x v="6"/>
    <s v="C:\Users\andre\Desktop\REACTIV CEFAS\Cromolyn\Cromolyn/20201202_Cefas_Test8_Run2/Plate 4/@20/F11_02.tif "/>
    <s v=" 32704.4007 "/>
    <s v=" 36.9008 "/>
    <x v="0"/>
    <n v="1206818"/>
    <m/>
    <m/>
  </r>
  <r>
    <x v="18"/>
    <x v="6"/>
    <s v="C:\Users\andre\Desktop\REACTIV CEFAS\Cromolyn\Cromolyn/20201202_Cefas_Test8_Run2/Plate 4/@20/F11_03.tif "/>
    <s v=" 40858.871 "/>
    <s v=" 38.3007 "/>
    <x v="0"/>
    <n v="1564923"/>
    <m/>
    <m/>
  </r>
  <r>
    <x v="18"/>
    <x v="7"/>
    <s v="C:\Users\andre\Desktop\REACTIV CEFAS\Cromolyn\Cromolyn/20201202_Cefas_Test8_Run2/Plate 4/@20/G11_01.tif "/>
    <s v=" 28291.9022 "/>
    <s v=" 36.2164 "/>
    <x v="0"/>
    <n v="1024630"/>
    <m/>
    <m/>
  </r>
  <r>
    <x v="18"/>
    <x v="7"/>
    <s v="C:\Users\andre\Desktop\REACTIV CEFAS\Cromolyn\Cromolyn/20201202_Cefas_Test8_Run2/Plate 4/@20/G11_02.tif "/>
    <s v=" 32617.8811 "/>
    <s v=" 37.2871 "/>
    <x v="0"/>
    <n v="1216227"/>
    <m/>
    <m/>
  </r>
  <r>
    <x v="18"/>
    <x v="7"/>
    <s v="C:\Users\andre\Desktop\REACTIV CEFAS\Cromolyn\Cromolyn/20201202_Cefas_Test8_Run2/Plate 4/@20/G11_03.tif "/>
    <s v=" 22170.642 "/>
    <s v=" 36.3551 "/>
    <x v="0"/>
    <n v="806016"/>
    <m/>
    <m/>
  </r>
  <r>
    <x v="18"/>
    <x v="8"/>
    <s v="C:\Users\andre\Desktop\REACTIV CEFAS\Cromolyn\Cromolyn/20201202_Cefas_Test8_Run2/Plate 4/@20/H11_01.tif "/>
    <s v=" 34369.9026 "/>
    <s v=" 35.1246 "/>
    <x v="0"/>
    <n v="1207229"/>
    <m/>
    <m/>
  </r>
  <r>
    <x v="18"/>
    <x v="8"/>
    <s v="C:\Users\andre\Desktop\REACTIV CEFAS\Cromolyn\Cromolyn/20201202_Cefas_Test8_Run2/Plate 4/@20/H11_02.tif "/>
    <s v=" 34564.5716 "/>
    <s v=" 35.8867 "/>
    <x v="0"/>
    <n v="1240410"/>
    <m/>
    <m/>
  </r>
  <r>
    <x v="18"/>
    <x v="8"/>
    <s v="C:\Users\andre\Desktop\REACTIV CEFAS\Cromolyn\Cromolyn/20201202_Cefas_Test8_Run2/Plate 4/@20/H11_03.tif "/>
    <s v=" 25696.3148 "/>
    <s v=" 37.484 "/>
    <x v="0"/>
    <n v="963201"/>
    <m/>
    <m/>
  </r>
  <r>
    <x v="0"/>
    <x v="0"/>
    <s v=" "/>
    <m/>
    <m/>
    <x v="1"/>
    <m/>
    <m/>
    <m/>
  </r>
  <r>
    <x v="0"/>
    <x v="0"/>
    <s v="group "/>
    <s v=" "/>
    <s v=" mean of mean fluo "/>
    <x v="2"/>
    <s v=" mean of total fluo "/>
    <s v=" SD total fluo "/>
    <m/>
  </r>
  <r>
    <x v="18"/>
    <x v="9"/>
    <s v="C:\Users\andre\Desktop\REACTIV CEFAS\Cromolyn\Cromolyn/20201202_Cefas_Test8_Run2/Plate 4/@20/ "/>
    <s v=" "/>
    <s v=" 37.9671 "/>
    <x v="20"/>
    <s v=" 1003648.79 "/>
    <s v=" 372472.012 "/>
    <m/>
  </r>
  <r>
    <x v="0"/>
    <x v="0"/>
    <s v=" "/>
    <m/>
    <m/>
    <x v="1"/>
    <m/>
    <m/>
    <m/>
  </r>
  <r>
    <x v="0"/>
    <x v="0"/>
    <s v=" "/>
    <m/>
    <m/>
    <x v="1"/>
    <m/>
    <m/>
    <m/>
  </r>
  <r>
    <x v="0"/>
    <x v="0"/>
    <s v=" "/>
    <m/>
    <m/>
    <x v="1"/>
    <m/>
    <m/>
    <m/>
  </r>
  <r>
    <x v="0"/>
    <x v="0"/>
    <s v=" "/>
    <m/>
    <m/>
    <x v="1"/>
    <m/>
    <m/>
    <m/>
  </r>
  <r>
    <x v="0"/>
    <x v="0"/>
    <s v=" "/>
    <m/>
    <m/>
    <x v="1"/>
    <m/>
    <m/>
    <m/>
  </r>
  <r>
    <x v="0"/>
    <x v="0"/>
    <s v="file name "/>
    <s v=" total area "/>
    <s v=" mean intensity "/>
    <x v="0"/>
    <s v=" total fluorescence"/>
    <m/>
    <m/>
  </r>
  <r>
    <x v="19"/>
    <x v="1"/>
    <s v="C:\Users\andre\Desktop\REACTIV CEFAS\Cromolyn\Cromolyn/20201202_Cefas_Test8_Run2/Plate 4/@21/A12_01.tif "/>
    <s v=" 15011.1469 "/>
    <s v=" 44.5058 "/>
    <x v="0"/>
    <n v="668083"/>
    <m/>
    <m/>
  </r>
  <r>
    <x v="19"/>
    <x v="1"/>
    <s v="C:\Users\andre\Desktop\REACTIV CEFAS\Cromolyn\Cromolyn/20201202_Cefas_Test8_Run2/Plate 4/@21/A12_02.tif "/>
    <s v=" 19618.3144 "/>
    <s v=" 43.7806 "/>
    <x v="0"/>
    <n v="858901"/>
    <m/>
    <m/>
  </r>
  <r>
    <x v="19"/>
    <x v="1"/>
    <s v="C:\Users\andre\Desktop\REACTIV CEFAS\Cromolyn\Cromolyn/20201202_Cefas_Test8_Run2/Plate 4/@21/A12_03.tif "/>
    <s v=" 17931.1826 "/>
    <s v=" 43.7817 "/>
    <x v="0"/>
    <n v="785057"/>
    <m/>
    <m/>
  </r>
  <r>
    <x v="19"/>
    <x v="2"/>
    <s v="C:\Users\andre\Desktop\REACTIV CEFAS\Cromolyn\Cromolyn/20201202_Cefas_Test8_Run2/Plate 4/@21/B12_01.tif "/>
    <s v=" 8868.2568 "/>
    <s v=" 33.3488 "/>
    <x v="0"/>
    <n v="295746"/>
    <m/>
    <m/>
  </r>
  <r>
    <x v="19"/>
    <x v="2"/>
    <s v="C:\Users\andre\Desktop\REACTIV CEFAS\Cromolyn\Cromolyn/20201202_Cefas_Test8_Run2/Plate 4/@21/B12_02.tif "/>
    <s v=" 12610.2286 "/>
    <s v=" 34.0686 "/>
    <x v="0"/>
    <n v="429613"/>
    <m/>
    <m/>
  </r>
  <r>
    <x v="19"/>
    <x v="2"/>
    <s v="C:\Users\andre\Desktop\REACTIV CEFAS\Cromolyn\Cromolyn/20201202_Cefas_Test8_Run2/Plate 4/@21/B12_03.tif "/>
    <s v=" 18623.3393 "/>
    <s v=" 34.2776 "/>
    <x v="0"/>
    <n v="638363"/>
    <m/>
    <m/>
  </r>
  <r>
    <x v="19"/>
    <x v="3"/>
    <s v="C:\Users\andre\Desktop\REACTIV CEFAS\Cromolyn\Cromolyn/20201202_Cefas_Test8_Run2/Plate 4/@21/C12_01.tif "/>
    <s v=" 38977.0701 "/>
    <s v=" 40.4978 "/>
    <x v="0"/>
    <n v="1578485"/>
    <m/>
    <m/>
  </r>
  <r>
    <x v="19"/>
    <x v="3"/>
    <s v="C:\Users\andre\Desktop\REACTIV CEFAS\Cromolyn\Cromolyn/20201202_Cefas_Test8_Run2/Plate 4/@21/C12_02.tif "/>
    <s v=" 43281.4192 "/>
    <s v=" 42.0545 "/>
    <x v="0"/>
    <n v="1820177"/>
    <m/>
    <m/>
  </r>
  <r>
    <x v="19"/>
    <x v="3"/>
    <s v="C:\Users\andre\Desktop\REACTIV CEFAS\Cromolyn\Cromolyn/20201202_Cefas_Test8_Run2/Plate 4/@21/C12_03.tif "/>
    <s v=" 50311.1349 "/>
    <s v=" 43.834 "/>
    <x v="0"/>
    <n v="2205341"/>
    <m/>
    <m/>
  </r>
  <r>
    <x v="19"/>
    <x v="4"/>
    <s v="C:\Users\andre\Desktop\REACTIV CEFAS\Cromolyn\Cromolyn/20201202_Cefas_Test8_Run2/Plate 4/@21/D12_01.tif "/>
    <s v=" 28875.9093 "/>
    <s v=" 34.9296 "/>
    <x v="0"/>
    <n v="1008624"/>
    <m/>
    <m/>
  </r>
  <r>
    <x v="19"/>
    <x v="4"/>
    <s v="C:\Users\andre\Desktop\REACTIV CEFAS\Cromolyn\Cromolyn/20201202_Cefas_Test8_Run2/Plate 4/@21/D12_02.tif "/>
    <s v=" 30000.6639 "/>
    <s v=" 34.8572 "/>
    <x v="0"/>
    <n v="1045741"/>
    <m/>
    <m/>
  </r>
  <r>
    <x v="19"/>
    <x v="4"/>
    <s v="C:\Users\andre\Desktop\REACTIV CEFAS\Cromolyn\Cromolyn/20201202_Cefas_Test8_Run2/Plate 4/@21/D12_03.tif "/>
    <s v=" 39496.1876 "/>
    <s v=" 36.7262 "/>
    <x v="0"/>
    <n v="1450544"/>
    <m/>
    <m/>
  </r>
  <r>
    <x v="19"/>
    <x v="5"/>
    <s v="C:\Users\andre\Desktop\REACTIV CEFAS\Cromolyn\Cromolyn/20201202_Cefas_Test8_Run2/Plate 4/@21/E12_01.tif "/>
    <s v=" 38998.7 "/>
    <s v=" 38.6267 "/>
    <x v="0"/>
    <n v="1506392"/>
    <m/>
    <m/>
  </r>
  <r>
    <x v="19"/>
    <x v="5"/>
    <s v="C:\Users\andre\Desktop\REACTIV CEFAS\Cromolyn\Cromolyn/20201202_Cefas_Test8_Run2/Plate 4/@21/E12_02- exclu.tif"/>
    <m/>
    <m/>
    <x v="1"/>
    <m/>
    <m/>
    <m/>
  </r>
  <r>
    <x v="19"/>
    <x v="5"/>
    <s v="C:\Users\andre\Desktop\REACTIV CEFAS\Cromolyn\Cromolyn/20201202_Cefas_Test8_Run2/Plate 4/@21/E12_03- exclu.tif"/>
    <m/>
    <m/>
    <x v="1"/>
    <m/>
    <m/>
    <m/>
  </r>
  <r>
    <x v="19"/>
    <x v="6"/>
    <s v="C:\Users\andre\Desktop\REACTIV CEFAS\Cromolyn\Cromolyn/20201202_Cefas_Test8_Run2/Plate 4/@21/F12_01.tif "/>
    <s v=" 51241.2204 "/>
    <s v=" 41.087 "/>
    <x v="0"/>
    <n v="2105346"/>
    <m/>
    <m/>
  </r>
  <r>
    <x v="19"/>
    <x v="6"/>
    <s v="C:\Users\andre\Desktop\REACTIV CEFAS\Cromolyn\Cromolyn/20201202_Cefas_Test8_Run2/Plate 4/@21/F12_02.tif "/>
    <s v=" 44860.4015 "/>
    <s v=" 41.324 "/>
    <x v="0"/>
    <n v="1853812"/>
    <m/>
    <m/>
  </r>
  <r>
    <x v="19"/>
    <x v="6"/>
    <s v="C:\Users\andre\Desktop\REACTIV CEFAS\Cromolyn\Cromolyn/20201202_Cefas_Test8_Run2/Plate 4/@21/F12_03.tif "/>
    <s v=" 46114.9353 "/>
    <s v=" 41.4906 "/>
    <x v="0"/>
    <n v="1913337"/>
    <m/>
    <m/>
  </r>
  <r>
    <x v="19"/>
    <x v="7"/>
    <s v="C:\Users\andre\Desktop\REACTIV CEFAS\Cromolyn\Cromolyn/20201202_Cefas_Test8_Run2/Plate 4/@21/G12_01.tif "/>
    <s v=" 10425.6092 "/>
    <s v=" 32.5104 "/>
    <x v="0"/>
    <n v="338940"/>
    <m/>
    <m/>
  </r>
  <r>
    <x v="19"/>
    <x v="7"/>
    <s v="C:\Users\andre\Desktop\REACTIV CEFAS\Cromolyn\Cromolyn/20201202_Cefas_Test8_Run2/Plate 4/@21/G12_02.tif "/>
    <s v=" 13215.8656 "/>
    <s v=" 35.3453 "/>
    <x v="0"/>
    <n v="467119"/>
    <m/>
    <m/>
  </r>
  <r>
    <x v="19"/>
    <x v="7"/>
    <s v="C:\Users\andre\Desktop\REACTIV CEFAS\Cromolyn\Cromolyn/20201202_Cefas_Test8_Run2/Plate 4/@21/G12_03.tif "/>
    <s v=" 13150.9759 "/>
    <s v=" 33.2253 "/>
    <x v="0"/>
    <n v="436946"/>
    <m/>
    <m/>
  </r>
  <r>
    <x v="19"/>
    <x v="8"/>
    <s v="C:\Users\andre\Desktop\REACTIV CEFAS\Cromolyn\Cromolyn/20201202_Cefas_Test8_Run2/Plate 4/@21/H12_01.tif "/>
    <s v=" 48883.5619 "/>
    <s v=" 39.5301 "/>
    <x v="0"/>
    <n v="1932372"/>
    <m/>
    <m/>
  </r>
  <r>
    <x v="19"/>
    <x v="8"/>
    <s v="C:\Users\andre\Desktop\REACTIV CEFAS\Cromolyn\Cromolyn/20201202_Cefas_Test8_Run2/Plate 4/@21/H12_02.tif "/>
    <s v=" 46114.9353 "/>
    <s v=" 39.2139 "/>
    <x v="0"/>
    <n v="1808346"/>
    <m/>
    <m/>
  </r>
  <r>
    <x v="19"/>
    <x v="8"/>
    <s v="C:\Users\andre\Desktop\REACTIV CEFAS\Cromolyn\Cromolyn/20201202_Cefas_Test8_Run2/Plate 4/@21/H12_03.tif "/>
    <s v=" 48472.5939 "/>
    <s v=" 37.842 "/>
    <x v="0"/>
    <n v="1834302"/>
    <m/>
    <m/>
  </r>
  <r>
    <x v="0"/>
    <x v="0"/>
    <s v=" "/>
    <m/>
    <m/>
    <x v="1"/>
    <m/>
    <m/>
    <m/>
  </r>
  <r>
    <x v="0"/>
    <x v="0"/>
    <s v="group "/>
    <s v=" "/>
    <s v=" mean of mean fluo "/>
    <x v="2"/>
    <s v=" mean of total fluo "/>
    <s v=" SD total fluo "/>
    <m/>
  </r>
  <r>
    <x v="19"/>
    <x v="9"/>
    <s v="C:\Users\andre\Desktop\REACTIV CEFAS\Cromolyn\Cromolyn/20201202_Cefas_Test8_Run2/Plate 4/@21/ "/>
    <s v=" "/>
    <s v=" 39.0299 "/>
    <x v="21"/>
    <s v=" 1291031.71 "/>
    <s v=" 662935.092 "/>
    <m/>
  </r>
  <r>
    <x v="0"/>
    <x v="0"/>
    <s v=" "/>
    <m/>
    <m/>
    <x v="1"/>
    <m/>
    <m/>
    <m/>
  </r>
  <r>
    <x v="0"/>
    <x v="0"/>
    <s v=" "/>
    <m/>
    <m/>
    <x v="1"/>
    <m/>
    <m/>
    <m/>
  </r>
  <r>
    <x v="0"/>
    <x v="0"/>
    <s v=" "/>
    <m/>
    <m/>
    <x v="1"/>
    <m/>
    <m/>
    <m/>
  </r>
  <r>
    <x v="0"/>
    <x v="0"/>
    <s v=" "/>
    <m/>
    <m/>
    <x v="1"/>
    <m/>
    <m/>
    <m/>
  </r>
  <r>
    <x v="0"/>
    <x v="0"/>
    <s v=" "/>
    <m/>
    <m/>
    <x v="1"/>
    <m/>
    <m/>
    <m/>
  </r>
  <r>
    <x v="0"/>
    <x v="0"/>
    <s v="file name "/>
    <s v=" total area "/>
    <s v=" mean intensity "/>
    <x v="0"/>
    <s v=" total fluorescence"/>
    <m/>
    <m/>
  </r>
  <r>
    <x v="20"/>
    <x v="1"/>
    <s v="C:\Users\andre\Desktop\REACTIV CEFAS\Cromolyn\Cromolyn/20201202_Cefas_Test8_Run2/Plate 4/@8/A2_01.tif "/>
    <s v=" 64.8897 "/>
    <s v=" 30.6667 "/>
    <x v="0"/>
    <n v="1990"/>
    <m/>
    <m/>
  </r>
  <r>
    <x v="20"/>
    <x v="1"/>
    <s v="C:\Users\andre\Desktop\REACTIV CEFAS\Cromolyn\Cromolyn/20201202_Cefas_Test8_Run2/Plate 4/@8/A2_02.tif "/>
    <s v=" 648.8968 "/>
    <s v=" 31.9667 "/>
    <x v="0"/>
    <n v="20743"/>
    <m/>
    <m/>
  </r>
  <r>
    <x v="20"/>
    <x v="1"/>
    <s v="C:\Users\andre\Desktop\REACTIV CEFAS\Cromolyn\Cromolyn/20201202_Cefas_Test8_Run2/Plate 4/@8/A2_03.tif "/>
    <s v=" 930.0855 "/>
    <s v=" 31.8605 "/>
    <x v="0"/>
    <n v="29633"/>
    <m/>
    <m/>
  </r>
  <r>
    <x v="20"/>
    <x v="2"/>
    <s v="C:\Users\andre\Desktop\REACTIV CEFAS\Cromolyn\Cromolyn/20201202_Cefas_Test8_Run2/Plate 4/@8/B2_01.tif "/>
    <s v=" 6705.2673 "/>
    <s v=" 34.0935 "/>
    <x v="0"/>
    <n v="228606"/>
    <m/>
    <m/>
  </r>
  <r>
    <x v="20"/>
    <x v="2"/>
    <s v="C:\Users\andre\Desktop\REACTIV CEFAS\Cromolyn\Cromolyn/20201202_Cefas_Test8_Run2/Plate 4/@8/B2_02.tif "/>
    <s v=" 6272.6694 "/>
    <s v=" 35.8103 "/>
    <x v="0"/>
    <n v="224626"/>
    <m/>
    <m/>
  </r>
  <r>
    <x v="20"/>
    <x v="2"/>
    <s v="C:\Users\andre\Desktop\REACTIV CEFAS\Cromolyn\Cromolyn/20201202_Cefas_Test8_Run2/Plate 4/@8/B2_03.tif "/>
    <s v=" 9582.0433 "/>
    <s v=" 36.8059 "/>
    <x v="0"/>
    <n v="352675"/>
    <m/>
    <m/>
  </r>
  <r>
    <x v="20"/>
    <x v="3"/>
    <s v="C:\Users\andre\Desktop\REACTIV CEFAS\Cromolyn\Cromolyn/20201202_Cefas_Test8_Run2/Plate 4/@8/C2_01.tif "/>
    <s v=" 9171.0753 "/>
    <s v=" 42.1651 "/>
    <x v="0"/>
    <n v="386699"/>
    <m/>
    <m/>
  </r>
  <r>
    <x v="20"/>
    <x v="3"/>
    <s v="C:\Users\andre\Desktop\REACTIV CEFAS\Cromolyn\Cromolyn/20201202_Cefas_Test8_Run2/Plate 4/@8/C2_02- exclu.tif"/>
    <m/>
    <m/>
    <x v="1"/>
    <m/>
    <m/>
    <m/>
  </r>
  <r>
    <x v="20"/>
    <x v="3"/>
    <s v="C:\Users\andre\Desktop\REACTIV CEFAS\Cromolyn\Cromolyn/20201202_Cefas_Test8_Run2/Plate 4/@8/C2_03.tif "/>
    <s v=" 9409.0042 "/>
    <s v=" 41.4782 "/>
    <x v="0"/>
    <n v="390268"/>
    <m/>
    <m/>
  </r>
  <r>
    <x v="20"/>
    <x v="4"/>
    <s v="C:\Users\andre\Desktop\REACTIV CEFAS\Cromolyn\Cromolyn/20201202_Cefas_Test8_Run2/Plate 4/@8/D2_01.tif "/>
    <s v=" 8889.8867 "/>
    <s v=" 42.8881 "/>
    <x v="0"/>
    <n v="381270"/>
    <m/>
    <m/>
  </r>
  <r>
    <x v="20"/>
    <x v="4"/>
    <s v="C:\Users\andre\Desktop\REACTIV CEFAS\Cromolyn\Cromolyn/20201202_Cefas_Test8_Run2/Plate 4/@8/D2_02.tif "/>
    <s v=" 6488.9684 "/>
    <s v=" 39.4333 "/>
    <x v="0"/>
    <n v="255882"/>
    <m/>
    <m/>
  </r>
  <r>
    <x v="20"/>
    <x v="4"/>
    <s v="C:\Users\andre\Desktop\REACTIV CEFAS\Cromolyn\Cromolyn/20201202_Cefas_Test8_Run2/Plate 4/@8/D2_03.tif "/>
    <s v=" 4823.4665 "/>
    <s v=" 35.3901 "/>
    <x v="0"/>
    <n v="170703"/>
    <m/>
    <m/>
  </r>
  <r>
    <x v="20"/>
    <x v="5"/>
    <s v="C:\Users\andre\Desktop\REACTIV CEFAS\Cromolyn\Cromolyn/20201202_Cefas_Test8_Run2/Plate 4/@8/E2_01.tif "/>
    <s v=" 108.1495 "/>
    <s v=" 32.6 "/>
    <x v="0"/>
    <n v="3526"/>
    <m/>
    <m/>
  </r>
  <r>
    <x v="20"/>
    <x v="5"/>
    <s v="C:\Users\andre\Desktop\REACTIV CEFAS\Cromolyn\Cromolyn/20201202_Cefas_Test8_Run2/Plate 4/@8/E2_02.tif "/>
    <n v="0"/>
    <n v="0"/>
    <x v="0"/>
    <n v="0"/>
    <m/>
    <m/>
  </r>
  <r>
    <x v="20"/>
    <x v="5"/>
    <s v="C:\Users\andre\Desktop\REACTIV CEFAS\Cromolyn\Cromolyn/20201202_Cefas_Test8_Run2/Plate 4/@8/E2_03.tif "/>
    <s v=" 4520.648 "/>
    <s v=" 34.7273 "/>
    <x v="0"/>
    <n v="156990"/>
    <m/>
    <m/>
  </r>
  <r>
    <x v="20"/>
    <x v="6"/>
    <s v="C:\Users\andre\Desktop\REACTIV CEFAS\Cromolyn\Cromolyn/20201202_Cefas_Test8_Run2/Plate 4/@8/F2_01.tif "/>
    <s v=" 5191.1747 "/>
    <s v=" 37.8625 "/>
    <x v="0"/>
    <n v="196551"/>
    <m/>
    <m/>
  </r>
  <r>
    <x v="20"/>
    <x v="6"/>
    <s v="C:\Users\andre\Desktop\REACTIV CEFAS\Cromolyn\Cromolyn/20201202_Cefas_Test8_Run2/Plate 4/@8/F2_02- exclu.tif"/>
    <m/>
    <m/>
    <x v="1"/>
    <m/>
    <m/>
    <m/>
  </r>
  <r>
    <x v="20"/>
    <x v="6"/>
    <s v="C:\Users\andre\Desktop\REACTIV CEFAS\Cromolyn\Cromolyn/20201202_Cefas_Test8_Run2/Plate 4/@8/F2_03.tif "/>
    <s v=" 7527.2033 "/>
    <s v=" 36.5402 "/>
    <x v="0"/>
    <n v="275046"/>
    <m/>
    <m/>
  </r>
  <r>
    <x v="20"/>
    <x v="7"/>
    <s v="C:\Users\andre\Desktop\REACTIV CEFAS\Cromolyn\Cromolyn/20201202_Cefas_Test8_Run2/Plate 4/@8/G2_01.tif "/>
    <s v=" 4023.1604 "/>
    <s v=" 38.457 "/>
    <x v="0"/>
    <n v="154719"/>
    <m/>
    <m/>
  </r>
  <r>
    <x v="20"/>
    <x v="7"/>
    <s v="C:\Users\andre\Desktop\REACTIV CEFAS\Cromolyn\Cromolyn/20201202_Cefas_Test8_Run2/Plate 4/@8/G2_02.tif "/>
    <s v=" 2336.0286 "/>
    <s v=" 34.4722 "/>
    <x v="0"/>
    <n v="80528"/>
    <m/>
    <m/>
  </r>
  <r>
    <x v="20"/>
    <x v="7"/>
    <s v="C:\Users\andre\Desktop\REACTIV CEFAS\Cromolyn\Cromolyn/20201202_Cefas_Test8_Run2/Plate 4/@8/G2_03.tif "/>
    <s v=" 5104.6551 "/>
    <s v=" 42.678 "/>
    <x v="0"/>
    <n v="217856"/>
    <m/>
    <m/>
  </r>
  <r>
    <x v="20"/>
    <x v="8"/>
    <s v="C:\Users\andre\Desktop\REACTIV CEFAS\Cromolyn\Cromolyn/20201202_Cefas_Test8_Run2/Plate 4/@8/H2_01.tif "/>
    <s v=" 5385.8438 "/>
    <s v=" 36.8434 "/>
    <x v="0"/>
    <n v="198433"/>
    <m/>
    <m/>
  </r>
  <r>
    <x v="20"/>
    <x v="8"/>
    <s v="C:\Users\andre\Desktop\REACTIV CEFAS\Cromolyn\Cromolyn/20201202_Cefas_Test8_Run2/Plate 4/@8/H2_02.tif "/>
    <s v=" 11853.1823 "/>
    <s v=" 35.2135 "/>
    <x v="0"/>
    <n v="417392"/>
    <m/>
    <m/>
  </r>
  <r>
    <x v="20"/>
    <x v="8"/>
    <s v="C:\Users\andre\Desktop\REACTIV CEFAS\Cromolyn\Cromolyn/20201202_Cefas_Test8_Run2/Plate 4/@8/H2_03.tif "/>
    <s v=" 6856.6766 "/>
    <s v=" 33.3281 "/>
    <x v="0"/>
    <n v="228520"/>
    <m/>
    <m/>
  </r>
  <r>
    <x v="0"/>
    <x v="0"/>
    <s v=" "/>
    <m/>
    <m/>
    <x v="1"/>
    <m/>
    <m/>
    <m/>
  </r>
  <r>
    <x v="0"/>
    <x v="0"/>
    <s v="group "/>
    <s v=" "/>
    <s v=" mean of mean fluo "/>
    <x v="2"/>
    <s v=" mean of total fluo "/>
    <s v=" SD total fluo "/>
    <m/>
  </r>
  <r>
    <x v="20"/>
    <x v="9"/>
    <s v="C:\Users\andre\Desktop\REACTIV CEFAS\Cromolyn\Cromolyn/20201202_Cefas_Test8_Run2/Plate 4/@8/ "/>
    <s v=" "/>
    <s v=" 33.6204 "/>
    <x v="22"/>
    <s v=" 203643.625 "/>
    <s v=" 150735.448 "/>
    <m/>
  </r>
  <r>
    <x v="0"/>
    <x v="0"/>
    <s v=" "/>
    <m/>
    <m/>
    <x v="1"/>
    <m/>
    <m/>
    <m/>
  </r>
  <r>
    <x v="0"/>
    <x v="0"/>
    <s v=" "/>
    <m/>
    <m/>
    <x v="1"/>
    <m/>
    <m/>
    <m/>
  </r>
  <r>
    <x v="0"/>
    <x v="0"/>
    <s v=" "/>
    <m/>
    <m/>
    <x v="1"/>
    <m/>
    <m/>
    <m/>
  </r>
  <r>
    <x v="0"/>
    <x v="0"/>
    <s v=" "/>
    <m/>
    <m/>
    <x v="1"/>
    <m/>
    <m/>
    <m/>
  </r>
  <r>
    <x v="0"/>
    <x v="0"/>
    <s v=" "/>
    <m/>
    <m/>
    <x v="1"/>
    <m/>
    <m/>
    <m/>
  </r>
  <r>
    <x v="0"/>
    <x v="0"/>
    <s v="file name "/>
    <s v=" total area "/>
    <s v=" mean intensity "/>
    <x v="0"/>
    <s v=" total fluorescence"/>
    <m/>
    <m/>
  </r>
  <r>
    <x v="21"/>
    <x v="1"/>
    <s v="C:\Users\andre\Desktop\REACTIV CEFAS\Cromolyn\Cromolyn/20201202_Cefas_Test8_Run2/Plate 4/@9/A3_01.tif "/>
    <s v=" 6921.5663 "/>
    <s v=" 36.8594 "/>
    <x v="0"/>
    <n v="255125"/>
    <m/>
    <m/>
  </r>
  <r>
    <x v="21"/>
    <x v="1"/>
    <s v="C:\Users\andre\Desktop\REACTIV CEFAS\Cromolyn\Cromolyn/20201202_Cefas_Test8_Run2/Plate 4/@9/A3_02- exclu.tif"/>
    <m/>
    <m/>
    <x v="1"/>
    <m/>
    <m/>
    <m/>
  </r>
  <r>
    <x v="21"/>
    <x v="1"/>
    <s v="C:\Users\andre\Desktop\REACTIV CEFAS\Cromolyn\Cromolyn/20201202_Cefas_Test8_Run2/Plate 4/@9/A3_03.tif "/>
    <s v=" 2660.477 "/>
    <n v="34"/>
    <x v="0"/>
    <n v="90456"/>
    <m/>
    <m/>
  </r>
  <r>
    <x v="21"/>
    <x v="2"/>
    <s v="C:\Users\andre\Desktop\REACTIV CEFAS\Cromolyn\Cromolyn/20201202_Cefas_Test8_Run2/Plate 4/@9/B3_01.tif "/>
    <s v=" 8457.2888 "/>
    <s v=" 41.6292 "/>
    <x v="0"/>
    <n v="352070"/>
    <m/>
    <m/>
  </r>
  <r>
    <x v="21"/>
    <x v="2"/>
    <s v="C:\Users\andre\Desktop\REACTIV CEFAS\Cromolyn\Cromolyn/20201202_Cefas_Test8_Run2/Plate 4/@9/B3_02.tif "/>
    <s v=" 10122.7907 "/>
    <s v=" 38.5791 "/>
    <x v="0"/>
    <n v="390528"/>
    <m/>
    <m/>
  </r>
  <r>
    <x v="21"/>
    <x v="2"/>
    <s v="C:\Users\andre\Desktop\REACTIV CEFAS\Cromolyn\Cromolyn/20201202_Cefas_Test8_Run2/Plate 4/@9/B3_03.tif "/>
    <s v=" 11723.4029 "/>
    <s v=" 46.679 "/>
    <x v="0"/>
    <n v="547236"/>
    <m/>
    <m/>
  </r>
  <r>
    <x v="21"/>
    <x v="3"/>
    <s v="C:\Users\andre\Desktop\REACTIV CEFAS\Cromolyn\Cromolyn/20201202_Cefas_Test8_Run2/Plate 4/@9/C3_01- exclu.tif"/>
    <m/>
    <m/>
    <x v="1"/>
    <m/>
    <m/>
    <m/>
  </r>
  <r>
    <x v="21"/>
    <x v="3"/>
    <s v="C:\Users\andre\Desktop\REACTIV CEFAS\Cromolyn\Cromolyn/20201202_Cefas_Test8_Run2/Plate 4/@9/C3_02- exclu.tif"/>
    <m/>
    <m/>
    <x v="1"/>
    <m/>
    <m/>
    <m/>
  </r>
  <r>
    <x v="21"/>
    <x v="3"/>
    <s v="C:\Users\andre\Desktop\REACTIV CEFAS\Cromolyn\Cromolyn/20201202_Cefas_Test8_Run2/Plate 4/@9/C3_03- exclu.tif"/>
    <m/>
    <m/>
    <x v="1"/>
    <m/>
    <m/>
    <m/>
  </r>
  <r>
    <x v="21"/>
    <x v="4"/>
    <s v="C:\Users\andre\Desktop\REACTIV CEFAS\Cromolyn\Cromolyn/20201202_Cefas_Test8_Run2/Plate 4/@9/D3_01.tif "/>
    <s v=" 5320.9541 "/>
    <s v=" 34.6829 "/>
    <x v="0"/>
    <n v="184546"/>
    <m/>
    <m/>
  </r>
  <r>
    <x v="21"/>
    <x v="4"/>
    <s v="C:\Users\andre\Desktop\REACTIV CEFAS\Cromolyn\Cromolyn/20201202_Cefas_Test8_Run2/Plate 4/@9/D3_02.tif "/>
    <s v=" 3157.9646 "/>
    <s v=" 34.1986 "/>
    <x v="0"/>
    <n v="107998"/>
    <m/>
    <m/>
  </r>
  <r>
    <x v="21"/>
    <x v="4"/>
    <s v="C:\Users\andre\Desktop\REACTIV CEFAS\Cromolyn\Cromolyn/20201202_Cefas_Test8_Run2/Plate 4/@9/D3_03.tif "/>
    <s v=" 7310.9044 "/>
    <s v=" 36.4467 "/>
    <x v="0"/>
    <n v="266459"/>
    <m/>
    <m/>
  </r>
  <r>
    <x v="21"/>
    <x v="5"/>
    <s v="C:\Users\andre\Desktop\REACTIV CEFAS\Cromolyn\Cromolyn/20201202_Cefas_Test8_Run2/Plate 4/@9/E3_01.tif "/>
    <s v=" 7289.2745 "/>
    <s v=" 40.1335 "/>
    <x v="0"/>
    <n v="292544"/>
    <m/>
    <m/>
  </r>
  <r>
    <x v="21"/>
    <x v="5"/>
    <s v="C:\Users\andre\Desktop\REACTIV CEFAS\Cromolyn\Cromolyn/20201202_Cefas_Test8_Run2/Plate 4/@9/E3_02- exclu.tif"/>
    <m/>
    <m/>
    <x v="1"/>
    <m/>
    <m/>
    <m/>
  </r>
  <r>
    <x v="21"/>
    <x v="5"/>
    <s v="C:\Users\andre\Desktop\REACTIV CEFAS\Cromolyn\Cromolyn/20201202_Cefas_Test8_Run2/Plate 4/@9/E3_03.tif "/>
    <s v=" 237.9288 "/>
    <s v=" 32.2727 "/>
    <x v="0"/>
    <n v="7679"/>
    <m/>
    <m/>
  </r>
  <r>
    <x v="21"/>
    <x v="6"/>
    <s v="C:\Users\andre\Desktop\REACTIV CEFAS\Cromolyn\Cromolyn/20201202_Cefas_Test8_Run2/Plate 4/@9/F3_01.tif "/>
    <s v=" 3915.0109 "/>
    <s v=" 39.3425 "/>
    <x v="0"/>
    <n v="154026"/>
    <m/>
    <m/>
  </r>
  <r>
    <x v="21"/>
    <x v="6"/>
    <s v="C:\Users\andre\Desktop\REACTIV CEFAS\Cromolyn\Cromolyn/20201202_Cefas_Test8_Run2/Plate 4/@9/F3_02.tif "/>
    <s v=" 7721.8724 "/>
    <s v=" 45.535 "/>
    <x v="0"/>
    <n v="351616"/>
    <m/>
    <m/>
  </r>
  <r>
    <x v="21"/>
    <x v="6"/>
    <s v="C:\Users\andre\Desktop\REACTIV CEFAS\Cromolyn\Cromolyn/20201202_Cefas_Test8_Run2/Plate 4/@9/F3_03.tif "/>
    <s v=" 5299.3242 "/>
    <s v=" 39.0082 "/>
    <x v="0"/>
    <n v="206717"/>
    <m/>
    <m/>
  </r>
  <r>
    <x v="21"/>
    <x v="7"/>
    <s v="C:\Users\andre\Desktop\REACTIV CEFAS\Cromolyn\Cromolyn/20201202_Cefas_Test8_Run2/Plate 4/@9/G3_01- exclu.tif"/>
    <m/>
    <m/>
    <x v="1"/>
    <m/>
    <m/>
    <m/>
  </r>
  <r>
    <x v="21"/>
    <x v="7"/>
    <s v="C:\Users\andre\Desktop\REACTIV CEFAS\Cromolyn\Cromolyn/20201202_Cefas_Test8_Run2/Plate 4/@9/G3_02- exclu.tif"/>
    <m/>
    <m/>
    <x v="1"/>
    <m/>
    <m/>
    <m/>
  </r>
  <r>
    <x v="21"/>
    <x v="7"/>
    <s v="C:\Users\andre\Desktop\REACTIV CEFAS\Cromolyn\Cromolyn/20201202_Cefas_Test8_Run2/Plate 4/@9/G3_03- exclu.tif"/>
    <m/>
    <m/>
    <x v="1"/>
    <m/>
    <m/>
    <m/>
  </r>
  <r>
    <x v="21"/>
    <x v="8"/>
    <s v="C:\Users\andre\Desktop\REACTIV CEFAS\Cromolyn\Cromolyn/20201202_Cefas_Test8_Run2/Plate 4/@9/H3_01.tif "/>
    <s v=" 14729.9582 "/>
    <s v=" 40.7151 "/>
    <x v="0"/>
    <n v="599732"/>
    <m/>
    <m/>
  </r>
  <r>
    <x v="21"/>
    <x v="8"/>
    <s v="C:\Users\andre\Desktop\REACTIV CEFAS\Cromolyn\Cromolyn/20201202_Cefas_Test8_Run2/Plate 4/@9/H3_02- exclu.tif"/>
    <m/>
    <m/>
    <x v="1"/>
    <m/>
    <m/>
    <m/>
  </r>
  <r>
    <x v="21"/>
    <x v="8"/>
    <s v="C:\Users\andre\Desktop\REACTIV CEFAS\Cromolyn\Cromolyn/20201202_Cefas_Test8_Run2/Plate 4/@9/H3_03- exclu.tif"/>
    <m/>
    <m/>
    <x v="1"/>
    <m/>
    <m/>
    <m/>
  </r>
  <r>
    <x v="0"/>
    <x v="0"/>
    <s v=" "/>
    <m/>
    <m/>
    <x v="1"/>
    <m/>
    <m/>
    <m/>
  </r>
  <r>
    <x v="0"/>
    <x v="0"/>
    <s v="group "/>
    <s v=" "/>
    <s v=" mean of mean fluo "/>
    <x v="2"/>
    <s v=" mean of total fluo "/>
    <s v=" SD total fluo "/>
    <m/>
  </r>
  <r>
    <x v="21"/>
    <x v="9"/>
    <s v="C:\Users\andre\Desktop\REACTIV CEFAS\Cromolyn\Cromolyn/20201202_Cefas_Test8_Run2/Plate 4/@9/ "/>
    <s v=" "/>
    <s v=" 36.7437 "/>
    <x v="23"/>
    <s v=" 383668.375 "/>
    <s v=" 349255.897 "/>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file name "/>
    <s v=" total area "/>
    <s v=" mean intensity "/>
    <x v="0"/>
    <s v=" total fluorescence"/>
    <m/>
    <m/>
  </r>
  <r>
    <x v="1"/>
    <x v="1"/>
    <s v="C:\Users\andre\Desktop\REACTIV CEFAS\Cromolyn\Cromolyn/20201203_Cefas_Test8_Run3/Plate 1/@1/A10_01.tif "/>
    <s v=" 1643.872 "/>
    <s v=" 34.1316 "/>
    <x v="0"/>
    <n v="56108"/>
    <m/>
    <m/>
  </r>
  <r>
    <x v="1"/>
    <x v="1"/>
    <s v="C:\Users\andre\Desktop\REACTIV CEFAS\Cromolyn\Cromolyn/20201203_Cefas_Test8_Run3/Plate 1/@1/A10_02.tif "/>
    <s v=" 6662.0075 "/>
    <s v=" 36.3149 "/>
    <x v="0"/>
    <n v="241930"/>
    <m/>
    <m/>
  </r>
  <r>
    <x v="1"/>
    <x v="1"/>
    <s v="C:\Users\andre\Desktop\REACTIV CEFAS\Cromolyn\Cromolyn/20201203_Cefas_Test8_Run3/Plate 1/@1/A10_03.tif "/>
    <s v=" 7894.9115 "/>
    <s v=" 39.0521 "/>
    <x v="0"/>
    <n v="308313"/>
    <m/>
    <m/>
  </r>
  <r>
    <x v="1"/>
    <x v="2"/>
    <s v="C:\Users\andre\Desktop\REACTIV CEFAS\Cromolyn\Cromolyn/20201203_Cefas_Test8_Run3/Plate 1/@1/B10_01.tif "/>
    <s v=" 21.6299 "/>
    <n v="30"/>
    <x v="0"/>
    <n v="649"/>
    <m/>
    <m/>
  </r>
  <r>
    <x v="1"/>
    <x v="2"/>
    <s v="C:\Users\andre\Desktop\REACTIV CEFAS\Cromolyn\Cromolyn/20201203_Cefas_Test8_Run3/Plate 1/@1/B10_02- exclu.tif"/>
    <m/>
    <m/>
    <x v="1"/>
    <m/>
    <m/>
    <m/>
  </r>
  <r>
    <x v="1"/>
    <x v="2"/>
    <s v="C:\Users\andre\Desktop\REACTIV CEFAS\Cromolyn\Cromolyn/20201203_Cefas_Test8_Run3/Plate 1/@1/B10_03.tif "/>
    <s v=" 1557.3524 "/>
    <s v=" 32.3472 "/>
    <x v="0"/>
    <n v="50376"/>
    <m/>
    <m/>
  </r>
  <r>
    <x v="1"/>
    <x v="3"/>
    <s v="C:\Users\andre\Desktop\REACTIV CEFAS\Cromolyn\Cromolyn/20201203_Cefas_Test8_Run3/Plate 1/@1/C10_01.tif "/>
    <s v=" 8608.6981 "/>
    <s v=" 39.2839 "/>
    <x v="0"/>
    <n v="338183"/>
    <m/>
    <m/>
  </r>
  <r>
    <x v="1"/>
    <x v="3"/>
    <s v="C:\Users\andre\Desktop\REACTIV CEFAS\Cromolyn\Cromolyn/20201203_Cefas_Test8_Run3/Plate 1/@1/C10_02.tif "/>
    <s v=" 2963.2956 "/>
    <s v=" 38.3577 "/>
    <x v="0"/>
    <n v="113665"/>
    <m/>
    <m/>
  </r>
  <r>
    <x v="1"/>
    <x v="3"/>
    <s v="C:\Users\andre\Desktop\REACTIV CEFAS\Cromolyn\Cromolyn/20201203_Cefas_Test8_Run3/Plate 1/@1/C10_03.tif "/>
    <s v=" 13302.3852 "/>
    <s v=" 39.4276 "/>
    <x v="0"/>
    <n v="524482"/>
    <m/>
    <m/>
  </r>
  <r>
    <x v="1"/>
    <x v="4"/>
    <s v="C:\Users\andre\Desktop\REACTIV CEFAS\Cromolyn\Cromolyn/20201203_Cefas_Test8_Run3/Plate 1/@1/D10_01- exclu.tif"/>
    <m/>
    <m/>
    <x v="1"/>
    <m/>
    <m/>
    <m/>
  </r>
  <r>
    <x v="1"/>
    <x v="4"/>
    <s v="C:\Users\andre\Desktop\REACTIV CEFAS\Cromolyn\Cromolyn/20201203_Cefas_Test8_Run3/Plate 1/@1/D10_02.tif "/>
    <s v=" 2703.7368 "/>
    <s v=" 36.56 "/>
    <x v="0"/>
    <n v="98849"/>
    <m/>
    <m/>
  </r>
  <r>
    <x v="1"/>
    <x v="4"/>
    <s v="C:\Users\andre\Desktop\REACTIV CEFAS\Cromolyn\Cromolyn/20201203_Cefas_Test8_Run3/Plate 1/@1/D10_03.tif "/>
    <s v=" 9084.5557 "/>
    <s v=" 43.5976 "/>
    <x v="0"/>
    <n v="396065"/>
    <m/>
    <m/>
  </r>
  <r>
    <x v="1"/>
    <x v="5"/>
    <s v="C:\Users\andre\Desktop\REACTIV CEFAS\Cromolyn\Cromolyn/20201203_Cefas_Test8_Run3/Plate 1/@1/E10_01.tif "/>
    <s v=" 5385.8438 "/>
    <s v=" 34.0602 "/>
    <x v="0"/>
    <n v="183443"/>
    <m/>
    <m/>
  </r>
  <r>
    <x v="1"/>
    <x v="5"/>
    <s v="C:\Users\andre\Desktop\REACTIV CEFAS\Cromolyn\Cromolyn/20201203_Cefas_Test8_Run3/Plate 1/@1/E10_02.tif "/>
    <s v=" 6164.52 "/>
    <s v=" 33.6035 "/>
    <x v="0"/>
    <n v="207150"/>
    <m/>
    <m/>
  </r>
  <r>
    <x v="1"/>
    <x v="5"/>
    <s v="C:\Users\andre\Desktop\REACTIV CEFAS\Cromolyn\Cromolyn/20201203_Cefas_Test8_Run3/Plate 1/@1/E10_03.tif "/>
    <s v=" 7440.6838 "/>
    <s v=" 33.1134 "/>
    <x v="0"/>
    <n v="246386"/>
    <m/>
    <m/>
  </r>
  <r>
    <x v="1"/>
    <x v="6"/>
    <s v="C:\Users\andre\Desktop\REACTIV CEFAS\Cromolyn\Cromolyn/20201203_Cefas_Test8_Run3/Plate 1/@1/F10_01.tif "/>
    <s v=" 1989.9503 "/>
    <s v=" 36.4022 "/>
    <x v="0"/>
    <n v="72439"/>
    <m/>
    <m/>
  </r>
  <r>
    <x v="1"/>
    <x v="6"/>
    <s v="C:\Users\andre\Desktop\REACTIV CEFAS\Cromolyn\Cromolyn/20201203_Cefas_Test8_Run3/Plate 1/@1/F10_02.tif "/>
    <s v=" 2184.6194 "/>
    <s v=" 30.6139 "/>
    <x v="0"/>
    <n v="66880"/>
    <m/>
    <m/>
  </r>
  <r>
    <x v="1"/>
    <x v="6"/>
    <s v="C:\Users\andre\Desktop\REACTIV CEFAS\Cromolyn\Cromolyn/20201203_Cefas_Test8_Run3/Plate 1/@1/F10_03.tif "/>
    <s v=" 410.968 "/>
    <s v=" 30.8421 "/>
    <x v="0"/>
    <n v="12675"/>
    <m/>
    <m/>
  </r>
  <r>
    <x v="1"/>
    <x v="7"/>
    <s v="C:\Users\andre\Desktop\REACTIV CEFAS\Cromolyn\Cromolyn/20201203_Cefas_Test8_Run3/Plate 1/@1/G10_01.tif "/>
    <n v="0"/>
    <n v="0"/>
    <x v="0"/>
    <n v="0"/>
    <m/>
    <m/>
  </r>
  <r>
    <x v="1"/>
    <x v="7"/>
    <s v="C:\Users\andre\Desktop\REACTIV CEFAS\Cromolyn\Cromolyn/20201203_Cefas_Test8_Run3/Plate 1/@1/G10_02.tif "/>
    <s v=" 7072.9755 "/>
    <s v=" 38.8043 "/>
    <x v="0"/>
    <n v="274462"/>
    <m/>
    <m/>
  </r>
  <r>
    <x v="1"/>
    <x v="7"/>
    <s v="C:\Users\andre\Desktop\REACTIV CEFAS\Cromolyn\Cromolyn/20201203_Cefas_Test8_Run3/Plate 1/@1/G10_03.tif "/>
    <s v=" 7570.4631 "/>
    <s v=" 38.6686 "/>
    <x v="0"/>
    <n v="292739"/>
    <m/>
    <m/>
  </r>
  <r>
    <x v="1"/>
    <x v="8"/>
    <s v="C:\Users\andre\Desktop\REACTIV CEFAS\Cromolyn\Cromolyn/20201203_Cefas_Test8_Run3/Plate 1/@1/H10_01.tif "/>
    <n v="0"/>
    <n v="0"/>
    <x v="0"/>
    <n v="0"/>
    <m/>
    <m/>
  </r>
  <r>
    <x v="1"/>
    <x v="8"/>
    <s v="C:\Users\andre\Desktop\REACTIV CEFAS\Cromolyn\Cromolyn/20201203_Cefas_Test8_Run3/Plate 1/@1/H10_02.tif "/>
    <s v=" 10274.1999 "/>
    <s v=" 46.0211 "/>
    <x v="0"/>
    <n v="472829"/>
    <m/>
    <m/>
  </r>
  <r>
    <x v="1"/>
    <x v="8"/>
    <s v="C:\Users\andre\Desktop\REACTIV CEFAS\Cromolyn\Cromolyn/20201203_Cefas_Test8_Run3/Plate 1/@1/H10_03.tif "/>
    <s v=" 7916.5414 "/>
    <s v=" 47.2568 "/>
    <x v="0"/>
    <n v="374111"/>
    <m/>
    <m/>
  </r>
  <r>
    <x v="0"/>
    <x v="0"/>
    <s v=" "/>
    <m/>
    <m/>
    <x v="1"/>
    <m/>
    <m/>
    <m/>
  </r>
  <r>
    <x v="0"/>
    <x v="0"/>
    <s v="group "/>
    <s v=" "/>
    <s v=" mean of mean fluo "/>
    <x v="2"/>
    <s v=" mean of total fluo "/>
    <s v=" SD total fluo "/>
    <m/>
  </r>
  <r>
    <x v="1"/>
    <x v="9"/>
    <s v="C:\Users\andre\Desktop\REACTIV CEFAS\Cromolyn\Cromolyn/20201203_Cefas_Test8_Run3/Plate 1/@1/ "/>
    <s v=" "/>
    <s v=" 32.1702 "/>
    <x v="3"/>
    <s v=" 180731.333 "/>
    <s v=" 163665.138 "/>
    <m/>
  </r>
  <r>
    <x v="0"/>
    <x v="0"/>
    <s v=" "/>
    <m/>
    <m/>
    <x v="1"/>
    <m/>
    <m/>
    <m/>
  </r>
  <r>
    <x v="0"/>
    <x v="0"/>
    <s v=" "/>
    <m/>
    <m/>
    <x v="1"/>
    <m/>
    <m/>
    <m/>
  </r>
  <r>
    <x v="0"/>
    <x v="0"/>
    <s v=" "/>
    <m/>
    <m/>
    <x v="1"/>
    <m/>
    <m/>
    <m/>
  </r>
  <r>
    <x v="0"/>
    <x v="0"/>
    <s v=" "/>
    <m/>
    <m/>
    <x v="1"/>
    <m/>
    <m/>
    <m/>
  </r>
  <r>
    <x v="0"/>
    <x v="0"/>
    <s v=" "/>
    <m/>
    <m/>
    <x v="1"/>
    <m/>
    <m/>
    <m/>
  </r>
  <r>
    <x v="0"/>
    <x v="0"/>
    <s v="file name "/>
    <s v=" total area "/>
    <s v=" mean intensity "/>
    <x v="0"/>
    <s v=" total fluorescence"/>
    <m/>
    <m/>
  </r>
  <r>
    <x v="2"/>
    <x v="1"/>
    <s v="C:\Users\andre\Desktop\REACTIV CEFAS\Cromolyn\Cromolyn/20201203_Cefas_Test8_Run3/Plate 1/@13/A8_01- exclu.tif"/>
    <m/>
    <m/>
    <x v="1"/>
    <m/>
    <m/>
    <m/>
  </r>
  <r>
    <x v="2"/>
    <x v="1"/>
    <s v="C:\Users\andre\Desktop\REACTIV CEFAS\Cromolyn\Cromolyn/20201203_Cefas_Test8_Run3/Plate 1/@13/A8_02- exclu.tif"/>
    <m/>
    <m/>
    <x v="1"/>
    <m/>
    <m/>
    <m/>
  </r>
  <r>
    <x v="2"/>
    <x v="1"/>
    <s v="C:\Users\andre\Desktop\REACTIV CEFAS\Cromolyn\Cromolyn/20201203_Cefas_Test8_Run3/Plate 1/@13/A8_03.tif "/>
    <s v=" 15811.453 "/>
    <s v=" 33.1737 "/>
    <x v="0"/>
    <n v="524525"/>
    <m/>
    <m/>
  </r>
  <r>
    <x v="2"/>
    <x v="2"/>
    <s v="C:\Users\andre\Desktop\REACTIV CEFAS\Cromolyn\Cromolyn/20201203_Cefas_Test8_Run3/Plate 1/@13/B8_01.tif "/>
    <s v=" 72460.147 "/>
    <s v=" 50.7788 "/>
    <x v="0"/>
    <n v="3679440"/>
    <m/>
    <m/>
  </r>
  <r>
    <x v="2"/>
    <x v="2"/>
    <s v="C:\Users\andre\Desktop\REACTIV CEFAS\Cromolyn\Cromolyn/20201203_Cefas_Test8_Run3/Plate 1/@13/B8_02.tif "/>
    <s v=" 64197.5273 "/>
    <s v=" 48.597 "/>
    <x v="0"/>
    <n v="3119809"/>
    <m/>
    <m/>
  </r>
  <r>
    <x v="2"/>
    <x v="2"/>
    <s v="C:\Users\andre\Desktop\REACTIV CEFAS\Cromolyn\Cromolyn/20201203_Cefas_Test8_Run3/Plate 1/@13/B8_03.tif "/>
    <s v=" 60909.7833 "/>
    <s v=" 50.8775 "/>
    <x v="0"/>
    <n v="3098937"/>
    <m/>
    <m/>
  </r>
  <r>
    <x v="2"/>
    <x v="3"/>
    <s v="C:\Users\andre\Desktop\REACTIV CEFAS\Cromolyn\Cromolyn/20201203_Cefas_Test8_Run3/Plate 1/@13/C8_01.tif "/>
    <s v=" 51046.5513 "/>
    <s v=" 47.7466 "/>
    <x v="0"/>
    <n v="2437300"/>
    <m/>
    <m/>
  </r>
  <r>
    <x v="2"/>
    <x v="3"/>
    <s v="C:\Users\andre\Desktop\REACTIV CEFAS\Cromolyn\Cromolyn/20201203_Cefas_Test8_Run3/Plate 1/@13/C8_02.tif "/>
    <s v=" 68069.2784 "/>
    <s v=" 44.2854 "/>
    <x v="0"/>
    <n v="3014472"/>
    <m/>
    <m/>
  </r>
  <r>
    <x v="2"/>
    <x v="3"/>
    <s v="C:\Users\andre\Desktop\REACTIV CEFAS\Cromolyn\Cromolyn/20201203_Cefas_Test8_Run3/Plate 1/@13/C8_03.tif "/>
    <s v=" 74341.9478 "/>
    <s v=" 42.7221 "/>
    <x v="0"/>
    <n v="3176047"/>
    <m/>
    <m/>
  </r>
  <r>
    <x v="2"/>
    <x v="4"/>
    <s v="C:\Users\andre\Desktop\REACTIV CEFAS\Cromolyn\Cromolyn/20201203_Cefas_Test8_Run3/Plate 1/@13/D8_01.tif "/>
    <s v=" 33807.5253 "/>
    <s v=" 37.1843 "/>
    <x v="0"/>
    <n v="1257108"/>
    <m/>
    <m/>
  </r>
  <r>
    <x v="2"/>
    <x v="4"/>
    <s v="C:\Users\andre\Desktop\REACTIV CEFAS\Cromolyn\Cromolyn/20201203_Cefas_Test8_Run3/Plate 1/@13/D8_02.tif "/>
    <s v=" 30390.002 "/>
    <s v=" 35.5922 "/>
    <x v="0"/>
    <n v="1081646"/>
    <m/>
    <m/>
  </r>
  <r>
    <x v="2"/>
    <x v="4"/>
    <s v="C:\Users\andre\Desktop\REACTIV CEFAS\Cromolyn\Cromolyn/20201203_Cefas_Test8_Run3/Plate 1/@13/D8_03.tif "/>
    <s v=" 32250.1729 "/>
    <s v=" 35.4299 "/>
    <x v="0"/>
    <n v="1142621"/>
    <m/>
    <m/>
  </r>
  <r>
    <x v="2"/>
    <x v="5"/>
    <s v="C:\Users\andre\Desktop\REACTIV CEFAS\Cromolyn\Cromolyn/20201203_Cefas_Test8_Run3/Plate 1/@13/E8_01.tif "/>
    <s v=" 57730.1888 "/>
    <s v=" 38.1135 "/>
    <x v="0"/>
    <n v="2200301"/>
    <m/>
    <m/>
  </r>
  <r>
    <x v="2"/>
    <x v="5"/>
    <s v="C:\Users\andre\Desktop\REACTIV CEFAS\Cromolyn\Cromolyn/20201203_Cefas_Test8_Run3/Plate 1/@13/E8_02.tif "/>
    <s v=" 60455.5555 "/>
    <s v=" 40.771 "/>
    <x v="0"/>
    <n v="2464835"/>
    <m/>
    <m/>
  </r>
  <r>
    <x v="2"/>
    <x v="5"/>
    <s v="C:\Users\andre\Desktop\REACTIV CEFAS\Cromolyn\Cromolyn/20201203_Cefas_Test8_Run3/Plate 1/@13/E8_03.tif "/>
    <s v=" 58206.0464 "/>
    <s v=" 37.5151 "/>
    <x v="0"/>
    <n v="2183603"/>
    <m/>
    <m/>
  </r>
  <r>
    <x v="2"/>
    <x v="6"/>
    <s v="C:\Users\andre\Desktop\REACTIV CEFAS\Cromolyn\Cromolyn/20201203_Cefas_Test8_Run3/Plate 1/@13/F8_01.tif "/>
    <s v=" 1341.0535 "/>
    <s v=" 33.4355 "/>
    <x v="0"/>
    <n v="44839"/>
    <m/>
    <m/>
  </r>
  <r>
    <x v="2"/>
    <x v="6"/>
    <s v="C:\Users\andre\Desktop\REACTIV CEFAS\Cromolyn\Cromolyn/20201203_Cefas_Test8_Run3/Plate 1/@13/F8_02.tif "/>
    <s v=" 1600.6122 "/>
    <s v=" 31.7027 "/>
    <x v="0"/>
    <n v="50744"/>
    <m/>
    <m/>
  </r>
  <r>
    <x v="2"/>
    <x v="6"/>
    <s v="C:\Users\andre\Desktop\REACTIV CEFAS\Cromolyn\Cromolyn/20201203_Cefas_Test8_Run3/Plate 1/@13/F8_03.tif "/>
    <s v=" 194.6691 "/>
    <s v=" 31.1111 "/>
    <x v="0"/>
    <n v="6056"/>
    <m/>
    <m/>
  </r>
  <r>
    <x v="2"/>
    <x v="7"/>
    <s v="C:\Users\andre\Desktop\REACTIV CEFAS\Cromolyn\Cromolyn/20201203_Cefas_Test8_Run3/Plate 1/@13/G8_01.tif "/>
    <s v=" 73736.3108 "/>
    <s v=" 41.9607 "/>
    <x v="0"/>
    <n v="3094027"/>
    <m/>
    <m/>
  </r>
  <r>
    <x v="2"/>
    <x v="7"/>
    <s v="C:\Users\andre\Desktop\REACTIV CEFAS\Cromolyn\Cromolyn/20201203_Cefas_Test8_Run3/Plate 1/@13/G8_02.tif "/>
    <s v=" 75055.7344 "/>
    <s v=" 44.0905 "/>
    <x v="0"/>
    <n v="3309244"/>
    <m/>
    <m/>
  </r>
  <r>
    <x v="2"/>
    <x v="7"/>
    <s v="C:\Users\andre\Desktop\REACTIV CEFAS\Cromolyn\Cromolyn/20201203_Cefas_Test8_Run3/Plate 1/@13/G8_03.tif "/>
    <s v=" 85438.0838 "/>
    <s v=" 49.0529 "/>
    <x v="0"/>
    <n v="4190987"/>
    <m/>
    <m/>
  </r>
  <r>
    <x v="2"/>
    <x v="8"/>
    <s v="C:\Users\andre\Desktop\REACTIV CEFAS\Cromolyn\Cromolyn/20201203_Cefas_Test8_Run3/Plate 1/@13/H8_01.tif "/>
    <s v=" 62012.9079 "/>
    <s v=" 41.4077 "/>
    <x v="0"/>
    <n v="2567815"/>
    <m/>
    <m/>
  </r>
  <r>
    <x v="2"/>
    <x v="8"/>
    <s v="C:\Users\andre\Desktop\REACTIV CEFAS\Cromolyn\Cromolyn/20201203_Cefas_Test8_Run3/Plate 1/@13/H8_02.tif "/>
    <s v=" 47520.8785 "/>
    <s v=" 38.7633 "/>
    <x v="0"/>
    <n v="1842067"/>
    <m/>
    <m/>
  </r>
  <r>
    <x v="2"/>
    <x v="8"/>
    <s v="C:\Users\andre\Desktop\REACTIV CEFAS\Cromolyn\Cromolyn/20201203_Cefas_Test8_Run3/Plate 1/@13/H8_03.tif "/>
    <s v=" 61277.4915 "/>
    <s v=" 41.15 "/>
    <x v="0"/>
    <n v="2521570"/>
    <m/>
    <m/>
  </r>
  <r>
    <x v="0"/>
    <x v="0"/>
    <s v=" "/>
    <m/>
    <m/>
    <x v="1"/>
    <m/>
    <m/>
    <m/>
  </r>
  <r>
    <x v="0"/>
    <x v="0"/>
    <s v="group "/>
    <s v=" "/>
    <s v=" mean of mean fluo "/>
    <x v="2"/>
    <s v=" mean of total fluo "/>
    <s v=" SD total fluo "/>
    <m/>
  </r>
  <r>
    <x v="2"/>
    <x v="9"/>
    <s v="C:\Users\andre\Desktop\REACTIV CEFAS\Cromolyn\Cromolyn/20201203_Cefas_Test8_Run3/Plate 1/@13/ "/>
    <s v=" "/>
    <s v=" 40.4829 "/>
    <x v="4"/>
    <s v=" 2004108.08 "/>
    <s v=" 1264555.13 "/>
    <m/>
  </r>
  <r>
    <x v="0"/>
    <x v="0"/>
    <s v=" "/>
    <m/>
    <m/>
    <x v="1"/>
    <m/>
    <m/>
    <m/>
  </r>
  <r>
    <x v="0"/>
    <x v="0"/>
    <s v=" "/>
    <m/>
    <m/>
    <x v="1"/>
    <m/>
    <m/>
    <m/>
  </r>
  <r>
    <x v="0"/>
    <x v="0"/>
    <s v=" "/>
    <m/>
    <m/>
    <x v="1"/>
    <m/>
    <m/>
    <m/>
  </r>
  <r>
    <x v="0"/>
    <x v="0"/>
    <s v=" "/>
    <m/>
    <m/>
    <x v="1"/>
    <m/>
    <m/>
    <m/>
  </r>
  <r>
    <x v="0"/>
    <x v="0"/>
    <s v=" "/>
    <m/>
    <m/>
    <x v="1"/>
    <m/>
    <m/>
    <m/>
  </r>
  <r>
    <x v="0"/>
    <x v="0"/>
    <s v="file name "/>
    <s v=" total area "/>
    <s v=" mean intensity "/>
    <x v="0"/>
    <s v=" total fluorescence"/>
    <m/>
    <m/>
  </r>
  <r>
    <x v="3"/>
    <x v="1"/>
    <s v="C:\Users\andre\Desktop\REACTIV CEFAS\Cromolyn\Cromolyn/20201203_Cefas_Test8_Run3/Plate 1/@14/A9_01.tif "/>
    <s v=" 48861.932 "/>
    <s v=" 42.1961 "/>
    <x v="0"/>
    <n v="2061783"/>
    <m/>
    <m/>
  </r>
  <r>
    <x v="3"/>
    <x v="1"/>
    <s v="C:\Users\andre\Desktop\REACTIV CEFAS\Cromolyn\Cromolyn/20201203_Cefas_Test8_Run3/Plate 1/@14/A9_02.tif "/>
    <s v=" 39561.0773 "/>
    <s v=" 41.3554 "/>
    <x v="0"/>
    <n v="1636064"/>
    <m/>
    <m/>
  </r>
  <r>
    <x v="3"/>
    <x v="1"/>
    <s v="C:\Users\andre\Desktop\REACTIV CEFAS\Cromolyn\Cromolyn/20201203_Cefas_Test8_Run3/Plate 1/@14/A9_03.tif "/>
    <s v=" 42827.1914 "/>
    <s v=" 37.9515 "/>
    <x v="0"/>
    <n v="1625357"/>
    <m/>
    <m/>
  </r>
  <r>
    <x v="3"/>
    <x v="2"/>
    <s v="C:\Users\andre\Desktop\REACTIV CEFAS\Cromolyn\Cromolyn/20201203_Cefas_Test8_Run3/Plate 1/@14/B9_01.tif "/>
    <s v=" 69691.5205 "/>
    <s v=" 45.2048 "/>
    <x v="0"/>
    <n v="3150394"/>
    <m/>
    <m/>
  </r>
  <r>
    <x v="3"/>
    <x v="2"/>
    <s v="C:\Users\andre\Desktop\REACTIV CEFAS\Cromolyn\Cromolyn/20201203_Cefas_Test8_Run3/Plate 1/@14/B9_02.tif "/>
    <s v=" 73346.9727 "/>
    <s v=" 43.2365 "/>
    <x v="0"/>
    <n v="3171267"/>
    <m/>
    <m/>
  </r>
  <r>
    <x v="3"/>
    <x v="2"/>
    <s v="C:\Users\andre\Desktop\REACTIV CEFAS\Cromolyn\Cromolyn/20201203_Cefas_Test8_Run3/Plate 1/@14/B9_03.tif "/>
    <s v=" 75336.923 "/>
    <s v=" 47.4574 "/>
    <x v="0"/>
    <n v="3575292"/>
    <m/>
    <m/>
  </r>
  <r>
    <x v="3"/>
    <x v="3"/>
    <s v="C:\Users\andre\Desktop\REACTIV CEFAS\Cromolyn\Cromolyn/20201203_Cefas_Test8_Run3/Plate 1/@14/C9_01- exclu.tif"/>
    <m/>
    <m/>
    <x v="1"/>
    <m/>
    <m/>
    <m/>
  </r>
  <r>
    <x v="3"/>
    <x v="3"/>
    <s v="C:\Users\andre\Desktop\REACTIV CEFAS\Cromolyn\Cromolyn/20201203_Cefas_Test8_Run3/Plate 1/@14/C9_02- exclu.tif"/>
    <m/>
    <m/>
    <x v="1"/>
    <m/>
    <m/>
    <m/>
  </r>
  <r>
    <x v="3"/>
    <x v="3"/>
    <s v="C:\Users\andre\Desktop\REACTIV CEFAS\Cromolyn\Cromolyn/20201203_Cefas_Test8_Run3/Plate 1/@14/C9_03- exclu.tif"/>
    <m/>
    <m/>
    <x v="1"/>
    <m/>
    <m/>
    <m/>
  </r>
  <r>
    <x v="3"/>
    <x v="4"/>
    <s v="C:\Users\andre\Desktop\REACTIV CEFAS\Cromolyn\Cromolyn/20201203_Cefas_Test8_Run3/Plate 1/@14/D9_01.tif "/>
    <s v=" 61190.9719 "/>
    <s v=" 38.2683 "/>
    <x v="0"/>
    <n v="2341674"/>
    <m/>
    <m/>
  </r>
  <r>
    <x v="3"/>
    <x v="4"/>
    <s v="C:\Users\andre\Desktop\REACTIV CEFAS\Cromolyn\Cromolyn/20201203_Cefas_Test8_Run3/Plate 1/@14/D9_02.tif "/>
    <s v=" 50722.1029 "/>
    <s v=" 38.7416 "/>
    <x v="0"/>
    <n v="1965054"/>
    <m/>
    <m/>
  </r>
  <r>
    <x v="3"/>
    <x v="4"/>
    <s v="C:\Users\andre\Desktop\REACTIV CEFAS\Cromolyn\Cromolyn/20201203_Cefas_Test8_Run3/Plate 1/@14/D9_03.tif "/>
    <s v=" 54247.7757 "/>
    <s v=" 38.8477 "/>
    <x v="0"/>
    <n v="2107401"/>
    <m/>
    <m/>
  </r>
  <r>
    <x v="3"/>
    <x v="5"/>
    <s v="C:\Users\andre\Desktop\REACTIV CEFAS\Cromolyn\Cromolyn/20201203_Cefas_Test8_Run3/Plate 1/@14/E9_01.tif "/>
    <s v=" 59525.47 "/>
    <s v=" 38.8612 "/>
    <x v="0"/>
    <n v="2313231"/>
    <m/>
    <m/>
  </r>
  <r>
    <x v="3"/>
    <x v="5"/>
    <s v="C:\Users\andre\Desktop\REACTIV CEFAS\Cromolyn\Cromolyn/20201203_Cefas_Test8_Run3/Plate 1/@14/E9_02.tif "/>
    <s v=" 67139.1929 "/>
    <s v=" 43.2072 "/>
    <x v="0"/>
    <n v="2900893"/>
    <m/>
    <m/>
  </r>
  <r>
    <x v="3"/>
    <x v="5"/>
    <s v="C:\Users\andre\Desktop\REACTIV CEFAS\Cromolyn\Cromolyn/20201203_Cefas_Test8_Run3/Plate 1/@14/E9_03.tif "/>
    <s v=" 55783.4982 "/>
    <s v=" 39.071 "/>
    <x v="0"/>
    <n v="2179515"/>
    <m/>
    <m/>
  </r>
  <r>
    <x v="3"/>
    <x v="6"/>
    <s v="C:\Users\andre\Desktop\REACTIV CEFAS\Cromolyn\Cromolyn/20201203_Cefas_Test8_Run3/Plate 1/@14/F9_01.tif "/>
    <s v=" 59958.0679 "/>
    <s v=" 39.825 "/>
    <x v="0"/>
    <n v="2387832"/>
    <m/>
    <m/>
  </r>
  <r>
    <x v="3"/>
    <x v="6"/>
    <s v="C:\Users\andre\Desktop\REACTIV CEFAS\Cromolyn\Cromolyn/20201203_Cefas_Test8_Run3/Plate 1/@14/F9_02.tif "/>
    <s v=" 54983.1921 "/>
    <s v=" 40.9603 "/>
    <x v="0"/>
    <n v="2252126"/>
    <m/>
    <m/>
  </r>
  <r>
    <x v="3"/>
    <x v="6"/>
    <s v="C:\Users\andre\Desktop\REACTIV CEFAS\Cromolyn\Cromolyn/20201203_Cefas_Test8_Run3/Plate 1/@14/F9_03.tif "/>
    <s v=" 59633.6195 "/>
    <s v=" 41.1821 "/>
    <x v="0"/>
    <n v="2455837"/>
    <m/>
    <m/>
  </r>
  <r>
    <x v="3"/>
    <x v="7"/>
    <s v="C:\Users\andre\Desktop\REACTIV CEFAS\Cromolyn\Cromolyn/20201203_Cefas_Test8_Run3/Plate 1/@14/G9_01.tif "/>
    <s v=" 18082.5919 "/>
    <s v=" 32.4318 "/>
    <x v="0"/>
    <n v="586451"/>
    <m/>
    <m/>
  </r>
  <r>
    <x v="3"/>
    <x v="7"/>
    <s v="C:\Users\andre\Desktop\REACTIV CEFAS\Cromolyn\Cromolyn/20201203_Cefas_Test8_Run3/Plate 1/@14/G9_02.tif "/>
    <s v=" 13518.6841 "/>
    <s v=" 31.9152 "/>
    <x v="0"/>
    <n v="431452"/>
    <m/>
    <m/>
  </r>
  <r>
    <x v="3"/>
    <x v="7"/>
    <s v="C:\Users\andre\Desktop\REACTIV CEFAS\Cromolyn\Cromolyn/20201203_Cefas_Test8_Run3/Plate 1/@14/G9_03.tif "/>
    <s v=" 19185.7165 "/>
    <s v=" 32.6618 "/>
    <x v="0"/>
    <n v="626640"/>
    <m/>
    <m/>
  </r>
  <r>
    <x v="3"/>
    <x v="8"/>
    <s v="C:\Users\andre\Desktop\REACTIV CEFAS\Cromolyn\Cromolyn/20201203_Cefas_Test8_Run3/Plate 1/@14/H9_01.tif "/>
    <s v=" 41572.6575 "/>
    <s v=" 42.7503 "/>
    <x v="0"/>
    <n v="1777242"/>
    <m/>
    <m/>
  </r>
  <r>
    <x v="3"/>
    <x v="8"/>
    <s v="C:\Users\andre\Desktop\REACTIV CEFAS\Cromolyn\Cromolyn/20201203_Cefas_Test8_Run3/Plate 1/@14/H9_02.tif "/>
    <s v=" 42437.8533 "/>
    <s v=" 39.3078 "/>
    <x v="0"/>
    <n v="1668141"/>
    <m/>
    <m/>
  </r>
  <r>
    <x v="3"/>
    <x v="8"/>
    <s v="C:\Users\andre\Desktop\REACTIV CEFAS\Cromolyn\Cromolyn/20201203_Cefas_Test8_Run3/Plate 1/@14/H9_03- exclu.tif"/>
    <m/>
    <m/>
    <x v="1"/>
    <m/>
    <m/>
    <m/>
  </r>
  <r>
    <x v="0"/>
    <x v="0"/>
    <s v=" "/>
    <m/>
    <m/>
    <x v="1"/>
    <m/>
    <m/>
    <m/>
  </r>
  <r>
    <x v="0"/>
    <x v="0"/>
    <s v="group "/>
    <s v=" "/>
    <s v=" mean of mean fluo "/>
    <x v="2"/>
    <s v=" mean of total fluo "/>
    <s v=" SD total fluo "/>
    <m/>
  </r>
  <r>
    <x v="3"/>
    <x v="9"/>
    <s v="C:\Users\andre\Desktop\REACTIV CEFAS\Cromolyn\Cromolyn/20201203_Cefas_Test8_Run3/Plate 1/@14/ "/>
    <s v=" "/>
    <s v=" 38.7894 "/>
    <x v="5"/>
    <n v="1809475"/>
    <s v=" 1033538.59 "/>
    <m/>
  </r>
  <r>
    <x v="0"/>
    <x v="0"/>
    <s v=" "/>
    <m/>
    <m/>
    <x v="1"/>
    <m/>
    <m/>
    <m/>
  </r>
  <r>
    <x v="0"/>
    <x v="0"/>
    <s v=" "/>
    <m/>
    <m/>
    <x v="1"/>
    <m/>
    <m/>
    <m/>
  </r>
  <r>
    <x v="0"/>
    <x v="0"/>
    <s v=" "/>
    <m/>
    <m/>
    <x v="1"/>
    <m/>
    <m/>
    <m/>
  </r>
  <r>
    <x v="0"/>
    <x v="0"/>
    <s v=" "/>
    <m/>
    <m/>
    <x v="1"/>
    <m/>
    <m/>
    <m/>
  </r>
  <r>
    <x v="0"/>
    <x v="0"/>
    <s v=" "/>
    <m/>
    <m/>
    <x v="1"/>
    <m/>
    <m/>
    <m/>
  </r>
  <r>
    <x v="0"/>
    <x v="0"/>
    <s v="file name "/>
    <s v=" total area "/>
    <s v=" mean intensity "/>
    <x v="0"/>
    <s v=" total fluorescence"/>
    <m/>
    <m/>
  </r>
  <r>
    <x v="4"/>
    <x v="1"/>
    <s v="C:\Users\andre\Desktop\REACTIV CEFAS\Cromolyn\Cromolyn/20201203_Cefas_Test8_Run3/Plate 1/@15/A11_01.tif "/>
    <s v=" 73044.1542 "/>
    <s v=" 47.2926 "/>
    <x v="0"/>
    <n v="3454446"/>
    <m/>
    <m/>
  </r>
  <r>
    <x v="4"/>
    <x v="1"/>
    <s v="C:\Users\andre\Desktop\REACTIV CEFAS\Cromolyn\Cromolyn/20201203_Cefas_Test8_Run3/Plate 1/@15/A11_02.tif "/>
    <s v=" 68090.9083 "/>
    <s v=" 45.0753 "/>
    <x v="0"/>
    <n v="3069217"/>
    <m/>
    <m/>
  </r>
  <r>
    <x v="4"/>
    <x v="1"/>
    <s v="C:\Users\andre\Desktop\REACTIV CEFAS\Cromolyn\Cromolyn/20201203_Cefas_Test8_Run3/Plate 1/@15/A11_03.tif "/>
    <s v=" 67442.0115 "/>
    <s v=" 47.4885 "/>
    <x v="0"/>
    <n v="3202717"/>
    <m/>
    <m/>
  </r>
  <r>
    <x v="4"/>
    <x v="2"/>
    <s v="C:\Users\andre\Desktop\REACTIV CEFAS\Cromolyn\Cromolyn/20201203_Cefas_Test8_Run3/Plate 1/@15/B11_01.tif "/>
    <s v=" 73390.2325 "/>
    <s v=" 40.5385 "/>
    <x v="0"/>
    <n v="2975127"/>
    <m/>
    <m/>
  </r>
  <r>
    <x v="4"/>
    <x v="2"/>
    <s v="C:\Users\andre\Desktop\REACTIV CEFAS\Cromolyn\Cromolyn/20201203_Cefas_Test8_Run3/Plate 1/@15/B11_02.tif "/>
    <s v=" 73952.6097 "/>
    <s v=" 40.4899 "/>
    <x v="0"/>
    <n v="2994334"/>
    <m/>
    <m/>
  </r>
  <r>
    <x v="4"/>
    <x v="2"/>
    <s v="C:\Users\andre\Desktop\REACTIV CEFAS\Cromolyn\Cromolyn/20201203_Cefas_Test8_Run3/Plate 1/@15/B11_03.tif "/>
    <s v=" 78105.5495 "/>
    <s v=" 45.2088 "/>
    <x v="0"/>
    <n v="3531059"/>
    <m/>
    <m/>
  </r>
  <r>
    <x v="4"/>
    <x v="3"/>
    <s v="C:\Users\andre\Desktop\REACTIV CEFAS\Cromolyn\Cromolyn/20201203_Cefas_Test8_Run3/Plate 1/@15/C11_01.tif "/>
    <s v=" 67831.3496 "/>
    <s v=" 45.8029 "/>
    <x v="0"/>
    <n v="3106875"/>
    <m/>
    <m/>
  </r>
  <r>
    <x v="4"/>
    <x v="3"/>
    <s v="C:\Users\andre\Desktop\REACTIV CEFAS\Cromolyn\Cromolyn/20201203_Cefas_Test8_Run3/Plate 1/@15/C11_02.tif "/>
    <s v=" 60433.9256 "/>
    <s v=" 46.8096 "/>
    <x v="0"/>
    <n v="2828887"/>
    <m/>
    <m/>
  </r>
  <r>
    <x v="4"/>
    <x v="3"/>
    <s v="C:\Users\andre\Desktop\REACTIV CEFAS\Cromolyn\Cromolyn/20201203_Cefas_Test8_Run3/Plate 1/@15/C11_03.tif "/>
    <s v=" 69626.6308 "/>
    <s v=" 45.1066 "/>
    <x v="0"/>
    <n v="3140617"/>
    <m/>
    <m/>
  </r>
  <r>
    <x v="4"/>
    <x v="4"/>
    <s v="C:\Users\andre\Desktop\REACTIV CEFAS\Cromolyn\Cromolyn/20201203_Cefas_Test8_Run3/Plate 1/@15/D11_01.tif "/>
    <s v=" 54658.7437 "/>
    <s v=" 48.4044 "/>
    <x v="0"/>
    <n v="2645725"/>
    <m/>
    <m/>
  </r>
  <r>
    <x v="4"/>
    <x v="4"/>
    <s v="C:\Users\andre\Desktop\REACTIV CEFAS\Cromolyn\Cromolyn/20201203_Cefas_Test8_Run3/Plate 1/@15/D11_02.tif "/>
    <s v=" 58249.3062 "/>
    <s v=" 45.8147 "/>
    <x v="0"/>
    <n v="2668675"/>
    <m/>
    <m/>
  </r>
  <r>
    <x v="4"/>
    <x v="4"/>
    <s v="C:\Users\andre\Desktop\REACTIV CEFAS\Cromolyn\Cromolyn/20201203_Cefas_Test8_Run3/Plate 1/@15/D11_03.tif "/>
    <s v=" 62726.6944 "/>
    <s v=" 48.1848 "/>
    <x v="0"/>
    <n v="3022475"/>
    <m/>
    <m/>
  </r>
  <r>
    <x v="4"/>
    <x v="5"/>
    <s v="C:\Users\andre\Desktop\REACTIV CEFAS\Cromolyn\Cromolyn/20201203_Cefas_Test8_Run3/Plate 1/@15/E11_01.tif "/>
    <s v=" 70318.7874 "/>
    <s v=" 45.7032 "/>
    <x v="0"/>
    <n v="3213791"/>
    <m/>
    <m/>
  </r>
  <r>
    <x v="4"/>
    <x v="5"/>
    <s v="C:\Users\andre\Desktop\REACTIV CEFAS\Cromolyn\Cromolyn/20201203_Cefas_Test8_Run3/Plate 1/@15/E11_02.tif "/>
    <s v=" 74385.2076 "/>
    <s v=" 50.8587 "/>
    <x v="0"/>
    <n v="3783133"/>
    <m/>
    <m/>
  </r>
  <r>
    <x v="4"/>
    <x v="5"/>
    <s v="C:\Users\andre\Desktop\REACTIV CEFAS\Cromolyn\Cromolyn/20201203_Cefas_Test8_Run3/Plate 1/@15/E11_03.tif "/>
    <s v=" 69215.6628 "/>
    <s v=" 46.4684 "/>
    <x v="0"/>
    <n v="3216344"/>
    <m/>
    <m/>
  </r>
  <r>
    <x v="4"/>
    <x v="6"/>
    <s v="C:\Users\andre\Desktop\REACTIV CEFAS\Cromolyn\Cromolyn/20201203_Cefas_Test8_Run3/Plate 1/@15/F11_01.tif "/>
    <s v=" 95322.9456 "/>
    <s v=" 49.4329 "/>
    <x v="0"/>
    <n v="4712094"/>
    <m/>
    <m/>
  </r>
  <r>
    <x v="4"/>
    <x v="6"/>
    <s v="C:\Users\andre\Desktop\REACTIV CEFAS\Cromolyn\Cromolyn/20201203_Cefas_Test8_Run3/Plate 1/@15/F11_02.tif "/>
    <s v=" 95604.1343 "/>
    <s v=" 49.8353 "/>
    <x v="0"/>
    <n v="4764460"/>
    <m/>
    <m/>
  </r>
  <r>
    <x v="4"/>
    <x v="6"/>
    <s v="C:\Users\andre\Desktop\REACTIV CEFAS\Cromolyn\Cromolyn/20201203_Cefas_Test8_Run3/Plate 1/@15/F11_03.tif "/>
    <s v=" 96923.5578 "/>
    <s v=" 47.4084 "/>
    <x v="0"/>
    <n v="4594990"/>
    <m/>
    <m/>
  </r>
  <r>
    <x v="4"/>
    <x v="7"/>
    <s v="C:\Users\andre\Desktop\REACTIV CEFAS\Cromolyn\Cromolyn/20201203_Cefas_Test8_Run3/Plate 1/@15/G11_01- exclu.tif"/>
    <m/>
    <m/>
    <x v="1"/>
    <m/>
    <m/>
    <m/>
  </r>
  <r>
    <x v="4"/>
    <x v="7"/>
    <s v="C:\Users\andre\Desktop\REACTIV CEFAS\Cromolyn\Cromolyn/20201203_Cefas_Test8_Run3/Plate 1/@15/G11_02- exclu.tif"/>
    <m/>
    <m/>
    <x v="1"/>
    <m/>
    <m/>
    <m/>
  </r>
  <r>
    <x v="4"/>
    <x v="7"/>
    <s v="C:\Users\andre\Desktop\REACTIV CEFAS\Cromolyn\Cromolyn/20201203_Cefas_Test8_Run3/Plate 1/@15/G11_03- exclu.tif"/>
    <m/>
    <m/>
    <x v="1"/>
    <m/>
    <m/>
    <m/>
  </r>
  <r>
    <x v="4"/>
    <x v="8"/>
    <s v="C:\Users\andre\Desktop\REACTIV CEFAS\Cromolyn\Cromolyn/20201203_Cefas_Test8_Run3/Plate 1/@15/H11_01.tif "/>
    <s v=" 35710.956 "/>
    <s v=" 36.2362 "/>
    <x v="0"/>
    <n v="1294030"/>
    <m/>
    <m/>
  </r>
  <r>
    <x v="4"/>
    <x v="8"/>
    <s v="C:\Users\andre\Desktop\REACTIV CEFAS\Cromolyn\Cromolyn/20201203_Cefas_Test8_Run3/Plate 1/@15/H11_02.tif "/>
    <s v=" 41529.3977 "/>
    <s v=" 36.3109 "/>
    <x v="0"/>
    <n v="1507971"/>
    <m/>
    <m/>
  </r>
  <r>
    <x v="4"/>
    <x v="8"/>
    <s v="C:\Users\andre\Desktop\REACTIV CEFAS\Cromolyn\Cromolyn/20201203_Cefas_Test8_Run3/Plate 1/@15/H11_03.tif "/>
    <s v=" 27188.7775 "/>
    <s v=" 33.922 "/>
    <x v="0"/>
    <n v="922299"/>
    <m/>
    <m/>
  </r>
  <r>
    <x v="0"/>
    <x v="0"/>
    <s v=" "/>
    <m/>
    <m/>
    <x v="1"/>
    <m/>
    <m/>
    <m/>
  </r>
  <r>
    <x v="0"/>
    <x v="0"/>
    <s v="group "/>
    <s v=" "/>
    <s v=" mean of mean fluo "/>
    <x v="2"/>
    <s v=" mean of total fluo "/>
    <s v=" SD total fluo "/>
    <m/>
  </r>
  <r>
    <x v="4"/>
    <x v="9"/>
    <s v="C:\Users\andre\Desktop\REACTIV CEFAS\Cromolyn\Cromolyn/20201203_Cefas_Test8_Run3/Plate 1/@15/ "/>
    <s v=" "/>
    <s v=" 39.2664 "/>
    <x v="6"/>
    <s v=" 2693719.42 "/>
    <s v=" 1388268.76 "/>
    <m/>
  </r>
  <r>
    <x v="0"/>
    <x v="0"/>
    <s v=" "/>
    <m/>
    <m/>
    <x v="1"/>
    <m/>
    <m/>
    <m/>
  </r>
  <r>
    <x v="0"/>
    <x v="0"/>
    <s v=" "/>
    <m/>
    <m/>
    <x v="1"/>
    <m/>
    <m/>
    <m/>
  </r>
  <r>
    <x v="0"/>
    <x v="0"/>
    <s v=" "/>
    <m/>
    <m/>
    <x v="1"/>
    <m/>
    <m/>
    <m/>
  </r>
  <r>
    <x v="0"/>
    <x v="0"/>
    <s v=" "/>
    <m/>
    <m/>
    <x v="1"/>
    <m/>
    <m/>
    <m/>
  </r>
  <r>
    <x v="0"/>
    <x v="0"/>
    <s v=" "/>
    <m/>
    <m/>
    <x v="1"/>
    <m/>
    <m/>
    <m/>
  </r>
  <r>
    <x v="0"/>
    <x v="0"/>
    <s v="file name "/>
    <s v=" total area "/>
    <s v=" mean intensity "/>
    <x v="0"/>
    <s v=" total fluorescence"/>
    <m/>
    <m/>
  </r>
  <r>
    <x v="5"/>
    <x v="1"/>
    <s v="C:\Users\andre\Desktop\REACTIV CEFAS\Cromolyn\Cromolyn/20201203_Cefas_Test8_Run3/Plate 1/@16/A12_01.tif "/>
    <n v="0"/>
    <n v="0"/>
    <x v="0"/>
    <n v="0"/>
    <m/>
    <m/>
  </r>
  <r>
    <x v="5"/>
    <x v="1"/>
    <s v="C:\Users\andre\Desktop\REACTIV CEFAS\Cromolyn\Cromolyn/20201203_Cefas_Test8_Run3/Plate 1/@16/A12_02.tif "/>
    <s v=" 237.9288 "/>
    <s v=" 31.6364 "/>
    <x v="0"/>
    <n v="7527"/>
    <m/>
    <m/>
  </r>
  <r>
    <x v="5"/>
    <x v="1"/>
    <s v="C:\Users\andre\Desktop\REACTIV CEFAS\Cromolyn\Cromolyn/20201203_Cefas_Test8_Run3/Plate 1/@16/A12_03.tif "/>
    <s v=" 1254.5339 "/>
    <s v=" 31.7586 "/>
    <x v="0"/>
    <n v="39842"/>
    <m/>
    <m/>
  </r>
  <r>
    <x v="5"/>
    <x v="2"/>
    <s v="C:\Users\andre\Desktop\REACTIV CEFAS\Cromolyn\Cromolyn/20201203_Cefas_Test8_Run3/Plate 1/@16/B12_01.tif "/>
    <s v=" 4477.3882 "/>
    <s v=" 34.2222 "/>
    <x v="0"/>
    <n v="153226"/>
    <m/>
    <m/>
  </r>
  <r>
    <x v="5"/>
    <x v="2"/>
    <s v="C:\Users\andre\Desktop\REACTIV CEFAS\Cromolyn\Cromolyn/20201203_Cefas_Test8_Run3/Plate 1/@16/B12_02.tif "/>
    <s v=" 1514.0926 "/>
    <s v=" 32.1857 "/>
    <x v="0"/>
    <n v="48732"/>
    <m/>
    <m/>
  </r>
  <r>
    <x v="5"/>
    <x v="2"/>
    <s v="C:\Users\andre\Desktop\REACTIV CEFAS\Cromolyn\Cromolyn/20201203_Cefas_Test8_Run3/Plate 1/@16/B12_03.tif "/>
    <s v=" 2357.6585 "/>
    <s v=" 32.1284 "/>
    <x v="0"/>
    <n v="75748"/>
    <m/>
    <m/>
  </r>
  <r>
    <x v="5"/>
    <x v="3"/>
    <s v="C:\Users\andre\Desktop\REACTIV CEFAS\Cromolyn\Cromolyn/20201203_Cefas_Test8_Run3/Plate 1/@16/C12_01.tif "/>
    <s v=" 6986.456 "/>
    <s v=" 41.7059 "/>
    <x v="0"/>
    <n v="291376"/>
    <m/>
    <m/>
  </r>
  <r>
    <x v="5"/>
    <x v="3"/>
    <s v="C:\Users\andre\Desktop\REACTIV CEFAS\Cromolyn\Cromolyn/20201203_Cefas_Test8_Run3/Plate 1/@16/C12_02- exclu.tif"/>
    <m/>
    <m/>
    <x v="1"/>
    <m/>
    <m/>
    <m/>
  </r>
  <r>
    <x v="5"/>
    <x v="3"/>
    <s v="C:\Users\andre\Desktop\REACTIV CEFAS\Cromolyn\Cromolyn/20201203_Cefas_Test8_Run3/Plate 1/@16/C12_03.tif "/>
    <n v="0"/>
    <n v="0"/>
    <x v="0"/>
    <n v="0"/>
    <m/>
    <m/>
  </r>
  <r>
    <x v="5"/>
    <x v="4"/>
    <s v="C:\Users\andre\Desktop\REACTIV CEFAS\Cromolyn\Cromolyn/20201203_Cefas_Test8_Run3/Plate 1/@16/D12_01.tif "/>
    <n v="0"/>
    <n v="0"/>
    <x v="0"/>
    <n v="0"/>
    <m/>
    <m/>
  </r>
  <r>
    <x v="5"/>
    <x v="4"/>
    <s v="C:\Users\andre\Desktop\REACTIV CEFAS\Cromolyn\Cromolyn/20201203_Cefas_Test8_Run3/Plate 1/@16/D12_02.tif "/>
    <s v=" 3720.3419 "/>
    <s v=" 37.1628 "/>
    <x v="0"/>
    <n v="138258"/>
    <m/>
    <m/>
  </r>
  <r>
    <x v="5"/>
    <x v="4"/>
    <s v="C:\Users\andre\Desktop\REACTIV CEFAS\Cromolyn\Cromolyn/20201203_Cefas_Test8_Run3/Plate 1/@16/D12_03.tif "/>
    <s v=" 1189.6442 "/>
    <s v=" 33.1636 "/>
    <x v="0"/>
    <n v="39453"/>
    <m/>
    <m/>
  </r>
  <r>
    <x v="5"/>
    <x v="5"/>
    <s v="C:\Users\andre\Desktop\REACTIV CEFAS\Cromolyn\Cromolyn/20201203_Cefas_Test8_Run3/Plate 1/@16/E12_01.tif "/>
    <s v=" 3006.5554 "/>
    <s v=" 33.7194 "/>
    <x v="0"/>
    <n v="101379"/>
    <m/>
    <m/>
  </r>
  <r>
    <x v="5"/>
    <x v="5"/>
    <s v="C:\Users\andre\Desktop\REACTIV CEFAS\Cromolyn\Cromolyn/20201203_Cefas_Test8_Run3/Plate 1/@16/E12_02.tif "/>
    <s v=" 1643.872 "/>
    <s v=" 33.3421 "/>
    <x v="0"/>
    <n v="54810"/>
    <m/>
    <m/>
  </r>
  <r>
    <x v="5"/>
    <x v="5"/>
    <s v="C:\Users\andre\Desktop\REACTIV CEFAS\Cromolyn\Cromolyn/20201203_Cefas_Test8_Run3/Plate 1/@16/E12_03.tif "/>
    <s v=" 1860.1709 "/>
    <s v=" 31.9535 "/>
    <x v="0"/>
    <n v="59439"/>
    <m/>
    <m/>
  </r>
  <r>
    <x v="5"/>
    <x v="6"/>
    <s v="C:\Users\andre\Desktop\REACTIV CEFAS\Cromolyn\Cromolyn/20201203_Cefas_Test8_Run3/Plate 1/@16/F12_01.tif "/>
    <s v=" 2682.1069 "/>
    <s v=" 33.9435 "/>
    <x v="0"/>
    <n v="91040"/>
    <m/>
    <m/>
  </r>
  <r>
    <x v="5"/>
    <x v="6"/>
    <s v="C:\Users\andre\Desktop\REACTIV CEFAS\Cromolyn\Cromolyn/20201203_Cefas_Test8_Run3/Plate 1/@16/F12_02.tif "/>
    <s v=" 432.5979 "/>
    <s v=" 32.6 "/>
    <x v="0"/>
    <n v="14103"/>
    <m/>
    <m/>
  </r>
  <r>
    <x v="5"/>
    <x v="6"/>
    <s v="C:\Users\andre\Desktop\REACTIV CEFAS\Cromolyn\Cromolyn/20201203_Cefas_Test8_Run3/Plate 1/@16/F12_03.tif "/>
    <s v=" 4304.349 "/>
    <s v=" 35.1508 "/>
    <x v="0"/>
    <n v="151301"/>
    <m/>
    <m/>
  </r>
  <r>
    <x v="5"/>
    <x v="7"/>
    <s v="C:\Users\andre\Desktop\REACTIV CEFAS\Cromolyn\Cromolyn/20201203_Cefas_Test8_Run3/Plate 1/@16/G12_01.tif "/>
    <s v=" 9625.3031 "/>
    <s v=" 40.5461 "/>
    <x v="0"/>
    <n v="390268"/>
    <m/>
    <m/>
  </r>
  <r>
    <x v="5"/>
    <x v="7"/>
    <s v="C:\Users\andre\Desktop\REACTIV CEFAS\Cromolyn\Cromolyn/20201203_Cefas_Test8_Run3/Plate 1/@16/G12_02.tif "/>
    <s v=" 9214.3351 "/>
    <s v=" 41.3263 "/>
    <x v="0"/>
    <n v="380794"/>
    <m/>
    <m/>
  </r>
  <r>
    <x v="5"/>
    <x v="7"/>
    <s v="C:\Users\andre\Desktop\REACTIV CEFAS\Cromolyn\Cromolyn/20201203_Cefas_Test8_Run3/Plate 1/@16/G12_03.tif "/>
    <s v=" 5775.1819 "/>
    <s v=" 39.5243 "/>
    <x v="0"/>
    <n v="228260"/>
    <m/>
    <m/>
  </r>
  <r>
    <x v="5"/>
    <x v="8"/>
    <s v="C:\Users\andre\Desktop\REACTIV CEFAS\Cromolyn\Cromolyn/20201203_Cefas_Test8_Run3/Plate 1/@16/H12_01- exclu.tif"/>
    <m/>
    <m/>
    <x v="1"/>
    <m/>
    <m/>
    <m/>
  </r>
  <r>
    <x v="5"/>
    <x v="8"/>
    <s v="C:\Users\andre\Desktop\REACTIV CEFAS\Cromolyn\Cromolyn/20201203_Cefas_Test8_Run3/Plate 1/@16/H12_02- exclu.tif"/>
    <m/>
    <m/>
    <x v="1"/>
    <m/>
    <m/>
    <m/>
  </r>
  <r>
    <x v="5"/>
    <x v="8"/>
    <s v="C:\Users\andre\Desktop\REACTIV CEFAS\Cromolyn\Cromolyn/20201203_Cefas_Test8_Run3/Plate 1/@16/H12_03- exclu.tif"/>
    <m/>
    <m/>
    <x v="1"/>
    <m/>
    <m/>
    <m/>
  </r>
  <r>
    <x v="0"/>
    <x v="0"/>
    <s v=" "/>
    <m/>
    <m/>
    <x v="1"/>
    <m/>
    <m/>
    <m/>
  </r>
  <r>
    <x v="0"/>
    <x v="0"/>
    <s v="group "/>
    <s v=" "/>
    <s v=" mean of mean fluo "/>
    <x v="2"/>
    <s v=" mean of total fluo "/>
    <s v=" SD total fluo "/>
    <m/>
  </r>
  <r>
    <x v="5"/>
    <x v="9"/>
    <s v="C:\Users\andre\Desktop\REACTIV CEFAS\Cromolyn\Cromolyn/20201203_Cefas_Test8_Run3/Plate 1/@16/ "/>
    <s v=" "/>
    <s v=" 26.1865 "/>
    <x v="7"/>
    <s v=" 108680.208 "/>
    <s v=" 126908.679 "/>
    <m/>
  </r>
  <r>
    <x v="0"/>
    <x v="0"/>
    <s v=" "/>
    <m/>
    <m/>
    <x v="1"/>
    <m/>
    <m/>
    <m/>
  </r>
  <r>
    <x v="0"/>
    <x v="0"/>
    <s v=" "/>
    <m/>
    <m/>
    <x v="1"/>
    <m/>
    <m/>
    <m/>
  </r>
  <r>
    <x v="0"/>
    <x v="0"/>
    <s v=" "/>
    <m/>
    <m/>
    <x v="1"/>
    <m/>
    <m/>
    <m/>
  </r>
  <r>
    <x v="0"/>
    <x v="0"/>
    <s v=" "/>
    <m/>
    <m/>
    <x v="1"/>
    <m/>
    <m/>
    <m/>
  </r>
  <r>
    <x v="0"/>
    <x v="0"/>
    <s v=" "/>
    <m/>
    <m/>
    <x v="1"/>
    <m/>
    <m/>
    <m/>
  </r>
  <r>
    <x v="0"/>
    <x v="0"/>
    <s v="file name "/>
    <s v=" total area "/>
    <s v=" mean intensity "/>
    <x v="0"/>
    <s v=" total fluorescence"/>
    <m/>
    <m/>
  </r>
  <r>
    <x v="6"/>
    <x v="1"/>
    <s v="C:\Users\andre\Desktop\REACTIV CEFAS\Cromolyn\Cromolyn/20201203_Cefas_Test8_Run3/Plate 1/@2/A2_01.tif "/>
    <s v=" 8868.2568 "/>
    <s v=" 43.5439 "/>
    <x v="0"/>
    <n v="386159"/>
    <m/>
    <m/>
  </r>
  <r>
    <x v="6"/>
    <x v="1"/>
    <s v="C:\Users\andre\Desktop\REACTIV CEFAS\Cromolyn\Cromolyn/20201203_Cefas_Test8_Run3/Plate 1/@2/A2_02.tif "/>
    <s v=" 11117.7658 "/>
    <s v=" 49.0953 "/>
    <x v="0"/>
    <n v="545830"/>
    <m/>
    <m/>
  </r>
  <r>
    <x v="6"/>
    <x v="1"/>
    <s v="C:\Users\andre\Desktop\REACTIV CEFAS\Cromolyn\Cromolyn/20201203_Cefas_Test8_Run3/Plate 1/@2/A2_03- exclu.tif"/>
    <m/>
    <m/>
    <x v="1"/>
    <m/>
    <m/>
    <m/>
  </r>
  <r>
    <x v="6"/>
    <x v="2"/>
    <s v="C:\Users\andre\Desktop\REACTIV CEFAS\Cromolyn\Cromolyn/20201203_Cefas_Test8_Run3/Plate 1/@2/B2_01.tif "/>
    <s v=" 5753.552 "/>
    <s v=" 39.9098 "/>
    <x v="0"/>
    <n v="229623"/>
    <m/>
    <m/>
  </r>
  <r>
    <x v="6"/>
    <x v="2"/>
    <s v="C:\Users\andre\Desktop\REACTIV CEFAS\Cromolyn\Cromolyn/20201203_Cefas_Test8_Run3/Plate 1/@2/B2_02- exclu.tif"/>
    <m/>
    <m/>
    <x v="1"/>
    <m/>
    <m/>
    <m/>
  </r>
  <r>
    <x v="6"/>
    <x v="2"/>
    <s v="C:\Users\andre\Desktop\REACTIV CEFAS\Cromolyn\Cromolyn/20201203_Cefas_Test8_Run3/Plate 1/@2/B2_03- exclu.tif"/>
    <m/>
    <m/>
    <x v="1"/>
    <m/>
    <m/>
    <m/>
  </r>
  <r>
    <x v="6"/>
    <x v="3"/>
    <s v="C:\Users\andre\Desktop\REACTIV CEFAS\Cromolyn\Cromolyn/20201203_Cefas_Test8_Run3/Plate 1/@2/C2_01.tif "/>
    <n v="0"/>
    <n v="0"/>
    <x v="0"/>
    <n v="0"/>
    <m/>
    <m/>
  </r>
  <r>
    <x v="6"/>
    <x v="3"/>
    <s v="C:\Users\andre\Desktop\REACTIV CEFAS\Cromolyn\Cromolyn/20201203_Cefas_Test8_Run3/Plate 1/@2/C2_02.tif "/>
    <s v=" 3287.744 "/>
    <s v=" 36.1447 "/>
    <x v="0"/>
    <n v="118835"/>
    <m/>
    <m/>
  </r>
  <r>
    <x v="6"/>
    <x v="3"/>
    <s v="C:\Users\andre\Desktop\REACTIV CEFAS\Cromolyn\Cromolyn/20201203_Cefas_Test8_Run3/Plate 1/@2/C2_03.tif "/>
    <s v=" 540.7474 "/>
    <s v=" 33.2 "/>
    <x v="0"/>
    <n v="17953"/>
    <m/>
    <m/>
  </r>
  <r>
    <x v="6"/>
    <x v="4"/>
    <s v="C:\Users\andre\Desktop\REACTIV CEFAS\Cromolyn\Cromolyn/20201203_Cefas_Test8_Run3/Plate 1/@2/D2_01.tif "/>
    <s v=" 11182.6555 "/>
    <s v=" 38.1683 "/>
    <x v="0"/>
    <n v="426823"/>
    <m/>
    <m/>
  </r>
  <r>
    <x v="6"/>
    <x v="4"/>
    <s v="C:\Users\andre\Desktop\REACTIV CEFAS\Cromolyn\Cromolyn/20201203_Cefas_Test8_Run3/Plate 1/@2/D2_02.tif "/>
    <s v=" 8435.6589 "/>
    <s v=" 36.8846 "/>
    <x v="0"/>
    <n v="311146"/>
    <m/>
    <m/>
  </r>
  <r>
    <x v="6"/>
    <x v="4"/>
    <s v="C:\Users\andre\Desktop\REACTIV CEFAS\Cromolyn\Cromolyn/20201203_Cefas_Test8_Run3/Plate 1/@2/D2_03.tif "/>
    <s v=" 8522.1785 "/>
    <s v=" 35.9188 "/>
    <x v="0"/>
    <n v="306106"/>
    <m/>
    <m/>
  </r>
  <r>
    <x v="6"/>
    <x v="5"/>
    <s v="C:\Users\andre\Desktop\REACTIV CEFAS\Cromolyn\Cromolyn/20201203_Cefas_Test8_Run3/Plate 1/@2/E2_01- exclu.tif"/>
    <m/>
    <m/>
    <x v="1"/>
    <m/>
    <m/>
    <m/>
  </r>
  <r>
    <x v="6"/>
    <x v="5"/>
    <s v="C:\Users\andre\Desktop\REACTIV CEFAS\Cromolyn\Cromolyn/20201203_Cefas_Test8_Run3/Plate 1/@2/E2_02- exclu.tif"/>
    <m/>
    <m/>
    <x v="1"/>
    <m/>
    <m/>
    <m/>
  </r>
  <r>
    <x v="6"/>
    <x v="5"/>
    <s v="C:\Users\andre\Desktop\REACTIV CEFAS\Cromolyn\Cromolyn/20201203_Cefas_Test8_Run3/Plate 1/@2/E2_03- exclu.tif"/>
    <m/>
    <m/>
    <x v="1"/>
    <m/>
    <m/>
    <m/>
  </r>
  <r>
    <x v="6"/>
    <x v="6"/>
    <s v="C:\Users\andre\Desktop\REACTIV CEFAS\Cromolyn\Cromolyn/20201203_Cefas_Test8_Run3/Plate 1/@2/F2_01.tif "/>
    <s v=" 3979.9006 "/>
    <s v=" 36.837 "/>
    <x v="0"/>
    <n v="146607"/>
    <m/>
    <m/>
  </r>
  <r>
    <x v="6"/>
    <x v="6"/>
    <s v="C:\Users\andre\Desktop\REACTIV CEFAS\Cromolyn\Cromolyn/20201203_Cefas_Test8_Run3/Plate 1/@2/F2_02.tif "/>
    <s v=" 5602.1427 "/>
    <s v=" 39.7838 "/>
    <x v="0"/>
    <n v="222874"/>
    <m/>
    <m/>
  </r>
  <r>
    <x v="6"/>
    <x v="6"/>
    <s v="C:\Users\andre\Desktop\REACTIV CEFAS\Cromolyn\Cromolyn/20201203_Cefas_Test8_Run3/Plate 1/@2/F2_03.tif "/>
    <s v=" 1838.541 "/>
    <s v=" 36.5294 "/>
    <x v="0"/>
    <n v="67161"/>
    <m/>
    <m/>
  </r>
  <r>
    <x v="6"/>
    <x v="7"/>
    <s v="C:\Users\andre\Desktop\REACTIV CEFAS\Cromolyn\Cromolyn/20201203_Cefas_Test8_Run3/Plate 1/@2/G2_01.tif "/>
    <s v=" 519.1175 "/>
    <s v=" 31.6667 "/>
    <x v="0"/>
    <n v="16439"/>
    <m/>
    <m/>
  </r>
  <r>
    <x v="6"/>
    <x v="7"/>
    <s v="C:\Users\andre\Desktop\REACTIV CEFAS\Cromolyn\Cromolyn/20201203_Cefas_Test8_Run3/Plate 1/@2/G2_02.tif "/>
    <s v=" 64.8897 "/>
    <s v=" 32.3333 "/>
    <x v="0"/>
    <n v="2098"/>
    <m/>
    <m/>
  </r>
  <r>
    <x v="6"/>
    <x v="7"/>
    <s v="C:\Users\andre\Desktop\REACTIV CEFAS\Cromolyn\Cromolyn/20201203_Cefas_Test8_Run3/Plate 1/@2/G2_03.tif "/>
    <s v=" 8846.6269 "/>
    <s v=" 38.0782 "/>
    <x v="0"/>
    <n v="336864"/>
    <m/>
    <m/>
  </r>
  <r>
    <x v="6"/>
    <x v="8"/>
    <s v="C:\Users\andre\Desktop\REACTIV CEFAS\Cromolyn\Cromolyn/20201203_Cefas_Test8_Run3/Plate 1/@2/H2_01.tif "/>
    <s v=" 8673.5877 "/>
    <s v=" 37.8928 "/>
    <x v="0"/>
    <n v="328666"/>
    <m/>
    <m/>
  </r>
  <r>
    <x v="6"/>
    <x v="8"/>
    <s v="C:\Users\andre\Desktop\REACTIV CEFAS\Cromolyn\Cromolyn/20201203_Cefas_Test8_Run3/Plate 1/@2/H2_02.tif "/>
    <s v=" 3850.1212 "/>
    <s v=" 37.7697 "/>
    <x v="0"/>
    <n v="145418"/>
    <m/>
    <m/>
  </r>
  <r>
    <x v="6"/>
    <x v="8"/>
    <s v="C:\Users\andre\Desktop\REACTIV CEFAS\Cromolyn\Cromolyn/20201203_Cefas_Test8_Run3/Plate 1/@2/H2_03.tif "/>
    <s v=" 7765.1322 "/>
    <s v=" 38.585 "/>
    <x v="0"/>
    <n v="299617"/>
    <m/>
    <m/>
  </r>
  <r>
    <x v="0"/>
    <x v="0"/>
    <s v=" "/>
    <m/>
    <m/>
    <x v="1"/>
    <m/>
    <m/>
    <m/>
  </r>
  <r>
    <x v="0"/>
    <x v="0"/>
    <s v="group "/>
    <s v=" "/>
    <s v=" mean of mean fluo "/>
    <x v="2"/>
    <s v=" mean of total fluo "/>
    <s v=" SD total fluo "/>
    <m/>
  </r>
  <r>
    <x v="6"/>
    <x v="9"/>
    <s v="C:\Users\andre\Desktop\REACTIV CEFAS\Cromolyn\Cromolyn/20201203_Cefas_Test8_Run3/Plate 1/@2/ "/>
    <s v=" "/>
    <s v=" 37.7109 "/>
    <x v="8"/>
    <s v=" 332434.333 "/>
    <s v=" 346843.6 "/>
    <m/>
  </r>
  <r>
    <x v="0"/>
    <x v="0"/>
    <s v=" "/>
    <m/>
    <m/>
    <x v="1"/>
    <m/>
    <m/>
    <m/>
  </r>
  <r>
    <x v="0"/>
    <x v="0"/>
    <s v=" "/>
    <m/>
    <m/>
    <x v="1"/>
    <m/>
    <m/>
    <m/>
  </r>
  <r>
    <x v="0"/>
    <x v="0"/>
    <s v=" "/>
    <m/>
    <m/>
    <x v="1"/>
    <m/>
    <m/>
    <m/>
  </r>
  <r>
    <x v="0"/>
    <x v="0"/>
    <s v=" "/>
    <m/>
    <m/>
    <x v="1"/>
    <m/>
    <m/>
    <m/>
  </r>
  <r>
    <x v="0"/>
    <x v="0"/>
    <s v=" "/>
    <m/>
    <m/>
    <x v="1"/>
    <m/>
    <m/>
    <m/>
  </r>
  <r>
    <x v="0"/>
    <x v="0"/>
    <s v="file name "/>
    <s v=" total area "/>
    <s v=" mean intensity "/>
    <x v="0"/>
    <s v=" total fluorescence"/>
    <m/>
    <m/>
  </r>
  <r>
    <x v="7"/>
    <x v="1"/>
    <s v="C:\Users\andre\Desktop\REACTIV CEFAS\Cromolyn\Cromolyn/20201203_Cefas_Test8_Run3/Plate 1/@3/A3_01.tif "/>
    <s v=" 108.1495 "/>
    <s v=" 31.8 "/>
    <x v="0"/>
    <n v="3439"/>
    <m/>
    <m/>
  </r>
  <r>
    <x v="7"/>
    <x v="1"/>
    <s v="C:\Users\andre\Desktop\REACTIV CEFAS\Cromolyn\Cromolyn/20201203_Cefas_Test8_Run3/Plate 1/@3/A3_02- exclu.tif"/>
    <m/>
    <m/>
    <x v="1"/>
    <m/>
    <m/>
    <m/>
  </r>
  <r>
    <x v="7"/>
    <x v="1"/>
    <s v="C:\Users\andre\Desktop\REACTIV CEFAS\Cromolyn\Cromolyn/20201203_Cefas_Test8_Run3/Plate 1/@3/A3_03- exclu.tif"/>
    <m/>
    <m/>
    <x v="1"/>
    <m/>
    <m/>
    <m/>
  </r>
  <r>
    <x v="7"/>
    <x v="2"/>
    <s v="C:\Users\andre\Desktop\REACTIV CEFAS\Cromolyn\Cromolyn/20201203_Cefas_Test8_Run3/Plate 1/@3/B3_01- exclu.tif"/>
    <m/>
    <m/>
    <x v="1"/>
    <m/>
    <m/>
    <m/>
  </r>
  <r>
    <x v="7"/>
    <x v="2"/>
    <s v="C:\Users\andre\Desktop\REACTIV CEFAS\Cromolyn\Cromolyn/20201203_Cefas_Test8_Run3/Plate 1/@3/B3_02.tif "/>
    <s v=" 2119.7297 "/>
    <s v=" 34.8469 "/>
    <x v="0"/>
    <n v="73866"/>
    <m/>
    <m/>
  </r>
  <r>
    <x v="7"/>
    <x v="2"/>
    <s v="C:\Users\andre\Desktop\REACTIV CEFAS\Cromolyn\Cromolyn/20201203_Cefas_Test8_Run3/Plate 1/@3/B3_03.tif "/>
    <n v="0"/>
    <n v="0"/>
    <x v="0"/>
    <n v="0"/>
    <m/>
    <m/>
  </r>
  <r>
    <x v="7"/>
    <x v="3"/>
    <s v="C:\Users\andre\Desktop\REACTIV CEFAS\Cromolyn\Cromolyn/20201203_Cefas_Test8_Run3/Plate 1/@3/C3_01.tif "/>
    <s v=" 3677.0821 "/>
    <s v=" 33.8941 "/>
    <x v="0"/>
    <n v="124631"/>
    <m/>
    <m/>
  </r>
  <r>
    <x v="7"/>
    <x v="3"/>
    <s v="C:\Users\andre\Desktop\REACTIV CEFAS\Cromolyn\Cromolyn/20201203_Cefas_Test8_Run3/Plate 1/@3/C3_02.tif "/>
    <s v=" 1622.2421 "/>
    <s v=" 32.2133 "/>
    <x v="0"/>
    <n v="52258"/>
    <m/>
    <m/>
  </r>
  <r>
    <x v="7"/>
    <x v="3"/>
    <s v="C:\Users\andre\Desktop\REACTIV CEFAS\Cromolyn\Cromolyn/20201203_Cefas_Test8_Run3/Plate 1/@3/C3_03.tif "/>
    <s v=" 1535.7225 "/>
    <s v=" 32.2113 "/>
    <x v="0"/>
    <n v="49468"/>
    <m/>
    <m/>
  </r>
  <r>
    <x v="7"/>
    <x v="4"/>
    <s v="C:\Users\andre\Desktop\REACTIV CEFAS\Cromolyn\Cromolyn/20201203_Cefas_Test8_Run3/Plate 1/@3/D3_01.tif "/>
    <s v=" 6553.8581 "/>
    <s v=" 39.9241 "/>
    <x v="0"/>
    <n v="261657"/>
    <m/>
    <m/>
  </r>
  <r>
    <x v="7"/>
    <x v="4"/>
    <s v="C:\Users\andre\Desktop\REACTIV CEFAS\Cromolyn\Cromolyn/20201203_Cefas_Test8_Run3/Plate 1/@3/D3_02.tif "/>
    <s v=" 9841.6021 "/>
    <s v=" 45.6527 "/>
    <x v="0"/>
    <n v="449296"/>
    <m/>
    <m/>
  </r>
  <r>
    <x v="7"/>
    <x v="4"/>
    <s v="C:\Users\andre\Desktop\REACTIV CEFAS\Cromolyn\Cromolyn/20201203_Cefas_Test8_Run3/Plate 1/@3/D3_03.tif "/>
    <s v=" 10663.5381 "/>
    <s v=" 44.1765 "/>
    <x v="0"/>
    <n v="471077"/>
    <m/>
    <m/>
  </r>
  <r>
    <x v="7"/>
    <x v="5"/>
    <s v="C:\Users\andre\Desktop\REACTIV CEFAS\Cromolyn\Cromolyn/20201203_Cefas_Test8_Run3/Plate 1/@3/E3_01.tif "/>
    <s v=" 5580.5128 "/>
    <s v=" 39.8876 "/>
    <x v="0"/>
    <n v="222593"/>
    <m/>
    <m/>
  </r>
  <r>
    <x v="7"/>
    <x v="5"/>
    <s v="C:\Users\andre\Desktop\REACTIV CEFAS\Cromolyn\Cromolyn/20201203_Cefas_Test8_Run3/Plate 1/@3/E3_02.tif "/>
    <s v=" 5299.3242 "/>
    <s v=" 40.6531 "/>
    <x v="0"/>
    <n v="215434"/>
    <m/>
    <m/>
  </r>
  <r>
    <x v="7"/>
    <x v="5"/>
    <s v="C:\Users\andre\Desktop\REACTIV CEFAS\Cromolyn\Cromolyn/20201203_Cefas_Test8_Run3/Plate 1/@3/E3_03.tif "/>
    <n v="0"/>
    <n v="0"/>
    <x v="0"/>
    <n v="0"/>
    <m/>
    <m/>
  </r>
  <r>
    <x v="7"/>
    <x v="6"/>
    <s v="C:\Users\andre\Desktop\REACTIV CEFAS\Cromolyn\Cromolyn/20201203_Cefas_Test8_Run3/Plate 1/@3/F3_01.tif "/>
    <s v=" 3374.2636 "/>
    <s v=" 37.0256 "/>
    <x v="0"/>
    <n v="124934"/>
    <m/>
    <m/>
  </r>
  <r>
    <x v="7"/>
    <x v="6"/>
    <s v="C:\Users\andre\Desktop\REACTIV CEFAS\Cromolyn\Cromolyn/20201203_Cefas_Test8_Run3/Plate 1/@3/F3_02.tif "/>
    <s v=" 2119.7297 "/>
    <s v=" 34.8776 "/>
    <x v="0"/>
    <n v="73931"/>
    <m/>
    <m/>
  </r>
  <r>
    <x v="7"/>
    <x v="6"/>
    <s v="C:\Users\andre\Desktop\REACTIV CEFAS\Cromolyn\Cromolyn/20201203_Cefas_Test8_Run3/Plate 1/@3/F3_03.tif "/>
    <s v=" 3612.1924 "/>
    <s v=" 35.6587 "/>
    <x v="0"/>
    <n v="128806"/>
    <m/>
    <m/>
  </r>
  <r>
    <x v="7"/>
    <x v="7"/>
    <s v="C:\Users\andre\Desktop\REACTIV CEFAS\Cromolyn\Cromolyn/20201203_Cefas_Test8_Run3/Plate 1/@3/G3_01.tif "/>
    <s v=" 13518.6841 "/>
    <s v=" 32.88 "/>
    <x v="0"/>
    <n v="444494"/>
    <m/>
    <m/>
  </r>
  <r>
    <x v="7"/>
    <x v="7"/>
    <s v="C:\Users\andre\Desktop\REACTIV CEFAS\Cromolyn\Cromolyn/20201203_Cefas_Test8_Run3/Plate 1/@3/G3_02.tif "/>
    <s v=" 22646.4997 "/>
    <s v=" 33.8023 "/>
    <x v="0"/>
    <n v="765504"/>
    <m/>
    <m/>
  </r>
  <r>
    <x v="7"/>
    <x v="7"/>
    <s v="C:\Users\andre\Desktop\REACTIV CEFAS\Cromolyn\Cromolyn/20201203_Cefas_Test8_Run3/Plate 1/@3/G3_03.tif "/>
    <s v=" 9084.5557 "/>
    <s v=" 32.4238 "/>
    <x v="0"/>
    <n v="294556"/>
    <m/>
    <m/>
  </r>
  <r>
    <x v="7"/>
    <x v="8"/>
    <s v="C:\Users\andre\Desktop\REACTIV CEFAS\Cromolyn\Cromolyn/20201203_Cefas_Test8_Run3/Plate 1/@3/H3_01.tif "/>
    <s v=" 7548.8332 "/>
    <s v=" 37.2521 "/>
    <x v="0"/>
    <n v="281210"/>
    <m/>
    <m/>
  </r>
  <r>
    <x v="7"/>
    <x v="8"/>
    <s v="C:\Users\andre\Desktop\REACTIV CEFAS\Cromolyn\Cromolyn/20201203_Cefas_Test8_Run3/Plate 1/@3/H3_02.tif "/>
    <s v=" 17974.4424 "/>
    <s v=" 35.1023 "/>
    <x v="0"/>
    <n v="630944"/>
    <m/>
    <m/>
  </r>
  <r>
    <x v="7"/>
    <x v="8"/>
    <s v="C:\Users\andre\Desktop\REACTIV CEFAS\Cromolyn\Cromolyn/20201203_Cefas_Test8_Run3/Plate 1/@3/H3_03.tif "/>
    <s v=" 9582.0433 "/>
    <s v=" 34.7788 "/>
    <x v="0"/>
    <n v="333252"/>
    <m/>
    <m/>
  </r>
  <r>
    <x v="0"/>
    <x v="0"/>
    <s v=" "/>
    <m/>
    <m/>
    <x v="1"/>
    <m/>
    <m/>
    <m/>
  </r>
  <r>
    <x v="0"/>
    <x v="0"/>
    <s v="group "/>
    <s v=" "/>
    <s v=" mean of mean fluo "/>
    <x v="2"/>
    <s v=" mean of total fluo "/>
    <s v=" SD total fluo "/>
    <m/>
  </r>
  <r>
    <x v="7"/>
    <x v="9"/>
    <s v="C:\Users\andre\Desktop\REACTIV CEFAS\Cromolyn\Cromolyn/20201203_Cefas_Test8_Run3/Plate 1/@3/ "/>
    <s v=" "/>
    <s v=" 33.2496 "/>
    <x v="9"/>
    <s v=" 228032.208 "/>
    <s v=" 214814.989 "/>
    <m/>
  </r>
  <r>
    <x v="0"/>
    <x v="0"/>
    <s v=" "/>
    <m/>
    <m/>
    <x v="1"/>
    <m/>
    <m/>
    <m/>
  </r>
  <r>
    <x v="0"/>
    <x v="0"/>
    <s v=" "/>
    <m/>
    <m/>
    <x v="1"/>
    <m/>
    <m/>
    <m/>
  </r>
  <r>
    <x v="0"/>
    <x v="0"/>
    <s v=" "/>
    <m/>
    <m/>
    <x v="1"/>
    <m/>
    <m/>
    <m/>
  </r>
  <r>
    <x v="0"/>
    <x v="0"/>
    <s v=" "/>
    <m/>
    <m/>
    <x v="1"/>
    <m/>
    <m/>
    <m/>
  </r>
  <r>
    <x v="0"/>
    <x v="0"/>
    <s v=" "/>
    <m/>
    <m/>
    <x v="1"/>
    <m/>
    <m/>
    <m/>
  </r>
  <r>
    <x v="0"/>
    <x v="0"/>
    <s v="file name "/>
    <s v=" total area "/>
    <s v=" mean intensity "/>
    <x v="0"/>
    <s v=" total fluorescence"/>
    <m/>
    <m/>
  </r>
  <r>
    <x v="8"/>
    <x v="1"/>
    <s v="C:\Users\andre\Desktop\REACTIV CEFAS\Cromolyn\Cromolyn/20201203_Cefas_Test8_Run3/Plate 1/@4/A4_01.tif "/>
    <s v=" 12653.4884 "/>
    <s v=" 34.5641 "/>
    <x v="0"/>
    <n v="437356"/>
    <m/>
    <m/>
  </r>
  <r>
    <x v="8"/>
    <x v="1"/>
    <s v="C:\Users\andre\Desktop\REACTIV CEFAS\Cromolyn\Cromolyn/20201203_Cefas_Test8_Run3/Plate 1/@4/A4_02.tif "/>
    <s v=" 12610.2286 "/>
    <s v=" 34.1046 "/>
    <x v="0"/>
    <n v="430067"/>
    <m/>
    <m/>
  </r>
  <r>
    <x v="8"/>
    <x v="1"/>
    <s v="C:\Users\andre\Desktop\REACTIV CEFAS\Cromolyn\Cromolyn/20201203_Cefas_Test8_Run3/Plate 1/@4/A4_03.tif "/>
    <s v=" 19553.4247 "/>
    <s v=" 34.6195 "/>
    <x v="0"/>
    <n v="676929"/>
    <m/>
    <m/>
  </r>
  <r>
    <x v="8"/>
    <x v="2"/>
    <s v="C:\Users\andre\Desktop\REACTIV CEFAS\Cromolyn\Cromolyn/20201203_Cefas_Test8_Run3/Plate 1/@4/B4_01.tif "/>
    <s v=" 3785.2316 "/>
    <s v=" 33.5886 "/>
    <x v="0"/>
    <n v="127141"/>
    <m/>
    <m/>
  </r>
  <r>
    <x v="8"/>
    <x v="2"/>
    <s v="C:\Users\andre\Desktop\REACTIV CEFAS\Cromolyn\Cromolyn/20201203_Cefas_Test8_Run3/Plate 1/@4/B4_02.tif "/>
    <s v=" 3352.6337 "/>
    <s v=" 33.2323 "/>
    <x v="0"/>
    <n v="111416"/>
    <m/>
    <m/>
  </r>
  <r>
    <x v="8"/>
    <x v="2"/>
    <s v="C:\Users\andre\Desktop\REACTIV CEFAS\Cromolyn\Cromolyn/20201203_Cefas_Test8_Run3/Plate 1/@4/B4_03.tif "/>
    <s v=" 11139.3957 "/>
    <s v=" 33.233 "/>
    <x v="0"/>
    <n v="370196"/>
    <m/>
    <m/>
  </r>
  <r>
    <x v="8"/>
    <x v="3"/>
    <s v="C:\Users\andre\Desktop\REACTIV CEFAS\Cromolyn\Cromolyn/20201203_Cefas_Test8_Run3/Plate 1/@4/C4_01.tif "/>
    <s v=" 11161.0256 "/>
    <s v=" 34.7713 "/>
    <x v="0"/>
    <n v="388084"/>
    <m/>
    <m/>
  </r>
  <r>
    <x v="8"/>
    <x v="3"/>
    <s v="C:\Users\andre\Desktop\REACTIV CEFAS\Cromolyn\Cromolyn/20201203_Cefas_Test8_Run3/Plate 1/@4/C4_02.tif "/>
    <s v=" 86.5196 "/>
    <s v=" 30.5 "/>
    <x v="0"/>
    <n v="2639"/>
    <m/>
    <m/>
  </r>
  <r>
    <x v="8"/>
    <x v="3"/>
    <s v="C:\Users\andre\Desktop\REACTIV CEFAS\Cromolyn\Cromolyn/20201203_Cefas_Test8_Run3/Plate 1/@4/C4_03.tif "/>
    <s v=" 11161.0256 "/>
    <s v=" 34.5 "/>
    <x v="0"/>
    <n v="385055"/>
    <m/>
    <m/>
  </r>
  <r>
    <x v="8"/>
    <x v="4"/>
    <s v="C:\Users\andre\Desktop\REACTIV CEFAS\Cromolyn\Cromolyn/20201203_Cefas_Test8_Run3/Plate 1/@4/D4_01.tif "/>
    <s v=" 5169.5448 "/>
    <s v=" 35.9749 "/>
    <x v="0"/>
    <n v="185974"/>
    <m/>
    <m/>
  </r>
  <r>
    <x v="8"/>
    <x v="4"/>
    <s v="C:\Users\andre\Desktop\REACTIV CEFAS\Cromolyn\Cromolyn/20201203_Cefas_Test8_Run3/Plate 1/@4/D4_02.tif "/>
    <s v=" 5558.8829 "/>
    <s v=" 33.6459 "/>
    <x v="0"/>
    <n v="187034"/>
    <m/>
    <m/>
  </r>
  <r>
    <x v="8"/>
    <x v="4"/>
    <s v="C:\Users\andre\Desktop\REACTIV CEFAS\Cromolyn\Cromolyn/20201203_Cefas_Test8_Run3/Plate 1/@4/D4_03.tif "/>
    <s v=" 7116.2353 "/>
    <s v=" 33.2918 "/>
    <x v="0"/>
    <n v="236912"/>
    <m/>
    <m/>
  </r>
  <r>
    <x v="8"/>
    <x v="5"/>
    <s v="C:\Users\andre\Desktop\REACTIV CEFAS\Cromolyn\Cromolyn/20201203_Cefas_Test8_Run3/Plate 1/@4/E4_01.tif "/>
    <s v=" 8067.9507 "/>
    <s v=" 37.9115 "/>
    <x v="0"/>
    <n v="305868"/>
    <m/>
    <m/>
  </r>
  <r>
    <x v="8"/>
    <x v="5"/>
    <s v="C:\Users\andre\Desktop\REACTIV CEFAS\Cromolyn\Cromolyn/20201203_Cefas_Test8_Run3/Plate 1/@4/E4_02.tif "/>
    <s v=" 2595.5874 "/>
    <s v=" 33.3417 "/>
    <x v="0"/>
    <n v="86541"/>
    <m/>
    <m/>
  </r>
  <r>
    <x v="8"/>
    <x v="5"/>
    <s v="C:\Users\andre\Desktop\REACTIV CEFAS\Cromolyn\Cromolyn/20201203_Cefas_Test8_Run3/Plate 1/@4/E4_03.tif "/>
    <s v=" 3698.712 "/>
    <s v=" 33.8655 "/>
    <x v="0"/>
    <n v="125259"/>
    <m/>
    <m/>
  </r>
  <r>
    <x v="8"/>
    <x v="6"/>
    <s v="C:\Users\andre\Desktop\REACTIV CEFAS\Cromolyn\Cromolyn/20201203_Cefas_Test8_Run3/Plate 1/@4/F4_01.tif "/>
    <s v=" 48948.4515 "/>
    <s v=" 37.0866 "/>
    <x v="0"/>
    <n v="1815332"/>
    <m/>
    <m/>
  </r>
  <r>
    <x v="8"/>
    <x v="6"/>
    <s v="C:\Users\andre\Desktop\REACTIV CEFAS\Cromolyn\Cromolyn/20201203_Cefas_Test8_Run3/Plate 1/@4/F4_02.tif "/>
    <s v=" 45292.9994 "/>
    <s v=" 36.1662 "/>
    <x v="0"/>
    <n v="1638075"/>
    <m/>
    <m/>
  </r>
  <r>
    <x v="8"/>
    <x v="6"/>
    <s v="C:\Users\andre\Desktop\REACTIV CEFAS\Cromolyn\Cromolyn/20201203_Cefas_Test8_Run3/Plate 1/@4/F4_03.tif "/>
    <s v=" 48861.932 "/>
    <s v=" 37.1399 "/>
    <x v="0"/>
    <n v="1814727"/>
    <m/>
    <m/>
  </r>
  <r>
    <x v="8"/>
    <x v="7"/>
    <s v="C:\Users\andre\Desktop\REACTIV CEFAS\Cromolyn\Cromolyn/20201203_Cefas_Test8_Run3/Plate 1/@4/G4_01.tif "/>
    <s v=" 5883.3313 "/>
    <s v=" 34.5625 "/>
    <x v="0"/>
    <n v="203343"/>
    <m/>
    <m/>
  </r>
  <r>
    <x v="8"/>
    <x v="7"/>
    <s v="C:\Users\andre\Desktop\REACTIV CEFAS\Cromolyn\Cromolyn/20201203_Cefas_Test8_Run3/Plate 1/@4/G4_02.tif "/>
    <s v=" 1470.8328 "/>
    <s v=" 31.4265 "/>
    <x v="0"/>
    <n v="46223"/>
    <m/>
    <m/>
  </r>
  <r>
    <x v="8"/>
    <x v="7"/>
    <s v="C:\Users\andre\Desktop\REACTIV CEFAS\Cromolyn\Cromolyn/20201203_Cefas_Test8_Run3/Plate 1/@4/G4_03.tif "/>
    <s v=" 5623.7726 "/>
    <s v=" 35.2154 "/>
    <x v="0"/>
    <n v="198043"/>
    <m/>
    <m/>
  </r>
  <r>
    <x v="8"/>
    <x v="8"/>
    <s v="C:\Users\andre\Desktop\REACTIV CEFAS\Cromolyn\Cromolyn/20201203_Cefas_Test8_Run3/Plate 1/@4/H4_01.tif "/>
    <s v=" 10425.6092 "/>
    <s v=" 33.8527 "/>
    <x v="0"/>
    <n v="352935"/>
    <m/>
    <m/>
  </r>
  <r>
    <x v="8"/>
    <x v="8"/>
    <s v="C:\Users\andre\Desktop\REACTIV CEFAS\Cromolyn\Cromolyn/20201203_Cefas_Test8_Run3/Plate 1/@4/H4_02.tif "/>
    <s v=" 17217.3961 "/>
    <s v=" 34.7776 "/>
    <x v="0"/>
    <n v="598780"/>
    <m/>
    <m/>
  </r>
  <r>
    <x v="8"/>
    <x v="8"/>
    <s v="C:\Users\andre\Desktop\REACTIV CEFAS\Cromolyn\Cromolyn/20201203_Cefas_Test8_Run3/Plate 1/@4/H4_03.tif "/>
    <s v=" 10966.3566 "/>
    <s v=" 33.5523 "/>
    <x v="0"/>
    <n v="367946"/>
    <m/>
    <m/>
  </r>
  <r>
    <x v="0"/>
    <x v="0"/>
    <s v=" "/>
    <m/>
    <m/>
    <x v="1"/>
    <m/>
    <m/>
    <m/>
  </r>
  <r>
    <x v="0"/>
    <x v="0"/>
    <s v="group "/>
    <s v=" "/>
    <s v=" mean of mean fluo "/>
    <x v="2"/>
    <s v=" mean of total fluo "/>
    <s v=" SD total fluo "/>
    <m/>
  </r>
  <r>
    <x v="8"/>
    <x v="9"/>
    <s v="C:\Users\andre\Desktop\REACTIV CEFAS\Cromolyn\Cromolyn/20201203_Cefas_Test8_Run3/Plate 1/@4/ "/>
    <s v=" "/>
    <s v=" 34.3718 "/>
    <x v="10"/>
    <s v=" 462161.458 "/>
    <s v=" 527022.614 "/>
    <m/>
  </r>
  <r>
    <x v="0"/>
    <x v="0"/>
    <s v=" "/>
    <m/>
    <m/>
    <x v="1"/>
    <m/>
    <m/>
    <m/>
  </r>
  <r>
    <x v="0"/>
    <x v="0"/>
    <s v=" "/>
    <m/>
    <m/>
    <x v="1"/>
    <m/>
    <m/>
    <m/>
  </r>
  <r>
    <x v="0"/>
    <x v="0"/>
    <s v=" "/>
    <m/>
    <m/>
    <x v="1"/>
    <m/>
    <m/>
    <m/>
  </r>
  <r>
    <x v="0"/>
    <x v="0"/>
    <s v=" "/>
    <m/>
    <m/>
    <x v="1"/>
    <m/>
    <m/>
    <m/>
  </r>
  <r>
    <x v="0"/>
    <x v="0"/>
    <s v=" "/>
    <m/>
    <m/>
    <x v="1"/>
    <m/>
    <m/>
    <m/>
  </r>
  <r>
    <x v="0"/>
    <x v="0"/>
    <s v="file name "/>
    <s v=" total area "/>
    <s v=" mean intensity "/>
    <x v="0"/>
    <s v=" total fluorescence"/>
    <m/>
    <m/>
  </r>
  <r>
    <x v="9"/>
    <x v="1"/>
    <s v="C:\Users\andre\Desktop\REACTIV CEFAS\Cromolyn\Cromolyn/20201203_Cefas_Test8_Run3/Plate 1/@5/A5_01.tif "/>
    <s v=" 52192.9357 "/>
    <s v=" 38.5446 "/>
    <x v="0"/>
    <n v="2011753"/>
    <m/>
    <m/>
  </r>
  <r>
    <x v="9"/>
    <x v="1"/>
    <s v="C:\Users\andre\Desktop\REACTIV CEFAS\Cromolyn\Cromolyn/20201203_Cefas_Test8_Run3/Plate 1/@5/A5_02.tif "/>
    <s v=" 51630.5585 "/>
    <s v=" 40.7248 "/>
    <x v="0"/>
    <n v="2102642"/>
    <m/>
    <m/>
  </r>
  <r>
    <x v="9"/>
    <x v="1"/>
    <s v="C:\Users\andre\Desktop\REACTIV CEFAS\Cromolyn\Cromolyn/20201203_Cefas_Test8_Run3/Plate 1/@5/A5_03.tif "/>
    <s v=" 53836.8077 "/>
    <s v=" 43.4166 "/>
    <x v="0"/>
    <n v="2337413"/>
    <m/>
    <m/>
  </r>
  <r>
    <x v="9"/>
    <x v="2"/>
    <s v="C:\Users\andre\Desktop\REACTIV CEFAS\Cromolyn\Cromolyn/20201203_Cefas_Test8_Run3/Plate 1/@5/B5_01.tif "/>
    <s v=" 13410.5347 "/>
    <s v=" 33.5355 "/>
    <x v="0"/>
    <n v="449729"/>
    <m/>
    <m/>
  </r>
  <r>
    <x v="9"/>
    <x v="2"/>
    <s v="C:\Users\andre\Desktop\REACTIV CEFAS\Cromolyn\Cromolyn/20201203_Cefas_Test8_Run3/Plate 1/@5/B5_02.tif "/>
    <s v=" 11550.3637 "/>
    <s v=" 32.4888 "/>
    <x v="0"/>
    <n v="375257"/>
    <m/>
    <m/>
  </r>
  <r>
    <x v="9"/>
    <x v="2"/>
    <s v="C:\Users\andre\Desktop\REACTIV CEFAS\Cromolyn\Cromolyn/20201203_Cefas_Test8_Run3/Plate 1/@5/B5_03.tif "/>
    <s v=" 13345.645 "/>
    <s v=" 33.2998 "/>
    <x v="0"/>
    <n v="444408"/>
    <m/>
    <m/>
  </r>
  <r>
    <x v="9"/>
    <x v="3"/>
    <s v="C:\Users\andre\Desktop\REACTIV CEFAS\Cromolyn\Cromolyn/20201203_Cefas_Test8_Run3/Plate 1/@5/C5_01.tif "/>
    <s v=" 38998.7 "/>
    <s v=" 36.178 "/>
    <x v="0"/>
    <n v="1410896"/>
    <m/>
    <m/>
  </r>
  <r>
    <x v="9"/>
    <x v="3"/>
    <s v="C:\Users\andre\Desktop\REACTIV CEFAS\Cromolyn\Cromolyn/20201203_Cefas_Test8_Run3/Plate 1/@5/C5_02.tif "/>
    <s v=" 35170.2087 "/>
    <s v=" 35.8659 "/>
    <x v="0"/>
    <n v="1261412"/>
    <m/>
    <m/>
  </r>
  <r>
    <x v="9"/>
    <x v="3"/>
    <s v="C:\Users\andre\Desktop\REACTIV CEFAS\Cromolyn\Cromolyn/20201203_Cefas_Test8_Run3/Plate 1/@5/C5_03.tif "/>
    <s v=" 43432.8284 "/>
    <s v=" 38.3889 "/>
    <x v="0"/>
    <n v="1667340"/>
    <m/>
    <m/>
  </r>
  <r>
    <x v="9"/>
    <x v="4"/>
    <s v="C:\Users\andre\Desktop\REACTIV CEFAS\Cromolyn\Cromolyn/20201203_Cefas_Test8_Run3/Plate 1/@5/D5_01.tif "/>
    <s v=" 63656.7799 "/>
    <s v=" 47.6184 "/>
    <x v="0"/>
    <n v="3031235"/>
    <m/>
    <m/>
  </r>
  <r>
    <x v="9"/>
    <x v="4"/>
    <s v="C:\Users\andre\Desktop\REACTIV CEFAS\Cromolyn\Cromolyn/20201203_Cefas_Test8_Run3/Plate 1/@5/D5_02.tif "/>
    <s v=" 70362.0472 "/>
    <s v=" 46.7608 "/>
    <x v="0"/>
    <n v="3290188"/>
    <m/>
    <m/>
  </r>
  <r>
    <x v="9"/>
    <x v="4"/>
    <s v="C:\Users\andre\Desktop\REACTIV CEFAS\Cromolyn\Cromolyn/20201203_Cefas_Test8_Run3/Plate 1/@5/D5_03.tif "/>
    <s v=" 70491.8266 "/>
    <s v=" 47.8487 "/>
    <x v="0"/>
    <n v="3372944"/>
    <m/>
    <m/>
  </r>
  <r>
    <x v="9"/>
    <x v="5"/>
    <s v="C:\Users\andre\Desktop\REACTIV CEFAS\Cromolyn\Cromolyn/20201203_Cefas_Test8_Run3/Plate 1/@5/E5_01.tif "/>
    <s v=" 29827.6247 "/>
    <s v=" 35.5874 "/>
    <x v="0"/>
    <n v="1061487"/>
    <m/>
    <m/>
  </r>
  <r>
    <x v="9"/>
    <x v="5"/>
    <s v="C:\Users\andre\Desktop\REACTIV CEFAS\Cromolyn\Cromolyn/20201203_Cefas_Test8_Run3/Plate 1/@5/E5_02.tif "/>
    <s v=" 34283.383 "/>
    <s v=" 37.3155 "/>
    <x v="0"/>
    <n v="1279300"/>
    <m/>
    <m/>
  </r>
  <r>
    <x v="9"/>
    <x v="5"/>
    <s v="C:\Users\andre\Desktop\REACTIV CEFAS\Cromolyn\Cromolyn/20201203_Cefas_Test8_Run3/Plate 1/@5/E5_03.tif "/>
    <s v=" 42351.3337 "/>
    <s v=" 37.1103 "/>
    <x v="0"/>
    <n v="1571671"/>
    <m/>
    <m/>
  </r>
  <r>
    <x v="9"/>
    <x v="6"/>
    <s v="C:\Users\andre\Desktop\REACTIV CEFAS\Cromolyn\Cromolyn/20201203_Cefas_Test8_Run3/Plate 1/@5/F5_01.tif "/>
    <s v=" 50332.7648 "/>
    <s v=" 42.1723 "/>
    <x v="0"/>
    <n v="2122650"/>
    <m/>
    <m/>
  </r>
  <r>
    <x v="9"/>
    <x v="6"/>
    <s v="C:\Users\andre\Desktop\REACTIV CEFAS\Cromolyn\Cromolyn/20201203_Cefas_Test8_Run3/Plate 1/@5/F5_02.tif "/>
    <s v=" 45660.7076 "/>
    <s v=" 39.6774 "/>
    <x v="0"/>
    <n v="1811698"/>
    <m/>
    <m/>
  </r>
  <r>
    <x v="9"/>
    <x v="6"/>
    <s v="C:\Users\andre\Desktop\REACTIV CEFAS\Cromolyn\Cromolyn/20201203_Cefas_Test8_Run3/Plate 1/@5/F5_03.tif "/>
    <s v=" 46114.9353 "/>
    <s v=" 38.6454 "/>
    <x v="0"/>
    <n v="1782130"/>
    <m/>
    <m/>
  </r>
  <r>
    <x v="9"/>
    <x v="7"/>
    <s v="C:\Users\andre\Desktop\REACTIV CEFAS\Cromolyn\Cromolyn/20201203_Cefas_Test8_Run3/Plate 1/@5/G5_01.tif "/>
    <s v=" 4931.616 "/>
    <s v=" 32.8684 "/>
    <x v="0"/>
    <n v="162094"/>
    <m/>
    <m/>
  </r>
  <r>
    <x v="9"/>
    <x v="7"/>
    <s v="C:\Users\andre\Desktop\REACTIV CEFAS\Cromolyn\Cromolyn/20201203_Cefas_Test8_Run3/Plate 1/@5/G5_02.tif "/>
    <s v=" 11853.1823 "/>
    <s v=" 33.1113 "/>
    <x v="0"/>
    <n v="392474"/>
    <m/>
    <m/>
  </r>
  <r>
    <x v="9"/>
    <x v="7"/>
    <s v="C:\Users\andre\Desktop\REACTIV CEFAS\Cromolyn\Cromolyn/20201203_Cefas_Test8_Run3/Plate 1/@5/G5_03.tif "/>
    <s v=" 5277.6943 "/>
    <s v=" 32.9016 "/>
    <x v="0"/>
    <n v="173645"/>
    <m/>
    <m/>
  </r>
  <r>
    <x v="9"/>
    <x v="8"/>
    <s v="C:\Users\andre\Desktop\REACTIV CEFAS\Cromolyn\Cromolyn/20201203_Cefas_Test8_Run3/Plate 1/@5/H5_01.tif "/>
    <s v=" 32531.3615 "/>
    <s v=" 39.1257 "/>
    <x v="0"/>
    <n v="1272811"/>
    <m/>
    <m/>
  </r>
  <r>
    <x v="9"/>
    <x v="8"/>
    <s v="C:\Users\andre\Desktop\REACTIV CEFAS\Cromolyn\Cromolyn/20201203_Cefas_Test8_Run3/Plate 1/@5/H5_02.tif "/>
    <s v=" 28075.6032 "/>
    <s v=" 37.3259 "/>
    <x v="0"/>
    <n v="1047947"/>
    <m/>
    <m/>
  </r>
  <r>
    <x v="9"/>
    <x v="8"/>
    <s v="C:\Users\andre\Desktop\REACTIV CEFAS\Cromolyn\Cromolyn/20201203_Cefas_Test8_Run3/Plate 1/@5/H5_03.tif "/>
    <s v=" 28724.5001 "/>
    <s v=" 38.4413 "/>
    <x v="0"/>
    <n v="1104206"/>
    <m/>
    <m/>
  </r>
  <r>
    <x v="0"/>
    <x v="0"/>
    <s v=" "/>
    <m/>
    <m/>
    <x v="1"/>
    <m/>
    <m/>
    <m/>
  </r>
  <r>
    <x v="0"/>
    <x v="0"/>
    <s v="group "/>
    <s v=" "/>
    <s v=" mean of mean fluo "/>
    <x v="2"/>
    <s v=" mean of total fluo "/>
    <s v=" SD total fluo "/>
    <m/>
  </r>
  <r>
    <x v="9"/>
    <x v="9"/>
    <s v="C:\Users\andre\Desktop\REACTIV CEFAS\Cromolyn\Cromolyn/20201203_Cefas_Test8_Run3/Plate 1/@5/ "/>
    <s v=" "/>
    <s v=" 38.2897 "/>
    <x v="11"/>
    <s v=" 1480722.08 "/>
    <s v=" 931316.692 "/>
    <m/>
  </r>
  <r>
    <x v="0"/>
    <x v="0"/>
    <s v=" "/>
    <m/>
    <m/>
    <x v="1"/>
    <m/>
    <m/>
    <m/>
  </r>
  <r>
    <x v="0"/>
    <x v="0"/>
    <s v=" "/>
    <m/>
    <m/>
    <x v="1"/>
    <m/>
    <m/>
    <m/>
  </r>
  <r>
    <x v="0"/>
    <x v="0"/>
    <s v=" "/>
    <m/>
    <m/>
    <x v="1"/>
    <m/>
    <m/>
    <m/>
  </r>
  <r>
    <x v="0"/>
    <x v="0"/>
    <s v=" "/>
    <m/>
    <m/>
    <x v="1"/>
    <m/>
    <m/>
    <m/>
  </r>
  <r>
    <x v="0"/>
    <x v="0"/>
    <s v=" "/>
    <m/>
    <m/>
    <x v="1"/>
    <m/>
    <m/>
    <m/>
  </r>
  <r>
    <x v="0"/>
    <x v="0"/>
    <s v="file name "/>
    <s v=" total area "/>
    <s v=" mean intensity "/>
    <x v="0"/>
    <s v=" total fluorescence"/>
    <m/>
    <m/>
  </r>
  <r>
    <x v="10"/>
    <x v="1"/>
    <s v="C:\Users\andre\Desktop\REACTIV CEFAS\Cromolyn\Cromolyn/20201203_Cefas_Test8_Run3/Plate 1/@6/A6_01- exclu.tif"/>
    <m/>
    <m/>
    <x v="1"/>
    <m/>
    <m/>
    <m/>
  </r>
  <r>
    <x v="10"/>
    <x v="1"/>
    <s v="C:\Users\andre\Desktop\REACTIV CEFAS\Cromolyn\Cromolyn/20201203_Cefas_Test8_Run3/Plate 1/@6/A6_02- exclu.tif"/>
    <m/>
    <m/>
    <x v="1"/>
    <m/>
    <m/>
    <m/>
  </r>
  <r>
    <x v="10"/>
    <x v="1"/>
    <s v="C:\Users\andre\Desktop\REACTIV CEFAS\Cromolyn\Cromolyn/20201203_Cefas_Test8_Run3/Plate 1/@6/A6_03- exclu.tif"/>
    <m/>
    <m/>
    <x v="1"/>
    <m/>
    <m/>
    <m/>
  </r>
  <r>
    <x v="10"/>
    <x v="2"/>
    <s v="C:\Users\andre\Desktop\REACTIV CEFAS\Cromolyn\Cromolyn/20201203_Cefas_Test8_Run3/Plate 1/@6/B6_01.tif "/>
    <s v=" 49921.7968 "/>
    <s v=" 43.8544 "/>
    <x v="0"/>
    <n v="2189291"/>
    <m/>
    <m/>
  </r>
  <r>
    <x v="10"/>
    <x v="2"/>
    <s v="C:\Users\andre\Desktop\REACTIV CEFAS\Cromolyn\Cromolyn/20201203_Cefas_Test8_Run3/Plate 1/@6/B6_02.tif "/>
    <s v=" 49078.2309 "/>
    <s v=" 44.3795 "/>
    <x v="0"/>
    <n v="2178065"/>
    <m/>
    <m/>
  </r>
  <r>
    <x v="10"/>
    <x v="2"/>
    <s v="C:\Users\andre\Desktop\REACTIV CEFAS\Cromolyn\Cromolyn/20201203_Cefas_Test8_Run3/Plate 1/@6/B6_03.tif "/>
    <s v=" 48429.3341 "/>
    <s v=" 41.7517 "/>
    <x v="0"/>
    <n v="2022006"/>
    <m/>
    <m/>
  </r>
  <r>
    <x v="10"/>
    <x v="3"/>
    <s v="C:\Users\andre\Desktop\REACTIV CEFAS\Cromolyn\Cromolyn/20201203_Cefas_Test8_Run3/Plate 1/@6/C6_01.tif "/>
    <s v=" 69085.8834 "/>
    <s v=" 42.5914 "/>
    <x v="0"/>
    <n v="2942466"/>
    <m/>
    <m/>
  </r>
  <r>
    <x v="10"/>
    <x v="3"/>
    <s v="C:\Users\andre\Desktop\REACTIV CEFAS\Cromolyn\Cromolyn/20201203_Cefas_Test8_Run3/Plate 1/@6/C6_02.tif "/>
    <s v=" 50981.6616 "/>
    <s v=" 41.1039 "/>
    <x v="0"/>
    <n v="2095547"/>
    <m/>
    <m/>
  </r>
  <r>
    <x v="10"/>
    <x v="3"/>
    <s v="C:\Users\andre\Desktop\REACTIV CEFAS\Cromolyn\Cromolyn/20201203_Cefas_Test8_Run3/Plate 1/@6/C6_03.tif "/>
    <s v=" 63678.4098 "/>
    <s v=" 43.5428 "/>
    <x v="0"/>
    <n v="2772736"/>
    <m/>
    <m/>
  </r>
  <r>
    <x v="10"/>
    <x v="4"/>
    <s v="C:\Users\andre\Desktop\REACTIV CEFAS\Cromolyn\Cromolyn/20201203_Cefas_Test8_Run3/Plate 1/@6/D6_01.tif "/>
    <s v=" 46698.9425 "/>
    <s v=" 41.1149 "/>
    <x v="0"/>
    <n v="1920021"/>
    <m/>
    <m/>
  </r>
  <r>
    <x v="10"/>
    <x v="4"/>
    <s v="C:\Users\andre\Desktop\REACTIV CEFAS\Cromolyn\Cromolyn/20201203_Cefas_Test8_Run3/Plate 1/@6/D6_02.tif "/>
    <s v=" 40145.0844 "/>
    <s v=" 39.2247 "/>
    <x v="0"/>
    <n v="1574678"/>
    <m/>
    <m/>
  </r>
  <r>
    <x v="10"/>
    <x v="4"/>
    <s v="C:\Users\andre\Desktop\REACTIV CEFAS\Cromolyn\Cromolyn/20201203_Cefas_Test8_Run3/Plate 1/@6/D6_03.tif "/>
    <s v=" 40512.7926 "/>
    <s v=" 37.8484 "/>
    <x v="0"/>
    <n v="1533343"/>
    <m/>
    <m/>
  </r>
  <r>
    <x v="10"/>
    <x v="5"/>
    <s v="C:\Users\andre\Desktop\REACTIV CEFAS\Cromolyn\Cromolyn/20201203_Cefas_Test8_Run3/Plate 1/@6/E6_01.tif "/>
    <s v=" 58443.9753 "/>
    <s v=" 37.9915 "/>
    <x v="0"/>
    <n v="2220374"/>
    <m/>
    <m/>
  </r>
  <r>
    <x v="10"/>
    <x v="5"/>
    <s v="C:\Users\andre\Desktop\REACTIV CEFAS\Cromolyn\Cromolyn/20201203_Cefas_Test8_Run3/Plate 1/@6/E6_02.tif "/>
    <s v=" 68718.1752 "/>
    <s v=" 40.7044 "/>
    <x v="0"/>
    <n v="2797135"/>
    <m/>
    <m/>
  </r>
  <r>
    <x v="10"/>
    <x v="5"/>
    <s v="C:\Users\andre\Desktop\REACTIV CEFAS\Cromolyn\Cromolyn/20201203_Cefas_Test8_Run3/Plate 1/@6/E6_03.tif "/>
    <s v=" 69280.5525 "/>
    <s v=" 40.4889 "/>
    <x v="0"/>
    <n v="2805095"/>
    <m/>
    <m/>
  </r>
  <r>
    <x v="10"/>
    <x v="6"/>
    <s v="C:\Users\andre\Desktop\REACTIV CEFAS\Cromolyn\Cromolyn/20201203_Cefas_Test8_Run3/Plate 1/@6/F6_01.tif "/>
    <s v=" 48039.996 "/>
    <s v=" 40.8685 "/>
    <x v="0"/>
    <n v="1963324"/>
    <m/>
    <m/>
  </r>
  <r>
    <x v="10"/>
    <x v="6"/>
    <s v="C:\Users\andre\Desktop\REACTIV CEFAS\Cromolyn\Cromolyn/20201203_Cefas_Test8_Run3/Plate 1/@6/F6_02- exclu.tif"/>
    <m/>
    <m/>
    <x v="1"/>
    <m/>
    <m/>
    <m/>
  </r>
  <r>
    <x v="10"/>
    <x v="6"/>
    <s v="C:\Users\andre\Desktop\REACTIV CEFAS\Cromolyn\Cromolyn/20201203_Cefas_Test8_Run3/Plate 1/@6/F6_03- exclu.tif"/>
    <m/>
    <m/>
    <x v="1"/>
    <m/>
    <m/>
    <m/>
  </r>
  <r>
    <x v="10"/>
    <x v="7"/>
    <s v="C:\Users\andre\Desktop\REACTIV CEFAS\Cromolyn\Cromolyn/20201203_Cefas_Test8_Run3/Plate 1/@6/G6_01.tif "/>
    <s v=" 53620.5088 "/>
    <s v=" 43.8862 "/>
    <x v="0"/>
    <n v="2353203"/>
    <m/>
    <m/>
  </r>
  <r>
    <x v="10"/>
    <x v="7"/>
    <s v="C:\Users\andre\Desktop\REACTIV CEFAS\Cromolyn\Cromolyn/20201203_Cefas_Test8_Run3/Plate 1/@6/G6_02.tif "/>
    <s v=" 59287.5412 "/>
    <s v=" 43.9146 "/>
    <x v="0"/>
    <n v="2603590"/>
    <m/>
    <m/>
  </r>
  <r>
    <x v="10"/>
    <x v="7"/>
    <s v="C:\Users\andre\Desktop\REACTIV CEFAS\Cromolyn\Cromolyn/20201203_Cefas_Test8_Run3/Plate 1/@6/G6_03.tif "/>
    <s v=" 64846.4241 "/>
    <s v=" 45.1618 "/>
    <x v="0"/>
    <n v="2928580"/>
    <m/>
    <m/>
  </r>
  <r>
    <x v="10"/>
    <x v="8"/>
    <s v="C:\Users\andre\Desktop\REACTIV CEFAS\Cromolyn\Cromolyn/20201203_Cefas_Test8_Run3/Plate 1/@6/H6_01.tif "/>
    <s v=" 68328.8371 "/>
    <s v=" 49.4517 "/>
    <x v="0"/>
    <n v="3378979"/>
    <m/>
    <m/>
  </r>
  <r>
    <x v="10"/>
    <x v="8"/>
    <s v="C:\Users\andre\Desktop\REACTIV CEFAS\Cromolyn\Cromolyn/20201203_Cefas_Test8_Run3/Plate 1/@6/H6_02.tif "/>
    <s v=" 70708.1255 "/>
    <s v=" 52.1661 "/>
    <x v="0"/>
    <n v="3688568"/>
    <m/>
    <m/>
  </r>
  <r>
    <x v="10"/>
    <x v="8"/>
    <s v="C:\Users\andre\Desktop\REACTIV CEFAS\Cromolyn\Cromolyn/20201203_Cefas_Test8_Run3/Plate 1/@6/H6_03.tif "/>
    <s v=" 67636.6805 "/>
    <s v=" 50.6936 "/>
    <x v="0"/>
    <n v="3428749"/>
    <m/>
    <m/>
  </r>
  <r>
    <x v="0"/>
    <x v="0"/>
    <s v=" "/>
    <m/>
    <m/>
    <x v="1"/>
    <m/>
    <m/>
    <m/>
  </r>
  <r>
    <x v="0"/>
    <x v="0"/>
    <s v="group "/>
    <s v=" "/>
    <s v=" mean of mean fluo "/>
    <x v="2"/>
    <s v=" mean of total fluo "/>
    <s v=" SD total fluo "/>
    <m/>
  </r>
  <r>
    <x v="10"/>
    <x v="9"/>
    <s v="C:\Users\andre\Desktop\REACTIV CEFAS\Cromolyn\Cromolyn/20201203_Cefas_Test8_Run3/Plate 1/@6/ "/>
    <s v=" "/>
    <s v=" 36.9639 "/>
    <x v="12"/>
    <s v=" 1990627.17 "/>
    <s v=" 1143424.6 "/>
    <m/>
  </r>
  <r>
    <x v="0"/>
    <x v="0"/>
    <s v=" "/>
    <m/>
    <m/>
    <x v="1"/>
    <m/>
    <m/>
    <m/>
  </r>
  <r>
    <x v="0"/>
    <x v="0"/>
    <s v=" "/>
    <m/>
    <m/>
    <x v="1"/>
    <m/>
    <m/>
    <m/>
  </r>
  <r>
    <x v="0"/>
    <x v="0"/>
    <s v=" "/>
    <m/>
    <m/>
    <x v="1"/>
    <m/>
    <m/>
    <m/>
  </r>
  <r>
    <x v="0"/>
    <x v="0"/>
    <s v=" "/>
    <m/>
    <m/>
    <x v="1"/>
    <m/>
    <m/>
    <m/>
  </r>
  <r>
    <x v="0"/>
    <x v="0"/>
    <s v=" "/>
    <m/>
    <m/>
    <x v="1"/>
    <m/>
    <m/>
    <m/>
  </r>
  <r>
    <x v="0"/>
    <x v="0"/>
    <s v="file name "/>
    <s v=" total area "/>
    <s v=" mean intensity "/>
    <x v="0"/>
    <s v=" total fluorescence"/>
    <m/>
    <m/>
  </r>
  <r>
    <x v="11"/>
    <x v="1"/>
    <s v="C:\Users\andre\Desktop\REACTIV CEFAS\Cromolyn\Cromolyn/20201203_Cefas_Test8_Run3/Plate 1/@7/A7_01.tif "/>
    <s v=" 69215.6628 "/>
    <s v=" 48.2559 "/>
    <x v="0"/>
    <n v="3340067"/>
    <m/>
    <m/>
  </r>
  <r>
    <x v="11"/>
    <x v="1"/>
    <s v="C:\Users\andre\Desktop\REACTIV CEFAS\Cromolyn\Cromolyn/20201203_Cefas_Test8_Run3/Plate 1/@7/A7_02.tif "/>
    <s v=" 69778.0401 "/>
    <s v=" 52.4709 "/>
    <x v="0"/>
    <n v="3661314"/>
    <m/>
    <m/>
  </r>
  <r>
    <x v="11"/>
    <x v="1"/>
    <s v="C:\Users\andre\Desktop\REACTIV CEFAS\Cromolyn\Cromolyn/20201203_Cefas_Test8_Run3/Plate 1/@7/A7_03.tif "/>
    <s v=" 64630.1252 "/>
    <s v=" 51.2784 "/>
    <x v="0"/>
    <n v="3314132"/>
    <m/>
    <m/>
  </r>
  <r>
    <x v="11"/>
    <x v="2"/>
    <s v="C:\Users\andre\Desktop\REACTIV CEFAS\Cromolyn\Cromolyn/20201203_Cefas_Test8_Run3/Plate 1/@7/B7_01.tif "/>
    <s v=" 63397.2212 "/>
    <s v=" 50.6977 "/>
    <x v="0"/>
    <n v="3214094"/>
    <m/>
    <m/>
  </r>
  <r>
    <x v="11"/>
    <x v="2"/>
    <s v="C:\Users\andre\Desktop\REACTIV CEFAS\Cromolyn\Cromolyn/20201203_Cefas_Test8_Run3/Plate 1/@7/B7_02.tif "/>
    <s v=" 72676.446 "/>
    <s v=" 53.847 "/>
    <x v="0"/>
    <n v="3913410"/>
    <m/>
    <m/>
  </r>
  <r>
    <x v="11"/>
    <x v="2"/>
    <s v="C:\Users\andre\Desktop\REACTIV CEFAS\Cromolyn\Cromolyn/20201203_Cefas_Test8_Run3/Plate 1/@7/B7_03.tif "/>
    <s v=" 66641.7054 "/>
    <s v=" 50.2821 "/>
    <x v="0"/>
    <n v="3350882"/>
    <m/>
    <m/>
  </r>
  <r>
    <x v="11"/>
    <x v="3"/>
    <s v="C:\Users\andre\Desktop\REACTIV CEFAS\Cromolyn\Cromolyn/20201203_Cefas_Test8_Run3/Plate 1/@7/C7_01- exclu.tif"/>
    <m/>
    <m/>
    <x v="1"/>
    <m/>
    <m/>
    <m/>
  </r>
  <r>
    <x v="11"/>
    <x v="3"/>
    <s v="C:\Users\andre\Desktop\REACTIV CEFAS\Cromolyn\Cromolyn/20201203_Cefas_Test8_Run3/Plate 1/@7/C7_02- exclu.tif"/>
    <m/>
    <m/>
    <x v="1"/>
    <m/>
    <m/>
    <m/>
  </r>
  <r>
    <x v="11"/>
    <x v="3"/>
    <s v="C:\Users\andre\Desktop\REACTIV CEFAS\Cromolyn\Cromolyn/20201203_Cefas_Test8_Run3/Plate 1/@7/C7_03- exclu.tif"/>
    <m/>
    <m/>
    <x v="1"/>
    <m/>
    <m/>
    <m/>
  </r>
  <r>
    <x v="11"/>
    <x v="4"/>
    <s v="C:\Users\andre\Desktop\REACTIV CEFAS\Cromolyn\Cromolyn/20201203_Cefas_Test8_Run3/Plate 1/@7/D7_01.tif "/>
    <s v=" 103109.708 "/>
    <s v=" 56.1091 "/>
    <x v="0"/>
    <n v="5785391"/>
    <m/>
    <m/>
  </r>
  <r>
    <x v="11"/>
    <x v="4"/>
    <s v="C:\Users\andre\Desktop\REACTIV CEFAS\Cromolyn\Cromolyn/20201203_Cefas_Test8_Run3/Plate 1/@7/D7_02.tif "/>
    <s v=" 95258.0559 "/>
    <s v=" 52.2448 "/>
    <x v="0"/>
    <n v="4976736"/>
    <m/>
    <m/>
  </r>
  <r>
    <x v="11"/>
    <x v="4"/>
    <s v="C:\Users\andre\Desktop\REACTIV CEFAS\Cromolyn\Cromolyn/20201203_Cefas_Test8_Run3/Plate 1/@7/D7_03.tif "/>
    <s v=" 94003.5221 "/>
    <s v=" 54.488 "/>
    <x v="0"/>
    <n v="5122067"/>
    <m/>
    <m/>
  </r>
  <r>
    <x v="11"/>
    <x v="5"/>
    <s v="C:\Users\andre\Desktop\REACTIV CEFAS\Cromolyn\Cromolyn/20201203_Cefas_Test8_Run3/Plate 1/@7/E7_01.tif "/>
    <s v=" 65452.0611 "/>
    <s v=" 56.2445 "/>
    <x v="0"/>
    <n v="3681322"/>
    <m/>
    <m/>
  </r>
  <r>
    <x v="11"/>
    <x v="5"/>
    <s v="C:\Users\andre\Desktop\REACTIV CEFAS\Cromolyn\Cromolyn/20201203_Cefas_Test8_Run3/Plate 1/@7/E7_02- exclu.tif"/>
    <m/>
    <m/>
    <x v="1"/>
    <m/>
    <m/>
    <m/>
  </r>
  <r>
    <x v="11"/>
    <x v="5"/>
    <s v="C:\Users\andre\Desktop\REACTIV CEFAS\Cromolyn\Cromolyn/20201203_Cefas_Test8_Run3/Plate 1/@7/E7_03- exclu.tif"/>
    <m/>
    <m/>
    <x v="1"/>
    <m/>
    <m/>
    <m/>
  </r>
  <r>
    <x v="11"/>
    <x v="6"/>
    <s v="C:\Users\andre\Desktop\REACTIV CEFAS\Cromolyn\Cromolyn/20201203_Cefas_Test8_Run3/Plate 1/@7/F7_01.tif "/>
    <s v=" 96772.1486 "/>
    <s v=" 53.5255 "/>
    <x v="0"/>
    <n v="5179776"/>
    <m/>
    <m/>
  </r>
  <r>
    <x v="11"/>
    <x v="6"/>
    <s v="C:\Users\andre\Desktop\REACTIV CEFAS\Cromolyn\Cromolyn/20201203_Cefas_Test8_Run3/Plate 1/@7/F7_02.tif "/>
    <s v=" 91537.7141 "/>
    <s v=" 52.8774 "/>
    <x v="0"/>
    <n v="4840273"/>
    <m/>
    <m/>
  </r>
  <r>
    <x v="11"/>
    <x v="6"/>
    <s v="C:\Users\andre\Desktop\REACTIV CEFAS\Cromolyn\Cromolyn/20201203_Cefas_Test8_Run3/Plate 1/@7/F7_03.tif "/>
    <s v=" 95733.9136 "/>
    <s v=" 57.8681 "/>
    <x v="0"/>
    <n v="5539935"/>
    <m/>
    <m/>
  </r>
  <r>
    <x v="11"/>
    <x v="7"/>
    <s v="C:\Users\andre\Desktop\REACTIV CEFAS\Cromolyn\Cromolyn/20201203_Cefas_Test8_Run3/Plate 1/@7/G7_01.tif "/>
    <s v=" 85676.0126 "/>
    <s v=" 51.7251 "/>
    <x v="0"/>
    <n v="4431598"/>
    <m/>
    <m/>
  </r>
  <r>
    <x v="11"/>
    <x v="7"/>
    <s v="C:\Users\andre\Desktop\REACTIV CEFAS\Cromolyn\Cromolyn/20201203_Cefas_Test8_Run3/Plate 1/@7/G7_02.tif "/>
    <s v=" 83426.5036 "/>
    <s v=" 53.8652 "/>
    <x v="0"/>
    <n v="4493784"/>
    <m/>
    <m/>
  </r>
  <r>
    <x v="11"/>
    <x v="7"/>
    <s v="C:\Users\andre\Desktop\REACTIV CEFAS\Cromolyn\Cromolyn/20201203_Cefas_Test8_Run3/Plate 1/@7/G7_03.tif "/>
    <s v=" 97507.565 "/>
    <s v=" 53.7695 "/>
    <x v="0"/>
    <n v="5242935"/>
    <m/>
    <m/>
  </r>
  <r>
    <x v="11"/>
    <x v="8"/>
    <s v="C:\Users\andre\Desktop\REACTIV CEFAS\Cromolyn\Cromolyn/20201203_Cefas_Test8_Run3/Plate 1/@7/H7_01.tif "/>
    <s v=" 85762.5322 "/>
    <s v=" 55.4207 "/>
    <x v="0"/>
    <n v="4753018"/>
    <m/>
    <m/>
  </r>
  <r>
    <x v="11"/>
    <x v="8"/>
    <s v="C:\Users\andre\Desktop\REACTIV CEFAS\Cromolyn\Cromolyn/20201203_Cefas_Test8_Run3/Plate 1/@7/H7_02.tif "/>
    <s v=" 88531.1587 "/>
    <s v=" 55.0667 "/>
    <x v="0"/>
    <n v="4875119"/>
    <m/>
    <m/>
  </r>
  <r>
    <x v="11"/>
    <x v="8"/>
    <s v="C:\Users\andre\Desktop\REACTIV CEFAS\Cromolyn\Cromolyn/20201203_Cefas_Test8_Run3/Plate 1/@7/H7_03.tif "/>
    <s v=" 88898.8669 "/>
    <s v=" 55.0056 "/>
    <x v="0"/>
    <n v="4889935"/>
    <m/>
    <m/>
  </r>
  <r>
    <x v="0"/>
    <x v="0"/>
    <s v=" "/>
    <m/>
    <m/>
    <x v="1"/>
    <m/>
    <m/>
    <m/>
  </r>
  <r>
    <x v="0"/>
    <x v="0"/>
    <s v="group "/>
    <s v=" "/>
    <s v=" mean of mean fluo "/>
    <x v="2"/>
    <s v=" mean of total fluo "/>
    <s v=" SD total fluo "/>
    <m/>
  </r>
  <r>
    <x v="11"/>
    <x v="9"/>
    <s v="C:\Users\andre\Desktop\REACTIV CEFAS\Cromolyn\Cromolyn/20201203_Cefas_Test8_Run3/Plate 1/@7/ "/>
    <s v=" "/>
    <s v=" 53.4539 "/>
    <x v="13"/>
    <s v=" 4187836.92 "/>
    <s v=" 909734.53 "/>
    <m/>
  </r>
  <r>
    <x v="0"/>
    <x v="0"/>
    <s v=" "/>
    <m/>
    <m/>
    <x v="1"/>
    <m/>
    <m/>
    <m/>
  </r>
  <r>
    <x v="0"/>
    <x v="0"/>
    <s v=" "/>
    <m/>
    <m/>
    <x v="1"/>
    <m/>
    <m/>
    <m/>
  </r>
  <r>
    <x v="0"/>
    <x v="0"/>
    <s v=" "/>
    <m/>
    <m/>
    <x v="1"/>
    <m/>
    <m/>
    <m/>
  </r>
  <r>
    <x v="0"/>
    <x v="0"/>
    <s v=" "/>
    <m/>
    <m/>
    <x v="1"/>
    <m/>
    <m/>
    <m/>
  </r>
  <r>
    <x v="0"/>
    <x v="0"/>
    <s v=" "/>
    <m/>
    <m/>
    <x v="1"/>
    <m/>
    <m/>
    <m/>
  </r>
  <r>
    <x v="0"/>
    <x v="0"/>
    <s v="file name "/>
    <s v=" total area "/>
    <s v=" mean intensity "/>
    <x v="0"/>
    <s v=" total fluorescence"/>
    <m/>
    <m/>
  </r>
  <r>
    <x v="12"/>
    <x v="1"/>
    <s v="C:\Users\andre\Desktop\REACTIV CEFAS\Cromolyn\Cromolyn/20201203_Cefas_Test8_Run3/Plate 4/@10/A4_01.tif "/>
    <s v=" 6597.1179 "/>
    <s v=" 38.6426 "/>
    <x v="0"/>
    <n v="254930"/>
    <m/>
    <m/>
  </r>
  <r>
    <x v="12"/>
    <x v="1"/>
    <s v="C:\Users\andre\Desktop\REACTIV CEFAS\Cromolyn\Cromolyn/20201203_Cefas_Test8_Run3/Plate 4/@10/A4_02.tif "/>
    <s v=" 4369.2387 "/>
    <s v=" 35.8465 "/>
    <x v="0"/>
    <n v="156622"/>
    <m/>
    <m/>
  </r>
  <r>
    <x v="12"/>
    <x v="1"/>
    <s v="C:\Users\andre\Desktop\REACTIV CEFAS\Cromolyn\Cromolyn/20201203_Cefas_Test8_Run3/Plate 4/@10/A4_03.tif "/>
    <s v=" 10036.2711 "/>
    <s v=" 39.8879 "/>
    <x v="0"/>
    <n v="400326"/>
    <m/>
    <m/>
  </r>
  <r>
    <x v="12"/>
    <x v="2"/>
    <s v="C:\Users\andre\Desktop\REACTIV CEFAS\Cromolyn\Cromolyn/20201203_Cefas_Test8_Run3/Plate 4/@10/B4_01.tif "/>
    <s v=" 10706.7978 "/>
    <s v=" 43.5374 "/>
    <x v="0"/>
    <n v="466146"/>
    <m/>
    <m/>
  </r>
  <r>
    <x v="12"/>
    <x v="2"/>
    <s v="C:\Users\andre\Desktop\REACTIV CEFAS\Cromolyn\Cromolyn/20201203_Cefas_Test8_Run3/Plate 4/@10/B4_02.tif "/>
    <s v=" 15378.8551 "/>
    <s v=" 48.917 "/>
    <x v="0"/>
    <n v="752288"/>
    <m/>
    <m/>
  </r>
  <r>
    <x v="12"/>
    <x v="2"/>
    <s v="C:\Users\andre\Desktop\REACTIV CEFAS\Cromolyn\Cromolyn/20201203_Cefas_Test8_Run3/Plate 4/@10/B4_03- exclu.tif"/>
    <m/>
    <m/>
    <x v="1"/>
    <m/>
    <m/>
    <m/>
  </r>
  <r>
    <x v="12"/>
    <x v="3"/>
    <s v="C:\Users\andre\Desktop\REACTIV CEFAS\Cromolyn\Cromolyn/20201203_Cefas_Test8_Run3/Plate 4/@10/C4_01.tif "/>
    <s v=" 12004.5915 "/>
    <s v=" 39.209 "/>
    <x v="0"/>
    <n v="470688"/>
    <m/>
    <m/>
  </r>
  <r>
    <x v="12"/>
    <x v="3"/>
    <s v="C:\Users\andre\Desktop\REACTIV CEFAS\Cromolyn\Cromolyn/20201203_Cefas_Test8_Run3/Plate 4/@10/C4_02.tif "/>
    <s v=" 11420.5844 "/>
    <s v=" 38.5966 "/>
    <x v="0"/>
    <n v="440796"/>
    <m/>
    <m/>
  </r>
  <r>
    <x v="12"/>
    <x v="3"/>
    <s v="C:\Users\andre\Desktop\REACTIV CEFAS\Cromolyn\Cromolyn/20201203_Cefas_Test8_Run3/Plate 4/@10/C4_03.tif "/>
    <s v=" 13345.645 "/>
    <s v=" 39.6921 "/>
    <x v="0"/>
    <n v="529716"/>
    <m/>
    <m/>
  </r>
  <r>
    <x v="12"/>
    <x v="4"/>
    <s v="C:\Users\andre\Desktop\REACTIV CEFAS\Cromolyn\Cromolyn/20201203_Cefas_Test8_Run3/Plate 4/@10/D4_01- exclu.tif"/>
    <m/>
    <m/>
    <x v="1"/>
    <m/>
    <m/>
    <m/>
  </r>
  <r>
    <x v="12"/>
    <x v="4"/>
    <s v="C:\Users\andre\Desktop\REACTIV CEFAS\Cromolyn\Cromolyn/20201203_Cefas_Test8_Run3/Plate 4/@10/D4_02- exclu.tif"/>
    <m/>
    <m/>
    <x v="1"/>
    <m/>
    <m/>
    <m/>
  </r>
  <r>
    <x v="12"/>
    <x v="4"/>
    <s v="C:\Users\andre\Desktop\REACTIV CEFAS\Cromolyn\Cromolyn/20201203_Cefas_Test8_Run3/Plate 4/@10/D4_03.tif "/>
    <s v=" 6770.157 "/>
    <s v=" 43.5367 "/>
    <x v="0"/>
    <n v="294751"/>
    <m/>
    <m/>
  </r>
  <r>
    <x v="12"/>
    <x v="5"/>
    <s v="C:\Users\andre\Desktop\REACTIV CEFAS\Cromolyn\Cromolyn/20201203_Cefas_Test8_Run3/Plate 4/@10/E4_01.tif "/>
    <s v=" 1254.5339 "/>
    <s v=" 32.5862 "/>
    <x v="0"/>
    <n v="40881"/>
    <m/>
    <m/>
  </r>
  <r>
    <x v="12"/>
    <x v="5"/>
    <s v="C:\Users\andre\Desktop\REACTIV CEFAS\Cromolyn\Cromolyn/20201203_Cefas_Test8_Run3/Plate 4/@10/E4_02.tif "/>
    <s v=" 2033.2101 "/>
    <s v=" 33.617 "/>
    <x v="0"/>
    <n v="68350"/>
    <m/>
    <m/>
  </r>
  <r>
    <x v="12"/>
    <x v="5"/>
    <s v="C:\Users\andre\Desktop\REACTIV CEFAS\Cromolyn\Cromolyn/20201203_Cefas_Test8_Run3/Plate 4/@10/E4_03.tif "/>
    <s v=" 2444.1781 "/>
    <s v=" 34.292 "/>
    <x v="0"/>
    <n v="83816"/>
    <m/>
    <m/>
  </r>
  <r>
    <x v="12"/>
    <x v="6"/>
    <s v="C:\Users\andre\Desktop\REACTIV CEFAS\Cromolyn\Cromolyn/20201203_Cefas_Test8_Run3/Plate 4/@10/F4_01- exclu.tif"/>
    <m/>
    <m/>
    <x v="1"/>
    <m/>
    <m/>
    <m/>
  </r>
  <r>
    <x v="12"/>
    <x v="6"/>
    <s v="C:\Users\andre\Desktop\REACTIV CEFAS\Cromolyn\Cromolyn/20201203_Cefas_Test8_Run3/Plate 4/@10/F4_02- exclu.tif"/>
    <m/>
    <m/>
    <x v="1"/>
    <m/>
    <m/>
    <m/>
  </r>
  <r>
    <x v="12"/>
    <x v="6"/>
    <s v="C:\Users\andre\Desktop\REACTIV CEFAS\Cromolyn\Cromolyn/20201203_Cefas_Test8_Run3/Plate 4/@10/F4_03- exclu.tif"/>
    <m/>
    <m/>
    <x v="1"/>
    <m/>
    <m/>
    <m/>
  </r>
  <r>
    <x v="12"/>
    <x v="7"/>
    <s v="C:\Users\andre\Desktop\REACTIV CEFAS\Cromolyn\Cromolyn/20201203_Cefas_Test8_Run3/Plate 4/@10/G4_01.tif "/>
    <s v=" 3460.7831 "/>
    <s v=" 33.7938 "/>
    <x v="0"/>
    <n v="116953"/>
    <m/>
    <m/>
  </r>
  <r>
    <x v="12"/>
    <x v="7"/>
    <s v="C:\Users\andre\Desktop\REACTIV CEFAS\Cromolyn\Cromolyn/20201203_Cefas_Test8_Run3/Plate 4/@10/G4_02.tif "/>
    <s v=" 3028.1852 "/>
    <s v=" 34.6571 "/>
    <x v="0"/>
    <n v="104948"/>
    <m/>
    <m/>
  </r>
  <r>
    <x v="12"/>
    <x v="7"/>
    <s v="C:\Users\andre\Desktop\REACTIV CEFAS\Cromolyn\Cromolyn/20201203_Cefas_Test8_Run3/Plate 4/@10/G4_03.tif "/>
    <s v=" 1557.3524 "/>
    <s v=" 32.5694 "/>
    <x v="0"/>
    <n v="50722"/>
    <m/>
    <m/>
  </r>
  <r>
    <x v="12"/>
    <x v="8"/>
    <s v="C:\Users\andre\Desktop\REACTIV CEFAS\Cromolyn\Cromolyn/20201203_Cefas_Test8_Run3/Plate 4/@10/H4_01.tif "/>
    <s v=" 108.1495 "/>
    <s v=" 31.8 "/>
    <x v="0"/>
    <n v="3439"/>
    <m/>
    <m/>
  </r>
  <r>
    <x v="12"/>
    <x v="8"/>
    <s v="C:\Users\andre\Desktop\REACTIV CEFAS\Cromolyn\Cromolyn/20201203_Cefas_Test8_Run3/Plate 4/@10/H4_02.tif "/>
    <s v=" 43.2598 "/>
    <n v="31"/>
    <x v="0"/>
    <n v="1341"/>
    <m/>
    <m/>
  </r>
  <r>
    <x v="12"/>
    <x v="8"/>
    <s v="C:\Users\andre\Desktop\REACTIV CEFAS\Cromolyn\Cromolyn/20201203_Cefas_Test8_Run3/Plate 4/@10/H4_03.tif "/>
    <s v=" 324.4484 "/>
    <n v="32"/>
    <x v="0"/>
    <n v="10382"/>
    <m/>
    <m/>
  </r>
  <r>
    <x v="0"/>
    <x v="0"/>
    <s v=" "/>
    <m/>
    <m/>
    <x v="1"/>
    <m/>
    <m/>
    <m/>
  </r>
  <r>
    <x v="0"/>
    <x v="0"/>
    <s v="group "/>
    <s v=" "/>
    <s v=" mean of mean fluo "/>
    <x v="2"/>
    <s v=" mean of total fluo "/>
    <s v=" SD total fluo "/>
    <m/>
  </r>
  <r>
    <x v="12"/>
    <x v="9"/>
    <s v="C:\Users\andre\Desktop\REACTIV CEFAS\Cromolyn\Cromolyn/20201203_Cefas_Test8_Run3/Plate 4/@10/ "/>
    <s v=" "/>
    <s v=" 39.6703 "/>
    <x v="14"/>
    <s v=" 348302.625 "/>
    <s v=" 284573.765 "/>
    <m/>
  </r>
  <r>
    <x v="0"/>
    <x v="0"/>
    <s v=" "/>
    <m/>
    <m/>
    <x v="1"/>
    <m/>
    <m/>
    <m/>
  </r>
  <r>
    <x v="0"/>
    <x v="0"/>
    <s v=" "/>
    <m/>
    <m/>
    <x v="1"/>
    <m/>
    <m/>
    <m/>
  </r>
  <r>
    <x v="0"/>
    <x v="0"/>
    <s v=" "/>
    <m/>
    <m/>
    <x v="1"/>
    <m/>
    <m/>
    <m/>
  </r>
  <r>
    <x v="0"/>
    <x v="0"/>
    <s v=" "/>
    <m/>
    <m/>
    <x v="1"/>
    <m/>
    <m/>
    <m/>
  </r>
  <r>
    <x v="0"/>
    <x v="0"/>
    <s v=" "/>
    <m/>
    <m/>
    <x v="1"/>
    <m/>
    <m/>
    <m/>
  </r>
  <r>
    <x v="0"/>
    <x v="0"/>
    <s v="file name "/>
    <s v=" total area "/>
    <s v=" mean intensity "/>
    <x v="0"/>
    <s v=" total fluorescence"/>
    <m/>
    <m/>
  </r>
  <r>
    <x v="13"/>
    <x v="1"/>
    <s v="C:\Users\andre\Desktop\REACTIV CEFAS\Cromolyn\Cromolyn/20201203_Cefas_Test8_Run3/Plate 4/@11/A5_01.tif "/>
    <s v=" 8911.5166 "/>
    <s v=" 37.8398 "/>
    <x v="0"/>
    <n v="337210"/>
    <m/>
    <m/>
  </r>
  <r>
    <x v="13"/>
    <x v="1"/>
    <s v="C:\Users\andre\Desktop\REACTIV CEFAS\Cromolyn\Cromolyn/20201203_Cefas_Test8_Run3/Plate 4/@11/A5_02.tif "/>
    <s v=" 12047.8513 "/>
    <s v=" 41.9856 "/>
    <x v="0"/>
    <n v="505837"/>
    <m/>
    <m/>
  </r>
  <r>
    <x v="13"/>
    <x v="1"/>
    <s v="C:\Users\andre\Desktop\REACTIV CEFAS\Cromolyn\Cromolyn/20201203_Cefas_Test8_Run3/Plate 4/@11/A5_03.tif "/>
    <s v=" 9884.8618 "/>
    <s v=" 42.0328 "/>
    <x v="0"/>
    <n v="415489"/>
    <m/>
    <m/>
  </r>
  <r>
    <x v="13"/>
    <x v="2"/>
    <s v="C:\Users\andre\Desktop\REACTIV CEFAS\Cromolyn\Cromolyn/20201203_Cefas_Test8_Run3/Plate 4/@11/B5_01.tif "/>
    <s v=" 11225.9153 "/>
    <s v=" 44.7823 "/>
    <x v="0"/>
    <n v="502722"/>
    <m/>
    <m/>
  </r>
  <r>
    <x v="13"/>
    <x v="2"/>
    <s v="C:\Users\andre\Desktop\REACTIV CEFAS\Cromolyn\Cromolyn/20201203_Cefas_Test8_Run3/Plate 4/@11/B5_02.tif "/>
    <s v=" 10122.7907 "/>
    <s v=" 40.735 "/>
    <x v="0"/>
    <n v="412352"/>
    <m/>
    <m/>
  </r>
  <r>
    <x v="13"/>
    <x v="2"/>
    <s v="C:\Users\andre\Desktop\REACTIV CEFAS\Cromolyn\Cromolyn/20201203_Cefas_Test8_Run3/Plate 4/@11/B5_03.tif "/>
    <s v=" 9928.1216 "/>
    <s v=" 41.9869 "/>
    <x v="0"/>
    <n v="416851"/>
    <m/>
    <m/>
  </r>
  <r>
    <x v="13"/>
    <x v="3"/>
    <s v="C:\Users\andre\Desktop\REACTIV CEFAS\Cromolyn\Cromolyn/20201203_Cefas_Test8_Run3/Plate 4/@11/C5_01.tif "/>
    <s v=" 605.637 "/>
    <s v=" 31.6429 "/>
    <x v="0"/>
    <n v="19164"/>
    <m/>
    <m/>
  </r>
  <r>
    <x v="13"/>
    <x v="3"/>
    <s v="C:\Users\andre\Desktop\REACTIV CEFAS\Cromolyn\Cromolyn/20201203_Cefas_Test8_Run3/Plate 4/@11/C5_02.tif "/>
    <s v=" 1514.0926 "/>
    <s v=" 32.9714 "/>
    <x v="0"/>
    <n v="49922"/>
    <m/>
    <m/>
  </r>
  <r>
    <x v="13"/>
    <x v="3"/>
    <s v="C:\Users\andre\Desktop\REACTIV CEFAS\Cromolyn\Cromolyn/20201203_Cefas_Test8_Run3/Plate 4/@11/C5_03.tif "/>
    <s v=" 821.936 "/>
    <s v=" 31.2632 "/>
    <x v="0"/>
    <n v="25696"/>
    <m/>
    <m/>
  </r>
  <r>
    <x v="13"/>
    <x v="4"/>
    <s v="C:\Users\andre\Desktop\REACTIV CEFAS\Cromolyn\Cromolyn/20201203_Cefas_Test8_Run3/Plate 4/@11/D5_01.tif "/>
    <s v=" 1881.8008 "/>
    <s v=" 31.8966 "/>
    <x v="0"/>
    <n v="60023"/>
    <m/>
    <m/>
  </r>
  <r>
    <x v="13"/>
    <x v="4"/>
    <s v="C:\Users\andre\Desktop\REACTIV CEFAS\Cromolyn\Cromolyn/20201203_Cefas_Test8_Run3/Plate 4/@11/D5_02.tif "/>
    <s v=" 6791.7869 "/>
    <s v=" 37.2643 "/>
    <x v="0"/>
    <n v="253091"/>
    <m/>
    <m/>
  </r>
  <r>
    <x v="13"/>
    <x v="4"/>
    <s v="C:\Users\andre\Desktop\REACTIV CEFAS\Cromolyn\Cromolyn/20201203_Cefas_Test8_Run3/Plate 4/@11/D5_03.tif "/>
    <s v=" 3720.3419 "/>
    <s v=" 34.6279 "/>
    <x v="0"/>
    <n v="128828"/>
    <m/>
    <m/>
  </r>
  <r>
    <x v="13"/>
    <x v="5"/>
    <s v="C:\Users\andre\Desktop\REACTIV CEFAS\Cromolyn\Cromolyn/20201203_Cefas_Test8_Run3/Plate 4/@11/E5_01.tif "/>
    <s v=" 6164.52 "/>
    <s v=" 35.2561 "/>
    <x v="0"/>
    <n v="217337"/>
    <m/>
    <m/>
  </r>
  <r>
    <x v="13"/>
    <x v="5"/>
    <s v="C:\Users\andre\Desktop\REACTIV CEFAS\Cromolyn\Cromolyn/20201203_Cefas_Test8_Run3/Plate 4/@11/E5_02.tif "/>
    <s v=" 5018.1356 "/>
    <s v=" 36.0862 "/>
    <x v="0"/>
    <n v="181085"/>
    <m/>
    <m/>
  </r>
  <r>
    <x v="13"/>
    <x v="5"/>
    <s v="C:\Users\andre\Desktop\REACTIV CEFAS\Cromolyn\Cromolyn/20201203_Cefas_Test8_Run3/Plate 4/@11/E5_03.tif "/>
    <s v=" 1752.0215 "/>
    <s v=" 31.4568 "/>
    <x v="0"/>
    <n v="55113"/>
    <m/>
    <m/>
  </r>
  <r>
    <x v="13"/>
    <x v="6"/>
    <s v="C:\Users\andre\Desktop\REACTIV CEFAS\Cromolyn\Cromolyn/20201203_Cefas_Test8_Run3/Plate 4/@11/F5_01.tif "/>
    <s v=" 14513.6593 "/>
    <s v=" 39.0179 "/>
    <x v="0"/>
    <n v="566292"/>
    <m/>
    <m/>
  </r>
  <r>
    <x v="13"/>
    <x v="6"/>
    <s v="C:\Users\andre\Desktop\REACTIV CEFAS\Cromolyn\Cromolyn/20201203_Cefas_Test8_Run3/Plate 4/@11/F5_02.tif "/>
    <s v=" 13388.9048 "/>
    <s v=" 35.4152 "/>
    <x v="0"/>
    <n v="474171"/>
    <m/>
    <m/>
  </r>
  <r>
    <x v="13"/>
    <x v="6"/>
    <s v="C:\Users\andre\Desktop\REACTIV CEFAS\Cromolyn\Cromolyn/20201203_Cefas_Test8_Run3/Plate 4/@11/F5_03.tif "/>
    <s v=" 11117.7658 "/>
    <s v=" 38.3152 "/>
    <x v="0"/>
    <n v="425979"/>
    <m/>
    <m/>
  </r>
  <r>
    <x v="13"/>
    <x v="7"/>
    <s v="C:\Users\andre\Desktop\REACTIV CEFAS\Cromolyn\Cromolyn/20201203_Cefas_Test8_Run3/Plate 4/@11/G5_01.tif "/>
    <s v=" 6034.7406 "/>
    <s v=" 40.3871 "/>
    <x v="0"/>
    <n v="243726"/>
    <m/>
    <m/>
  </r>
  <r>
    <x v="13"/>
    <x v="7"/>
    <s v="C:\Users\andre\Desktop\REACTIV CEFAS\Cromolyn\Cromolyn/20201203_Cefas_Test8_Run3/Plate 4/@11/G5_02.tif "/>
    <s v=" 8824.997 "/>
    <s v=" 41.7132 "/>
    <x v="0"/>
    <n v="368119"/>
    <m/>
    <m/>
  </r>
  <r>
    <x v="13"/>
    <x v="7"/>
    <s v="C:\Users\andre\Desktop\REACTIV CEFAS\Cromolyn\Cromolyn/20201203_Cefas_Test8_Run3/Plate 4/@11/G5_03.tif "/>
    <s v=" 4715.317 "/>
    <s v=" 38.422 "/>
    <x v="0"/>
    <n v="181172"/>
    <m/>
    <m/>
  </r>
  <r>
    <x v="13"/>
    <x v="8"/>
    <s v="C:\Users\andre\Desktop\REACTIV CEFAS\Cromolyn\Cromolyn/20201203_Cefas_Test8_Run3/Plate 4/@11/H5_01.tif "/>
    <s v=" 4650.4273 "/>
    <s v=" 37.5256 "/>
    <x v="0"/>
    <n v="174510"/>
    <m/>
    <m/>
  </r>
  <r>
    <x v="13"/>
    <x v="8"/>
    <s v="C:\Users\andre\Desktop\REACTIV CEFAS\Cromolyn\Cromolyn/20201203_Cefas_Test8_Run3/Plate 4/@11/H5_02- exclu.tif"/>
    <m/>
    <m/>
    <x v="1"/>
    <m/>
    <m/>
    <m/>
  </r>
  <r>
    <x v="13"/>
    <x v="8"/>
    <s v="C:\Users\andre\Desktop\REACTIV CEFAS\Cromolyn\Cromolyn/20201203_Cefas_Test8_Run3/Plate 4/@11/H5_03.tif "/>
    <s v=" 10663.5381 "/>
    <s v=" 39.5193 "/>
    <x v="0"/>
    <n v="421415"/>
    <m/>
    <m/>
  </r>
  <r>
    <x v="0"/>
    <x v="0"/>
    <s v=" "/>
    <m/>
    <m/>
    <x v="1"/>
    <m/>
    <m/>
    <m/>
  </r>
  <r>
    <x v="0"/>
    <x v="0"/>
    <s v="group "/>
    <s v=" "/>
    <s v=" mean of mean fluo "/>
    <x v="2"/>
    <s v=" mean of total fluo "/>
    <s v=" SD total fluo "/>
    <m/>
  </r>
  <r>
    <x v="13"/>
    <x v="9"/>
    <s v="C:\Users\andre\Desktop\REACTIV CEFAS\Cromolyn\Cromolyn/20201203_Cefas_Test8_Run3/Plate 4/@11/ "/>
    <s v=" "/>
    <s v=" 37.9488 "/>
    <x v="15"/>
    <s v=" 304634.5 "/>
    <s v=" 209651.275 "/>
    <m/>
  </r>
  <r>
    <x v="0"/>
    <x v="0"/>
    <s v=" "/>
    <m/>
    <m/>
    <x v="1"/>
    <m/>
    <m/>
    <m/>
  </r>
  <r>
    <x v="0"/>
    <x v="0"/>
    <s v=" "/>
    <m/>
    <m/>
    <x v="1"/>
    <m/>
    <m/>
    <m/>
  </r>
  <r>
    <x v="0"/>
    <x v="0"/>
    <s v=" "/>
    <m/>
    <m/>
    <x v="1"/>
    <m/>
    <m/>
    <m/>
  </r>
  <r>
    <x v="0"/>
    <x v="0"/>
    <s v=" "/>
    <m/>
    <m/>
    <x v="1"/>
    <m/>
    <m/>
    <m/>
  </r>
  <r>
    <x v="0"/>
    <x v="0"/>
    <s v=" "/>
    <m/>
    <m/>
    <x v="1"/>
    <m/>
    <m/>
    <m/>
  </r>
  <r>
    <x v="0"/>
    <x v="0"/>
    <s v="file name "/>
    <s v=" total area "/>
    <s v=" mean intensity "/>
    <x v="0"/>
    <s v=" total fluorescence"/>
    <m/>
    <m/>
  </r>
  <r>
    <x v="14"/>
    <x v="1"/>
    <s v="C:\Users\andre\Desktop\REACTIV CEFAS\Cromolyn\Cromolyn/20201203_Cefas_Test8_Run3/Plate 4/@12/A6_01.tif "/>
    <s v=" 8868.2568 "/>
    <s v=" 41.6317 "/>
    <x v="0"/>
    <n v="369201"/>
    <m/>
    <m/>
  </r>
  <r>
    <x v="14"/>
    <x v="1"/>
    <s v="C:\Users\andre\Desktop\REACTIV CEFAS\Cromolyn\Cromolyn/20201203_Cefas_Test8_Run3/Plate 4/@12/A6_02.tif "/>
    <s v=" 5039.7654 "/>
    <s v=" 43.7124 "/>
    <x v="0"/>
    <n v="220300"/>
    <m/>
    <m/>
  </r>
  <r>
    <x v="14"/>
    <x v="1"/>
    <s v="C:\Users\andre\Desktop\REACTIV CEFAS\Cromolyn\Cromolyn/20201203_Cefas_Test8_Run3/Plate 4/@12/A6_03.tif "/>
    <s v=" 5818.4417 "/>
    <s v=" 35.6766 "/>
    <x v="0"/>
    <n v="207582"/>
    <m/>
    <m/>
  </r>
  <r>
    <x v="14"/>
    <x v="2"/>
    <s v="C:\Users\andre\Desktop\REACTIV CEFAS\Cromolyn\Cromolyn/20201203_Cefas_Test8_Run3/Plate 4/@12/B6_01- exclu.tif"/>
    <m/>
    <m/>
    <x v="1"/>
    <m/>
    <m/>
    <m/>
  </r>
  <r>
    <x v="14"/>
    <x v="2"/>
    <s v="C:\Users\andre\Desktop\REACTIV CEFAS\Cromolyn\Cromolyn/20201203_Cefas_Test8_Run3/Plate 4/@12/B6_02- exclu.tif"/>
    <m/>
    <m/>
    <x v="1"/>
    <m/>
    <m/>
    <m/>
  </r>
  <r>
    <x v="14"/>
    <x v="2"/>
    <s v="C:\Users\andre\Desktop\REACTIV CEFAS\Cromolyn\Cromolyn/20201203_Cefas_Test8_Run3/Plate 4/@12/B6_03- exclu.tif"/>
    <m/>
    <m/>
    <x v="1"/>
    <m/>
    <m/>
    <m/>
  </r>
  <r>
    <x v="14"/>
    <x v="3"/>
    <s v="C:\Users\andre\Desktop\REACTIV CEFAS\Cromolyn\Cromolyn/20201203_Cefas_Test8_Run3/Plate 4/@12/C6_01.tif "/>
    <s v=" 2941.6657 "/>
    <s v=" 32.9338 "/>
    <x v="0"/>
    <n v="96880"/>
    <m/>
    <m/>
  </r>
  <r>
    <x v="14"/>
    <x v="3"/>
    <s v="C:\Users\andre\Desktop\REACTIV CEFAS\Cromolyn\Cromolyn/20201203_Cefas_Test8_Run3/Plate 4/@12/C6_02.tif "/>
    <s v=" 4585.5377 "/>
    <s v=" 36.0283 "/>
    <x v="0"/>
    <n v="165209"/>
    <m/>
    <m/>
  </r>
  <r>
    <x v="14"/>
    <x v="3"/>
    <s v="C:\Users\andre\Desktop\REACTIV CEFAS\Cromolyn\Cromolyn/20201203_Cefas_Test8_Run3/Plate 4/@12/C6_03.tif "/>
    <s v=" 3720.3419 "/>
    <s v=" 32.3547 "/>
    <x v="0"/>
    <n v="120370"/>
    <m/>
    <m/>
  </r>
  <r>
    <x v="14"/>
    <x v="4"/>
    <s v="C:\Users\andre\Desktop\REACTIV CEFAS\Cromolyn\Cromolyn/20201203_Cefas_Test8_Run3/Plate 4/@12/D6_01.tif "/>
    <s v=" 6445.7086 "/>
    <s v=" 35.9463 "/>
    <x v="0"/>
    <n v="231699"/>
    <m/>
    <m/>
  </r>
  <r>
    <x v="14"/>
    <x v="4"/>
    <s v="C:\Users\andre\Desktop\REACTIV CEFAS\Cromolyn\Cromolyn/20201203_Cefas_Test8_Run3/Plate 4/@12/D6_02.tif "/>
    <s v=" 4736.9469 "/>
    <s v=" 33.2831 "/>
    <x v="0"/>
    <n v="157660"/>
    <m/>
    <m/>
  </r>
  <r>
    <x v="14"/>
    <x v="4"/>
    <s v="C:\Users\andre\Desktop\REACTIV CEFAS\Cromolyn\Cromolyn/20201203_Cefas_Test8_Run3/Plate 4/@12/D6_03.tif "/>
    <s v=" 4585.5377 "/>
    <s v=" 33.8868 "/>
    <x v="0"/>
    <n v="155389"/>
    <m/>
    <m/>
  </r>
  <r>
    <x v="14"/>
    <x v="5"/>
    <s v="C:\Users\andre\Desktop\REACTIV CEFAS\Cromolyn\Cromolyn/20201203_Cefas_Test8_Run3/Plate 4/@12/E6_01.tif "/>
    <s v=" 6770.157 "/>
    <s v=" 35.0735 "/>
    <x v="0"/>
    <n v="237453"/>
    <m/>
    <m/>
  </r>
  <r>
    <x v="14"/>
    <x v="5"/>
    <s v="C:\Users\andre\Desktop\REACTIV CEFAS\Cromolyn\Cromolyn/20201203_Cefas_Test8_Run3/Plate 4/@12/E6_02.tif "/>
    <s v=" 194.6691 "/>
    <s v=" 31.6667 "/>
    <x v="0"/>
    <n v="6165"/>
    <m/>
    <m/>
  </r>
  <r>
    <x v="14"/>
    <x v="5"/>
    <s v="C:\Users\andre\Desktop\REACTIV CEFAS\Cromolyn\Cromolyn/20201203_Cefas_Test8_Run3/Plate 4/@12/E6_03.tif "/>
    <n v="0"/>
    <n v="0"/>
    <x v="0"/>
    <n v="0"/>
    <m/>
    <m/>
  </r>
  <r>
    <x v="14"/>
    <x v="6"/>
    <s v="C:\Users\andre\Desktop\REACTIV CEFAS\Cromolyn\Cromolyn/20201203_Cefas_Test8_Run3/Plate 4/@12/F6_01- exclu.tif"/>
    <m/>
    <m/>
    <x v="1"/>
    <m/>
    <m/>
    <m/>
  </r>
  <r>
    <x v="14"/>
    <x v="6"/>
    <s v="C:\Users\andre\Desktop\REACTIV CEFAS\Cromolyn\Cromolyn/20201203_Cefas_Test8_Run3/Plate 4/@12/F6_02.tif "/>
    <s v=" 10014.6412 "/>
    <s v=" 45.27 "/>
    <x v="0"/>
    <n v="453363"/>
    <m/>
    <m/>
  </r>
  <r>
    <x v="14"/>
    <x v="6"/>
    <s v="C:\Users\andre\Desktop\REACTIV CEFAS\Cromolyn\Cromolyn/20201203_Cefas_Test8_Run3/Plate 4/@12/F6_03.tif "/>
    <s v=" 2920.0358 "/>
    <s v=" 41.7037 "/>
    <x v="0"/>
    <n v="121776"/>
    <m/>
    <m/>
  </r>
  <r>
    <x v="14"/>
    <x v="7"/>
    <s v="C:\Users\andre\Desktop\REACTIV CEFAS\Cromolyn\Cromolyn/20201203_Cefas_Test8_Run3/Plate 4/@12/G6_01.tif "/>
    <s v=" 5710.2922 "/>
    <s v=" 35.428 "/>
    <x v="0"/>
    <n v="202304"/>
    <m/>
    <m/>
  </r>
  <r>
    <x v="14"/>
    <x v="7"/>
    <s v="C:\Users\andre\Desktop\REACTIV CEFAS\Cromolyn\Cromolyn/20201203_Cefas_Test8_Run3/Plate 4/@12/G6_02.tif "/>
    <s v=" 5796.8118 "/>
    <s v=" 39.7201 "/>
    <x v="0"/>
    <n v="230250"/>
    <m/>
    <m/>
  </r>
  <r>
    <x v="14"/>
    <x v="7"/>
    <s v="C:\Users\andre\Desktop\REACTIV CEFAS\Cromolyn\Cromolyn/20201203_Cefas_Test8_Run3/Plate 4/@12/G6_03.tif "/>
    <s v=" 8349.1393 "/>
    <s v=" 38.3938 "/>
    <x v="0"/>
    <n v="320555"/>
    <m/>
    <m/>
  </r>
  <r>
    <x v="14"/>
    <x v="8"/>
    <s v="C:\Users\andre\Desktop\REACTIV CEFAS\Cromolyn\Cromolyn/20201203_Cefas_Test8_Run3/Plate 4/@12/H6_01.tif "/>
    <s v=" 5234.4345 "/>
    <s v=" 35.7107 "/>
    <x v="0"/>
    <n v="186926"/>
    <m/>
    <m/>
  </r>
  <r>
    <x v="14"/>
    <x v="8"/>
    <s v="C:\Users\andre\Desktop\REACTIV CEFAS\Cromolyn\Cromolyn/20201203_Cefas_Test8_Run3/Plate 4/@12/H6_02.tif "/>
    <s v=" 3504.0429 "/>
    <s v=" 37.0864 "/>
    <x v="0"/>
    <n v="129952"/>
    <m/>
    <m/>
  </r>
  <r>
    <x v="14"/>
    <x v="8"/>
    <s v="C:\Users\andre\Desktop\REACTIV CEFAS\Cromolyn\Cromolyn/20201203_Cefas_Test8_Run3/Plate 4/@12/H6_03.tif "/>
    <s v=" 2725.3667 "/>
    <s v=" 34.1429 "/>
    <x v="0"/>
    <n v="93052"/>
    <m/>
    <m/>
  </r>
  <r>
    <x v="0"/>
    <x v="0"/>
    <s v=" "/>
    <m/>
    <m/>
    <x v="1"/>
    <m/>
    <m/>
    <m/>
  </r>
  <r>
    <x v="0"/>
    <x v="0"/>
    <s v="group "/>
    <s v=" "/>
    <s v=" mean of mean fluo "/>
    <x v="2"/>
    <s v=" mean of total fluo "/>
    <s v=" SD total fluo "/>
    <m/>
  </r>
  <r>
    <x v="14"/>
    <x v="9"/>
    <s v="C:\Users\andre\Desktop\REACTIV CEFAS\Cromolyn\Cromolyn/20201203_Cefas_Test8_Run3/Plate 4/@12/ "/>
    <s v=" "/>
    <s v=" 35.2273 "/>
    <x v="16"/>
    <s v=" 246185.125 "/>
    <s v=" 216951.24 "/>
    <m/>
  </r>
  <r>
    <x v="0"/>
    <x v="0"/>
    <s v=" "/>
    <m/>
    <m/>
    <x v="1"/>
    <m/>
    <m/>
    <m/>
  </r>
  <r>
    <x v="0"/>
    <x v="0"/>
    <s v=" "/>
    <m/>
    <m/>
    <x v="1"/>
    <m/>
    <m/>
    <m/>
  </r>
  <r>
    <x v="0"/>
    <x v="0"/>
    <s v=" "/>
    <m/>
    <m/>
    <x v="1"/>
    <m/>
    <m/>
    <m/>
  </r>
  <r>
    <x v="0"/>
    <x v="0"/>
    <s v=" "/>
    <m/>
    <m/>
    <x v="1"/>
    <m/>
    <m/>
    <m/>
  </r>
  <r>
    <x v="0"/>
    <x v="0"/>
    <s v=" "/>
    <m/>
    <m/>
    <x v="1"/>
    <m/>
    <m/>
    <m/>
  </r>
  <r>
    <x v="0"/>
    <x v="0"/>
    <s v="file name "/>
    <s v=" total area "/>
    <s v=" mean intensity "/>
    <x v="0"/>
    <s v=" total fluorescence"/>
    <m/>
    <m/>
  </r>
  <r>
    <x v="15"/>
    <x v="1"/>
    <s v="C:\Users\andre\Desktop\REACTIV CEFAS\Cromolyn\Cromolyn/20201203_Cefas_Test8_Run3/Plate 4/@17/A8_01.tif "/>
    <s v=" 54983.1921 "/>
    <s v=" 38.9689 "/>
    <x v="0"/>
    <n v="2142636"/>
    <m/>
    <m/>
  </r>
  <r>
    <x v="15"/>
    <x v="1"/>
    <s v="C:\Users\andre\Desktop\REACTIV CEFAS\Cromolyn\Cromolyn/20201203_Cefas_Test8_Run3/Plate 4/@17/A8_02.tif "/>
    <s v=" 61753.3492 "/>
    <s v=" 41.9653 "/>
    <x v="0"/>
    <n v="2591499"/>
    <m/>
    <m/>
  </r>
  <r>
    <x v="15"/>
    <x v="1"/>
    <s v="C:\Users\andre\Desktop\REACTIV CEFAS\Cromolyn\Cromolyn/20201203_Cefas_Test8_Run3/Plate 4/@17/A8_03.tif "/>
    <s v=" 55718.6086 "/>
    <s v=" 42.3191 "/>
    <x v="0"/>
    <n v="2357961"/>
    <m/>
    <m/>
  </r>
  <r>
    <x v="15"/>
    <x v="2"/>
    <s v="C:\Users\andre\Desktop\REACTIV CEFAS\Cromolyn\Cromolyn/20201203_Cefas_Test8_Run3/Plate 4/@17/B8_01.tif "/>
    <s v=" 29957.4041 "/>
    <s v=" 36.3487 "/>
    <x v="0"/>
    <n v="1088914"/>
    <m/>
    <m/>
  </r>
  <r>
    <x v="15"/>
    <x v="2"/>
    <s v="C:\Users\andre\Desktop\REACTIV CEFAS\Cromolyn\Cromolyn/20201203_Cefas_Test8_Run3/Plate 4/@17/B8_02.tif "/>
    <s v=" 41096.7998 "/>
    <s v=" 38.6574 "/>
    <x v="0"/>
    <n v="1588694"/>
    <m/>
    <m/>
  </r>
  <r>
    <x v="15"/>
    <x v="2"/>
    <s v="C:\Users\andre\Desktop\REACTIV CEFAS\Cromolyn\Cromolyn/20201203_Cefas_Test8_Run3/Plate 4/@17/B8_03.tif "/>
    <s v=" 28659.6104 "/>
    <s v=" 36.1857 "/>
    <x v="0"/>
    <n v="1037067"/>
    <m/>
    <m/>
  </r>
  <r>
    <x v="15"/>
    <x v="3"/>
    <s v="C:\Users\andre\Desktop\REACTIV CEFAS\Cromolyn\Cromolyn/20201203_Cefas_Test8_Run3/Plate 4/@17/C8_01.tif "/>
    <s v=" 88812.3473 "/>
    <s v=" 44.7937 "/>
    <x v="0"/>
    <n v="3978235"/>
    <m/>
    <m/>
  </r>
  <r>
    <x v="15"/>
    <x v="3"/>
    <s v="C:\Users\andre\Desktop\REACTIV CEFAS\Cromolyn\Cromolyn/20201203_Cefas_Test8_Run3/Plate 4/@17/C8_02.tif "/>
    <s v=" 85697.6425 "/>
    <s v=" 46.0081 "/>
    <x v="0"/>
    <n v="3942784"/>
    <m/>
    <m/>
  </r>
  <r>
    <x v="15"/>
    <x v="3"/>
    <s v="C:\Users\andre\Desktop\REACTIV CEFAS\Cromolyn\Cromolyn/20201203_Cefas_Test8_Run3/Plate 4/@17/C8_03.tif "/>
    <s v=" 77910.8805 "/>
    <s v=" 43.6766 "/>
    <x v="0"/>
    <n v="3402880"/>
    <m/>
    <m/>
  </r>
  <r>
    <x v="15"/>
    <x v="4"/>
    <s v="C:\Users\andre\Desktop\REACTIV CEFAS\Cromolyn\Cromolyn/20201203_Cefas_Test8_Run3/Plate 4/@17/D8_01.tif "/>
    <s v=" 75596.4817 "/>
    <s v=" 42.8667 "/>
    <x v="0"/>
    <n v="3240569"/>
    <m/>
    <m/>
  </r>
  <r>
    <x v="15"/>
    <x v="4"/>
    <s v="C:\Users\andre\Desktop\REACTIV CEFAS\Cromolyn\Cromolyn/20201203_Cefas_Test8_Run3/Plate 4/@17/D8_02.tif "/>
    <s v=" 80008.9802 "/>
    <s v=" 44.2687 "/>
    <x v="0"/>
    <n v="3541895"/>
    <m/>
    <m/>
  </r>
  <r>
    <x v="15"/>
    <x v="4"/>
    <s v="C:\Users\andre\Desktop\REACTIV CEFAS\Cromolyn\Cromolyn/20201203_Cefas_Test8_Run3/Plate 4/@17/D8_03.tif "/>
    <s v=" 75661.3714 "/>
    <s v=" 42.7524 "/>
    <x v="0"/>
    <n v="3234707"/>
    <m/>
    <m/>
  </r>
  <r>
    <x v="15"/>
    <x v="5"/>
    <s v="C:\Users\andre\Desktop\REACTIV CEFAS\Cromolyn\Cromolyn/20201203_Cefas_Test8_Run3/Plate 4/@17/E8_01.tif "/>
    <s v=" 29979.034 "/>
    <s v=" 37.4755 "/>
    <x v="0"/>
    <n v="1123478"/>
    <m/>
    <m/>
  </r>
  <r>
    <x v="15"/>
    <x v="5"/>
    <s v="C:\Users\andre\Desktop\REACTIV CEFAS\Cromolyn\Cromolyn/20201203_Cefas_Test8_Run3/Plate 4/@17/E8_02.tif "/>
    <s v=" 26972.4786 "/>
    <s v=" 38.0826 "/>
    <x v="0"/>
    <n v="1027182"/>
    <m/>
    <m/>
  </r>
  <r>
    <x v="15"/>
    <x v="5"/>
    <s v="C:\Users\andre\Desktop\REACTIV CEFAS\Cromolyn\Cromolyn/20201203_Cefas_Test8_Run3/Plate 4/@17/E8_03.tif "/>
    <s v=" 30043.9236 "/>
    <s v=" 37.0922 "/>
    <x v="0"/>
    <n v="1114394"/>
    <m/>
    <m/>
  </r>
  <r>
    <x v="15"/>
    <x v="6"/>
    <s v="C:\Users\andre\Desktop\REACTIV CEFAS\Cromolyn\Cromolyn/20201203_Cefas_Test8_Run3/Plate 4/@17/F8_01.tif "/>
    <s v=" 25415.1262 "/>
    <s v=" 40.7379 "/>
    <x v="0"/>
    <n v="1035358"/>
    <m/>
    <m/>
  </r>
  <r>
    <x v="15"/>
    <x v="6"/>
    <s v="C:\Users\andre\Desktop\REACTIV CEFAS\Cromolyn\Cromolyn/20201203_Cefas_Test8_Run3/Plate 4/@17/F8_02- exclu.tif"/>
    <m/>
    <m/>
    <x v="1"/>
    <m/>
    <m/>
    <m/>
  </r>
  <r>
    <x v="15"/>
    <x v="6"/>
    <s v="C:\Users\andre\Desktop\REACTIV CEFAS\Cromolyn\Cromolyn/20201203_Cefas_Test8_Run3/Plate 4/@17/F8_03.tif "/>
    <s v=" 17801.4033 "/>
    <s v=" 42.3961 "/>
    <x v="0"/>
    <n v="754710"/>
    <m/>
    <m/>
  </r>
  <r>
    <x v="15"/>
    <x v="7"/>
    <s v="C:\Users\andre\Desktop\REACTIV CEFAS\Cromolyn\Cromolyn/20201203_Cefas_Test8_Run3/Plate 4/@17/G8_01.tif "/>
    <s v=" 68783.0649 "/>
    <s v=" 43.1881 "/>
    <x v="0"/>
    <n v="2970606"/>
    <m/>
    <m/>
  </r>
  <r>
    <x v="15"/>
    <x v="7"/>
    <s v="C:\Users\andre\Desktop\REACTIV CEFAS\Cromolyn\Cromolyn/20201203_Cefas_Test8_Run3/Plate 4/@17/G8_02.tif "/>
    <s v=" 63808.1892 "/>
    <s v=" 45.3376 "/>
    <x v="0"/>
    <n v="2892912"/>
    <m/>
    <m/>
  </r>
  <r>
    <x v="15"/>
    <x v="7"/>
    <s v="C:\Users\andre\Desktop\REACTIV CEFAS\Cromolyn\Cromolyn/20201203_Cefas_Test8_Run3/Plate 4/@17/G8_03.tif "/>
    <s v=" 78970.7453 "/>
    <s v=" 48.751 "/>
    <x v="0"/>
    <n v="3849905"/>
    <m/>
    <m/>
  </r>
  <r>
    <x v="15"/>
    <x v="8"/>
    <s v="C:\Users\andre\Desktop\REACTIV CEFAS\Cromolyn\Cromolyn/20201203_Cefas_Test8_Run3/Plate 4/@17/H8_01.tif "/>
    <s v=" 28746.13 "/>
    <s v=" 36.5937 "/>
    <x v="0"/>
    <n v="1051927"/>
    <m/>
    <m/>
  </r>
  <r>
    <x v="15"/>
    <x v="8"/>
    <s v="C:\Users\andre\Desktop\REACTIV CEFAS\Cromolyn\Cromolyn/20201203_Cefas_Test8_Run3/Plate 4/@17/H8_02.tif "/>
    <s v=" 30476.5215 "/>
    <s v=" 35.4897 "/>
    <x v="0"/>
    <n v="1081603"/>
    <m/>
    <m/>
  </r>
  <r>
    <x v="15"/>
    <x v="8"/>
    <s v="C:\Users\andre\Desktop\REACTIV CEFAS\Cromolyn\Cromolyn/20201203_Cefas_Test8_Run3/Plate 4/@17/H8_03.tif "/>
    <s v=" 30692.8205 "/>
    <s v=" 35.2389 "/>
    <x v="0"/>
    <n v="1081581"/>
    <m/>
    <m/>
  </r>
  <r>
    <x v="0"/>
    <x v="0"/>
    <s v=" "/>
    <m/>
    <m/>
    <x v="1"/>
    <m/>
    <m/>
    <m/>
  </r>
  <r>
    <x v="0"/>
    <x v="0"/>
    <s v="group "/>
    <s v=" "/>
    <s v=" mean of mean fluo "/>
    <x v="2"/>
    <s v=" mean of total fluo "/>
    <s v=" SD total fluo "/>
    <m/>
  </r>
  <r>
    <x v="15"/>
    <x v="9"/>
    <s v="C:\Users\andre\Desktop\REACTIV CEFAS\Cromolyn\Cromolyn/20201203_Cefas_Test8_Run3/Plate 4/@17/ "/>
    <s v=" "/>
    <s v=" 41.037 "/>
    <x v="17"/>
    <s v=" 2159067.17 "/>
    <s v=" 1137130.42 "/>
    <m/>
  </r>
  <r>
    <x v="0"/>
    <x v="0"/>
    <s v=" "/>
    <m/>
    <m/>
    <x v="1"/>
    <m/>
    <m/>
    <m/>
  </r>
  <r>
    <x v="0"/>
    <x v="0"/>
    <s v=" "/>
    <m/>
    <m/>
    <x v="1"/>
    <m/>
    <m/>
    <m/>
  </r>
  <r>
    <x v="0"/>
    <x v="0"/>
    <s v=" "/>
    <m/>
    <m/>
    <x v="1"/>
    <m/>
    <m/>
    <m/>
  </r>
  <r>
    <x v="0"/>
    <x v="0"/>
    <s v=" "/>
    <m/>
    <m/>
    <x v="1"/>
    <m/>
    <m/>
    <m/>
  </r>
  <r>
    <x v="0"/>
    <x v="0"/>
    <s v=" "/>
    <m/>
    <m/>
    <x v="1"/>
    <m/>
    <m/>
    <m/>
  </r>
  <r>
    <x v="0"/>
    <x v="0"/>
    <s v="file name "/>
    <s v=" total area "/>
    <s v=" mean intensity "/>
    <x v="0"/>
    <s v=" total fluorescence"/>
    <m/>
    <m/>
  </r>
  <r>
    <x v="16"/>
    <x v="1"/>
    <s v="C:\Users\andre\Desktop\REACTIV CEFAS\Cromolyn\Cromolyn/20201203_Cefas_Test8_Run3/Plate 4/@18/A9_01.tif "/>
    <s v=" 55372.5302 "/>
    <s v=" 37.6059 "/>
    <x v="0"/>
    <n v="2082332"/>
    <m/>
    <m/>
  </r>
  <r>
    <x v="16"/>
    <x v="1"/>
    <s v="C:\Users\andre\Desktop\REACTIV CEFAS\Cromolyn\Cromolyn/20201203_Cefas_Test8_Run3/Plate 4/@18/A9_02.tif "/>
    <s v=" 68783.0649 "/>
    <s v=" 40.3569 "/>
    <x v="0"/>
    <n v="2775873"/>
    <m/>
    <m/>
  </r>
  <r>
    <x v="16"/>
    <x v="1"/>
    <s v="C:\Users\andre\Desktop\REACTIV CEFAS\Cromolyn\Cromolyn/20201203_Cefas_Test8_Run3/Plate 4/@18/A9_03.tif "/>
    <s v=" 58552.1248 "/>
    <s v=" 37.1936 "/>
    <x v="0"/>
    <n v="2177763"/>
    <m/>
    <m/>
  </r>
  <r>
    <x v="16"/>
    <x v="2"/>
    <s v="C:\Users\andre\Desktop\REACTIV CEFAS\Cromolyn\Cromolyn/20201203_Cefas_Test8_Run3/Plate 4/@18/B9_01- exclu.tif"/>
    <m/>
    <m/>
    <x v="1"/>
    <m/>
    <m/>
    <m/>
  </r>
  <r>
    <x v="16"/>
    <x v="2"/>
    <s v="C:\Users\andre\Desktop\REACTIV CEFAS\Cromolyn\Cromolyn/20201203_Cefas_Test8_Run3/Plate 4/@18/B9_02- exclu.tif"/>
    <m/>
    <m/>
    <x v="1"/>
    <m/>
    <m/>
    <m/>
  </r>
  <r>
    <x v="16"/>
    <x v="2"/>
    <s v="C:\Users\andre\Desktop\REACTIV CEFAS\Cromolyn\Cromolyn/20201203_Cefas_Test8_Run3/Plate 4/@18/B9_03- exclu.tif"/>
    <m/>
    <m/>
    <x v="1"/>
    <m/>
    <m/>
    <m/>
  </r>
  <r>
    <x v="16"/>
    <x v="3"/>
    <s v="C:\Users\andre\Desktop\REACTIV CEFAS\Cromolyn\Cromolyn/20201203_Cefas_Test8_Run3/Plate 4/@18/C9_01.tif "/>
    <s v=" 55372.5302 "/>
    <s v=" 35.7906 "/>
    <x v="0"/>
    <n v="1981817"/>
    <m/>
    <m/>
  </r>
  <r>
    <x v="16"/>
    <x v="3"/>
    <s v="C:\Users\andre\Desktop\REACTIV CEFAS\Cromolyn\Cromolyn/20201203_Cefas_Test8_Run3/Plate 4/@18/C9_02.tif "/>
    <s v=" 62272.4666 "/>
    <s v=" 39.8044 "/>
    <x v="0"/>
    <n v="2478721"/>
    <m/>
    <m/>
  </r>
  <r>
    <x v="16"/>
    <x v="3"/>
    <s v="C:\Users\andre\Desktop\REACTIV CEFAS\Cromolyn\Cromolyn/20201203_Cefas_Test8_Run3/Plate 4/@18/C9_03.tif "/>
    <s v=" 59049.6123 "/>
    <s v=" 38.144 "/>
    <x v="0"/>
    <n v="2252386"/>
    <m/>
    <m/>
  </r>
  <r>
    <x v="16"/>
    <x v="4"/>
    <s v="C:\Users\andre\Desktop\REACTIV CEFAS\Cromolyn\Cromolyn/20201203_Cefas_Test8_Run3/Plate 4/@18/D9_01.tif "/>
    <s v=" 11874.8122 "/>
    <s v=" 37.9053 "/>
    <x v="0"/>
    <n v="450118"/>
    <m/>
    <m/>
  </r>
  <r>
    <x v="16"/>
    <x v="4"/>
    <s v="C:\Users\andre\Desktop\REACTIV CEFAS\Cromolyn\Cromolyn/20201203_Cefas_Test8_Run3/Plate 4/@18/D9_02.tif "/>
    <s v=" 13345.645 "/>
    <s v=" 34.5138 "/>
    <x v="0"/>
    <n v="460609"/>
    <m/>
    <m/>
  </r>
  <r>
    <x v="16"/>
    <x v="4"/>
    <s v="C:\Users\andre\Desktop\REACTIV CEFAS\Cromolyn\Cromolyn/20201203_Cefas_Test8_Run3/Plate 4/@18/D9_03.tif "/>
    <s v=" 6662.0075 "/>
    <s v=" 33.3701 "/>
    <x v="0"/>
    <n v="222312"/>
    <m/>
    <m/>
  </r>
  <r>
    <x v="16"/>
    <x v="5"/>
    <s v="C:\Users\andre\Desktop\REACTIV CEFAS\Cromolyn\Cromolyn/20201203_Cefas_Test8_Run3/Plate 4/@18/E9_01.tif "/>
    <s v=" 30779.3401 "/>
    <s v=" 35.8335 "/>
    <x v="0"/>
    <n v="1102930"/>
    <m/>
    <m/>
  </r>
  <r>
    <x v="16"/>
    <x v="5"/>
    <s v="C:\Users\andre\Desktop\REACTIV CEFAS\Cromolyn\Cromolyn/20201203_Cefas_Test8_Run3/Plate 4/@18/E9_02.tif "/>
    <s v=" 26669.6601 "/>
    <s v=" 36.8467 "/>
    <x v="0"/>
    <n v="982689"/>
    <m/>
    <m/>
  </r>
  <r>
    <x v="16"/>
    <x v="5"/>
    <s v="C:\Users\andre\Desktop\REACTIV CEFAS\Cromolyn\Cromolyn/20201203_Cefas_Test8_Run3/Plate 4/@18/E9_03.tif "/>
    <s v=" 26583.1405 "/>
    <s v=" 37.0968 "/>
    <x v="0"/>
    <n v="986150"/>
    <m/>
    <m/>
  </r>
  <r>
    <x v="16"/>
    <x v="6"/>
    <s v="C:\Users\andre\Desktop\REACTIV CEFAS\Cromolyn\Cromolyn/20201203_Cefas_Test8_Run3/Plate 4/@18/F9_01.tif "/>
    <s v=" 7678.6126 "/>
    <s v=" 32.8563 "/>
    <x v="0"/>
    <n v="252291"/>
    <m/>
    <m/>
  </r>
  <r>
    <x v="16"/>
    <x v="6"/>
    <s v="C:\Users\andre\Desktop\REACTIV CEFAS\Cromolyn\Cromolyn/20201203_Cefas_Test8_Run3/Plate 4/@18/F9_02.tif "/>
    <s v=" 6705.2673 "/>
    <s v=" 32.9 "/>
    <x v="0"/>
    <n v="220603"/>
    <m/>
    <m/>
  </r>
  <r>
    <x v="16"/>
    <x v="6"/>
    <s v="C:\Users\andre\Desktop\REACTIV CEFAS\Cromolyn\Cromolyn/20201203_Cefas_Test8_Run3/Plate 4/@18/F9_03.tif "/>
    <s v=" 5342.584 "/>
    <s v=" 32.6032 "/>
    <x v="0"/>
    <n v="174186"/>
    <m/>
    <m/>
  </r>
  <r>
    <x v="16"/>
    <x v="7"/>
    <s v="C:\Users\andre\Desktop\REACTIV CEFAS\Cromolyn\Cromolyn/20201203_Cefas_Test8_Run3/Plate 4/@18/G9_01.tif "/>
    <s v=" 62423.8759 "/>
    <s v=" 40.3673 "/>
    <x v="0"/>
    <n v="2519883"/>
    <m/>
    <m/>
  </r>
  <r>
    <x v="16"/>
    <x v="7"/>
    <s v="C:\Users\andre\Desktop\REACTIV CEFAS\Cromolyn\Cromolyn/20201203_Cefas_Test8_Run3/Plate 4/@18/G9_02.tif "/>
    <s v=" 68610.0258 "/>
    <s v=" 37.9754 "/>
    <x v="0"/>
    <n v="2605494"/>
    <m/>
    <m/>
  </r>
  <r>
    <x v="16"/>
    <x v="7"/>
    <s v="C:\Users\andre\Desktop\REACTIV CEFAS\Cromolyn\Cromolyn/20201203_Cefas_Test8_Run3/Plate 4/@18/G9_03.tif "/>
    <s v=" 64889.6839 "/>
    <s v=" 40.3443 "/>
    <x v="0"/>
    <n v="2617931"/>
    <m/>
    <m/>
  </r>
  <r>
    <x v="16"/>
    <x v="8"/>
    <s v="C:\Users\andre\Desktop\REACTIV CEFAS\Cromolyn\Cromolyn/20201203_Cefas_Test8_Run3/Plate 4/@18/H9_01.tif "/>
    <s v=" 53901.6974 "/>
    <s v=" 38.8014 "/>
    <x v="0"/>
    <n v="2091459"/>
    <m/>
    <m/>
  </r>
  <r>
    <x v="16"/>
    <x v="8"/>
    <s v="C:\Users\andre\Desktop\REACTIV CEFAS\Cromolyn\Cromolyn/20201203_Cefas_Test8_Run3/Plate 4/@18/H9_02.tif "/>
    <s v=" 46763.8322 "/>
    <s v=" 36.5231 "/>
    <x v="0"/>
    <n v="1707961"/>
    <m/>
    <m/>
  </r>
  <r>
    <x v="16"/>
    <x v="8"/>
    <s v="C:\Users\andre\Desktop\REACTIV CEFAS\Cromolyn\Cromolyn/20201203_Cefas_Test8_Run3/Plate 4/@18/H9_03.tif "/>
    <s v=" 62878.1037 "/>
    <s v=" 39.0571 "/>
    <x v="0"/>
    <n v="2455837"/>
    <m/>
    <m/>
  </r>
  <r>
    <x v="0"/>
    <x v="0"/>
    <s v=" "/>
    <m/>
    <m/>
    <x v="1"/>
    <m/>
    <m/>
    <m/>
  </r>
  <r>
    <x v="0"/>
    <x v="0"/>
    <s v="group "/>
    <s v=" "/>
    <s v=" mean of mean fluo "/>
    <x v="2"/>
    <s v=" mean of total fluo "/>
    <s v=" SD total fluo "/>
    <m/>
  </r>
  <r>
    <x v="16"/>
    <x v="9"/>
    <s v="C:\Users\andre\Desktop\REACTIV CEFAS\Cromolyn\Cromolyn/20201203_Cefas_Test8_Run3/Plate 4/@18/ "/>
    <s v=" "/>
    <s v=" 39.5335 "/>
    <x v="18"/>
    <s v=" 1481127.83 "/>
    <s v=" 915304.053 "/>
    <m/>
  </r>
  <r>
    <x v="0"/>
    <x v="0"/>
    <s v=" "/>
    <m/>
    <m/>
    <x v="1"/>
    <m/>
    <m/>
    <m/>
  </r>
  <r>
    <x v="0"/>
    <x v="0"/>
    <s v=" "/>
    <m/>
    <m/>
    <x v="1"/>
    <m/>
    <m/>
    <m/>
  </r>
  <r>
    <x v="0"/>
    <x v="0"/>
    <s v=" "/>
    <m/>
    <m/>
    <x v="1"/>
    <m/>
    <m/>
    <m/>
  </r>
  <r>
    <x v="0"/>
    <x v="0"/>
    <s v=" "/>
    <m/>
    <m/>
    <x v="1"/>
    <m/>
    <m/>
    <m/>
  </r>
  <r>
    <x v="0"/>
    <x v="0"/>
    <s v=" "/>
    <m/>
    <m/>
    <x v="1"/>
    <m/>
    <m/>
    <m/>
  </r>
  <r>
    <x v="0"/>
    <x v="0"/>
    <s v="file name "/>
    <s v=" total area "/>
    <s v=" mean intensity "/>
    <x v="0"/>
    <s v=" total fluorescence"/>
    <m/>
    <m/>
  </r>
  <r>
    <x v="17"/>
    <x v="1"/>
    <s v="C:\Users\andre\Desktop\REACTIV CEFAS\Cromolyn\Cromolyn/20201203_Cefas_Test8_Run3/Plate 4/@19/A10_01- exclu.tif"/>
    <m/>
    <m/>
    <x v="1"/>
    <m/>
    <m/>
    <m/>
  </r>
  <r>
    <x v="17"/>
    <x v="1"/>
    <s v="C:\Users\andre\Desktop\REACTIV CEFAS\Cromolyn\Cromolyn/20201203_Cefas_Test8_Run3/Plate 4/@19/A10_02- exclu.tif"/>
    <m/>
    <m/>
    <x v="1"/>
    <m/>
    <m/>
    <m/>
  </r>
  <r>
    <x v="17"/>
    <x v="1"/>
    <s v="C:\Users\andre\Desktop\REACTIV CEFAS\Cromolyn\Cromolyn/20201203_Cefas_Test8_Run3/Plate 4/@19/A10_03- exclu.tif"/>
    <m/>
    <m/>
    <x v="1"/>
    <m/>
    <m/>
    <m/>
  </r>
  <r>
    <x v="17"/>
    <x v="2"/>
    <s v="C:\Users\andre\Desktop\REACTIV CEFAS\Cromolyn\Cromolyn/20201203_Cefas_Test8_Run3/Plate 4/@19/B10_01.tif "/>
    <s v=" 23035.8378 "/>
    <s v=" 36.9315 "/>
    <x v="0"/>
    <n v="850747"/>
    <m/>
    <m/>
  </r>
  <r>
    <x v="17"/>
    <x v="2"/>
    <s v="C:\Users\andre\Desktop\REACTIV CEFAS\Cromolyn\Cromolyn/20201203_Cefas_Test8_Run3/Plate 4/@19/B10_02.tif "/>
    <s v=" 31536.3864 "/>
    <s v=" 38.3032 "/>
    <x v="0"/>
    <n v="1207943"/>
    <m/>
    <m/>
  </r>
  <r>
    <x v="17"/>
    <x v="2"/>
    <s v="C:\Users\andre\Desktop\REACTIV CEFAS\Cromolyn\Cromolyn/20201203_Cefas_Test8_Run3/Plate 4/@19/B10_03.tif "/>
    <s v=" 25588.1653 "/>
    <s v=" 36.0245 "/>
    <x v="0"/>
    <n v="921801"/>
    <m/>
    <m/>
  </r>
  <r>
    <x v="17"/>
    <x v="3"/>
    <s v="C:\Users\andre\Desktop\REACTIV CEFAS\Cromolyn\Cromolyn/20201203_Cefas_Test8_Run3/Plate 4/@19/C10_01.tif "/>
    <s v=" 77521.5423 "/>
    <s v=" 45.373 "/>
    <x v="0"/>
    <n v="3517389"/>
    <m/>
    <m/>
  </r>
  <r>
    <x v="17"/>
    <x v="3"/>
    <s v="C:\Users\andre\Desktop\REACTIV CEFAS\Cromolyn\Cromolyn/20201203_Cefas_Test8_Run3/Plate 4/@19/C10_02.tif "/>
    <s v=" 75120.624 "/>
    <s v=" 46.3516 "/>
    <x v="0"/>
    <n v="3481959"/>
    <m/>
    <m/>
  </r>
  <r>
    <x v="17"/>
    <x v="3"/>
    <s v="C:\Users\andre\Desktop\REACTIV CEFAS\Cromolyn\Cromolyn/20201203_Cefas_Test8_Run3/Plate 4/@19/C10_03.tif "/>
    <s v=" 64262.4169 "/>
    <s v=" 43.897 "/>
    <x v="0"/>
    <n v="2820928"/>
    <m/>
    <m/>
  </r>
  <r>
    <x v="17"/>
    <x v="4"/>
    <s v="C:\Users\andre\Desktop\REACTIV CEFAS\Cromolyn\Cromolyn/20201203_Cefas_Test8_Run3/Plate 4/@19/D10_01.tif "/>
    <s v=" 4088.0501 "/>
    <s v=" 31.1005 "/>
    <x v="0"/>
    <n v="127141"/>
    <m/>
    <m/>
  </r>
  <r>
    <x v="17"/>
    <x v="4"/>
    <s v="C:\Users\andre\Desktop\REACTIV CEFAS\Cromolyn\Cromolyn/20201203_Cefas_Test8_Run3/Plate 4/@19/D10_02.tif "/>
    <s v=" 5796.8118 "/>
    <s v=" 31.4254 "/>
    <x v="0"/>
    <n v="182167"/>
    <m/>
    <m/>
  </r>
  <r>
    <x v="17"/>
    <x v="4"/>
    <s v="C:\Users\andre\Desktop\REACTIV CEFAS\Cromolyn\Cromolyn/20201203_Cefas_Test8_Run3/Plate 4/@19/D10_03.tif "/>
    <s v=" 8522.1785 "/>
    <s v=" 32.0711 "/>
    <x v="0"/>
    <n v="273315"/>
    <m/>
    <m/>
  </r>
  <r>
    <x v="17"/>
    <x v="5"/>
    <s v="C:\Users\andre\Desktop\REACTIV CEFAS\Cromolyn\Cromolyn/20201203_Cefas_Test8_Run3/Plate 4/@19/E10_01- exclu.tif"/>
    <m/>
    <m/>
    <x v="1"/>
    <m/>
    <m/>
    <m/>
  </r>
  <r>
    <x v="17"/>
    <x v="5"/>
    <s v="C:\Users\andre\Desktop\REACTIV CEFAS\Cromolyn\Cromolyn/20201203_Cefas_Test8_Run3/Plate 4/@19/E10_02- exclu.tif"/>
    <m/>
    <m/>
    <x v="1"/>
    <m/>
    <m/>
    <m/>
  </r>
  <r>
    <x v="17"/>
    <x v="5"/>
    <s v="C:\Users\andre\Desktop\REACTIV CEFAS\Cromolyn\Cromolyn/20201203_Cefas_Test8_Run3/Plate 4/@19/E10_03- exclu.tif"/>
    <m/>
    <m/>
    <x v="1"/>
    <m/>
    <m/>
    <m/>
  </r>
  <r>
    <x v="17"/>
    <x v="6"/>
    <s v="C:\Users\andre\Desktop\REACTIV CEFAS\Cromolyn\Cromolyn/20201203_Cefas_Test8_Run3/Plate 4/@19/F10_01.tif "/>
    <s v=" 48429.3341 "/>
    <s v=" 38.1496 "/>
    <x v="0"/>
    <n v="1847561"/>
    <m/>
    <m/>
  </r>
  <r>
    <x v="17"/>
    <x v="6"/>
    <s v="C:\Users\andre\Desktop\REACTIV CEFAS\Cromolyn\Cromolyn/20201203_Cefas_Test8_Run3/Plate 4/@19/F10_02.tif "/>
    <s v=" 48364.4444 "/>
    <s v=" 36.2509 "/>
    <x v="0"/>
    <n v="1753254"/>
    <m/>
    <m/>
  </r>
  <r>
    <x v="17"/>
    <x v="6"/>
    <s v="C:\Users\andre\Desktop\REACTIV CEFAS\Cromolyn\Cromolyn/20201203_Cefas_Test8_Run3/Plate 4/@19/F10_03.tif "/>
    <s v=" 48688.8928 "/>
    <s v=" 38.2283 "/>
    <x v="0"/>
    <n v="1861296"/>
    <m/>
    <m/>
  </r>
  <r>
    <x v="17"/>
    <x v="7"/>
    <s v="C:\Users\andre\Desktop\REACTIV CEFAS\Cromolyn\Cromolyn/20201203_Cefas_Test8_Run3/Plate 4/@19/G10_01.tif "/>
    <s v=" 34845.7602 "/>
    <s v=" 37.5196 "/>
    <x v="0"/>
    <n v="1307397"/>
    <m/>
    <m/>
  </r>
  <r>
    <x v="17"/>
    <x v="7"/>
    <s v="C:\Users\andre\Desktop\REACTIV CEFAS\Cromolyn\Cromolyn/20201203_Cefas_Test8_Run3/Plate 4/@19/G10_02.tif "/>
    <s v=" 46352.8642 "/>
    <s v=" 38.1857 "/>
    <x v="0"/>
    <n v="1770018"/>
    <m/>
    <m/>
  </r>
  <r>
    <x v="17"/>
    <x v="7"/>
    <s v="C:\Users\andre\Desktop\REACTIV CEFAS\Cromolyn\Cromolyn/20201203_Cefas_Test8_Run3/Plate 4/@19/G10_03.tif "/>
    <s v=" 45747.2271 "/>
    <s v=" 39.1565 "/>
    <x v="0"/>
    <n v="1791301"/>
    <m/>
    <m/>
  </r>
  <r>
    <x v="17"/>
    <x v="8"/>
    <s v="C:\Users\andre\Desktop\REACTIV CEFAS\Cromolyn\Cromolyn/20201203_Cefas_Test8_Run3/Plate 4/@19/H10_01.tif "/>
    <s v=" 11485.474 "/>
    <s v=" 33.3522 "/>
    <x v="0"/>
    <n v="383065"/>
    <m/>
    <m/>
  </r>
  <r>
    <x v="17"/>
    <x v="8"/>
    <s v="C:\Users\andre\Desktop\REACTIV CEFAS\Cromolyn\Cromolyn/20201203_Cefas_Test8_Run3/Plate 4/@19/H10_02.tif "/>
    <s v=" 13367.2749 "/>
    <s v=" 32.8091 "/>
    <x v="0"/>
    <n v="438568"/>
    <m/>
    <m/>
  </r>
  <r>
    <x v="17"/>
    <x v="8"/>
    <s v="C:\Users\andre\Desktop\REACTIV CEFAS\Cromolyn\Cromolyn/20201203_Cefas_Test8_Run3/Plate 4/@19/H10_03.tif "/>
    <s v=" 8219.36 "/>
    <s v=" 32.6684 "/>
    <x v="0"/>
    <n v="268514"/>
    <m/>
    <m/>
  </r>
  <r>
    <x v="0"/>
    <x v="0"/>
    <s v=" "/>
    <m/>
    <m/>
    <x v="1"/>
    <m/>
    <m/>
    <m/>
  </r>
  <r>
    <x v="0"/>
    <x v="0"/>
    <s v="group "/>
    <s v=" "/>
    <s v=" mean of mean fluo "/>
    <x v="2"/>
    <s v=" mean of total fluo "/>
    <s v=" SD total fluo "/>
    <m/>
  </r>
  <r>
    <x v="17"/>
    <x v="9"/>
    <s v="C:\Users\andre\Desktop\REACTIV CEFAS\Cromolyn\Cromolyn/20201203_Cefas_Test8_Run3/Plate 4/@19/ "/>
    <s v=" "/>
    <s v=" 37.829 "/>
    <x v="19"/>
    <s v=" 1322532.96 "/>
    <s v=" 968113.297 "/>
    <m/>
  </r>
  <r>
    <x v="0"/>
    <x v="0"/>
    <s v=" "/>
    <m/>
    <m/>
    <x v="1"/>
    <m/>
    <m/>
    <m/>
  </r>
  <r>
    <x v="0"/>
    <x v="0"/>
    <s v=" "/>
    <m/>
    <m/>
    <x v="1"/>
    <m/>
    <m/>
    <m/>
  </r>
  <r>
    <x v="0"/>
    <x v="0"/>
    <s v=" "/>
    <m/>
    <m/>
    <x v="1"/>
    <m/>
    <m/>
    <m/>
  </r>
  <r>
    <x v="0"/>
    <x v="0"/>
    <s v=" "/>
    <m/>
    <m/>
    <x v="1"/>
    <m/>
    <m/>
    <m/>
  </r>
  <r>
    <x v="0"/>
    <x v="0"/>
    <s v=" "/>
    <m/>
    <m/>
    <x v="1"/>
    <m/>
    <m/>
    <m/>
  </r>
  <r>
    <x v="0"/>
    <x v="0"/>
    <s v="file name "/>
    <s v=" total area "/>
    <s v=" mean intensity "/>
    <x v="0"/>
    <s v=" total fluorescence"/>
    <m/>
    <m/>
  </r>
  <r>
    <x v="18"/>
    <x v="1"/>
    <s v="C:\Users\andre\Desktop\REACTIV CEFAS\Cromolyn\Cromolyn/20201203_Cefas_Test8_Run3/Plate 4/@20/A11_01.tif "/>
    <s v=" 47412.729 "/>
    <s v=" 40.2094 "/>
    <x v="0"/>
    <n v="1906437"/>
    <m/>
    <m/>
  </r>
  <r>
    <x v="18"/>
    <x v="1"/>
    <s v="C:\Users\andre\Desktop\REACTIV CEFAS\Cromolyn\Cromolyn/20201203_Cefas_Test8_Run3/Plate 4/@20/A11_02.tif "/>
    <s v=" 47369.4692 "/>
    <s v=" 40.689 "/>
    <x v="0"/>
    <n v="1927418"/>
    <m/>
    <m/>
  </r>
  <r>
    <x v="18"/>
    <x v="1"/>
    <s v="C:\Users\andre\Desktop\REACTIV CEFAS\Cromolyn\Cromolyn/20201203_Cefas_Test8_Run3/Plate 4/@20/A11_03.tif "/>
    <s v=" 52214.5656 "/>
    <s v=" 40.9582 "/>
    <x v="0"/>
    <n v="2138613"/>
    <m/>
    <m/>
  </r>
  <r>
    <x v="18"/>
    <x v="2"/>
    <s v="C:\Users\andre\Desktop\REACTIV CEFAS\Cromolyn\Cromolyn/20201203_Cefas_Test8_Run3/Plate 4/@20/B11_01.tif "/>
    <s v=" 2314.3987 "/>
    <s v=" 33.6075 "/>
    <x v="0"/>
    <n v="77781"/>
    <m/>
    <m/>
  </r>
  <r>
    <x v="18"/>
    <x v="2"/>
    <s v="C:\Users\andre\Desktop\REACTIV CEFAS\Cromolyn\Cromolyn/20201203_Cefas_Test8_Run3/Plate 4/@20/B11_02.tif "/>
    <s v=" 3741.9718 "/>
    <s v=" 36.2832 "/>
    <x v="0"/>
    <n v="135771"/>
    <m/>
    <m/>
  </r>
  <r>
    <x v="18"/>
    <x v="2"/>
    <s v="C:\Users\andre\Desktop\REACTIV CEFAS\Cromolyn\Cromolyn/20201203_Cefas_Test8_Run3/Plate 4/@20/B11_03.tif "/>
    <s v=" 389.3381 "/>
    <s v=" 32.8889 "/>
    <x v="0"/>
    <n v="12805"/>
    <m/>
    <m/>
  </r>
  <r>
    <x v="18"/>
    <x v="3"/>
    <s v="C:\Users\andre\Desktop\REACTIV CEFAS\Cromolyn\Cromolyn/20201203_Cefas_Test8_Run3/Plate 4/@20/C11_01.tif "/>
    <s v=" 21932.7132 "/>
    <s v=" 39.3955 "/>
    <x v="0"/>
    <n v="864049"/>
    <m/>
    <m/>
  </r>
  <r>
    <x v="18"/>
    <x v="3"/>
    <s v="C:\Users\andre\Desktop\REACTIV CEFAS\Cromolyn\Cromolyn/20201203_Cefas_Test8_Run3/Plate 4/@20/C11_02.tif "/>
    <s v=" 26431.7312 "/>
    <s v=" 41.0516 "/>
    <x v="0"/>
    <n v="1085064"/>
    <m/>
    <m/>
  </r>
  <r>
    <x v="18"/>
    <x v="3"/>
    <s v="C:\Users\andre\Desktop\REACTIV CEFAS\Cromolyn\Cromolyn/20201203_Cefas_Test8_Run3/Plate 4/@20/C11_03.tif "/>
    <s v=" 33612.8563 "/>
    <s v=" 41.8095 "/>
    <x v="0"/>
    <n v="1405338"/>
    <m/>
    <m/>
  </r>
  <r>
    <x v="18"/>
    <x v="4"/>
    <s v="C:\Users\andre\Desktop\REACTIV CEFAS\Cromolyn\Cromolyn/20201203_Cefas_Test8_Run3/Plate 4/@20/D11_01.tif "/>
    <s v=" 10858.2071 "/>
    <s v=" 32.3307 "/>
    <x v="0"/>
    <n v="351053"/>
    <m/>
    <m/>
  </r>
  <r>
    <x v="18"/>
    <x v="4"/>
    <s v="C:\Users\andre\Desktop\REACTIV CEFAS\Cromolyn\Cromolyn/20201203_Cefas_Test8_Run3/Plate 4/@20/D11_02.tif "/>
    <s v=" 5407.4737 "/>
    <s v=" 32.836 "/>
    <x v="0"/>
    <n v="177560"/>
    <m/>
    <m/>
  </r>
  <r>
    <x v="18"/>
    <x v="4"/>
    <s v="C:\Users\andre\Desktop\REACTIV CEFAS\Cromolyn\Cromolyn/20201203_Cefas_Test8_Run3/Plate 4/@20/D11_03.tif "/>
    <s v=" 22624.8698 "/>
    <s v=" 40.0096 "/>
    <x v="0"/>
    <n v="905211"/>
    <m/>
    <m/>
  </r>
  <r>
    <x v="18"/>
    <x v="5"/>
    <s v="C:\Users\andre\Desktop\REACTIV CEFAS\Cromolyn\Cromolyn/20201203_Cefas_Test8_Run3/Plate 4/@20/E11_01.tif "/>
    <s v=" 46093.3055 "/>
    <s v=" 38.1154 "/>
    <x v="0"/>
    <n v="1756867"/>
    <m/>
    <m/>
  </r>
  <r>
    <x v="18"/>
    <x v="5"/>
    <s v="C:\Users\andre\Desktop\REACTIV CEFAS\Cromolyn\Cromolyn/20201203_Cefas_Test8_Run3/Plate 4/@20/E11_02.tif "/>
    <s v=" 43714.017 "/>
    <s v=" 36.7021 "/>
    <x v="0"/>
    <n v="1604397"/>
    <m/>
    <m/>
  </r>
  <r>
    <x v="18"/>
    <x v="5"/>
    <s v="C:\Users\andre\Desktop\REACTIV CEFAS\Cromolyn\Cromolyn/20201203_Cefas_Test8_Run3/Plate 4/@20/E11_03.tif "/>
    <s v=" 56583.8043 "/>
    <s v=" 39.6449 "/>
    <x v="0"/>
    <n v="2243258"/>
    <m/>
    <m/>
  </r>
  <r>
    <x v="18"/>
    <x v="6"/>
    <s v="C:\Users\andre\Desktop\REACTIV CEFAS\Cromolyn\Cromolyn/20201203_Cefas_Test8_Run3/Plate 4/@20/F11_01- exclu.tif"/>
    <m/>
    <m/>
    <x v="1"/>
    <m/>
    <m/>
    <m/>
  </r>
  <r>
    <x v="18"/>
    <x v="6"/>
    <s v="C:\Users\andre\Desktop\REACTIV CEFAS\Cromolyn\Cromolyn/20201203_Cefas_Test8_Run3/Plate 4/@20/F11_02.tif "/>
    <s v=" 44687.3623 "/>
    <s v=" 38.4714 "/>
    <x v="0"/>
    <n v="1719187"/>
    <m/>
    <m/>
  </r>
  <r>
    <x v="18"/>
    <x v="6"/>
    <s v="C:\Users\andre\Desktop\REACTIV CEFAS\Cromolyn\Cromolyn/20201203_Cefas_Test8_Run3/Plate 4/@20/F11_03.tif "/>
    <s v=" 26648.0302 "/>
    <s v=" 34.5463 "/>
    <x v="0"/>
    <n v="920590"/>
    <m/>
    <m/>
  </r>
  <r>
    <x v="18"/>
    <x v="7"/>
    <s v="C:\Users\andre\Desktop\REACTIV CEFAS\Cromolyn\Cromolyn/20201203_Cefas_Test8_Run3/Plate 4/@20/G11_01.tif "/>
    <s v=" 18125.8517 "/>
    <s v=" 33.4857 "/>
    <x v="0"/>
    <n v="606956"/>
    <m/>
    <m/>
  </r>
  <r>
    <x v="18"/>
    <x v="7"/>
    <s v="C:\Users\andre\Desktop\REACTIV CEFAS\Cromolyn\Cromolyn/20201203_Cefas_Test8_Run3/Plate 4/@20/G11_02.tif "/>
    <s v=" 23771.2542 "/>
    <s v=" 36.0246 "/>
    <x v="0"/>
    <n v="856349"/>
    <m/>
    <m/>
  </r>
  <r>
    <x v="18"/>
    <x v="7"/>
    <s v="C:\Users\andre\Desktop\REACTIV CEFAS\Cromolyn\Cromolyn/20201203_Cefas_Test8_Run3/Plate 4/@20/G11_03.tif "/>
    <s v=" 25804.4643 "/>
    <s v=" 35.3822 "/>
    <x v="0"/>
    <n v="913019"/>
    <m/>
    <m/>
  </r>
  <r>
    <x v="18"/>
    <x v="8"/>
    <s v="C:\Users\andre\Desktop\REACTIV CEFAS\Cromolyn\Cromolyn/20201203_Cefas_Test8_Run3/Plate 4/@20/H11_01.tif "/>
    <s v=" 54507.3345 "/>
    <s v=" 37.7869 "/>
    <x v="0"/>
    <n v="2059663"/>
    <m/>
    <m/>
  </r>
  <r>
    <x v="18"/>
    <x v="8"/>
    <s v="C:\Users\andre\Desktop\REACTIV CEFAS\Cromolyn\Cromolyn/20201203_Cefas_Test8_Run3/Plate 4/@20/H11_02.tif "/>
    <s v=" 58162.7867 "/>
    <s v=" 36.8096 "/>
    <x v="0"/>
    <n v="2140949"/>
    <m/>
    <m/>
  </r>
  <r>
    <x v="18"/>
    <x v="8"/>
    <s v="C:\Users\andre\Desktop\REACTIV CEFAS\Cromolyn\Cromolyn/20201203_Cefas_Test8_Run3/Plate 4/@20/H11_03.tif "/>
    <s v=" 51717.0781 "/>
    <s v=" 35.9569 "/>
    <x v="0"/>
    <n v="1859587"/>
    <m/>
    <m/>
  </r>
  <r>
    <x v="0"/>
    <x v="0"/>
    <s v=" "/>
    <m/>
    <m/>
    <x v="1"/>
    <m/>
    <m/>
    <m/>
  </r>
  <r>
    <x v="0"/>
    <x v="0"/>
    <s v="group "/>
    <s v=" "/>
    <s v=" mean of mean fluo "/>
    <x v="2"/>
    <s v=" mean of total fluo "/>
    <s v=" SD total fluo "/>
    <m/>
  </r>
  <r>
    <x v="18"/>
    <x v="9"/>
    <s v="C:\Users\andre\Desktop\REACTIV CEFAS\Cromolyn\Cromolyn/20201203_Cefas_Test8_Run3/Plate 4/@20/ "/>
    <s v=" "/>
    <s v=" 36.9721 "/>
    <x v="20"/>
    <s v=" 1161922.75 "/>
    <s v=" 757058.395 "/>
    <m/>
  </r>
  <r>
    <x v="0"/>
    <x v="0"/>
    <s v=" "/>
    <m/>
    <m/>
    <x v="1"/>
    <m/>
    <m/>
    <m/>
  </r>
  <r>
    <x v="0"/>
    <x v="0"/>
    <s v=" "/>
    <m/>
    <m/>
    <x v="1"/>
    <m/>
    <m/>
    <m/>
  </r>
  <r>
    <x v="0"/>
    <x v="0"/>
    <s v=" "/>
    <m/>
    <m/>
    <x v="1"/>
    <m/>
    <m/>
    <m/>
  </r>
  <r>
    <x v="0"/>
    <x v="0"/>
    <s v=" "/>
    <m/>
    <m/>
    <x v="1"/>
    <m/>
    <m/>
    <m/>
  </r>
  <r>
    <x v="0"/>
    <x v="0"/>
    <s v=" "/>
    <m/>
    <m/>
    <x v="1"/>
    <m/>
    <m/>
    <m/>
  </r>
  <r>
    <x v="0"/>
    <x v="0"/>
    <s v="file name "/>
    <s v=" total area "/>
    <s v=" mean intensity "/>
    <x v="0"/>
    <s v=" total fluorescence"/>
    <m/>
    <m/>
  </r>
  <r>
    <x v="19"/>
    <x v="1"/>
    <s v="C:\Users\andre\Desktop\REACTIV CEFAS\Cromolyn\Cromolyn/20201203_Cefas_Test8_Run3/Plate 4/@21/A12_01.tif "/>
    <s v=" 43605.8676 "/>
    <s v=" 36.7654 "/>
    <x v="0"/>
    <n v="1603186"/>
    <m/>
    <m/>
  </r>
  <r>
    <x v="19"/>
    <x v="1"/>
    <s v="C:\Users\andre\Desktop\REACTIV CEFAS\Cromolyn\Cromolyn/20201203_Cefas_Test8_Run3/Plate 4/@21/A12_02.tif "/>
    <s v=" 50549.0637 "/>
    <s v=" 39.8344 "/>
    <x v="0"/>
    <n v="2013592"/>
    <m/>
    <m/>
  </r>
  <r>
    <x v="19"/>
    <x v="1"/>
    <s v="C:\Users\andre\Desktop\REACTIV CEFAS\Cromolyn\Cromolyn/20201203_Cefas_Test8_Run3/Plate 4/@21/A12_03.tif "/>
    <s v=" 44060.0954 "/>
    <s v=" 37.9013 "/>
    <x v="0"/>
    <n v="1669936"/>
    <m/>
    <m/>
  </r>
  <r>
    <x v="19"/>
    <x v="2"/>
    <s v="C:\Users\andre\Desktop\REACTIV CEFAS\Cromolyn\Cromolyn/20201203_Cefas_Test8_Run3/Plate 4/@21/B12_01.tif "/>
    <s v=" 53728.6583 "/>
    <s v=" 39.5745 "/>
    <x v="0"/>
    <n v="2126284"/>
    <m/>
    <m/>
  </r>
  <r>
    <x v="19"/>
    <x v="2"/>
    <s v="C:\Users\andre\Desktop\REACTIV CEFAS\Cromolyn\Cromolyn/20201203_Cefas_Test8_Run3/Plate 4/@21/B12_02.tif "/>
    <s v=" 53577.249 "/>
    <s v=" 39.2144 "/>
    <x v="0"/>
    <n v="2100998"/>
    <m/>
    <m/>
  </r>
  <r>
    <x v="19"/>
    <x v="2"/>
    <s v="C:\Users\andre\Desktop\REACTIV CEFAS\Cromolyn\Cromolyn/20201203_Cefas_Test8_Run3/Plate 4/@21/B12_03.tif "/>
    <s v=" 55632.089 "/>
    <s v=" 39.4149 "/>
    <x v="0"/>
    <n v="2192731"/>
    <m/>
    <m/>
  </r>
  <r>
    <x v="19"/>
    <x v="3"/>
    <s v="C:\Users\andre\Desktop\REACTIV CEFAS\Cromolyn\Cromolyn/20201203_Cefas_Test8_Run3/Plate 4/@21/C12_01.tif "/>
    <s v=" 29027.3186 "/>
    <s v=" 35.4411 "/>
    <x v="0"/>
    <n v="1028761"/>
    <m/>
    <m/>
  </r>
  <r>
    <x v="19"/>
    <x v="3"/>
    <s v="C:\Users\andre\Desktop\REACTIV CEFAS\Cromolyn\Cromolyn/20201203_Cefas_Test8_Run3/Plate 4/@21/C12_02.tif "/>
    <s v=" 40880.5008 "/>
    <s v=" 36.2222 "/>
    <x v="0"/>
    <n v="1480783"/>
    <m/>
    <m/>
  </r>
  <r>
    <x v="19"/>
    <x v="3"/>
    <s v="C:\Users\andre\Desktop\REACTIV CEFAS\Cromolyn\Cromolyn/20201203_Cefas_Test8_Run3/Plate 4/@21/C12_03.tif "/>
    <s v=" 42091.7749 "/>
    <s v=" 36.5036 "/>
    <x v="0"/>
    <n v="1536501"/>
    <m/>
    <m/>
  </r>
  <r>
    <x v="19"/>
    <x v="4"/>
    <s v="C:\Users\andre\Desktop\REACTIV CEFAS\Cromolyn\Cromolyn/20201203_Cefas_Test8_Run3/Plate 4/@21/D12_01.tif "/>
    <s v=" 45401.1488 "/>
    <s v=" 41.6203 "/>
    <x v="0"/>
    <n v="1889609"/>
    <m/>
    <m/>
  </r>
  <r>
    <x v="19"/>
    <x v="4"/>
    <s v="C:\Users\andre\Desktop\REACTIV CEFAS\Cromolyn\Cromolyn/20201203_Cefas_Test8_Run3/Plate 4/@21/D12_02.tif "/>
    <s v=" 47910.2166 "/>
    <s v=" 39.9607 "/>
    <x v="0"/>
    <n v="1914527"/>
    <m/>
    <m/>
  </r>
  <r>
    <x v="19"/>
    <x v="4"/>
    <s v="C:\Users\andre\Desktop\REACTIV CEFAS\Cromolyn\Cromolyn/20201203_Cefas_Test8_Run3/Plate 4/@21/D12_03.tif "/>
    <s v=" 48753.7825 "/>
    <s v=" 38.7786 "/>
    <x v="0"/>
    <n v="1890604"/>
    <m/>
    <m/>
  </r>
  <r>
    <x v="19"/>
    <x v="5"/>
    <s v="C:\Users\andre\Desktop\REACTIV CEFAS\Cromolyn\Cromolyn/20201203_Cefas_Test8_Run3/Plate 4/@21/E12_01.tif "/>
    <s v=" 18471.93 "/>
    <s v=" 37.671 "/>
    <x v="0"/>
    <n v="695855"/>
    <m/>
    <m/>
  </r>
  <r>
    <x v="19"/>
    <x v="5"/>
    <s v="C:\Users\andre\Desktop\REACTIV CEFAS\Cromolyn\Cromolyn/20201203_Cefas_Test8_Run3/Plate 4/@21/E12_02.tif "/>
    <s v=" 21954.343 "/>
    <s v=" 35.1291 "/>
    <x v="0"/>
    <n v="771236"/>
    <m/>
    <m/>
  </r>
  <r>
    <x v="19"/>
    <x v="5"/>
    <s v="C:\Users\andre\Desktop\REACTIV CEFAS\Cromolyn\Cromolyn/20201203_Cefas_Test8_Run3/Plate 4/@21/E12_03.tif "/>
    <s v=" 17996.0723 "/>
    <s v=" 35.4315 "/>
    <x v="0"/>
    <n v="637628"/>
    <m/>
    <m/>
  </r>
  <r>
    <x v="19"/>
    <x v="6"/>
    <s v="C:\Users\andre\Desktop\REACTIV CEFAS\Cromolyn\Cromolyn/20201203_Cefas_Test8_Run3/Plate 4/@21/F12_01.tif "/>
    <s v=" 53620.5088 "/>
    <s v=" 41.7362 "/>
    <x v="0"/>
    <n v="2237915"/>
    <m/>
    <m/>
  </r>
  <r>
    <x v="19"/>
    <x v="6"/>
    <s v="C:\Users\andre\Desktop\REACTIV CEFAS\Cromolyn\Cromolyn/20201203_Cefas_Test8_Run3/Plate 4/@21/F12_02.tif "/>
    <s v=" 55999.7972 "/>
    <s v=" 43.9988 "/>
    <x v="0"/>
    <n v="2463926"/>
    <m/>
    <m/>
  </r>
  <r>
    <x v="19"/>
    <x v="6"/>
    <s v="C:\Users\andre\Desktop\REACTIV CEFAS\Cromolyn\Cromolyn/20201203_Cefas_Test8_Run3/Plate 4/@21/F12_03.tif "/>
    <s v=" 62207.577 "/>
    <s v=" 45.7705 "/>
    <x v="0"/>
    <n v="2847273"/>
    <m/>
    <m/>
  </r>
  <r>
    <x v="19"/>
    <x v="7"/>
    <s v="C:\Users\andre\Desktop\REACTIV CEFAS\Cromolyn\Cromolyn/20201203_Cefas_Test8_Run3/Plate 4/@21/G12_01.tif "/>
    <s v=" 44622.4726 "/>
    <s v=" 39.3568 "/>
    <x v="0"/>
    <n v="1756196"/>
    <m/>
    <m/>
  </r>
  <r>
    <x v="19"/>
    <x v="7"/>
    <s v="C:\Users\andre\Desktop\REACTIV CEFAS\Cromolyn\Cromolyn/20201203_Cefas_Test8_Run3/Plate 4/@21/G12_02.tif "/>
    <s v=" 40577.6823 "/>
    <s v=" 39.8635 "/>
    <x v="0"/>
    <n v="1617570"/>
    <m/>
    <m/>
  </r>
  <r>
    <x v="19"/>
    <x v="7"/>
    <s v="C:\Users\andre\Desktop\REACTIV CEFAS\Cromolyn\Cromolyn/20201203_Cefas_Test8_Run3/Plate 4/@21/G12_03.tif "/>
    <s v=" 44211.5046 "/>
    <s v=" 41.2696 "/>
    <x v="0"/>
    <n v="1824590"/>
    <m/>
    <m/>
  </r>
  <r>
    <x v="19"/>
    <x v="8"/>
    <s v="C:\Users\andre\Desktop\REACTIV CEFAS\Cromolyn\Cromolyn/20201203_Cefas_Test8_Run3/Plate 4/@21/H12_01.tif "/>
    <s v=" 52301.0852 "/>
    <s v=" 38.9673 "/>
    <x v="0"/>
    <n v="2038034"/>
    <m/>
    <m/>
  </r>
  <r>
    <x v="19"/>
    <x v="8"/>
    <s v="C:\Users\andre\Desktop\REACTIV CEFAS\Cromolyn\Cromolyn/20201203_Cefas_Test8_Run3/Plate 4/@21/H12_02.tif "/>
    <s v=" 55329.2705 "/>
    <s v=" 39.0813 "/>
    <x v="0"/>
    <n v="2162341"/>
    <m/>
    <m/>
  </r>
  <r>
    <x v="19"/>
    <x v="8"/>
    <s v="C:\Users\andre\Desktop\REACTIV CEFAS\Cromolyn\Cromolyn/20201203_Cefas_Test8_Run3/Plate 4/@21/H12_03.tif "/>
    <s v=" 60909.7833 "/>
    <s v=" 40.4531 "/>
    <x v="0"/>
    <n v="2463991"/>
    <m/>
    <m/>
  </r>
  <r>
    <x v="0"/>
    <x v="0"/>
    <s v=" "/>
    <m/>
    <m/>
    <x v="1"/>
    <m/>
    <m/>
    <m/>
  </r>
  <r>
    <x v="0"/>
    <x v="0"/>
    <s v="group "/>
    <s v=" "/>
    <s v=" mean of mean fluo "/>
    <x v="2"/>
    <s v=" mean of total fluo "/>
    <s v=" SD total fluo "/>
    <m/>
  </r>
  <r>
    <x v="19"/>
    <x v="9"/>
    <s v="C:\Users\andre\Desktop\REACTIV CEFAS\Cromolyn\Cromolyn/20201203_Cefas_Test8_Run3/Plate 4/@21/ "/>
    <s v=" "/>
    <s v=" 39.165 "/>
    <x v="21"/>
    <s v=" 1790169.46 "/>
    <s v=" 562151.805 "/>
    <m/>
  </r>
  <r>
    <x v="0"/>
    <x v="0"/>
    <s v=" "/>
    <m/>
    <m/>
    <x v="1"/>
    <m/>
    <m/>
    <m/>
  </r>
  <r>
    <x v="0"/>
    <x v="0"/>
    <s v=" "/>
    <m/>
    <m/>
    <x v="1"/>
    <m/>
    <m/>
    <m/>
  </r>
  <r>
    <x v="0"/>
    <x v="0"/>
    <s v=" "/>
    <m/>
    <m/>
    <x v="1"/>
    <m/>
    <m/>
    <m/>
  </r>
  <r>
    <x v="0"/>
    <x v="0"/>
    <s v=" "/>
    <m/>
    <m/>
    <x v="1"/>
    <m/>
    <m/>
    <m/>
  </r>
  <r>
    <x v="0"/>
    <x v="0"/>
    <s v=" "/>
    <m/>
    <m/>
    <x v="1"/>
    <m/>
    <m/>
    <m/>
  </r>
  <r>
    <x v="0"/>
    <x v="0"/>
    <s v="file name "/>
    <s v=" total area "/>
    <s v=" mean intensity "/>
    <x v="0"/>
    <s v=" total fluorescence"/>
    <m/>
    <m/>
  </r>
  <r>
    <x v="20"/>
    <x v="1"/>
    <s v="C:\Users\andre\Desktop\REACTIV CEFAS\Cromolyn\Cromolyn/20201203_Cefas_Test8_Run3/Plate 4/@8/A2_01.tif "/>
    <s v=" 9019.6661 "/>
    <s v=" 42.3381 "/>
    <x v="0"/>
    <n v="381876"/>
    <m/>
    <m/>
  </r>
  <r>
    <x v="20"/>
    <x v="1"/>
    <s v="C:\Users\andre\Desktop\REACTIV CEFAS\Cromolyn\Cromolyn/20201203_Cefas_Test8_Run3/Plate 4/@8/A2_02- exclu.tif"/>
    <m/>
    <m/>
    <x v="1"/>
    <m/>
    <m/>
    <m/>
  </r>
  <r>
    <x v="20"/>
    <x v="1"/>
    <s v="C:\Users\andre\Desktop\REACTIV CEFAS\Cromolyn\Cromolyn/20201203_Cefas_Test8_Run3/Plate 4/@8/A2_03.tif "/>
    <s v=" 9430.6341 "/>
    <s v=" 40.5803 "/>
    <x v="0"/>
    <n v="382698"/>
    <m/>
    <m/>
  </r>
  <r>
    <x v="20"/>
    <x v="2"/>
    <s v="C:\Users\andre\Desktop\REACTIV CEFAS\Cromolyn\Cromolyn/20201203_Cefas_Test8_Run3/Plate 4/@8/B2_01.tif "/>
    <s v=" 4715.317 "/>
    <s v=" 38.422 "/>
    <x v="0"/>
    <n v="181172"/>
    <m/>
    <m/>
  </r>
  <r>
    <x v="20"/>
    <x v="2"/>
    <s v="C:\Users\andre\Desktop\REACTIV CEFAS\Cromolyn\Cromolyn/20201203_Cefas_Test8_Run3/Plate 4/@8/B2_02.tif "/>
    <s v=" 4996.5057 "/>
    <s v=" 36.5411 "/>
    <x v="0"/>
    <n v="182578"/>
    <m/>
    <m/>
  </r>
  <r>
    <x v="20"/>
    <x v="2"/>
    <s v="C:\Users\andre\Desktop\REACTIV CEFAS\Cromolyn\Cromolyn/20201203_Cefas_Test8_Run3/Plate 4/@8/B2_03.tif "/>
    <s v=" 3828.4913 "/>
    <s v=" 35.3107 "/>
    <x v="0"/>
    <n v="135187"/>
    <m/>
    <m/>
  </r>
  <r>
    <x v="20"/>
    <x v="3"/>
    <s v="C:\Users\andre\Desktop\REACTIV CEFAS\Cromolyn\Cromolyn/20201203_Cefas_Test8_Run3/Plate 4/@8/C2_01- exclu.tif"/>
    <m/>
    <m/>
    <x v="1"/>
    <m/>
    <m/>
    <m/>
  </r>
  <r>
    <x v="20"/>
    <x v="3"/>
    <s v="C:\Users\andre\Desktop\REACTIV CEFAS\Cromolyn\Cromolyn/20201203_Cefas_Test8_Run3/Plate 4/@8/C2_02.tif "/>
    <s v=" 2465.808 "/>
    <s v=" 33.9123 "/>
    <x v="0"/>
    <n v="83621"/>
    <m/>
    <m/>
  </r>
  <r>
    <x v="20"/>
    <x v="3"/>
    <s v="C:\Users\andre\Desktop\REACTIV CEFAS\Cromolyn\Cromolyn/20201203_Cefas_Test8_Run3/Plate 4/@8/C2_03.tif "/>
    <s v=" 2011.5802 "/>
    <s v=" 35.4194 "/>
    <x v="0"/>
    <n v="71249"/>
    <m/>
    <m/>
  </r>
  <r>
    <x v="20"/>
    <x v="4"/>
    <s v="C:\Users\andre\Desktop\REACTIV CEFAS\Cromolyn\Cromolyn/20201203_Cefas_Test8_Run3/Plate 4/@8/D2_01.tif "/>
    <s v=" 6186.1499 "/>
    <s v=" 35.2028 "/>
    <x v="0"/>
    <n v="217770"/>
    <m/>
    <m/>
  </r>
  <r>
    <x v="20"/>
    <x v="4"/>
    <s v="C:\Users\andre\Desktop\REACTIV CEFAS\Cromolyn\Cromolyn/20201203_Cefas_Test8_Run3/Plate 4/@8/D2_02.tif "/>
    <s v=" 8457.2888 "/>
    <s v=" 35.5729 "/>
    <x v="0"/>
    <n v="300850"/>
    <m/>
    <m/>
  </r>
  <r>
    <x v="20"/>
    <x v="4"/>
    <s v="C:\Users\andre\Desktop\REACTIV CEFAS\Cromolyn\Cromolyn/20201203_Cefas_Test8_Run3/Plate 4/@8/D2_03.tif "/>
    <s v=" 7397.424 "/>
    <s v=" 35.3977 "/>
    <x v="0"/>
    <n v="261852"/>
    <m/>
    <m/>
  </r>
  <r>
    <x v="20"/>
    <x v="5"/>
    <s v="C:\Users\andre\Desktop\REACTIV CEFAS\Cromolyn\Cromolyn/20201203_Cefas_Test8_Run3/Plate 4/@8/E2_01.tif "/>
    <s v=" 2920.0358 "/>
    <s v=" 34.2519 "/>
    <x v="0"/>
    <n v="100017"/>
    <m/>
    <m/>
  </r>
  <r>
    <x v="20"/>
    <x v="5"/>
    <s v="C:\Users\andre\Desktop\REACTIV CEFAS\Cromolyn\Cromolyn/20201203_Cefas_Test8_Run3/Plate 4/@8/E2_02.tif "/>
    <s v=" 3417.5234 "/>
    <s v=" 33.6203 "/>
    <x v="0"/>
    <n v="114898"/>
    <m/>
    <m/>
  </r>
  <r>
    <x v="20"/>
    <x v="5"/>
    <s v="C:\Users\andre\Desktop\REACTIV CEFAS\Cromolyn\Cromolyn/20201203_Cefas_Test8_Run3/Plate 4/@8/E2_03.tif "/>
    <s v=" 3266.1141 "/>
    <s v=" 36.4106 "/>
    <x v="0"/>
    <n v="118921"/>
    <m/>
    <m/>
  </r>
  <r>
    <x v="20"/>
    <x v="6"/>
    <s v="C:\Users\andre\Desktop\REACTIV CEFAS\Cromolyn\Cromolyn/20201203_Cefas_Test8_Run3/Plate 4/@8/F2_01.tif "/>
    <s v=" 10923.0968 "/>
    <s v=" 41.3069 "/>
    <x v="0"/>
    <n v="451200"/>
    <m/>
    <m/>
  </r>
  <r>
    <x v="20"/>
    <x v="6"/>
    <s v="C:\Users\andre\Desktop\REACTIV CEFAS\Cromolyn\Cromolyn/20201203_Cefas_Test8_Run3/Plate 4/@8/F2_02.tif "/>
    <s v=" 11961.3317 "/>
    <s v=" 44.6962 "/>
    <x v="0"/>
    <n v="534626"/>
    <m/>
    <m/>
  </r>
  <r>
    <x v="20"/>
    <x v="6"/>
    <s v="C:\Users\andre\Desktop\REACTIV CEFAS\Cromolyn\Cromolyn/20201203_Cefas_Test8_Run3/Plate 4/@8/F2_03.tif "/>
    <s v=" 9365.7444 "/>
    <s v=" 37.7621 "/>
    <x v="0"/>
    <n v="353670"/>
    <m/>
    <m/>
  </r>
  <r>
    <x v="20"/>
    <x v="7"/>
    <s v="C:\Users\andre\Desktop\REACTIV CEFAS\Cromolyn\Cromolyn/20201203_Cefas_Test8_Run3/Plate 4/@8/G2_01.tif "/>
    <s v=" 973.3453 "/>
    <s v=" 32.9778 "/>
    <x v="0"/>
    <n v="32099"/>
    <m/>
    <m/>
  </r>
  <r>
    <x v="20"/>
    <x v="7"/>
    <s v="C:\Users\andre\Desktop\REACTIV CEFAS\Cromolyn\Cromolyn/20201203_Cefas_Test8_Run3/Plate 4/@8/G2_02.tif "/>
    <s v=" 6683.6374 "/>
    <s v=" 41.6472 "/>
    <x v="0"/>
    <n v="278355"/>
    <m/>
    <m/>
  </r>
  <r>
    <x v="20"/>
    <x v="7"/>
    <s v="C:\Users\andre\Desktop\REACTIV CEFAS\Cromolyn\Cromolyn/20201203_Cefas_Test8_Run3/Plate 4/@8/G2_03.tif "/>
    <s v=" 9344.1145 "/>
    <s v=" 40.5463 "/>
    <x v="0"/>
    <n v="378869"/>
    <m/>
    <m/>
  </r>
  <r>
    <x v="20"/>
    <x v="8"/>
    <s v="C:\Users\andre\Desktop\REACTIV CEFAS\Cromolyn\Cromolyn/20201203_Cefas_Test8_Run3/Plate 4/@8/H2_01.tif "/>
    <s v=" 3720.3419 "/>
    <s v=" 36.3779 "/>
    <x v="0"/>
    <n v="135338"/>
    <m/>
    <m/>
  </r>
  <r>
    <x v="20"/>
    <x v="8"/>
    <s v="C:\Users\andre\Desktop\REACTIV CEFAS\Cromolyn\Cromolyn/20201203_Cefas_Test8_Run3/Plate 4/@8/H2_02.tif "/>
    <s v=" 843.5659 "/>
    <s v=" 31.7436 "/>
    <x v="0"/>
    <n v="26778"/>
    <m/>
    <m/>
  </r>
  <r>
    <x v="20"/>
    <x v="8"/>
    <s v="C:\Users\andre\Desktop\REACTIV CEFAS\Cromolyn\Cromolyn/20201203_Cefas_Test8_Run3/Plate 4/@8/H2_03.tif "/>
    <s v=" 4455.7583 "/>
    <s v=" 35.5146 "/>
    <x v="0"/>
    <n v="158244"/>
    <m/>
    <m/>
  </r>
  <r>
    <x v="0"/>
    <x v="0"/>
    <s v=" "/>
    <m/>
    <m/>
    <x v="1"/>
    <m/>
    <m/>
    <m/>
  </r>
  <r>
    <x v="0"/>
    <x v="0"/>
    <s v="group "/>
    <s v=" "/>
    <s v=" mean of mean fluo "/>
    <x v="2"/>
    <s v=" mean of total fluo "/>
    <s v=" SD total fluo "/>
    <m/>
  </r>
  <r>
    <x v="20"/>
    <x v="9"/>
    <s v="C:\Users\andre\Desktop\REACTIV CEFAS\Cromolyn\Cromolyn/20201203_Cefas_Test8_Run3/Plate 4/@8/ "/>
    <s v=" "/>
    <s v=" 36.9301 "/>
    <x v="22"/>
    <s v=" 223740.542 "/>
    <s v=" 142633.268 "/>
    <m/>
  </r>
  <r>
    <x v="0"/>
    <x v="0"/>
    <s v=" "/>
    <m/>
    <m/>
    <x v="1"/>
    <m/>
    <m/>
    <m/>
  </r>
  <r>
    <x v="0"/>
    <x v="0"/>
    <s v=" "/>
    <m/>
    <m/>
    <x v="1"/>
    <m/>
    <m/>
    <m/>
  </r>
  <r>
    <x v="0"/>
    <x v="0"/>
    <s v=" "/>
    <m/>
    <m/>
    <x v="1"/>
    <m/>
    <m/>
    <m/>
  </r>
  <r>
    <x v="0"/>
    <x v="0"/>
    <s v=" "/>
    <m/>
    <m/>
    <x v="1"/>
    <m/>
    <m/>
    <m/>
  </r>
  <r>
    <x v="0"/>
    <x v="0"/>
    <s v=" "/>
    <m/>
    <m/>
    <x v="1"/>
    <m/>
    <m/>
    <m/>
  </r>
  <r>
    <x v="0"/>
    <x v="0"/>
    <s v="file name "/>
    <s v=" total area "/>
    <s v=" mean intensity "/>
    <x v="0"/>
    <s v=" total fluorescence"/>
    <m/>
    <m/>
  </r>
  <r>
    <x v="21"/>
    <x v="1"/>
    <s v="C:\Users\andre\Desktop\REACTIV CEFAS\Cromolyn\Cromolyn/20201203_Cefas_Test8_Run3/Plate 4/@9/A3_01.tif "/>
    <s v=" 43.2598 "/>
    <n v="30"/>
    <x v="0"/>
    <n v="1298"/>
    <m/>
    <m/>
  </r>
  <r>
    <x v="21"/>
    <x v="1"/>
    <s v="C:\Users\andre\Desktop\REACTIV CEFAS\Cromolyn\Cromolyn/20201203_Cefas_Test8_Run3/Plate 4/@9/A3_02.tif "/>
    <s v=" 43.2598 "/>
    <n v="30"/>
    <x v="0"/>
    <n v="1298"/>
    <m/>
    <m/>
  </r>
  <r>
    <x v="21"/>
    <x v="1"/>
    <s v="C:\Users\andre\Desktop\REACTIV CEFAS\Cromolyn\Cromolyn/20201203_Cefas_Test8_Run3/Plate 4/@9/A3_03.tif "/>
    <s v=" 21.6299 "/>
    <n v="30"/>
    <x v="0"/>
    <n v="649"/>
    <m/>
    <m/>
  </r>
  <r>
    <x v="21"/>
    <x v="2"/>
    <s v="C:\Users\andre\Desktop\REACTIV CEFAS\Cromolyn\Cromolyn/20201203_Cefas_Test8_Run3/Plate 4/@9/B3_01.tif "/>
    <s v=" 302.8185 "/>
    <n v="32"/>
    <x v="0"/>
    <n v="9690"/>
    <m/>
    <m/>
  </r>
  <r>
    <x v="21"/>
    <x v="2"/>
    <s v="C:\Users\andre\Desktop\REACTIV CEFAS\Cromolyn\Cromolyn/20201203_Cefas_Test8_Run3/Plate 4/@9/B3_02.tif "/>
    <s v=" 346.0783 "/>
    <s v=" 32.0625 "/>
    <x v="0"/>
    <n v="11096"/>
    <m/>
    <m/>
  </r>
  <r>
    <x v="21"/>
    <x v="2"/>
    <s v="C:\Users\andre\Desktop\REACTIV CEFAS\Cromolyn\Cromolyn/20201203_Cefas_Test8_Run3/Plate 4/@9/B3_03.tif "/>
    <s v=" 951.7154 "/>
    <s v=" 31.6818 "/>
    <x v="0"/>
    <n v="30152"/>
    <m/>
    <m/>
  </r>
  <r>
    <x v="21"/>
    <x v="3"/>
    <s v="C:\Users\andre\Desktop\REACTIV CEFAS\Cromolyn\Cromolyn/20201203_Cefas_Test8_Run3/Plate 4/@9/C3_01.tif "/>
    <s v=" 2357.6585 "/>
    <s v=" 33.7248 "/>
    <x v="0"/>
    <n v="79511"/>
    <m/>
    <m/>
  </r>
  <r>
    <x v="21"/>
    <x v="3"/>
    <s v="C:\Users\andre\Desktop\REACTIV CEFAS\Cromolyn\Cromolyn/20201203_Cefas_Test8_Run3/Plate 4/@9/C3_02.tif "/>
    <s v=" 6640.3777 "/>
    <s v=" 36.0065 "/>
    <x v="0"/>
    <n v="239097"/>
    <m/>
    <m/>
  </r>
  <r>
    <x v="21"/>
    <x v="3"/>
    <s v="C:\Users\andre\Desktop\REACTIV CEFAS\Cromolyn\Cromolyn/20201203_Cefas_Test8_Run3/Plate 4/@9/C3_03.tif "/>
    <s v=" 5753.552 "/>
    <s v=" 34.9962 "/>
    <x v="0"/>
    <n v="201353"/>
    <m/>
    <m/>
  </r>
  <r>
    <x v="21"/>
    <x v="4"/>
    <s v="C:\Users\andre\Desktop\REACTIV CEFAS\Cromolyn\Cromolyn/20201203_Cefas_Test8_Run3/Plate 4/@9/D3_01.tif "/>
    <s v=" 2379.2884 "/>
    <s v=" 33.0455 "/>
    <x v="0"/>
    <n v="78625"/>
    <m/>
    <m/>
  </r>
  <r>
    <x v="21"/>
    <x v="4"/>
    <s v="C:\Users\andre\Desktop\REACTIV CEFAS\Cromolyn\Cromolyn/20201203_Cefas_Test8_Run3/Plate 4/@9/D3_02.tif "/>
    <s v=" 1989.9503 "/>
    <s v=" 34.4348 "/>
    <x v="0"/>
    <n v="68524"/>
    <m/>
    <m/>
  </r>
  <r>
    <x v="21"/>
    <x v="4"/>
    <s v="C:\Users\andre\Desktop\REACTIV CEFAS\Cromolyn\Cromolyn/20201203_Cefas_Test8_Run3/Plate 4/@9/D3_03.tif "/>
    <s v=" 3179.5945 "/>
    <s v=" 33.4286 "/>
    <x v="0"/>
    <n v="106289"/>
    <m/>
    <m/>
  </r>
  <r>
    <x v="21"/>
    <x v="5"/>
    <s v="C:\Users\andre\Desktop\REACTIV CEFAS\Cromolyn\Cromolyn/20201203_Cefas_Test8_Run3/Plate 4/@9/E3_01.tif "/>
    <s v=" 10901.4669 "/>
    <s v=" 42.6806 "/>
    <x v="0"/>
    <n v="465281"/>
    <m/>
    <m/>
  </r>
  <r>
    <x v="21"/>
    <x v="5"/>
    <s v="C:\Users\andre\Desktop\REACTIV CEFAS\Cromolyn\Cromolyn/20201203_Cefas_Test8_Run3/Plate 4/@9/E3_02.tif "/>
    <s v=" 10923.0968 "/>
    <s v=" 40.996 "/>
    <x v="0"/>
    <n v="447804"/>
    <m/>
    <m/>
  </r>
  <r>
    <x v="21"/>
    <x v="5"/>
    <s v="C:\Users\andre\Desktop\REACTIV CEFAS\Cromolyn\Cromolyn/20201203_Cefas_Test8_Run3/Plate 4/@9/E3_03.tif "/>
    <s v=" 9387.3743 "/>
    <s v=" 44.9424 "/>
    <x v="0"/>
    <n v="421891"/>
    <m/>
    <m/>
  </r>
  <r>
    <x v="21"/>
    <x v="6"/>
    <s v="C:\Users\andre\Desktop\REACTIV CEFAS\Cromolyn\Cromolyn/20201203_Cefas_Test8_Run3/Plate 4/@9/F3_01.tif "/>
    <s v=" 1708.7617 "/>
    <s v=" 34.6709 "/>
    <x v="0"/>
    <n v="59244"/>
    <m/>
    <m/>
  </r>
  <r>
    <x v="21"/>
    <x v="6"/>
    <s v="C:\Users\andre\Desktop\REACTIV CEFAS\Cromolyn\Cromolyn/20201203_Cefas_Test8_Run3/Plate 4/@9/F3_02.tif "/>
    <s v=" 194.6691 "/>
    <s v=" 31.1111 "/>
    <x v="0"/>
    <n v="6056"/>
    <m/>
    <m/>
  </r>
  <r>
    <x v="21"/>
    <x v="6"/>
    <s v="C:\Users\andre\Desktop\REACTIV CEFAS\Cromolyn\Cromolyn/20201203_Cefas_Test8_Run3/Plate 4/@9/F3_03.tif "/>
    <s v=" 1124.7545 "/>
    <s v=" 32.0192 "/>
    <x v="0"/>
    <n v="36014"/>
    <m/>
    <m/>
  </r>
  <r>
    <x v="21"/>
    <x v="7"/>
    <s v="C:\Users\andre\Desktop\REACTIV CEFAS\Cromolyn\Cromolyn/20201203_Cefas_Test8_Run3/Plate 4/@9/G3_01.tif "/>
    <s v=" 9192.7052 "/>
    <s v=" 37.3176 "/>
    <x v="0"/>
    <n v="343050"/>
    <m/>
    <m/>
  </r>
  <r>
    <x v="21"/>
    <x v="7"/>
    <s v="C:\Users\andre\Desktop\REACTIV CEFAS\Cromolyn\Cromolyn/20201203_Cefas_Test8_Run3/Plate 4/@9/G3_02.tif "/>
    <s v=" 5991.4808 "/>
    <s v=" 37.1372 "/>
    <x v="0"/>
    <n v="222507"/>
    <m/>
    <m/>
  </r>
  <r>
    <x v="21"/>
    <x v="7"/>
    <s v="C:\Users\andre\Desktop\REACTIV CEFAS\Cromolyn\Cromolyn/20201203_Cefas_Test8_Run3/Plate 4/@9/G3_03.tif "/>
    <s v=" 4563.9078 "/>
    <s v=" 37.0853 "/>
    <x v="0"/>
    <n v="169254"/>
    <m/>
    <m/>
  </r>
  <r>
    <x v="21"/>
    <x v="8"/>
    <s v="C:\Users\andre\Desktop\REACTIV CEFAS\Cromolyn\Cromolyn/20201203_Cefas_Test8_Run3/Plate 4/@9/H3_01.tif "/>
    <s v=" 10187.6804 "/>
    <s v=" 39.3185 "/>
    <x v="0"/>
    <n v="400564"/>
    <m/>
    <m/>
  </r>
  <r>
    <x v="21"/>
    <x v="8"/>
    <s v="C:\Users\andre\Desktop\REACTIV CEFAS\Cromolyn\Cromolyn/20201203_Cefas_Test8_Run3/Plate 4/@9/H3_02.tif "/>
    <s v=" 14232.4707 "/>
    <s v=" 40.6687 "/>
    <x v="0"/>
    <n v="578816"/>
    <m/>
    <m/>
  </r>
  <r>
    <x v="21"/>
    <x v="8"/>
    <s v="C:\Users\andre\Desktop\REACTIV CEFAS\Cromolyn\Cromolyn/20201203_Cefas_Test8_Run3/Plate 4/@9/H3_03.tif "/>
    <s v=" 13107.7161 "/>
    <s v=" 41.2129 "/>
    <x v="0"/>
    <n v="540207"/>
    <m/>
    <m/>
  </r>
  <r>
    <x v="0"/>
    <x v="0"/>
    <s v=" "/>
    <m/>
    <m/>
    <x v="1"/>
    <m/>
    <m/>
    <m/>
  </r>
  <r>
    <x v="0"/>
    <x v="0"/>
    <s v="group "/>
    <s v=" "/>
    <s v=" mean of mean fluo "/>
    <x v="2"/>
    <s v=" mean of total fluo "/>
    <s v=" SD total fluo "/>
    <m/>
  </r>
  <r>
    <x v="21"/>
    <x v="9"/>
    <s v="C:\Users\andre\Desktop\REACTIV CEFAS\Cromolyn\Cromolyn/20201203_Cefas_Test8_Run3/Plate 4/@9/ "/>
    <s v=" "/>
    <s v=" 35.4392 "/>
    <x v="23"/>
    <s v=" 188261.25 "/>
    <s v=" 193336.272 "/>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9"/>
    <x v="1"/>
    <m/>
    <m/>
    <m/>
    <x v="0"/>
  </r>
  <r>
    <x v="9"/>
    <x v="1"/>
    <m/>
    <m/>
    <m/>
    <x v="0"/>
  </r>
  <r>
    <x v="9"/>
    <x v="1"/>
    <m/>
    <m/>
    <m/>
    <x v="0"/>
  </r>
  <r>
    <x v="9"/>
    <x v="1"/>
    <m/>
    <m/>
    <m/>
    <x v="0"/>
  </r>
  <r>
    <x v="9"/>
    <x v="1"/>
    <m/>
    <m/>
    <m/>
    <x v="0"/>
  </r>
  <r>
    <x v="9"/>
    <x v="1"/>
    <m/>
    <m/>
    <m/>
    <x v="0"/>
  </r>
  <r>
    <x v="9"/>
    <x v="1"/>
    <m/>
    <m/>
    <m/>
    <x v="0"/>
  </r>
  <r>
    <x v="9"/>
    <x v="1"/>
    <m/>
    <m/>
    <m/>
    <x v="0"/>
  </r>
  <r>
    <x v="9"/>
    <x v="1"/>
    <m/>
    <m/>
    <m/>
    <x v="0"/>
  </r>
  <r>
    <x v="9"/>
    <x v="1"/>
    <m/>
    <m/>
    <m/>
    <x v="0"/>
  </r>
  <r>
    <x v="9"/>
    <x v="1"/>
    <m/>
    <m/>
    <m/>
    <x v="0"/>
  </r>
  <r>
    <x v="9"/>
    <x v="1"/>
    <m/>
    <m/>
    <m/>
    <x v="0"/>
  </r>
  <r>
    <x v="9"/>
    <x v="1"/>
    <m/>
    <m/>
    <m/>
    <x v="0"/>
  </r>
  <r>
    <x v="9"/>
    <x v="1"/>
    <m/>
    <m/>
    <m/>
    <x v="0"/>
  </r>
  <r>
    <x v="9"/>
    <x v="1"/>
    <m/>
    <m/>
    <m/>
    <x v="0"/>
  </r>
  <r>
    <x v="9"/>
    <x v="1"/>
    <m/>
    <m/>
    <m/>
    <x v="0"/>
  </r>
  <r>
    <x v="10"/>
    <x v="0"/>
    <n v="30"/>
    <s v="µg/L"/>
    <s v="Testo "/>
    <x v="0"/>
  </r>
  <r>
    <x v="11"/>
    <x v="0"/>
    <n v="64"/>
    <s v="ng/L"/>
    <s v="Testo 30µg/L + EE2 "/>
    <x v="0"/>
  </r>
  <r>
    <x v="12"/>
    <x v="0"/>
    <n v="10"/>
    <s v="mg/L"/>
    <s v="Testo 30µg/L + FAD"/>
    <x v="0"/>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r>
    <x v="13"/>
    <x v="2"/>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20"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4">
        <item m="1" x="22"/>
        <item x="0"/>
        <item x="1"/>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1"/>
        <item x="2"/>
        <item x="3"/>
        <item x="4"/>
        <item x="5"/>
        <item x="6"/>
        <item x="7"/>
        <item x="8"/>
        <item h="1" x="0"/>
        <item t="default"/>
      </items>
    </pivotField>
    <pivotField subtotalTop="0" showAll="0"/>
    <pivotField subtotalTop="0" showAll="0"/>
    <pivotField subtotalTop="0" showAll="0"/>
    <pivotField axis="axisPage" subtotalTop="0" showAll="0">
      <items count="46">
        <item x="1"/>
        <item x="0"/>
        <item x="2"/>
        <item m="1" x="34"/>
        <item m="1" x="25"/>
        <item m="1" x="36"/>
        <item m="1" x="43"/>
        <item m="1" x="42"/>
        <item m="1" x="32"/>
        <item m="1" x="24"/>
        <item m="1" x="29"/>
        <item m="1" x="28"/>
        <item m="1" x="37"/>
        <item m="1" x="33"/>
        <item m="1" x="41"/>
        <item m="1" x="44"/>
        <item m="1" x="31"/>
        <item m="1" x="35"/>
        <item m="1" x="40"/>
        <item m="1" x="38"/>
        <item m="1" x="27"/>
        <item m="1" x="39"/>
        <item m="1" x="26"/>
        <item m="1" x="30"/>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formats count="2">
    <format dxfId="32">
      <pivotArea field="1" type="button" dataOnly="0" labelOnly="1" outline="0" axis="axisRow" fieldPosition="0"/>
    </format>
    <format dxfId="31">
      <pivotArea dataOnly="0" labelOnly="1" fieldPosition="0">
        <references count="1">
          <reference field="0" count="21">
            <x v="2"/>
            <x v="3"/>
            <x v="4"/>
            <x v="5"/>
            <x v="6"/>
            <x v="7"/>
            <x v="8"/>
            <x v="9"/>
            <x v="10"/>
            <x v="11"/>
            <x v="12"/>
            <x v="13"/>
            <x v="14"/>
            <x v="15"/>
            <x v="16"/>
            <x v="17"/>
            <x v="18"/>
            <x v="19"/>
            <x v="20"/>
            <x v="21"/>
            <x v="2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21"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3">
        <item x="0"/>
        <item x="1"/>
        <item x="2"/>
        <item x="3"/>
        <item x="4"/>
        <item x="5"/>
        <item x="6"/>
        <item x="7"/>
        <item x="8"/>
        <item x="9"/>
        <item x="10"/>
        <item x="11"/>
        <item x="12"/>
        <item x="13"/>
        <item x="14"/>
        <item x="15"/>
        <item x="16"/>
        <item x="17"/>
        <item x="18"/>
        <item x="19"/>
        <item x="20"/>
        <item x="21"/>
        <item t="default"/>
      </items>
    </pivotField>
    <pivotField axis="axisRow" subtotalTop="0" showAll="0">
      <items count="11">
        <item h="1" x="0"/>
        <item x="1"/>
        <item x="2"/>
        <item x="3"/>
        <item x="4"/>
        <item x="5"/>
        <item x="6"/>
        <item x="7"/>
        <item x="8"/>
        <item h="1" x="9"/>
        <item t="default"/>
      </items>
    </pivotField>
    <pivotField subtotalTop="0" showAll="0"/>
    <pivotField subtotalTop="0" showAll="0"/>
    <pivotField subtotalTop="0" showAll="0"/>
    <pivotField axis="axisPage" subtotalTop="0" showAll="0">
      <items count="46">
        <item x="1"/>
        <item x="0"/>
        <item x="2"/>
        <item m="1" x="33"/>
        <item m="1" x="30"/>
        <item m="1" x="38"/>
        <item m="1" x="41"/>
        <item m="1" x="39"/>
        <item m="1" x="28"/>
        <item m="1" x="26"/>
        <item m="1" x="34"/>
        <item m="1" x="25"/>
        <item m="1" x="44"/>
        <item m="1" x="29"/>
        <item m="1" x="37"/>
        <item m="1" x="40"/>
        <item m="1" x="35"/>
        <item m="1" x="32"/>
        <item m="1" x="43"/>
        <item m="1" x="42"/>
        <item m="1" x="31"/>
        <item m="1" x="27"/>
        <item m="1" x="24"/>
        <item m="1" x="36"/>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22"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3">
        <item x="0"/>
        <item x="1"/>
        <item x="2"/>
        <item x="3"/>
        <item x="4"/>
        <item x="5"/>
        <item x="6"/>
        <item x="7"/>
        <item x="8"/>
        <item x="9"/>
        <item x="10"/>
        <item x="11"/>
        <item x="12"/>
        <item x="13"/>
        <item x="14"/>
        <item x="15"/>
        <item x="16"/>
        <item x="17"/>
        <item x="18"/>
        <item x="19"/>
        <item x="20"/>
        <item x="21"/>
        <item t="default"/>
      </items>
    </pivotField>
    <pivotField axis="axisRow" subtotalTop="0" showAll="0">
      <items count="11">
        <item h="1" x="0"/>
        <item x="1"/>
        <item x="2"/>
        <item x="3"/>
        <item x="4"/>
        <item x="5"/>
        <item x="6"/>
        <item x="7"/>
        <item x="8"/>
        <item h="1" x="9"/>
        <item t="default"/>
      </items>
    </pivotField>
    <pivotField subtotalTop="0" showAll="0"/>
    <pivotField subtotalTop="0" showAll="0"/>
    <pivotField subtotalTop="0" showAll="0"/>
    <pivotField axis="axisPage" subtotalTop="0" showAll="0">
      <items count="46">
        <item x="1"/>
        <item x="0"/>
        <item x="2"/>
        <item m="1" x="38"/>
        <item m="1" x="41"/>
        <item m="1" x="28"/>
        <item m="1" x="34"/>
        <item m="1" x="29"/>
        <item m="1" x="32"/>
        <item m="1" x="25"/>
        <item m="1" x="26"/>
        <item m="1" x="27"/>
        <item m="1" x="35"/>
        <item m="1" x="37"/>
        <item m="1" x="33"/>
        <item m="1" x="44"/>
        <item m="1" x="39"/>
        <item m="1" x="24"/>
        <item m="1" x="31"/>
        <item m="1" x="43"/>
        <item m="1" x="40"/>
        <item m="1" x="36"/>
        <item m="1" x="42"/>
        <item m="1" x="30"/>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2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24">
        <item x="13"/>
        <item x="9"/>
        <item x="1"/>
        <item x="2"/>
        <item x="3"/>
        <item x="4"/>
        <item x="5"/>
        <item x="6"/>
        <item x="7"/>
        <item x="11"/>
        <item x="12"/>
        <item x="10"/>
        <item x="0"/>
        <item m="1" x="22"/>
        <item m="1" x="20"/>
        <item m="1" x="21"/>
        <item m="1" x="16"/>
        <item m="1" x="14"/>
        <item m="1" x="17"/>
        <item m="1" x="18"/>
        <item m="1" x="19"/>
        <item m="1" x="15"/>
        <item m="1" x="23"/>
        <item x="8"/>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2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7" firstHeaderRow="1" firstDataRow="1" firstDataCol="1" rowPageCount="2" colPageCount="1"/>
  <pivotFields count="6">
    <pivotField axis="axisRow" showAll="0" defaultSubtotal="0">
      <items count="24">
        <item x="13"/>
        <item x="9"/>
        <item x="1"/>
        <item x="2"/>
        <item x="3"/>
        <item x="4"/>
        <item x="5"/>
        <item x="6"/>
        <item x="7"/>
        <item x="11"/>
        <item x="12"/>
        <item x="10"/>
        <item x="0"/>
        <item m="1" x="22"/>
        <item m="1" x="20"/>
        <item m="1" x="21"/>
        <item m="1" x="16"/>
        <item m="1" x="14"/>
        <item m="1" x="17"/>
        <item m="1" x="18"/>
        <item m="1" x="19"/>
        <item m="1" x="15"/>
        <item m="1" x="23"/>
        <item x="8"/>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2">
    <i>
      <x v="1"/>
    </i>
    <i>
      <x v="23"/>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3" dataDxfId="42" tableBorderDxfId="41">
  <autoFilter ref="A6:F58" xr:uid="{00000000-0009-0000-0100-000001000000}"/>
  <tableColumns count="6">
    <tableColumn id="4" xr3:uid="{00000000-0010-0000-0000-000004000000}" name="Nom sur le graphique" dataDxfId="40">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9">
      <calculatedColumnFormula>A2</calculatedColumnFormula>
    </tableColumn>
    <tableColumn id="2" xr3:uid="{00000000-0010-0000-0000-000002000000}" name="Concentration" dataDxfId="38">
      <calculatedColumnFormula>B2</calculatedColumnFormula>
    </tableColumn>
    <tableColumn id="10" xr3:uid="{00000000-0010-0000-0000-00000A000000}" name="Unité" dataDxfId="37"/>
    <tableColumn id="3" xr3:uid="{00000000-0010-0000-0000-000003000000}" name="Nom de l'échantillon donné par le client" dataDxfId="36">
      <calculatedColumnFormula>C2</calculatedColumnFormula>
    </tableColumn>
    <tableColumn id="9" xr3:uid="{00000000-0010-0000-0000-000009000000}" name="Dopage (+Testostérone / + EE2, ….)" dataDxfId="35"/>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1FFEC20-E50C-4350-818A-25C79074ADB1}" name="Tableau8" displayName="Tableau8" ref="A1:I4" totalsRowShown="0">
  <autoFilter ref="A1:I4" xr:uid="{E1FFEC20-E50C-4350-818A-25C79074ADB1}"/>
  <tableColumns count="9">
    <tableColumn id="1" xr3:uid="{8939A833-AB07-4DEF-A4C5-6F893529CE53}" name="Nom groupe"/>
    <tableColumn id="2" xr3:uid="{A9CD861D-4B65-4224-949E-D8225D2660D0}" name="N° de valeur"/>
    <tableColumn id="3" xr3:uid="{E8B46C44-C776-4213-BE0D-88DFF46484EE}" name="file name"/>
    <tableColumn id="4" xr3:uid="{7BC37E93-C02B-4817-B680-A308E0ABF97D}" name=" total area "/>
    <tableColumn id="5" xr3:uid="{3BC80243-9062-4867-B719-8E09C9E3799C}" name=" mean intensity "/>
    <tableColumn id="6" xr3:uid="{99CE1F31-4E8E-4535-B070-0EEEF1D03BB9}" name=" "/>
    <tableColumn id="7" xr3:uid="{657C726D-C749-48BB-A8C9-E7D87CB1E428}" name=" total fluorescence"/>
    <tableColumn id="8" xr3:uid="{009053E4-4C04-4619-9B70-E7986EA76A7B}" name="         "/>
    <tableColumn id="9" xr3:uid="{D2DC15C7-E641-4878-B0D2-09ED90163C7A}" name="nbre de larv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4" zoomScale="55" zoomScaleNormal="55" workbookViewId="0">
      <selection activeCell="A15" sqref="A15:E19"/>
    </sheetView>
  </sheetViews>
  <sheetFormatPr baseColWidth="10" defaultRowHeight="39" customHeight="1" x14ac:dyDescent="0.35"/>
  <cols>
    <col min="1" max="1" width="42" bestFit="1" customWidth="1"/>
    <col min="2" max="2" width="33.81640625" style="44" bestFit="1" customWidth="1"/>
    <col min="3" max="3" width="21.26953125" customWidth="1"/>
    <col min="4" max="4" width="30.453125" customWidth="1"/>
    <col min="5" max="5" width="62.26953125" style="161" bestFit="1" customWidth="1"/>
    <col min="6" max="6" width="56.7265625" bestFit="1" customWidth="1"/>
    <col min="7" max="7" width="19.453125" customWidth="1"/>
    <col min="8" max="8" width="15.26953125" customWidth="1"/>
    <col min="9" max="9" width="18" customWidth="1"/>
    <col min="10" max="10" width="19.54296875" bestFit="1" customWidth="1"/>
  </cols>
  <sheetData>
    <row r="1" spans="1:9" ht="39" customHeight="1" thickBot="1" x14ac:dyDescent="0.4">
      <c r="A1" s="198" t="s">
        <v>36</v>
      </c>
      <c r="B1" s="199"/>
      <c r="C1" s="199"/>
      <c r="D1" s="199"/>
      <c r="E1" s="199"/>
      <c r="F1" s="199"/>
      <c r="G1" s="199"/>
      <c r="H1" s="199"/>
      <c r="I1" s="200"/>
    </row>
    <row r="2" spans="1:9" ht="21" x14ac:dyDescent="0.5">
      <c r="A2" s="190" t="s">
        <v>17</v>
      </c>
      <c r="B2" s="42" t="s">
        <v>115</v>
      </c>
      <c r="C2" s="201"/>
      <c r="D2" s="202"/>
      <c r="E2" s="42" t="s">
        <v>21</v>
      </c>
      <c r="F2" s="213"/>
      <c r="G2" s="214"/>
      <c r="H2" s="214"/>
      <c r="I2" s="215"/>
    </row>
    <row r="3" spans="1:9" ht="21" x14ac:dyDescent="0.5">
      <c r="A3" s="191" t="s">
        <v>18</v>
      </c>
      <c r="B3" s="43" t="s">
        <v>115</v>
      </c>
      <c r="C3" s="203"/>
      <c r="D3" s="204"/>
      <c r="E3" s="43" t="s">
        <v>21</v>
      </c>
      <c r="F3" s="210"/>
      <c r="G3" s="211"/>
      <c r="H3" s="211"/>
      <c r="I3" s="212"/>
    </row>
    <row r="4" spans="1:9" ht="21.5" thickBot="1" x14ac:dyDescent="0.55000000000000004">
      <c r="A4" s="192" t="s">
        <v>22</v>
      </c>
      <c r="B4" s="180" t="s">
        <v>115</v>
      </c>
      <c r="C4" s="205"/>
      <c r="D4" s="206"/>
      <c r="E4" s="180" t="s">
        <v>21</v>
      </c>
      <c r="F4" s="207"/>
      <c r="G4" s="208"/>
      <c r="H4" s="208"/>
      <c r="I4" s="209"/>
    </row>
    <row r="5" spans="1:9" s="1" customFormat="1" ht="65.25" customHeight="1" thickBot="1" x14ac:dyDescent="0.4">
      <c r="A5" s="198" t="s">
        <v>37</v>
      </c>
      <c r="B5" s="199"/>
      <c r="C5" s="199"/>
      <c r="D5" s="199"/>
      <c r="E5" s="199"/>
      <c r="F5" s="199"/>
      <c r="G5" s="199"/>
      <c r="H5" s="199"/>
      <c r="I5" s="200"/>
    </row>
    <row r="6" spans="1:9" s="110" customFormat="1" ht="39" customHeight="1" x14ac:dyDescent="0.5">
      <c r="A6" s="76" t="s">
        <v>35</v>
      </c>
      <c r="B6" s="101" t="s">
        <v>7</v>
      </c>
      <c r="C6" s="64" t="s">
        <v>19</v>
      </c>
      <c r="D6" s="64" t="s">
        <v>75</v>
      </c>
      <c r="E6" s="158" t="s">
        <v>51</v>
      </c>
      <c r="F6" s="109" t="s">
        <v>78</v>
      </c>
    </row>
    <row r="7" spans="1:9" s="167" customFormat="1" ht="39" customHeight="1" x14ac:dyDescent="0.5">
      <c r="A7"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3" t="s">
        <v>123</v>
      </c>
      <c r="C7" s="164"/>
      <c r="D7" s="165"/>
      <c r="E7" s="166" t="s">
        <v>125</v>
      </c>
      <c r="F7" s="111"/>
    </row>
    <row r="8" spans="1:9" s="167" customFormat="1" ht="39" customHeight="1" x14ac:dyDescent="0.5">
      <c r="A8"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3" t="s">
        <v>123</v>
      </c>
      <c r="C8" s="164">
        <v>22.5</v>
      </c>
      <c r="D8" s="165" t="s">
        <v>124</v>
      </c>
      <c r="E8" s="166" t="s">
        <v>126</v>
      </c>
      <c r="F8" s="111"/>
    </row>
    <row r="9" spans="1:9" s="167" customFormat="1" ht="39" customHeight="1" x14ac:dyDescent="0.5">
      <c r="A9"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3" t="s">
        <v>123</v>
      </c>
      <c r="C9" s="164">
        <v>33.799999999999997</v>
      </c>
      <c r="D9" s="165" t="s">
        <v>124</v>
      </c>
      <c r="E9" s="166" t="s">
        <v>126</v>
      </c>
      <c r="F9" s="111"/>
    </row>
    <row r="10" spans="1:9" s="167" customFormat="1" ht="39" customHeight="1" x14ac:dyDescent="0.5">
      <c r="A10"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3" t="s">
        <v>123</v>
      </c>
      <c r="C10" s="164">
        <v>50.6</v>
      </c>
      <c r="D10" s="165" t="s">
        <v>124</v>
      </c>
      <c r="E10" s="166" t="s">
        <v>126</v>
      </c>
      <c r="F10" s="111"/>
    </row>
    <row r="11" spans="1:9" s="167" customFormat="1" ht="39" customHeight="1" x14ac:dyDescent="0.5">
      <c r="A11"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3" t="s">
        <v>123</v>
      </c>
      <c r="C11" s="164">
        <v>76</v>
      </c>
      <c r="D11" s="165" t="s">
        <v>124</v>
      </c>
      <c r="E11" s="166" t="s">
        <v>126</v>
      </c>
      <c r="F11" s="111"/>
    </row>
    <row r="12" spans="1:9" s="167" customFormat="1" ht="39" customHeight="1" x14ac:dyDescent="0.5">
      <c r="A12"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3" t="s">
        <v>123</v>
      </c>
      <c r="C12" s="164">
        <v>114</v>
      </c>
      <c r="D12" s="165" t="s">
        <v>124</v>
      </c>
      <c r="E12" s="166" t="s">
        <v>126</v>
      </c>
      <c r="F12" s="111"/>
    </row>
    <row r="13" spans="1:9" s="167" customFormat="1" ht="39" customHeight="1" x14ac:dyDescent="0.5">
      <c r="A13"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3" t="s">
        <v>123</v>
      </c>
      <c r="C13" s="164">
        <v>170.9</v>
      </c>
      <c r="D13" s="165" t="s">
        <v>124</v>
      </c>
      <c r="E13" s="166" t="s">
        <v>126</v>
      </c>
      <c r="F13" s="111"/>
    </row>
    <row r="14" spans="1:9" s="167" customFormat="1" ht="39" customHeight="1" x14ac:dyDescent="0.5">
      <c r="A14" s="16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3" t="s">
        <v>123</v>
      </c>
      <c r="C14" s="164">
        <v>488</v>
      </c>
      <c r="D14" s="165" t="s">
        <v>124</v>
      </c>
      <c r="E14" s="166" t="s">
        <v>126</v>
      </c>
      <c r="F14" s="111"/>
    </row>
    <row r="15" spans="1:9" s="167" customFormat="1" ht="39" customHeight="1" x14ac:dyDescent="0.5">
      <c r="A15" s="162" t="s">
        <v>4701</v>
      </c>
      <c r="B15" s="163" t="s">
        <v>4702</v>
      </c>
      <c r="C15" s="164">
        <v>0.1</v>
      </c>
      <c r="D15" s="165" t="s">
        <v>127</v>
      </c>
      <c r="E15" s="166" t="s">
        <v>4703</v>
      </c>
      <c r="F15" s="111"/>
    </row>
    <row r="16" spans="1:9" s="112" customFormat="1" ht="39" customHeight="1" x14ac:dyDescent="0.35">
      <c r="A16" s="65" t="s">
        <v>4704</v>
      </c>
      <c r="B16" s="40" t="s">
        <v>4702</v>
      </c>
      <c r="C16" s="106">
        <v>1</v>
      </c>
      <c r="D16" s="106" t="s">
        <v>127</v>
      </c>
      <c r="E16" s="40" t="s">
        <v>4703</v>
      </c>
      <c r="F16" s="111"/>
    </row>
    <row r="17" spans="1:6" s="112" customFormat="1" ht="39" customHeight="1" x14ac:dyDescent="0.35">
      <c r="A17" s="65" t="s">
        <v>4705</v>
      </c>
      <c r="B17" s="102" t="s">
        <v>4702</v>
      </c>
      <c r="C17" s="106">
        <v>10</v>
      </c>
      <c r="D17" s="106" t="s">
        <v>127</v>
      </c>
      <c r="E17" s="102" t="s">
        <v>4703</v>
      </c>
      <c r="F17" s="111"/>
    </row>
    <row r="18" spans="1:6" s="112" customFormat="1" ht="39" customHeight="1" x14ac:dyDescent="0.35">
      <c r="A18" s="65" t="s">
        <v>4706</v>
      </c>
      <c r="B18" s="40" t="s">
        <v>4702</v>
      </c>
      <c r="C18" s="106">
        <v>100</v>
      </c>
      <c r="D18" s="106" t="s">
        <v>127</v>
      </c>
      <c r="E18" s="40" t="s">
        <v>4703</v>
      </c>
      <c r="F18" s="111"/>
    </row>
    <row r="19" spans="1:6" s="112" customFormat="1" ht="39" customHeight="1" x14ac:dyDescent="0.35">
      <c r="A19" s="65" t="s">
        <v>4707</v>
      </c>
      <c r="B19" s="102" t="s">
        <v>4702</v>
      </c>
      <c r="C19" s="106">
        <v>1000</v>
      </c>
      <c r="D19" s="106" t="s">
        <v>127</v>
      </c>
      <c r="E19" s="102" t="s">
        <v>4703</v>
      </c>
      <c r="F19" s="111"/>
    </row>
    <row r="20" spans="1:6" s="112" customFormat="1" ht="39" customHeight="1" x14ac:dyDescent="0.3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6"/>
      <c r="D20" s="106"/>
      <c r="E20" s="40"/>
      <c r="F20" s="111"/>
    </row>
    <row r="21" spans="1:6" s="112" customFormat="1" ht="39" customHeight="1" x14ac:dyDescent="0.3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2"/>
      <c r="C21" s="106"/>
      <c r="D21" s="106"/>
      <c r="E21" s="102"/>
      <c r="F21" s="111"/>
    </row>
    <row r="22" spans="1:6" s="112" customFormat="1" ht="39" customHeight="1" x14ac:dyDescent="0.3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6"/>
      <c r="D22" s="106"/>
      <c r="E22" s="40"/>
      <c r="F22" s="111"/>
    </row>
    <row r="23" spans="1:6" s="112" customFormat="1" ht="39" customHeight="1" x14ac:dyDescent="0.3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2"/>
      <c r="C23" s="106"/>
      <c r="D23" s="106"/>
      <c r="E23" s="102"/>
      <c r="F23" s="111"/>
    </row>
    <row r="24" spans="1:6" s="112" customFormat="1" ht="39" customHeight="1" x14ac:dyDescent="0.3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6"/>
      <c r="D24" s="106"/>
      <c r="E24" s="40"/>
      <c r="F24" s="111"/>
    </row>
    <row r="25" spans="1:6" s="112" customFormat="1" ht="39" customHeight="1" x14ac:dyDescent="0.3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2"/>
      <c r="C25" s="106"/>
      <c r="D25" s="106"/>
      <c r="E25" s="102"/>
      <c r="F25" s="111"/>
    </row>
    <row r="26" spans="1:6" s="112" customFormat="1" ht="39" customHeight="1" x14ac:dyDescent="0.3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6"/>
      <c r="D26" s="106"/>
      <c r="E26" s="40"/>
      <c r="F26" s="111"/>
    </row>
    <row r="27" spans="1:6" s="112" customFormat="1" ht="39" customHeight="1" x14ac:dyDescent="0.3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2"/>
      <c r="C27" s="106"/>
      <c r="D27" s="106"/>
      <c r="E27" s="102"/>
      <c r="F27" s="111"/>
    </row>
    <row r="28" spans="1:6" s="112" customFormat="1" ht="39" customHeight="1" x14ac:dyDescent="0.3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6"/>
      <c r="D28" s="106"/>
      <c r="E28" s="40"/>
      <c r="F28" s="111"/>
    </row>
    <row r="29" spans="1:6" s="112" customFormat="1" ht="39" customHeight="1" x14ac:dyDescent="0.3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2"/>
      <c r="C29" s="106"/>
      <c r="D29" s="106"/>
      <c r="E29" s="102"/>
      <c r="F29" s="111"/>
    </row>
    <row r="30" spans="1:6" s="112" customFormat="1" ht="39" customHeight="1" x14ac:dyDescent="0.3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6"/>
      <c r="D30" s="115"/>
      <c r="E30" s="40"/>
      <c r="F30" s="111"/>
    </row>
    <row r="31" spans="1:6" s="112" customFormat="1" ht="39" customHeight="1" x14ac:dyDescent="0.3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2"/>
      <c r="C31" s="106"/>
      <c r="D31" s="115"/>
      <c r="E31" s="102"/>
      <c r="F31" s="111"/>
    </row>
    <row r="32" spans="1:6" s="112" customFormat="1" ht="39" customHeight="1" x14ac:dyDescent="0.3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6"/>
      <c r="D32" s="115"/>
      <c r="E32" s="40"/>
      <c r="F32" s="111"/>
    </row>
    <row r="33" spans="1:6" s="112" customFormat="1" ht="39" customHeight="1" x14ac:dyDescent="0.3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2"/>
      <c r="C33" s="106"/>
      <c r="D33" s="115"/>
      <c r="E33" s="102"/>
      <c r="F33" s="111"/>
    </row>
    <row r="34" spans="1:6" s="112" customFormat="1" ht="39" customHeight="1" x14ac:dyDescent="0.35">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6"/>
      <c r="D34" s="115"/>
      <c r="E34" s="40"/>
      <c r="F34" s="111"/>
    </row>
    <row r="35" spans="1:6" s="112" customFormat="1" ht="39" customHeight="1" thickBot="1" x14ac:dyDescent="0.4">
      <c r="A3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8"/>
      <c r="C35" s="169"/>
      <c r="D35" s="116"/>
      <c r="E35" s="168"/>
      <c r="F35" s="111"/>
    </row>
    <row r="36" spans="1:6" s="112" customFormat="1" ht="39" customHeight="1" x14ac:dyDescent="0.35">
      <c r="A36" s="17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3" t="s">
        <v>123</v>
      </c>
      <c r="C36" s="107">
        <v>30</v>
      </c>
      <c r="D36" s="117" t="s">
        <v>127</v>
      </c>
      <c r="E36" s="159" t="s">
        <v>20</v>
      </c>
      <c r="F36" s="171"/>
    </row>
    <row r="37" spans="1:6" s="112" customFormat="1" ht="39" customHeight="1" x14ac:dyDescent="0.35">
      <c r="A37" s="1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4" t="s">
        <v>123</v>
      </c>
      <c r="C37" s="108">
        <v>64</v>
      </c>
      <c r="D37" s="118" t="s">
        <v>124</v>
      </c>
      <c r="E37" s="160" t="s">
        <v>128</v>
      </c>
      <c r="F37" s="173"/>
    </row>
    <row r="38" spans="1:6" s="112" customFormat="1" ht="39" customHeight="1" thickBot="1" x14ac:dyDescent="0.4">
      <c r="A38" s="1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FAD-10mg/L</v>
      </c>
      <c r="B38" s="175" t="s">
        <v>123</v>
      </c>
      <c r="C38" s="176">
        <v>10</v>
      </c>
      <c r="D38" s="177" t="s">
        <v>129</v>
      </c>
      <c r="E38" s="178" t="s">
        <v>130</v>
      </c>
      <c r="F38" s="179"/>
    </row>
    <row r="39" spans="1:6" s="112" customFormat="1" ht="39" customHeight="1" x14ac:dyDescent="0.35">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CRO-0,1µg/L + Testostérone</v>
      </c>
      <c r="B39" s="193" t="str">
        <f>B15</f>
        <v>Chemical</v>
      </c>
      <c r="C39" s="193">
        <f t="shared" ref="C39:E39" si="0">C15</f>
        <v>0.1</v>
      </c>
      <c r="D39" s="193" t="str">
        <f t="shared" si="0"/>
        <v>µg/L</v>
      </c>
      <c r="E39" s="193" t="str">
        <f t="shared" si="0"/>
        <v>CRO</v>
      </c>
      <c r="F39" s="113" t="s">
        <v>50</v>
      </c>
    </row>
    <row r="40" spans="1:6" s="112" customFormat="1" ht="39" customHeight="1" x14ac:dyDescent="0.35">
      <c r="A4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CRO-1µg/L + Testostérone</v>
      </c>
      <c r="B40" s="195" t="str">
        <f t="shared" ref="B40:E40" si="1">B16</f>
        <v>Chemical</v>
      </c>
      <c r="C40" s="195">
        <f t="shared" si="1"/>
        <v>1</v>
      </c>
      <c r="D40" s="195" t="str">
        <f t="shared" si="1"/>
        <v>µg/L</v>
      </c>
      <c r="E40" s="195" t="str">
        <f t="shared" si="1"/>
        <v>CRO</v>
      </c>
      <c r="F40" s="114" t="s">
        <v>50</v>
      </c>
    </row>
    <row r="41" spans="1:6" s="112" customFormat="1" ht="39" customHeight="1" x14ac:dyDescent="0.35">
      <c r="A4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CRO-10µg/L + Testostérone</v>
      </c>
      <c r="B41" s="195" t="str">
        <f t="shared" ref="B41:E41" si="2">B17</f>
        <v>Chemical</v>
      </c>
      <c r="C41" s="195">
        <f t="shared" si="2"/>
        <v>10</v>
      </c>
      <c r="D41" s="195" t="str">
        <f t="shared" si="2"/>
        <v>µg/L</v>
      </c>
      <c r="E41" s="195" t="str">
        <f t="shared" si="2"/>
        <v>CRO</v>
      </c>
      <c r="F41" s="114" t="s">
        <v>50</v>
      </c>
    </row>
    <row r="42" spans="1:6" s="112" customFormat="1" ht="39" customHeight="1" x14ac:dyDescent="0.35">
      <c r="A4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CRO-100µg/L + Testostérone</v>
      </c>
      <c r="B42" s="195" t="str">
        <f t="shared" ref="B42:E42" si="3">B18</f>
        <v>Chemical</v>
      </c>
      <c r="C42" s="195">
        <f t="shared" si="3"/>
        <v>100</v>
      </c>
      <c r="D42" s="195" t="str">
        <f t="shared" si="3"/>
        <v>µg/L</v>
      </c>
      <c r="E42" s="195" t="str">
        <f t="shared" si="3"/>
        <v>CRO</v>
      </c>
      <c r="F42" s="114" t="s">
        <v>50</v>
      </c>
    </row>
    <row r="43" spans="1:6" s="112" customFormat="1" ht="39" customHeight="1" x14ac:dyDescent="0.35">
      <c r="A43"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CRO-1000µg/L + Testostérone</v>
      </c>
      <c r="B43" s="195" t="str">
        <f t="shared" ref="B43:E43" si="4">B19</f>
        <v>Chemical</v>
      </c>
      <c r="C43" s="195">
        <f t="shared" si="4"/>
        <v>1000</v>
      </c>
      <c r="D43" s="195" t="str">
        <f t="shared" si="4"/>
        <v>µg/L</v>
      </c>
      <c r="E43" s="195" t="str">
        <f t="shared" si="4"/>
        <v>CRO</v>
      </c>
      <c r="F43" s="114" t="s">
        <v>50</v>
      </c>
    </row>
    <row r="44" spans="1:6" s="112" customFormat="1" ht="39" customHeight="1" x14ac:dyDescent="0.35">
      <c r="A44"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5">
        <f t="shared" ref="B44:E44" si="5">B20</f>
        <v>0</v>
      </c>
      <c r="C44" s="195">
        <f t="shared" si="5"/>
        <v>0</v>
      </c>
      <c r="D44" s="195">
        <f t="shared" si="5"/>
        <v>0</v>
      </c>
      <c r="E44" s="195">
        <f t="shared" si="5"/>
        <v>0</v>
      </c>
      <c r="F44" s="114" t="s">
        <v>50</v>
      </c>
    </row>
    <row r="45" spans="1:6" s="112" customFormat="1" ht="39" customHeight="1" x14ac:dyDescent="0.35">
      <c r="A45"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5">
        <f t="shared" ref="B45:E45" si="6">B21</f>
        <v>0</v>
      </c>
      <c r="C45" s="195">
        <f t="shared" si="6"/>
        <v>0</v>
      </c>
      <c r="D45" s="195">
        <f t="shared" si="6"/>
        <v>0</v>
      </c>
      <c r="E45" s="195">
        <f t="shared" si="6"/>
        <v>0</v>
      </c>
      <c r="F45" s="114" t="s">
        <v>50</v>
      </c>
    </row>
    <row r="46" spans="1:6" s="112" customFormat="1" ht="39" customHeight="1" x14ac:dyDescent="0.35">
      <c r="A46"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5">
        <f t="shared" ref="B46:E46" si="7">B22</f>
        <v>0</v>
      </c>
      <c r="C46" s="195">
        <f t="shared" si="7"/>
        <v>0</v>
      </c>
      <c r="D46" s="195">
        <f t="shared" si="7"/>
        <v>0</v>
      </c>
      <c r="E46" s="195">
        <f t="shared" si="7"/>
        <v>0</v>
      </c>
      <c r="F46" s="114" t="s">
        <v>50</v>
      </c>
    </row>
    <row r="47" spans="1:6" s="112" customFormat="1" ht="39" customHeight="1" x14ac:dyDescent="0.35">
      <c r="A47"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5">
        <f t="shared" ref="B47:E47" si="8">B23</f>
        <v>0</v>
      </c>
      <c r="C47" s="195">
        <f t="shared" si="8"/>
        <v>0</v>
      </c>
      <c r="D47" s="195">
        <f t="shared" si="8"/>
        <v>0</v>
      </c>
      <c r="E47" s="195">
        <f t="shared" si="8"/>
        <v>0</v>
      </c>
      <c r="F47" s="114" t="s">
        <v>50</v>
      </c>
    </row>
    <row r="48" spans="1:6" s="112" customFormat="1" ht="39" customHeight="1" x14ac:dyDescent="0.35">
      <c r="A48"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5">
        <f t="shared" ref="B48:E48" si="9">B24</f>
        <v>0</v>
      </c>
      <c r="C48" s="195">
        <f t="shared" si="9"/>
        <v>0</v>
      </c>
      <c r="D48" s="195">
        <f t="shared" si="9"/>
        <v>0</v>
      </c>
      <c r="E48" s="195">
        <f t="shared" si="9"/>
        <v>0</v>
      </c>
      <c r="F48" s="114" t="s">
        <v>50</v>
      </c>
    </row>
    <row r="49" spans="1:6" s="112" customFormat="1" ht="39" customHeight="1" x14ac:dyDescent="0.35">
      <c r="A49"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5">
        <f t="shared" ref="B49:E49" si="10">B25</f>
        <v>0</v>
      </c>
      <c r="C49" s="195">
        <f t="shared" si="10"/>
        <v>0</v>
      </c>
      <c r="D49" s="195">
        <f t="shared" si="10"/>
        <v>0</v>
      </c>
      <c r="E49" s="195">
        <f t="shared" si="10"/>
        <v>0</v>
      </c>
      <c r="F49" s="114" t="s">
        <v>50</v>
      </c>
    </row>
    <row r="50" spans="1:6" s="112" customFormat="1" ht="39" customHeight="1" x14ac:dyDescent="0.35">
      <c r="A5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5">
        <f t="shared" ref="B50:E50" si="11">B26</f>
        <v>0</v>
      </c>
      <c r="C50" s="195">
        <f t="shared" si="11"/>
        <v>0</v>
      </c>
      <c r="D50" s="195">
        <f t="shared" si="11"/>
        <v>0</v>
      </c>
      <c r="E50" s="195">
        <f t="shared" si="11"/>
        <v>0</v>
      </c>
      <c r="F50" s="114" t="s">
        <v>50</v>
      </c>
    </row>
    <row r="51" spans="1:6" s="112" customFormat="1" ht="39" customHeight="1" x14ac:dyDescent="0.35">
      <c r="A5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5">
        <f t="shared" ref="B51:E51" si="12">B27</f>
        <v>0</v>
      </c>
      <c r="C51" s="195">
        <f t="shared" si="12"/>
        <v>0</v>
      </c>
      <c r="D51" s="195">
        <f t="shared" si="12"/>
        <v>0</v>
      </c>
      <c r="E51" s="195">
        <f t="shared" si="12"/>
        <v>0</v>
      </c>
      <c r="F51" s="114" t="s">
        <v>50</v>
      </c>
    </row>
    <row r="52" spans="1:6" s="112" customFormat="1" ht="39" customHeight="1" x14ac:dyDescent="0.35">
      <c r="A5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5">
        <f t="shared" ref="B52:E52" si="13">B28</f>
        <v>0</v>
      </c>
      <c r="C52" s="195">
        <f t="shared" si="13"/>
        <v>0</v>
      </c>
      <c r="D52" s="195">
        <f t="shared" si="13"/>
        <v>0</v>
      </c>
      <c r="E52" s="195">
        <f t="shared" si="13"/>
        <v>0</v>
      </c>
      <c r="F52" s="114" t="s">
        <v>50</v>
      </c>
    </row>
    <row r="53" spans="1:6" s="112" customFormat="1" ht="39" customHeight="1" x14ac:dyDescent="0.35">
      <c r="A53"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5">
        <f t="shared" ref="B53:E53" si="14">B29</f>
        <v>0</v>
      </c>
      <c r="C53" s="195">
        <f t="shared" si="14"/>
        <v>0</v>
      </c>
      <c r="D53" s="195">
        <f t="shared" si="14"/>
        <v>0</v>
      </c>
      <c r="E53" s="195">
        <f t="shared" si="14"/>
        <v>0</v>
      </c>
      <c r="F53" s="114" t="s">
        <v>50</v>
      </c>
    </row>
    <row r="54" spans="1:6" s="112" customFormat="1" ht="39" customHeight="1" x14ac:dyDescent="0.35">
      <c r="A54"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5">
        <f t="shared" ref="B54:E54" si="15">B30</f>
        <v>0</v>
      </c>
      <c r="C54" s="195">
        <f t="shared" si="15"/>
        <v>0</v>
      </c>
      <c r="D54" s="195">
        <f t="shared" si="15"/>
        <v>0</v>
      </c>
      <c r="E54" s="195">
        <f t="shared" si="15"/>
        <v>0</v>
      </c>
      <c r="F54" s="114" t="s">
        <v>50</v>
      </c>
    </row>
    <row r="55" spans="1:6" s="112" customFormat="1" ht="39" customHeight="1" x14ac:dyDescent="0.35">
      <c r="A55"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5">
        <f t="shared" ref="B55:E55" si="16">B31</f>
        <v>0</v>
      </c>
      <c r="C55" s="195">
        <f t="shared" si="16"/>
        <v>0</v>
      </c>
      <c r="D55" s="195">
        <f t="shared" si="16"/>
        <v>0</v>
      </c>
      <c r="E55" s="195">
        <f t="shared" si="16"/>
        <v>0</v>
      </c>
      <c r="F55" s="114" t="s">
        <v>50</v>
      </c>
    </row>
    <row r="56" spans="1:6" s="112" customFormat="1" ht="39" customHeight="1" x14ac:dyDescent="0.35">
      <c r="A56"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5">
        <f t="shared" ref="B56:E56" si="17">B32</f>
        <v>0</v>
      </c>
      <c r="C56" s="195">
        <f t="shared" si="17"/>
        <v>0</v>
      </c>
      <c r="D56" s="195">
        <f t="shared" si="17"/>
        <v>0</v>
      </c>
      <c r="E56" s="195">
        <f t="shared" si="17"/>
        <v>0</v>
      </c>
      <c r="F56" s="114" t="s">
        <v>50</v>
      </c>
    </row>
    <row r="57" spans="1:6" s="112" customFormat="1" ht="39" customHeight="1" x14ac:dyDescent="0.35">
      <c r="A57"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5">
        <f t="shared" ref="B57:E57" si="18">B33</f>
        <v>0</v>
      </c>
      <c r="C57" s="195">
        <f t="shared" si="18"/>
        <v>0</v>
      </c>
      <c r="D57" s="195">
        <f t="shared" si="18"/>
        <v>0</v>
      </c>
      <c r="E57" s="195">
        <f t="shared" si="18"/>
        <v>0</v>
      </c>
      <c r="F57" s="114" t="s">
        <v>50</v>
      </c>
    </row>
    <row r="58" spans="1:6" s="112" customFormat="1" ht="39" customHeight="1" x14ac:dyDescent="0.35">
      <c r="A58" s="10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4">
        <f t="shared" ref="B58:E58" si="19">B34</f>
        <v>0</v>
      </c>
      <c r="C58" s="194">
        <f t="shared" si="19"/>
        <v>0</v>
      </c>
      <c r="D58" s="194">
        <f t="shared" si="19"/>
        <v>0</v>
      </c>
      <c r="E58" s="194">
        <f t="shared" si="19"/>
        <v>0</v>
      </c>
      <c r="F58" s="114" t="s">
        <v>50</v>
      </c>
    </row>
  </sheetData>
  <protectedRanges>
    <protectedRange sqref="C16:D38 A16:A52"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4.5" x14ac:dyDescent="0.35"/>
  <cols>
    <col min="1" max="1" width="14.1796875" customWidth="1"/>
    <col min="2" max="2" width="14" customWidth="1"/>
    <col min="3" max="3" width="11.54296875" customWidth="1"/>
    <col min="4" max="4" width="12.453125" customWidth="1"/>
    <col min="5" max="5" width="17.26953125" customWidth="1"/>
    <col min="7" max="7" width="19.54296875" customWidth="1"/>
    <col min="9" max="9" width="15.7265625" customWidth="1"/>
  </cols>
  <sheetData>
    <row r="1" spans="1:9" x14ac:dyDescent="0.35">
      <c r="A1" t="s">
        <v>107</v>
      </c>
      <c r="B1" t="s">
        <v>108</v>
      </c>
      <c r="C1" t="s">
        <v>109</v>
      </c>
      <c r="D1" t="s">
        <v>110</v>
      </c>
      <c r="E1" t="s">
        <v>111</v>
      </c>
      <c r="F1" t="s">
        <v>112</v>
      </c>
      <c r="G1" t="s">
        <v>113</v>
      </c>
      <c r="H1" t="s">
        <v>117</v>
      </c>
      <c r="I1" t="s">
        <v>118</v>
      </c>
    </row>
    <row r="2" spans="1:9" x14ac:dyDescent="0.35">
      <c r="A2" t="s">
        <v>153</v>
      </c>
      <c r="B2" t="s">
        <v>164</v>
      </c>
      <c r="C2" t="s">
        <v>144</v>
      </c>
      <c r="D2" t="s">
        <v>147</v>
      </c>
      <c r="E2" t="s">
        <v>148</v>
      </c>
      <c r="F2" t="s">
        <v>112</v>
      </c>
      <c r="G2">
        <v>360268</v>
      </c>
    </row>
    <row r="3" spans="1:9" x14ac:dyDescent="0.35">
      <c r="A3" t="s">
        <v>153</v>
      </c>
      <c r="B3" t="s">
        <v>164</v>
      </c>
      <c r="C3" t="s">
        <v>145</v>
      </c>
      <c r="D3" t="s">
        <v>149</v>
      </c>
      <c r="E3" t="s">
        <v>150</v>
      </c>
      <c r="F3" t="s">
        <v>112</v>
      </c>
      <c r="G3">
        <v>372315</v>
      </c>
    </row>
    <row r="4" spans="1:9" x14ac:dyDescent="0.35">
      <c r="A4" t="s">
        <v>153</v>
      </c>
      <c r="B4" t="s">
        <v>164</v>
      </c>
      <c r="C4" t="s">
        <v>146</v>
      </c>
      <c r="D4" t="s">
        <v>151</v>
      </c>
      <c r="E4" t="s">
        <v>152</v>
      </c>
      <c r="F4" t="s">
        <v>112</v>
      </c>
      <c r="G4">
        <v>237626</v>
      </c>
    </row>
    <row r="5" spans="1:9" x14ac:dyDescent="0.35">
      <c r="A5" t="s">
        <v>153</v>
      </c>
      <c r="B5" t="s">
        <v>164</v>
      </c>
      <c r="C5" t="s">
        <v>161</v>
      </c>
      <c r="D5" t="s">
        <v>162</v>
      </c>
      <c r="E5" t="s">
        <v>163</v>
      </c>
      <c r="F5" t="s">
        <v>112</v>
      </c>
      <c r="G5">
        <v>1439015</v>
      </c>
    </row>
    <row r="6" spans="1:9" x14ac:dyDescent="0.35">
      <c r="A6" t="s">
        <v>153</v>
      </c>
      <c r="B6" t="s">
        <v>164</v>
      </c>
      <c r="C6" t="s">
        <v>158</v>
      </c>
      <c r="D6" t="s">
        <v>159</v>
      </c>
      <c r="E6" t="s">
        <v>160</v>
      </c>
      <c r="F6" t="s">
        <v>112</v>
      </c>
      <c r="G6">
        <v>1433586</v>
      </c>
    </row>
    <row r="7" spans="1:9" x14ac:dyDescent="0.35">
      <c r="A7" t="s">
        <v>153</v>
      </c>
      <c r="B7" t="s">
        <v>164</v>
      </c>
      <c r="C7" t="s">
        <v>155</v>
      </c>
      <c r="D7" t="s">
        <v>156</v>
      </c>
      <c r="E7" t="s">
        <v>157</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N1" zoomScale="70" zoomScaleNormal="70" workbookViewId="0">
      <selection activeCell="Z5" sqref="Z5:AD12"/>
    </sheetView>
  </sheetViews>
  <sheetFormatPr baseColWidth="10" defaultColWidth="11.453125" defaultRowHeight="14.5" x14ac:dyDescent="0.35"/>
  <cols>
    <col min="1" max="1" width="15" style="1" customWidth="1"/>
    <col min="2" max="2" width="26.54296875" style="1" customWidth="1"/>
    <col min="3" max="3" width="87.1796875"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5.453125" style="1" customWidth="1"/>
    <col min="12" max="12" width="15.453125" style="1" customWidth="1"/>
    <col min="13" max="14" width="12.81640625" style="1" customWidth="1"/>
    <col min="15" max="20" width="12.26953125" style="1" customWidth="1"/>
    <col min="21" max="21" width="17.453125" style="1" customWidth="1"/>
    <col min="22" max="25" width="12.26953125" style="1" customWidth="1"/>
    <col min="26" max="27" width="15.54296875" style="1" customWidth="1"/>
    <col min="28" max="28" width="14.26953125" style="1" customWidth="1"/>
    <col min="29"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53" t="s">
        <v>171</v>
      </c>
      <c r="D2" s="1" t="s">
        <v>110</v>
      </c>
      <c r="E2" s="1" t="s">
        <v>111</v>
      </c>
      <c r="F2" s="1" t="s">
        <v>112</v>
      </c>
      <c r="G2" s="1" t="s">
        <v>113</v>
      </c>
      <c r="K2" s="157" t="s">
        <v>120</v>
      </c>
      <c r="L2" s="157"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2960</v>
      </c>
      <c r="D3" s="1" t="s">
        <v>1915</v>
      </c>
      <c r="E3" s="1" t="s">
        <v>2961</v>
      </c>
      <c r="F3" s="1" t="s">
        <v>112</v>
      </c>
      <c r="G3" s="1">
        <v>380535</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s="3" customFormat="1" x14ac:dyDescent="0.35">
      <c r="A4" s="3" t="str">
        <f t="shared" si="0"/>
        <v>1</v>
      </c>
      <c r="B4" s="3"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3" t="s">
        <v>2962</v>
      </c>
      <c r="K4" s="197" t="s">
        <v>100</v>
      </c>
      <c r="L4" s="3" t="s">
        <v>1578</v>
      </c>
      <c r="M4" s="3" t="s">
        <v>1579</v>
      </c>
      <c r="N4" s="3" t="s">
        <v>1580</v>
      </c>
      <c r="O4" s="3" t="s">
        <v>1581</v>
      </c>
      <c r="P4" s="3" t="s">
        <v>1582</v>
      </c>
      <c r="Q4" s="3" t="s">
        <v>1583</v>
      </c>
      <c r="R4" s="3" t="s">
        <v>1584</v>
      </c>
      <c r="S4" s="3" t="s">
        <v>1585</v>
      </c>
      <c r="T4" s="3" t="s">
        <v>1586</v>
      </c>
      <c r="U4" s="3" t="s">
        <v>1587</v>
      </c>
      <c r="V4" s="3" t="s">
        <v>1588</v>
      </c>
      <c r="W4" s="3" t="s">
        <v>1589</v>
      </c>
      <c r="X4" s="3" t="s">
        <v>1590</v>
      </c>
      <c r="Y4" s="3" t="s">
        <v>1591</v>
      </c>
      <c r="Z4" s="3" t="s">
        <v>1592</v>
      </c>
      <c r="AA4" s="3" t="s">
        <v>1593</v>
      </c>
      <c r="AB4" s="3" t="s">
        <v>1594</v>
      </c>
      <c r="AC4" s="3" t="s">
        <v>1595</v>
      </c>
      <c r="AD4" s="3" t="s">
        <v>1596</v>
      </c>
      <c r="AE4" s="3" t="s">
        <v>1597</v>
      </c>
      <c r="AF4" s="3" t="s">
        <v>1598</v>
      </c>
    </row>
    <row r="5" spans="1:144" x14ac:dyDescent="0.35">
      <c r="A5" s="1" t="str">
        <f t="shared" si="0"/>
        <v>1</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 s="1" t="s">
        <v>2963</v>
      </c>
      <c r="D5" s="1" t="s">
        <v>1907</v>
      </c>
      <c r="E5" s="1" t="s">
        <v>2964</v>
      </c>
      <c r="F5" s="1" t="s">
        <v>112</v>
      </c>
      <c r="G5" s="1">
        <v>99995</v>
      </c>
      <c r="K5" s="146" t="s">
        <v>164</v>
      </c>
      <c r="L5" s="44">
        <v>276639.33333333331</v>
      </c>
      <c r="M5" s="44">
        <v>224334.25</v>
      </c>
      <c r="N5" s="44">
        <v>696807.5</v>
      </c>
      <c r="O5" s="44">
        <v>2147113.3333333335</v>
      </c>
      <c r="P5" s="44">
        <v>132672.25</v>
      </c>
      <c r="Q5" s="44">
        <v>348706.5</v>
      </c>
      <c r="R5" s="44">
        <v>472078</v>
      </c>
      <c r="S5" s="44">
        <v>617944</v>
      </c>
      <c r="T5" s="44">
        <v>1923734</v>
      </c>
      <c r="U5" s="44">
        <v>2825048.25</v>
      </c>
      <c r="V5" s="44">
        <v>5966260</v>
      </c>
      <c r="W5" s="44">
        <v>134271</v>
      </c>
      <c r="X5" s="44">
        <v>63575.5</v>
      </c>
      <c r="Y5" s="44">
        <v>542039.75</v>
      </c>
      <c r="Z5" s="44">
        <v>585824</v>
      </c>
      <c r="AA5" s="44">
        <v>85648.75</v>
      </c>
      <c r="AB5" s="44">
        <v>1868174.3333333333</v>
      </c>
      <c r="AC5" s="44">
        <v>1133395.5</v>
      </c>
      <c r="AD5" s="44">
        <v>1032351.6666666666</v>
      </c>
      <c r="AE5" s="44">
        <v>194371.75</v>
      </c>
      <c r="AF5" s="44">
        <v>147375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 s="1" t="s">
        <v>2965</v>
      </c>
      <c r="D6" s="1" t="s">
        <v>2880</v>
      </c>
      <c r="E6" s="1" t="s">
        <v>2966</v>
      </c>
      <c r="F6" s="1" t="s">
        <v>112</v>
      </c>
      <c r="G6" s="1">
        <v>349388</v>
      </c>
      <c r="K6" s="146" t="s">
        <v>1599</v>
      </c>
      <c r="L6" s="44">
        <v>148175.5</v>
      </c>
      <c r="M6" s="44">
        <v>2383625.25</v>
      </c>
      <c r="N6" s="44">
        <v>393037</v>
      </c>
      <c r="O6" s="44">
        <v>3481558.5</v>
      </c>
      <c r="P6" s="44">
        <v>284384.5</v>
      </c>
      <c r="Q6" s="44">
        <v>236166.25</v>
      </c>
      <c r="R6" s="44">
        <v>437286</v>
      </c>
      <c r="S6" s="44">
        <v>682798</v>
      </c>
      <c r="T6" s="44">
        <v>2626334.25</v>
      </c>
      <c r="U6" s="44">
        <v>2580084</v>
      </c>
      <c r="V6" s="44">
        <v>5184188.5</v>
      </c>
      <c r="W6" s="44">
        <v>40224.333333333336</v>
      </c>
      <c r="X6" s="44">
        <v>102158</v>
      </c>
      <c r="Y6" s="44">
        <v>143260.25</v>
      </c>
      <c r="Z6" s="44">
        <v>1938509</v>
      </c>
      <c r="AA6" s="44">
        <v>1396368.3333333333</v>
      </c>
      <c r="AB6" s="44">
        <v>1597908.5</v>
      </c>
      <c r="AC6" s="44">
        <v>2317027</v>
      </c>
      <c r="AD6" s="44">
        <v>2226359.75</v>
      </c>
      <c r="AE6" s="44">
        <v>83743.666666666672</v>
      </c>
      <c r="AF6" s="44">
        <v>43568</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2967</v>
      </c>
      <c r="D7" s="1" t="s">
        <v>1513</v>
      </c>
      <c r="E7" s="1" t="s">
        <v>2968</v>
      </c>
      <c r="F7" s="1" t="s">
        <v>112</v>
      </c>
      <c r="G7" s="1">
        <v>188050</v>
      </c>
      <c r="K7" s="146" t="s">
        <v>1600</v>
      </c>
      <c r="L7" s="44">
        <v>98891.75</v>
      </c>
      <c r="M7" s="44">
        <v>1803982.25</v>
      </c>
      <c r="N7" s="44">
        <v>2433074.6666666665</v>
      </c>
      <c r="O7" s="44">
        <v>3323087.25</v>
      </c>
      <c r="P7" s="44">
        <v>169421.5</v>
      </c>
      <c r="Q7" s="44">
        <v>494041</v>
      </c>
      <c r="R7" s="44">
        <v>196713</v>
      </c>
      <c r="S7" s="44">
        <v>3041119.6666666665</v>
      </c>
      <c r="T7" s="44">
        <v>3128991.5</v>
      </c>
      <c r="U7" s="44">
        <v>3289528.5</v>
      </c>
      <c r="V7" s="44">
        <v>4711640</v>
      </c>
      <c r="W7" s="44">
        <v>412595.5</v>
      </c>
      <c r="X7" s="44">
        <v>125837.25</v>
      </c>
      <c r="Y7" s="44">
        <v>98913.75</v>
      </c>
      <c r="Z7" s="44">
        <v>1128291</v>
      </c>
      <c r="AA7" s="44">
        <v>2544400.25</v>
      </c>
      <c r="AB7" s="44">
        <v>2025401.75</v>
      </c>
      <c r="AC7" s="44">
        <v>667114.75</v>
      </c>
      <c r="AD7" s="44">
        <v>3054811.75</v>
      </c>
      <c r="AE7" s="44">
        <v>252383</v>
      </c>
      <c r="AF7" s="44">
        <v>95177.25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8" s="1" t="s">
        <v>2969</v>
      </c>
      <c r="D8" s="1" t="s">
        <v>2449</v>
      </c>
      <c r="E8" s="1" t="s">
        <v>2970</v>
      </c>
      <c r="F8" s="1" t="s">
        <v>112</v>
      </c>
      <c r="G8" s="1">
        <v>156081</v>
      </c>
      <c r="K8" s="146" t="s">
        <v>1601</v>
      </c>
      <c r="L8" s="44">
        <v>346446</v>
      </c>
      <c r="M8" s="44">
        <v>2453299</v>
      </c>
      <c r="N8" s="44">
        <v>1107436.3333333333</v>
      </c>
      <c r="O8" s="44">
        <v>3442078.5</v>
      </c>
      <c r="P8" s="44">
        <v>237615.5</v>
      </c>
      <c r="Q8" s="44">
        <v>456099</v>
      </c>
      <c r="R8" s="44">
        <v>183805.5</v>
      </c>
      <c r="S8" s="44">
        <v>1098874.5</v>
      </c>
      <c r="T8" s="44">
        <v>2428815.5</v>
      </c>
      <c r="U8" s="44">
        <v>3001110.25</v>
      </c>
      <c r="V8" s="44">
        <v>4374019</v>
      </c>
      <c r="W8" s="44">
        <v>19921.25</v>
      </c>
      <c r="X8" s="44">
        <v>305695</v>
      </c>
      <c r="Y8" s="44">
        <v>202877.75</v>
      </c>
      <c r="Z8" s="44">
        <v>2220099.3333333335</v>
      </c>
      <c r="AA8" s="44">
        <v>1279132.5</v>
      </c>
      <c r="AB8" s="44">
        <v>3646230.6666666665</v>
      </c>
      <c r="AC8" s="44">
        <v>243671.75</v>
      </c>
      <c r="AD8" s="44">
        <v>2840875.5</v>
      </c>
      <c r="AE8" s="44">
        <v>134808.25</v>
      </c>
      <c r="AF8" s="44">
        <v>137501</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9" s="1" t="s">
        <v>2971</v>
      </c>
      <c r="D9" s="1" t="s">
        <v>149</v>
      </c>
      <c r="E9" s="1" t="s">
        <v>2972</v>
      </c>
      <c r="F9" s="1" t="s">
        <v>112</v>
      </c>
      <c r="G9" s="1">
        <v>188721</v>
      </c>
      <c r="K9" s="146" t="s">
        <v>1602</v>
      </c>
      <c r="L9" s="44">
        <v>264349.75</v>
      </c>
      <c r="M9" s="44">
        <v>637750.33333333337</v>
      </c>
      <c r="N9" s="44">
        <v>2085300.25</v>
      </c>
      <c r="O9" s="44">
        <v>4822331</v>
      </c>
      <c r="P9" s="44">
        <v>413942</v>
      </c>
      <c r="Q9" s="44">
        <v>236681.66666666666</v>
      </c>
      <c r="R9" s="44">
        <v>389197.5</v>
      </c>
      <c r="S9" s="44">
        <v>1033881.75</v>
      </c>
      <c r="T9" s="44">
        <v>2112563</v>
      </c>
      <c r="U9" s="44">
        <v>2341003.5</v>
      </c>
      <c r="V9" s="44">
        <v>4643738</v>
      </c>
      <c r="W9" s="44">
        <v>30860.25</v>
      </c>
      <c r="X9" s="44">
        <v>251577.33333333334</v>
      </c>
      <c r="Y9" s="44">
        <v>136273.75</v>
      </c>
      <c r="Z9" s="44">
        <v>495908.66666666669</v>
      </c>
      <c r="AA9" s="44">
        <v>728878.75</v>
      </c>
      <c r="AB9" s="44">
        <v>1205866.5</v>
      </c>
      <c r="AC9" s="44">
        <v>1500628</v>
      </c>
      <c r="AD9" s="44">
        <v>636421.75</v>
      </c>
      <c r="AE9" s="44">
        <v>261975.75</v>
      </c>
      <c r="AF9" s="44">
        <v>32401.5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 s="1" t="s">
        <v>2973</v>
      </c>
      <c r="D10" s="1" t="s">
        <v>1197</v>
      </c>
      <c r="E10" s="1" t="s">
        <v>2974</v>
      </c>
      <c r="F10" s="1" t="s">
        <v>112</v>
      </c>
      <c r="G10" s="1">
        <v>59850</v>
      </c>
      <c r="K10" s="146" t="s">
        <v>1603</v>
      </c>
      <c r="L10" s="44">
        <v>317667.75</v>
      </c>
      <c r="M10" s="44">
        <v>3376023</v>
      </c>
      <c r="N10" s="44">
        <v>2051422.25</v>
      </c>
      <c r="O10" s="44">
        <v>3322741</v>
      </c>
      <c r="P10" s="44">
        <v>528953.75</v>
      </c>
      <c r="Q10" s="44">
        <v>850146.75</v>
      </c>
      <c r="R10" s="44">
        <v>352648.5</v>
      </c>
      <c r="S10" s="44">
        <v>95561</v>
      </c>
      <c r="T10" s="44">
        <v>3638786.25</v>
      </c>
      <c r="U10" s="44">
        <v>3538888.5</v>
      </c>
      <c r="V10" s="44">
        <v>6543416.25</v>
      </c>
      <c r="W10" s="44">
        <v>410994.75</v>
      </c>
      <c r="X10" s="44">
        <v>225421.25</v>
      </c>
      <c r="Y10" s="44">
        <v>98416</v>
      </c>
      <c r="Z10" s="44">
        <v>1096662.75</v>
      </c>
      <c r="AA10" s="44">
        <v>1005162.6666666666</v>
      </c>
      <c r="AB10" s="44">
        <v>2062113</v>
      </c>
      <c r="AC10" s="44">
        <v>1695913.25</v>
      </c>
      <c r="AD10" s="44">
        <v>2108395.25</v>
      </c>
      <c r="AE10" s="44">
        <v>164387</v>
      </c>
      <c r="AF10" s="44">
        <v>294361.25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1" s="1" t="s">
        <v>2975</v>
      </c>
      <c r="D11" s="1" t="s">
        <v>256</v>
      </c>
      <c r="E11" s="1" t="s">
        <v>2976</v>
      </c>
      <c r="F11" s="1" t="s">
        <v>112</v>
      </c>
      <c r="G11" s="1">
        <v>3266</v>
      </c>
      <c r="K11" s="146" t="s">
        <v>1604</v>
      </c>
      <c r="L11" s="44">
        <v>298157.25</v>
      </c>
      <c r="M11" s="44">
        <v>2218340.25</v>
      </c>
      <c r="N11" s="44">
        <v>2543243</v>
      </c>
      <c r="O11" s="44">
        <v>2581312</v>
      </c>
      <c r="P11" s="44">
        <v>226775</v>
      </c>
      <c r="Q11" s="44">
        <v>300109.25</v>
      </c>
      <c r="R11" s="44">
        <v>109501.25</v>
      </c>
      <c r="S11" s="44">
        <v>234549</v>
      </c>
      <c r="T11" s="44">
        <v>851217.25</v>
      </c>
      <c r="U11" s="44">
        <v>2891284.25</v>
      </c>
      <c r="V11" s="44">
        <v>4575566.25</v>
      </c>
      <c r="W11" s="44">
        <v>234821.33333333334</v>
      </c>
      <c r="X11" s="44">
        <v>199660.5</v>
      </c>
      <c r="Y11" s="44">
        <v>308339.5</v>
      </c>
      <c r="Z11" s="44">
        <v>2599345.5</v>
      </c>
      <c r="AA11" s="44">
        <v>4532360.5</v>
      </c>
      <c r="AB11" s="44">
        <v>664713.75</v>
      </c>
      <c r="AC11" s="44">
        <v>2781912.75</v>
      </c>
      <c r="AD11" s="44">
        <v>322345.25</v>
      </c>
      <c r="AE11" s="44">
        <v>189321.25</v>
      </c>
      <c r="AF11" s="44">
        <v>175791.5</v>
      </c>
      <c r="AG11"/>
    </row>
    <row r="12" spans="1:144" x14ac:dyDescent="0.35">
      <c r="A12" s="1" t="str">
        <f t="shared" si="0"/>
        <v>1</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2" s="1" t="s">
        <v>2977</v>
      </c>
      <c r="D12" s="1" t="s">
        <v>2978</v>
      </c>
      <c r="E12" s="1" t="s">
        <v>2979</v>
      </c>
      <c r="F12" s="1" t="s">
        <v>112</v>
      </c>
      <c r="G12" s="1">
        <v>387002</v>
      </c>
      <c r="K12" s="146" t="s">
        <v>1605</v>
      </c>
      <c r="L12" s="44">
        <v>184454.5</v>
      </c>
      <c r="M12" s="44">
        <v>3870334.5</v>
      </c>
      <c r="N12" s="44">
        <v>2277946.75</v>
      </c>
      <c r="O12" s="44">
        <v>4275689.5</v>
      </c>
      <c r="P12" s="44">
        <v>126767.25</v>
      </c>
      <c r="Q12" s="44">
        <v>414428.5</v>
      </c>
      <c r="R12" s="44">
        <v>325070.25</v>
      </c>
      <c r="S12" s="44">
        <v>258012.25</v>
      </c>
      <c r="T12" s="44">
        <v>30520</v>
      </c>
      <c r="U12" s="44">
        <v>2631238.75</v>
      </c>
      <c r="V12" s="44">
        <v>5965557.25</v>
      </c>
      <c r="W12" s="44">
        <v>119261.75</v>
      </c>
      <c r="X12" s="44">
        <v>356433.75</v>
      </c>
      <c r="Y12" s="44">
        <v>162779.33333333334</v>
      </c>
      <c r="Z12" s="44">
        <v>3355719.6666666665</v>
      </c>
      <c r="AA12" s="44">
        <v>373543</v>
      </c>
      <c r="AB12" s="44">
        <v>2361855</v>
      </c>
      <c r="AC12" s="44">
        <v>2218129.75</v>
      </c>
      <c r="AD12" s="44">
        <v>1685304</v>
      </c>
      <c r="AE12" s="44">
        <v>270583</v>
      </c>
      <c r="AF12" s="44">
        <v>151793</v>
      </c>
      <c r="AG12"/>
    </row>
    <row r="13" spans="1:144" x14ac:dyDescent="0.35">
      <c r="A13" s="1" t="str">
        <f t="shared" si="0"/>
        <v>1</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3" s="1" t="s">
        <v>2980</v>
      </c>
      <c r="D13" s="1" t="s">
        <v>496</v>
      </c>
      <c r="E13" s="1" t="s">
        <v>1087</v>
      </c>
      <c r="F13" s="1" t="s">
        <v>112</v>
      </c>
      <c r="G13" s="1">
        <v>4650</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 s="1" t="s">
        <v>2981</v>
      </c>
      <c r="D14" s="1" t="s">
        <v>180</v>
      </c>
      <c r="E14" s="1">
        <v>30</v>
      </c>
      <c r="F14" s="1" t="s">
        <v>112</v>
      </c>
      <c r="G14" s="1">
        <v>649</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5" s="1" t="s">
        <v>2982</v>
      </c>
      <c r="D15" s="1" t="s">
        <v>2983</v>
      </c>
      <c r="E15" s="1" t="s">
        <v>2984</v>
      </c>
      <c r="F15" s="1" t="s">
        <v>112</v>
      </c>
      <c r="G15" s="1">
        <v>385877</v>
      </c>
    </row>
    <row r="16" spans="1:144" x14ac:dyDescent="0.35">
      <c r="A16" s="1" t="str">
        <f t="shared" si="0"/>
        <v>1</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6" s="1" t="s">
        <v>2985</v>
      </c>
      <c r="D16" s="1" t="s">
        <v>2986</v>
      </c>
      <c r="E16" s="1" t="s">
        <v>2987</v>
      </c>
      <c r="F16" s="1" t="s">
        <v>112</v>
      </c>
      <c r="G16" s="1">
        <v>300223</v>
      </c>
      <c r="M16"/>
      <c r="N16"/>
      <c r="O16"/>
      <c r="P16"/>
      <c r="Q16"/>
      <c r="R16"/>
      <c r="S16"/>
      <c r="T16"/>
      <c r="U16"/>
      <c r="V16"/>
      <c r="W16"/>
      <c r="X16"/>
      <c r="Y16"/>
      <c r="Z16"/>
      <c r="AA16"/>
      <c r="AB16"/>
      <c r="AC16"/>
      <c r="AD16"/>
      <c r="AE16"/>
      <c r="AF16"/>
      <c r="AG16"/>
      <c r="AH16"/>
    </row>
    <row r="17" spans="1:34" x14ac:dyDescent="0.35">
      <c r="A17" s="1" t="str">
        <f t="shared" si="0"/>
        <v>1</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 s="1" t="s">
        <v>2988</v>
      </c>
      <c r="D17" s="1" t="s">
        <v>1225</v>
      </c>
      <c r="E17" s="1" t="s">
        <v>2989</v>
      </c>
      <c r="F17" s="1" t="s">
        <v>112</v>
      </c>
      <c r="G17" s="1">
        <v>435951</v>
      </c>
      <c r="M17"/>
      <c r="N17"/>
      <c r="O17"/>
      <c r="P17"/>
      <c r="Q17"/>
      <c r="R17"/>
      <c r="S17"/>
      <c r="T17"/>
      <c r="U17"/>
      <c r="V17"/>
      <c r="W17"/>
      <c r="X17"/>
      <c r="Y17"/>
      <c r="Z17"/>
      <c r="AA17"/>
      <c r="AB17"/>
      <c r="AC17"/>
      <c r="AD17"/>
      <c r="AE17"/>
      <c r="AF17"/>
      <c r="AG17"/>
      <c r="AH17"/>
    </row>
    <row r="18" spans="1:34" x14ac:dyDescent="0.35">
      <c r="A18" s="1" t="str">
        <f t="shared" si="0"/>
        <v>1</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8" s="1" t="s">
        <v>2990</v>
      </c>
      <c r="D18" s="1" t="s">
        <v>2991</v>
      </c>
      <c r="E18" s="1" t="s">
        <v>2992</v>
      </c>
      <c r="F18" s="1" t="s">
        <v>112</v>
      </c>
      <c r="G18" s="1">
        <v>263733</v>
      </c>
      <c r="M18"/>
      <c r="N18"/>
      <c r="O18"/>
      <c r="P18"/>
      <c r="Q18"/>
      <c r="R18"/>
      <c r="S18"/>
      <c r="T18"/>
      <c r="U18"/>
      <c r="V18"/>
      <c r="W18"/>
      <c r="X18"/>
      <c r="Y18"/>
      <c r="Z18"/>
      <c r="AA18"/>
      <c r="AB18"/>
      <c r="AC18"/>
      <c r="AD18"/>
      <c r="AE18"/>
      <c r="AF18"/>
      <c r="AG18"/>
      <c r="AH18"/>
    </row>
    <row r="19" spans="1:34" x14ac:dyDescent="0.35">
      <c r="A19" s="1" t="str">
        <f t="shared" si="0"/>
        <v>1</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9" s="1" t="s">
        <v>2993</v>
      </c>
      <c r="D19" s="1" t="s">
        <v>2994</v>
      </c>
      <c r="E19" s="1" t="s">
        <v>2995</v>
      </c>
      <c r="F19" s="1" t="s">
        <v>112</v>
      </c>
      <c r="G19" s="1">
        <v>273294</v>
      </c>
      <c r="K19"/>
      <c r="L19"/>
      <c r="M19"/>
      <c r="N19"/>
      <c r="O19"/>
      <c r="P19"/>
      <c r="Q19"/>
      <c r="R19"/>
      <c r="S19"/>
      <c r="T19"/>
      <c r="U19"/>
      <c r="V19"/>
      <c r="W19"/>
      <c r="X19"/>
      <c r="Y19"/>
      <c r="Z19"/>
      <c r="AA19"/>
      <c r="AB19"/>
      <c r="AC19"/>
      <c r="AD19"/>
      <c r="AE19"/>
      <c r="AF19"/>
      <c r="AG19"/>
      <c r="AH19"/>
    </row>
    <row r="20" spans="1:34" x14ac:dyDescent="0.35">
      <c r="A20" s="1" t="str">
        <f t="shared" si="0"/>
        <v>1</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0" s="1" t="s">
        <v>2996</v>
      </c>
      <c r="D20" s="1" t="s">
        <v>2997</v>
      </c>
      <c r="E20" s="1" t="s">
        <v>2998</v>
      </c>
      <c r="F20" s="1" t="s">
        <v>112</v>
      </c>
      <c r="G20" s="1">
        <v>300893</v>
      </c>
      <c r="K20"/>
      <c r="L20"/>
      <c r="M20"/>
      <c r="N20"/>
      <c r="O20"/>
      <c r="P20"/>
      <c r="Q20"/>
      <c r="R20"/>
      <c r="S20"/>
      <c r="T20"/>
      <c r="U20"/>
      <c r="V20"/>
      <c r="W20"/>
      <c r="X20"/>
      <c r="Y20"/>
      <c r="Z20"/>
      <c r="AA20"/>
      <c r="AB20"/>
      <c r="AC20"/>
      <c r="AD20"/>
      <c r="AE20"/>
      <c r="AF20"/>
      <c r="AG20"/>
      <c r="AH20"/>
    </row>
    <row r="21" spans="1:34" x14ac:dyDescent="0.35">
      <c r="A21" s="1" t="str">
        <f t="shared" si="0"/>
        <v>1</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 s="1" t="s">
        <v>2999</v>
      </c>
      <c r="D21" s="1" t="s">
        <v>3000</v>
      </c>
      <c r="E21" s="1" t="s">
        <v>3001</v>
      </c>
      <c r="F21" s="1" t="s">
        <v>112</v>
      </c>
      <c r="G21" s="1">
        <v>214893</v>
      </c>
      <c r="K21"/>
      <c r="L21"/>
      <c r="M21"/>
      <c r="N21"/>
      <c r="O21"/>
      <c r="P21"/>
      <c r="Q21"/>
      <c r="R21"/>
      <c r="S21"/>
      <c r="T21"/>
      <c r="U21"/>
      <c r="V21"/>
      <c r="W21"/>
      <c r="X21"/>
      <c r="Y21"/>
      <c r="Z21"/>
      <c r="AA21"/>
      <c r="AB21"/>
      <c r="AC21"/>
      <c r="AD21"/>
      <c r="AE21"/>
      <c r="AF21"/>
      <c r="AG21"/>
      <c r="AH21"/>
    </row>
    <row r="22" spans="1:34" x14ac:dyDescent="0.35">
      <c r="A22" s="1" t="str">
        <f t="shared" si="0"/>
        <v>1</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2" s="1" t="s">
        <v>3002</v>
      </c>
      <c r="D22" s="1" t="s">
        <v>3003</v>
      </c>
      <c r="E22" s="1" t="s">
        <v>3004</v>
      </c>
      <c r="F22" s="1" t="s">
        <v>112</v>
      </c>
      <c r="G22" s="1">
        <v>268319</v>
      </c>
      <c r="K22"/>
      <c r="L22"/>
      <c r="M22"/>
      <c r="N22"/>
      <c r="O22"/>
      <c r="P22"/>
      <c r="Q22"/>
      <c r="R22"/>
      <c r="S22"/>
      <c r="T22"/>
      <c r="U22"/>
      <c r="V22"/>
      <c r="W22"/>
      <c r="X22"/>
      <c r="Y22"/>
      <c r="Z22"/>
      <c r="AA22"/>
      <c r="AB22"/>
      <c r="AC22"/>
      <c r="AD22"/>
      <c r="AE22"/>
      <c r="AF22"/>
      <c r="AG22"/>
      <c r="AH22"/>
    </row>
    <row r="23" spans="1:34" x14ac:dyDescent="0.35">
      <c r="A23" s="1" t="str">
        <f t="shared" si="0"/>
        <v>1</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3" s="1" t="s">
        <v>3005</v>
      </c>
      <c r="D23" s="1" t="s">
        <v>3006</v>
      </c>
      <c r="E23" s="1" t="s">
        <v>3007</v>
      </c>
      <c r="F23" s="1" t="s">
        <v>112</v>
      </c>
      <c r="G23" s="1">
        <v>243423</v>
      </c>
      <c r="K23"/>
      <c r="L23"/>
      <c r="M23"/>
      <c r="N23"/>
      <c r="O23"/>
      <c r="P23"/>
      <c r="Q23"/>
      <c r="R23"/>
      <c r="S23"/>
      <c r="T23"/>
      <c r="U23"/>
      <c r="V23"/>
      <c r="W23"/>
      <c r="X23"/>
      <c r="Y23"/>
      <c r="Z23"/>
      <c r="AA23"/>
      <c r="AB23"/>
      <c r="AC23"/>
      <c r="AD23"/>
      <c r="AE23"/>
      <c r="AF23"/>
      <c r="AG23"/>
      <c r="AH23"/>
    </row>
    <row r="24" spans="1:34" x14ac:dyDescent="0.35">
      <c r="A24" s="1" t="str">
        <f t="shared" si="0"/>
        <v>1</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 s="1" t="s">
        <v>3008</v>
      </c>
      <c r="D24" s="1" t="s">
        <v>3009</v>
      </c>
      <c r="E24" s="1" t="s">
        <v>3010</v>
      </c>
      <c r="F24" s="1" t="s">
        <v>112</v>
      </c>
      <c r="G24" s="1">
        <v>424487</v>
      </c>
      <c r="K24"/>
      <c r="L24"/>
      <c r="M24"/>
      <c r="N24"/>
      <c r="O24"/>
      <c r="P24"/>
      <c r="Q24"/>
      <c r="R24"/>
      <c r="S24"/>
      <c r="T24"/>
      <c r="U24"/>
      <c r="V24"/>
      <c r="W24"/>
      <c r="X24"/>
      <c r="Y24"/>
      <c r="Z24"/>
      <c r="AA24"/>
      <c r="AB24"/>
      <c r="AC24"/>
      <c r="AD24"/>
      <c r="AE24"/>
      <c r="AF24"/>
      <c r="AG24"/>
      <c r="AH24"/>
    </row>
    <row r="25" spans="1:34" x14ac:dyDescent="0.35">
      <c r="A25" s="1" t="str">
        <f t="shared" si="0"/>
        <v>1</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 s="1" t="s">
        <v>3011</v>
      </c>
      <c r="D25" s="1" t="s">
        <v>3012</v>
      </c>
      <c r="E25" s="1" t="s">
        <v>3013</v>
      </c>
      <c r="F25" s="1" t="s">
        <v>112</v>
      </c>
      <c r="G25" s="1">
        <v>361717</v>
      </c>
      <c r="K25"/>
      <c r="L25"/>
      <c r="M25"/>
      <c r="N25"/>
      <c r="O25"/>
      <c r="P25"/>
      <c r="Q25"/>
      <c r="R25"/>
      <c r="S25"/>
      <c r="T25"/>
      <c r="U25"/>
      <c r="V25"/>
      <c r="W25"/>
      <c r="X25"/>
      <c r="Y25"/>
      <c r="Z25"/>
      <c r="AA25"/>
      <c r="AB25"/>
      <c r="AC25"/>
      <c r="AD25"/>
      <c r="AE25"/>
      <c r="AF25"/>
      <c r="AG25"/>
      <c r="AH25"/>
    </row>
    <row r="26" spans="1:34" x14ac:dyDescent="0.35">
      <c r="A26" s="1" t="str">
        <f t="shared" si="0"/>
        <v>1</v>
      </c>
      <c r="B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6" s="1" t="s">
        <v>3014</v>
      </c>
      <c r="D26" s="1" t="s">
        <v>3015</v>
      </c>
      <c r="E26" s="1" t="s">
        <v>3016</v>
      </c>
      <c r="F26" s="1" t="s">
        <v>112</v>
      </c>
      <c r="G26" s="1">
        <v>241044</v>
      </c>
      <c r="K26"/>
      <c r="L26"/>
      <c r="M26"/>
      <c r="N26"/>
      <c r="O26"/>
      <c r="P26"/>
      <c r="Q26"/>
      <c r="R26"/>
      <c r="S26"/>
      <c r="T26"/>
      <c r="U26"/>
      <c r="V26"/>
      <c r="W26"/>
      <c r="X26"/>
      <c r="Y26"/>
      <c r="Z26"/>
      <c r="AA26"/>
      <c r="AB26"/>
      <c r="AC26"/>
      <c r="AD26"/>
      <c r="AE26"/>
      <c r="AF26"/>
      <c r="AG26"/>
      <c r="AH26"/>
    </row>
    <row r="27" spans="1:34" x14ac:dyDescent="0.35">
      <c r="A27" s="1" t="str">
        <f t="shared" si="0"/>
        <v>1</v>
      </c>
      <c r="B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7" s="1" t="s">
        <v>3017</v>
      </c>
      <c r="D27" s="1" t="s">
        <v>3018</v>
      </c>
      <c r="E27" s="1" t="s">
        <v>3019</v>
      </c>
      <c r="F27" s="1" t="s">
        <v>112</v>
      </c>
      <c r="G27" s="1">
        <v>331175</v>
      </c>
      <c r="K27"/>
      <c r="L27"/>
      <c r="M27"/>
      <c r="N27"/>
      <c r="O27"/>
      <c r="P27"/>
      <c r="Q27"/>
      <c r="R27"/>
      <c r="S27"/>
      <c r="T27"/>
      <c r="U27"/>
      <c r="V27"/>
      <c r="W27"/>
      <c r="X27"/>
      <c r="Y27"/>
      <c r="Z27"/>
      <c r="AA27"/>
      <c r="AB27"/>
      <c r="AC27"/>
      <c r="AD27"/>
      <c r="AE27"/>
      <c r="AF27"/>
      <c r="AG27"/>
      <c r="AH27"/>
    </row>
    <row r="28" spans="1:34" x14ac:dyDescent="0.35">
      <c r="A28" s="1" t="str">
        <f t="shared" si="0"/>
        <v>1</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 s="1" t="s">
        <v>3020</v>
      </c>
      <c r="D28" s="1" t="s">
        <v>3021</v>
      </c>
      <c r="E28" s="1" t="s">
        <v>3022</v>
      </c>
      <c r="F28" s="1" t="s">
        <v>112</v>
      </c>
      <c r="G28" s="1">
        <v>221901</v>
      </c>
      <c r="K28"/>
      <c r="L28"/>
      <c r="M28"/>
      <c r="N28"/>
      <c r="O28"/>
      <c r="P28"/>
      <c r="Q28"/>
      <c r="R28"/>
      <c r="S28"/>
      <c r="T28"/>
      <c r="U28"/>
      <c r="V28"/>
      <c r="W28"/>
      <c r="X28"/>
      <c r="Y28"/>
      <c r="Z28"/>
      <c r="AA28"/>
      <c r="AB28"/>
      <c r="AC28"/>
      <c r="AD28"/>
      <c r="AE28"/>
      <c r="AF28"/>
      <c r="AG28"/>
      <c r="AH28"/>
    </row>
    <row r="29" spans="1:34" x14ac:dyDescent="0.35">
      <c r="A29" s="1" t="str">
        <f t="shared" si="0"/>
        <v>1</v>
      </c>
      <c r="B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9" s="1" t="s">
        <v>3023</v>
      </c>
      <c r="D29" s="1" t="s">
        <v>3024</v>
      </c>
      <c r="E29" s="1" t="s">
        <v>3025</v>
      </c>
      <c r="F29" s="1" t="s">
        <v>112</v>
      </c>
      <c r="G29" s="1">
        <v>166918</v>
      </c>
      <c r="K29"/>
      <c r="L29"/>
      <c r="M29"/>
      <c r="N29"/>
      <c r="O29"/>
      <c r="P29"/>
      <c r="Q29"/>
      <c r="R29"/>
      <c r="S29"/>
      <c r="T29"/>
      <c r="U29"/>
      <c r="V29"/>
      <c r="W29"/>
      <c r="X29"/>
      <c r="Y29"/>
      <c r="Z29"/>
      <c r="AA29"/>
      <c r="AB29"/>
      <c r="AC29"/>
      <c r="AD29"/>
      <c r="AE29"/>
      <c r="AF29"/>
      <c r="AG29"/>
      <c r="AH29"/>
    </row>
    <row r="30" spans="1:34" x14ac:dyDescent="0.35">
      <c r="A30" s="1" t="str">
        <f t="shared" si="0"/>
        <v>1</v>
      </c>
      <c r="B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0" s="1" t="s">
        <v>3026</v>
      </c>
      <c r="D30" s="1" t="s">
        <v>3027</v>
      </c>
      <c r="E30" s="1" t="s">
        <v>3028</v>
      </c>
      <c r="F30" s="1" t="s">
        <v>112</v>
      </c>
      <c r="G30" s="1">
        <v>472635</v>
      </c>
      <c r="K30"/>
      <c r="L30"/>
      <c r="M30"/>
      <c r="N30"/>
      <c r="O30"/>
      <c r="P30"/>
      <c r="Q30"/>
      <c r="R30"/>
      <c r="S30"/>
      <c r="T30"/>
      <c r="U30"/>
      <c r="V30"/>
      <c r="W30"/>
      <c r="X30"/>
      <c r="Y30"/>
      <c r="Z30"/>
      <c r="AA30"/>
      <c r="AB30"/>
      <c r="AC30"/>
      <c r="AD30"/>
      <c r="AE30"/>
      <c r="AF30"/>
      <c r="AG30"/>
      <c r="AH30"/>
    </row>
    <row r="31" spans="1:34" x14ac:dyDescent="0.35">
      <c r="A31" s="1" t="str">
        <f t="shared" si="0"/>
        <v>1</v>
      </c>
      <c r="B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1" s="1" t="s">
        <v>3029</v>
      </c>
      <c r="D31" s="1" t="s">
        <v>3030</v>
      </c>
      <c r="E31" s="1" t="s">
        <v>3031</v>
      </c>
      <c r="F31" s="1" t="s">
        <v>112</v>
      </c>
      <c r="G31" s="1">
        <v>220387</v>
      </c>
      <c r="K31"/>
      <c r="L31"/>
      <c r="M31"/>
      <c r="N31"/>
      <c r="O31"/>
      <c r="P31"/>
      <c r="Q31"/>
      <c r="R31"/>
      <c r="S31"/>
      <c r="T31"/>
      <c r="U31"/>
      <c r="V31"/>
      <c r="W31"/>
      <c r="X31"/>
      <c r="Y31"/>
      <c r="Z31"/>
      <c r="AA31"/>
      <c r="AB31"/>
      <c r="AC31"/>
      <c r="AD31"/>
      <c r="AE31"/>
      <c r="AF31"/>
      <c r="AG31"/>
      <c r="AH31"/>
    </row>
    <row r="32" spans="1:34" x14ac:dyDescent="0.35">
      <c r="A32" s="1" t="str">
        <f t="shared" si="0"/>
        <v>1</v>
      </c>
      <c r="B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 s="1" t="s">
        <v>3032</v>
      </c>
      <c r="D32" s="1" t="s">
        <v>943</v>
      </c>
      <c r="E32" s="1" t="s">
        <v>3033</v>
      </c>
      <c r="F32" s="1" t="s">
        <v>112</v>
      </c>
      <c r="G32" s="1">
        <v>5256</v>
      </c>
      <c r="K32"/>
      <c r="L32"/>
      <c r="M32"/>
      <c r="N32"/>
      <c r="O32"/>
      <c r="P32"/>
      <c r="Q32"/>
      <c r="R32"/>
      <c r="S32"/>
      <c r="T32"/>
      <c r="U32"/>
      <c r="V32"/>
      <c r="W32"/>
      <c r="X32"/>
      <c r="Y32"/>
      <c r="Z32"/>
      <c r="AA32"/>
      <c r="AB32"/>
      <c r="AC32"/>
      <c r="AD32"/>
      <c r="AE32"/>
      <c r="AF32"/>
      <c r="AG32"/>
      <c r="AH32"/>
    </row>
    <row r="33" spans="1:34" x14ac:dyDescent="0.35">
      <c r="A33" s="1" t="str">
        <f t="shared" si="0"/>
        <v>1</v>
      </c>
      <c r="B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3" s="1" t="s">
        <v>3034</v>
      </c>
      <c r="D33" s="1" t="s">
        <v>3035</v>
      </c>
      <c r="E33" s="1" t="s">
        <v>3036</v>
      </c>
      <c r="F33" s="1" t="s">
        <v>112</v>
      </c>
      <c r="G33" s="1">
        <v>221642</v>
      </c>
      <c r="K33"/>
      <c r="L33"/>
      <c r="M33"/>
      <c r="N33"/>
      <c r="O33"/>
      <c r="P33"/>
      <c r="Q33"/>
      <c r="R33"/>
      <c r="S33"/>
      <c r="T33"/>
      <c r="U33"/>
      <c r="V33"/>
      <c r="W33"/>
      <c r="X33"/>
      <c r="Y33"/>
      <c r="Z33"/>
      <c r="AA33"/>
      <c r="AB33"/>
      <c r="AC33"/>
      <c r="AD33"/>
      <c r="AE33"/>
      <c r="AF33"/>
      <c r="AG33"/>
      <c r="AH33"/>
    </row>
    <row r="34" spans="1:34" x14ac:dyDescent="0.35">
      <c r="A34" s="1" t="str">
        <f t="shared" si="0"/>
        <v>1</v>
      </c>
      <c r="B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4" s="1" t="s">
        <v>3037</v>
      </c>
      <c r="D34" s="1" t="s">
        <v>186</v>
      </c>
      <c r="E34" s="1" t="s">
        <v>3038</v>
      </c>
      <c r="F34" s="1" t="s">
        <v>112</v>
      </c>
      <c r="G34" s="1">
        <v>290533</v>
      </c>
      <c r="K34"/>
      <c r="L34"/>
      <c r="M34"/>
      <c r="N34"/>
      <c r="O34"/>
      <c r="P34"/>
      <c r="Q34"/>
      <c r="R34"/>
      <c r="S34"/>
      <c r="T34"/>
      <c r="U34"/>
      <c r="V34"/>
      <c r="W34"/>
      <c r="X34"/>
      <c r="Y34"/>
      <c r="Z34"/>
      <c r="AA34"/>
      <c r="AB34"/>
      <c r="AC34"/>
      <c r="AD34"/>
      <c r="AE34"/>
      <c r="AF34"/>
      <c r="AG34"/>
      <c r="AH34"/>
    </row>
    <row r="35" spans="1:34" x14ac:dyDescent="0.35">
      <c r="A35" s="1" t="str">
        <f t="shared" si="0"/>
        <v/>
      </c>
      <c r="B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 s="1" t="s">
        <v>112</v>
      </c>
      <c r="K35"/>
      <c r="L35"/>
      <c r="M35"/>
      <c r="N35"/>
      <c r="O35"/>
      <c r="P35"/>
      <c r="Q35"/>
      <c r="R35"/>
      <c r="S35"/>
      <c r="T35"/>
      <c r="U35"/>
      <c r="V35"/>
      <c r="W35"/>
      <c r="X35"/>
      <c r="Y35"/>
      <c r="Z35"/>
      <c r="AA35"/>
      <c r="AB35"/>
      <c r="AC35"/>
      <c r="AD35"/>
      <c r="AE35"/>
      <c r="AF35"/>
      <c r="AG35"/>
      <c r="AH35"/>
    </row>
    <row r="36" spans="1:34" x14ac:dyDescent="0.35">
      <c r="A36" s="1" t="str">
        <f t="shared" si="0"/>
        <v/>
      </c>
      <c r="B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 s="1" t="s">
        <v>227</v>
      </c>
      <c r="D36" s="1" t="s">
        <v>112</v>
      </c>
      <c r="E36" s="1" t="s">
        <v>228</v>
      </c>
      <c r="F36" s="1" t="s">
        <v>229</v>
      </c>
      <c r="G36" s="1" t="s">
        <v>230</v>
      </c>
      <c r="H36" s="1" t="s">
        <v>231</v>
      </c>
      <c r="K36"/>
      <c r="L36"/>
      <c r="M36"/>
      <c r="N36"/>
      <c r="O36"/>
      <c r="P36"/>
      <c r="Q36"/>
      <c r="R36"/>
      <c r="S36"/>
      <c r="T36"/>
      <c r="U36"/>
      <c r="V36"/>
      <c r="W36"/>
      <c r="X36"/>
      <c r="Y36"/>
      <c r="Z36"/>
      <c r="AA36"/>
      <c r="AB36"/>
      <c r="AC36"/>
      <c r="AD36"/>
      <c r="AE36"/>
      <c r="AF36"/>
      <c r="AG36"/>
      <c r="AH36"/>
    </row>
    <row r="37" spans="1:34" x14ac:dyDescent="0.35">
      <c r="A37" s="1" t="str">
        <f t="shared" si="0"/>
        <v>1</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7" s="1" t="s">
        <v>3039</v>
      </c>
      <c r="D37" s="1" t="s">
        <v>112</v>
      </c>
      <c r="E37" s="1" t="s">
        <v>3040</v>
      </c>
      <c r="F37" s="1" t="s">
        <v>3041</v>
      </c>
      <c r="G37" s="1" t="s">
        <v>3042</v>
      </c>
      <c r="H37" s="1" t="s">
        <v>3043</v>
      </c>
      <c r="K37"/>
      <c r="L37"/>
      <c r="M37"/>
      <c r="N37"/>
      <c r="O37"/>
      <c r="P37"/>
      <c r="Q37"/>
      <c r="R37"/>
      <c r="S37"/>
      <c r="T37"/>
      <c r="U37"/>
      <c r="V37"/>
      <c r="W37"/>
      <c r="X37"/>
      <c r="Y37"/>
      <c r="Z37"/>
      <c r="AA37"/>
      <c r="AB37"/>
      <c r="AC37"/>
      <c r="AD37"/>
      <c r="AE37"/>
      <c r="AF37"/>
      <c r="AG37"/>
      <c r="AH37"/>
    </row>
    <row r="38" spans="1:34" x14ac:dyDescent="0.35">
      <c r="A38" s="1" t="str">
        <f t="shared" si="0"/>
        <v/>
      </c>
      <c r="B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 s="1" t="s">
        <v>112</v>
      </c>
      <c r="K38"/>
      <c r="L38"/>
      <c r="M38"/>
      <c r="N38"/>
      <c r="O38"/>
      <c r="P38"/>
      <c r="Q38"/>
      <c r="R38"/>
      <c r="S38"/>
      <c r="T38"/>
      <c r="U38"/>
      <c r="V38"/>
      <c r="W38"/>
      <c r="X38"/>
      <c r="Y38"/>
      <c r="Z38"/>
      <c r="AA38"/>
      <c r="AB38"/>
      <c r="AC38"/>
      <c r="AD38"/>
      <c r="AE38"/>
      <c r="AF38"/>
      <c r="AG38"/>
      <c r="AH38"/>
    </row>
    <row r="39" spans="1:34" x14ac:dyDescent="0.35">
      <c r="A39" s="1" t="str">
        <f t="shared" si="0"/>
        <v/>
      </c>
      <c r="B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 s="1" t="s">
        <v>112</v>
      </c>
    </row>
    <row r="40" spans="1:34" x14ac:dyDescent="0.35">
      <c r="A40" s="1" t="str">
        <f t="shared" si="0"/>
        <v/>
      </c>
      <c r="B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0" s="1" t="s">
        <v>112</v>
      </c>
    </row>
    <row r="41" spans="1:34" x14ac:dyDescent="0.35">
      <c r="A41" s="1" t="str">
        <f t="shared" si="0"/>
        <v/>
      </c>
      <c r="B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1" s="1" t="s">
        <v>112</v>
      </c>
    </row>
    <row r="42" spans="1:34" x14ac:dyDescent="0.35">
      <c r="A42" s="1" t="str">
        <f t="shared" si="0"/>
        <v/>
      </c>
      <c r="B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 s="1" t="s">
        <v>112</v>
      </c>
    </row>
    <row r="43" spans="1:34" x14ac:dyDescent="0.35">
      <c r="A43" s="1" t="str">
        <f t="shared" si="0"/>
        <v/>
      </c>
      <c r="B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 s="1" t="s">
        <v>171</v>
      </c>
      <c r="D43" s="1" t="s">
        <v>110</v>
      </c>
      <c r="E43" s="1" t="s">
        <v>111</v>
      </c>
      <c r="F43" s="1" t="s">
        <v>112</v>
      </c>
      <c r="G43" s="1" t="s">
        <v>113</v>
      </c>
    </row>
    <row r="44" spans="1:34" x14ac:dyDescent="0.35">
      <c r="A44" s="1" t="str">
        <f t="shared" si="0"/>
        <v>13</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4" s="1" t="s">
        <v>3044</v>
      </c>
      <c r="D44" s="1" t="s">
        <v>192</v>
      </c>
      <c r="E44" s="1" t="s">
        <v>3045</v>
      </c>
      <c r="F44" s="1" t="s">
        <v>112</v>
      </c>
      <c r="G44" s="1">
        <v>322350</v>
      </c>
    </row>
    <row r="45" spans="1:34" x14ac:dyDescent="0.35">
      <c r="A45" s="1" t="str">
        <f t="shared" si="0"/>
        <v>13</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5" s="1" t="s">
        <v>3046</v>
      </c>
      <c r="D45" s="1" t="s">
        <v>2485</v>
      </c>
      <c r="E45" s="1" t="s">
        <v>3047</v>
      </c>
      <c r="F45" s="1" t="s">
        <v>112</v>
      </c>
      <c r="G45" s="1">
        <v>91732</v>
      </c>
    </row>
    <row r="46" spans="1:34" x14ac:dyDescent="0.35">
      <c r="A46" s="1" t="str">
        <f t="shared" si="0"/>
        <v>13</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 s="1" t="s">
        <v>3048</v>
      </c>
      <c r="D46" s="1" t="s">
        <v>3049</v>
      </c>
      <c r="E46" s="1" t="s">
        <v>3050</v>
      </c>
      <c r="F46" s="1" t="s">
        <v>112</v>
      </c>
      <c r="G46" s="1">
        <v>304700</v>
      </c>
    </row>
    <row r="47" spans="1:34" x14ac:dyDescent="0.35">
      <c r="A47" s="1" t="str">
        <f t="shared" si="0"/>
        <v>13</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7" s="1" t="s">
        <v>3051</v>
      </c>
      <c r="D47" s="1" t="s">
        <v>2437</v>
      </c>
      <c r="E47" s="1" t="s">
        <v>3052</v>
      </c>
      <c r="F47" s="1" t="s">
        <v>112</v>
      </c>
      <c r="G47" s="1">
        <v>178555</v>
      </c>
    </row>
    <row r="48" spans="1:34" x14ac:dyDescent="0.35">
      <c r="A48" s="1" t="str">
        <f t="shared" si="0"/>
        <v>13</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8" s="1" t="s">
        <v>3053</v>
      </c>
      <c r="D48" s="1" t="s">
        <v>3054</v>
      </c>
      <c r="E48" s="1" t="s">
        <v>3055</v>
      </c>
      <c r="F48" s="1" t="s">
        <v>112</v>
      </c>
      <c r="G48" s="1">
        <v>1609891</v>
      </c>
    </row>
    <row r="49" spans="1:7" x14ac:dyDescent="0.35">
      <c r="A49" s="1" t="str">
        <f t="shared" si="0"/>
        <v>13</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9" s="1" t="s">
        <v>3056</v>
      </c>
      <c r="D49" s="1" t="s">
        <v>3057</v>
      </c>
      <c r="E49" s="1" t="s">
        <v>3058</v>
      </c>
      <c r="F49" s="1" t="s">
        <v>112</v>
      </c>
      <c r="G49" s="1">
        <v>2449997</v>
      </c>
    </row>
    <row r="50" spans="1:7" x14ac:dyDescent="0.35">
      <c r="A50" s="1" t="str">
        <f t="shared" si="0"/>
        <v>13</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 s="1" t="s">
        <v>3059</v>
      </c>
      <c r="D50" s="1" t="s">
        <v>3060</v>
      </c>
      <c r="E50" s="1" t="s">
        <v>3061</v>
      </c>
      <c r="F50" s="1" t="s">
        <v>112</v>
      </c>
      <c r="G50" s="1">
        <v>2215312</v>
      </c>
    </row>
    <row r="51" spans="1:7" x14ac:dyDescent="0.35">
      <c r="A51" s="1" t="str">
        <f t="shared" si="0"/>
        <v>13</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1" s="1" t="s">
        <v>3062</v>
      </c>
      <c r="D51" s="1" t="s">
        <v>3063</v>
      </c>
      <c r="E51" s="1" t="s">
        <v>3064</v>
      </c>
      <c r="F51" s="1" t="s">
        <v>112</v>
      </c>
      <c r="G51" s="1">
        <v>3259301</v>
      </c>
    </row>
    <row r="52" spans="1:7" x14ac:dyDescent="0.35">
      <c r="A52" s="1" t="str">
        <f t="shared" si="0"/>
        <v>13</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2" s="1" t="s">
        <v>3065</v>
      </c>
      <c r="D52" s="1" t="s">
        <v>3066</v>
      </c>
      <c r="E52" s="1" t="s">
        <v>3067</v>
      </c>
      <c r="F52" s="1" t="s">
        <v>112</v>
      </c>
      <c r="G52" s="1">
        <v>1767206</v>
      </c>
    </row>
    <row r="53" spans="1:7" x14ac:dyDescent="0.35">
      <c r="A53" s="1" t="str">
        <f t="shared" si="0"/>
        <v>13</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 s="1" t="s">
        <v>3068</v>
      </c>
      <c r="D53" s="1" t="s">
        <v>3069</v>
      </c>
      <c r="E53" s="1" t="s">
        <v>3070</v>
      </c>
      <c r="F53" s="1" t="s">
        <v>112</v>
      </c>
      <c r="G53" s="1">
        <v>1796082</v>
      </c>
    </row>
    <row r="54" spans="1:7" x14ac:dyDescent="0.35">
      <c r="A54" s="1" t="str">
        <f t="shared" si="0"/>
        <v>13</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4" s="1" t="s">
        <v>3071</v>
      </c>
      <c r="D54" s="1" t="s">
        <v>3072</v>
      </c>
      <c r="E54" s="1" t="s">
        <v>3073</v>
      </c>
      <c r="F54" s="1" t="s">
        <v>112</v>
      </c>
      <c r="G54" s="1">
        <v>1797769</v>
      </c>
    </row>
    <row r="55" spans="1:7" x14ac:dyDescent="0.35">
      <c r="A55" s="1" t="str">
        <f t="shared" si="0"/>
        <v>13</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5" s="1" t="s">
        <v>3074</v>
      </c>
      <c r="D55" s="1" t="s">
        <v>349</v>
      </c>
      <c r="E55" s="1" t="s">
        <v>3075</v>
      </c>
      <c r="F55" s="1" t="s">
        <v>112</v>
      </c>
      <c r="G55" s="1">
        <v>1854872</v>
      </c>
    </row>
    <row r="56" spans="1:7" x14ac:dyDescent="0.35">
      <c r="A56" s="1" t="str">
        <f t="shared" si="0"/>
        <v>13</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6" s="1" t="s">
        <v>3076</v>
      </c>
      <c r="D56" s="1" t="s">
        <v>3077</v>
      </c>
      <c r="E56" s="1" t="s">
        <v>3078</v>
      </c>
      <c r="F56" s="1" t="s">
        <v>112</v>
      </c>
      <c r="G56" s="1">
        <v>2462845</v>
      </c>
    </row>
    <row r="57" spans="1:7" x14ac:dyDescent="0.35">
      <c r="A57" s="1" t="str">
        <f t="shared" si="0"/>
        <v>13</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 s="1" t="s">
        <v>3079</v>
      </c>
    </row>
    <row r="58" spans="1:7" x14ac:dyDescent="0.35">
      <c r="A58" s="1" t="str">
        <f t="shared" si="0"/>
        <v>13</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8" s="1" t="s">
        <v>3080</v>
      </c>
      <c r="D58" s="1" t="s">
        <v>3081</v>
      </c>
      <c r="E58" s="1" t="s">
        <v>3082</v>
      </c>
      <c r="F58" s="1" t="s">
        <v>112</v>
      </c>
      <c r="G58" s="1">
        <v>2494403</v>
      </c>
    </row>
    <row r="59" spans="1:7" x14ac:dyDescent="0.35">
      <c r="A59" s="1" t="str">
        <f t="shared" si="0"/>
        <v>13</v>
      </c>
      <c r="B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9" s="1" t="s">
        <v>3083</v>
      </c>
      <c r="D59" s="1" t="s">
        <v>3084</v>
      </c>
      <c r="E59" s="1" t="s">
        <v>3085</v>
      </c>
      <c r="F59" s="1" t="s">
        <v>112</v>
      </c>
      <c r="G59" s="1">
        <v>2402649</v>
      </c>
    </row>
    <row r="60" spans="1:7" x14ac:dyDescent="0.35">
      <c r="A60" s="1" t="str">
        <f t="shared" si="0"/>
        <v>13</v>
      </c>
      <c r="B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 s="1" t="s">
        <v>3086</v>
      </c>
      <c r="D60" s="1" t="s">
        <v>3087</v>
      </c>
      <c r="E60" s="1" t="s">
        <v>3088</v>
      </c>
      <c r="F60" s="1" t="s">
        <v>112</v>
      </c>
      <c r="G60" s="1">
        <v>657441</v>
      </c>
    </row>
    <row r="61" spans="1:7" x14ac:dyDescent="0.35">
      <c r="A61" s="1" t="str">
        <f t="shared" si="0"/>
        <v>13</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 s="1" t="s">
        <v>3089</v>
      </c>
    </row>
    <row r="62" spans="1:7" x14ac:dyDescent="0.35">
      <c r="A62" s="1" t="str">
        <f t="shared" si="0"/>
        <v>13</v>
      </c>
      <c r="B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2" s="1" t="s">
        <v>3090</v>
      </c>
      <c r="D62" s="1" t="s">
        <v>3091</v>
      </c>
      <c r="E62" s="1" t="s">
        <v>3092</v>
      </c>
      <c r="F62" s="1" t="s">
        <v>112</v>
      </c>
      <c r="G62" s="1">
        <v>847092</v>
      </c>
    </row>
    <row r="63" spans="1:7" x14ac:dyDescent="0.35">
      <c r="A63" s="1" t="str">
        <f t="shared" si="0"/>
        <v>13</v>
      </c>
      <c r="B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3" s="1" t="s">
        <v>3093</v>
      </c>
      <c r="D63" s="1" t="s">
        <v>3094</v>
      </c>
      <c r="E63" s="1" t="s">
        <v>3095</v>
      </c>
      <c r="F63" s="1" t="s">
        <v>112</v>
      </c>
      <c r="G63" s="1">
        <v>408718</v>
      </c>
    </row>
    <row r="64" spans="1:7" x14ac:dyDescent="0.35">
      <c r="A64" s="1" t="str">
        <f t="shared" si="0"/>
        <v>13</v>
      </c>
      <c r="B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 s="1" t="s">
        <v>3096</v>
      </c>
    </row>
    <row r="65" spans="1:8" x14ac:dyDescent="0.35">
      <c r="A65" s="1" t="str">
        <f t="shared" si="0"/>
        <v>13</v>
      </c>
      <c r="B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5" s="1" t="s">
        <v>3097</v>
      </c>
      <c r="D65" s="1" t="s">
        <v>439</v>
      </c>
      <c r="E65" s="1" t="s">
        <v>3098</v>
      </c>
      <c r="F65" s="1" t="s">
        <v>112</v>
      </c>
      <c r="G65" s="1">
        <v>3142889</v>
      </c>
    </row>
    <row r="66" spans="1:8" x14ac:dyDescent="0.35">
      <c r="A66" s="1" t="str">
        <f t="shared" ref="A66:A129" si="1">IFERROR(LEFT(RIGHT(C66,LEN(C66)-SEARCH("@",C66)),SEARCH("/",RIGHT(C66,LEN(C66)-SEARCH("@",C66)-1))),"")</f>
        <v>13</v>
      </c>
      <c r="B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6" s="1" t="s">
        <v>3099</v>
      </c>
      <c r="D66" s="1" t="s">
        <v>3100</v>
      </c>
      <c r="E66" s="1" t="s">
        <v>3101</v>
      </c>
      <c r="F66" s="1" t="s">
        <v>112</v>
      </c>
      <c r="G66" s="1">
        <v>3583814</v>
      </c>
    </row>
    <row r="67" spans="1:8" x14ac:dyDescent="0.35">
      <c r="A67" s="1" t="str">
        <f t="shared" si="1"/>
        <v>13</v>
      </c>
      <c r="B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 s="1" t="s">
        <v>3102</v>
      </c>
      <c r="D67" s="1" t="s">
        <v>3103</v>
      </c>
      <c r="E67" s="1" t="s">
        <v>3104</v>
      </c>
      <c r="F67" s="1" t="s">
        <v>112</v>
      </c>
      <c r="G67" s="1">
        <v>3401366</v>
      </c>
    </row>
    <row r="68" spans="1:8" x14ac:dyDescent="0.35">
      <c r="A68" s="1" t="str">
        <f t="shared" si="1"/>
        <v>13</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 s="1" t="s">
        <v>3105</v>
      </c>
      <c r="D68" s="1" t="s">
        <v>3106</v>
      </c>
      <c r="E68" s="1" t="s">
        <v>3107</v>
      </c>
      <c r="F68" s="1" t="s">
        <v>112</v>
      </c>
      <c r="G68" s="1">
        <v>2437040</v>
      </c>
    </row>
    <row r="69" spans="1:8" x14ac:dyDescent="0.35">
      <c r="A69" s="1" t="str">
        <f t="shared" si="1"/>
        <v>13</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9" s="1" t="s">
        <v>3108</v>
      </c>
      <c r="D69" s="1" t="s">
        <v>887</v>
      </c>
      <c r="E69" s="1" t="s">
        <v>3109</v>
      </c>
      <c r="F69" s="1" t="s">
        <v>112</v>
      </c>
      <c r="G69" s="1">
        <v>2281435</v>
      </c>
    </row>
    <row r="70" spans="1:8" x14ac:dyDescent="0.35">
      <c r="A70" s="1" t="str">
        <f t="shared" si="1"/>
        <v>13</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0" s="1" t="s">
        <v>3110</v>
      </c>
      <c r="D70" s="1" t="s">
        <v>648</v>
      </c>
      <c r="E70" s="1" t="s">
        <v>3111</v>
      </c>
      <c r="F70" s="1" t="s">
        <v>112</v>
      </c>
      <c r="G70" s="1">
        <v>2495787</v>
      </c>
    </row>
    <row r="71" spans="1:8" x14ac:dyDescent="0.35">
      <c r="A71" s="1" t="str">
        <f t="shared" si="1"/>
        <v>13</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1" s="1" t="s">
        <v>3112</v>
      </c>
      <c r="D71" s="1" t="s">
        <v>3113</v>
      </c>
      <c r="E71" s="1" t="s">
        <v>3114</v>
      </c>
      <c r="F71" s="1" t="s">
        <v>112</v>
      </c>
      <c r="G71" s="1">
        <v>1659099</v>
      </c>
    </row>
    <row r="72" spans="1:8" x14ac:dyDescent="0.35">
      <c r="A72" s="1" t="str">
        <f t="shared" si="1"/>
        <v>13</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2" s="1" t="s">
        <v>3115</v>
      </c>
      <c r="D72" s="1" t="s">
        <v>3116</v>
      </c>
      <c r="E72" s="1" t="s">
        <v>3117</v>
      </c>
      <c r="F72" s="1" t="s">
        <v>112</v>
      </c>
      <c r="G72" s="1">
        <v>3673989</v>
      </c>
    </row>
    <row r="73" spans="1:8" x14ac:dyDescent="0.35">
      <c r="A73" s="1" t="str">
        <f t="shared" si="1"/>
        <v>13</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3" s="1" t="s">
        <v>3118</v>
      </c>
    </row>
    <row r="74" spans="1:8" x14ac:dyDescent="0.35">
      <c r="A74" s="1" t="str">
        <f t="shared" si="1"/>
        <v>13</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4" s="1" t="s">
        <v>3119</v>
      </c>
    </row>
    <row r="75" spans="1:8" x14ac:dyDescent="0.35">
      <c r="A75" s="1" t="str">
        <f t="shared" si="1"/>
        <v>13</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5" s="1" t="s">
        <v>3120</v>
      </c>
      <c r="D75" s="1" t="s">
        <v>3121</v>
      </c>
      <c r="E75" s="1" t="s">
        <v>3122</v>
      </c>
      <c r="F75" s="1" t="s">
        <v>112</v>
      </c>
      <c r="G75" s="1">
        <v>4066680</v>
      </c>
    </row>
    <row r="76" spans="1:8" x14ac:dyDescent="0.35">
      <c r="A76" s="1" t="str">
        <f t="shared" si="1"/>
        <v/>
      </c>
      <c r="B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6" s="1" t="s">
        <v>112</v>
      </c>
    </row>
    <row r="77" spans="1:8" x14ac:dyDescent="0.35">
      <c r="A77" s="1" t="str">
        <f t="shared" si="1"/>
        <v/>
      </c>
      <c r="B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7" s="1" t="s">
        <v>227</v>
      </c>
      <c r="D77" s="1" t="s">
        <v>112</v>
      </c>
      <c r="E77" s="1" t="s">
        <v>228</v>
      </c>
      <c r="F77" s="1" t="s">
        <v>229</v>
      </c>
      <c r="G77" s="1" t="s">
        <v>230</v>
      </c>
      <c r="H77" s="1" t="s">
        <v>231</v>
      </c>
    </row>
    <row r="78" spans="1:8" x14ac:dyDescent="0.35">
      <c r="A78" s="1" t="str">
        <f t="shared" si="1"/>
        <v>13</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78" s="1" t="s">
        <v>3123</v>
      </c>
      <c r="D78" s="1" t="s">
        <v>112</v>
      </c>
      <c r="E78" s="1" t="s">
        <v>3124</v>
      </c>
      <c r="F78" s="1" t="s">
        <v>3125</v>
      </c>
      <c r="G78" s="1" t="s">
        <v>3126</v>
      </c>
      <c r="H78" s="1" t="s">
        <v>3127</v>
      </c>
    </row>
    <row r="79" spans="1:8" x14ac:dyDescent="0.35">
      <c r="A79" s="1" t="str">
        <f t="shared" si="1"/>
        <v/>
      </c>
      <c r="B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9" s="1" t="s">
        <v>112</v>
      </c>
    </row>
    <row r="80" spans="1:8" x14ac:dyDescent="0.35">
      <c r="A80" s="1" t="str">
        <f t="shared" si="1"/>
        <v/>
      </c>
      <c r="B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0" s="1" t="s">
        <v>112</v>
      </c>
    </row>
    <row r="81" spans="1:7" x14ac:dyDescent="0.35">
      <c r="A81" s="1" t="str">
        <f t="shared" si="1"/>
        <v/>
      </c>
      <c r="B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1" s="1" t="s">
        <v>112</v>
      </c>
    </row>
    <row r="82" spans="1:7" x14ac:dyDescent="0.35">
      <c r="A82" s="1" t="str">
        <f t="shared" si="1"/>
        <v/>
      </c>
      <c r="B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2" s="1" t="s">
        <v>112</v>
      </c>
    </row>
    <row r="83" spans="1:7" x14ac:dyDescent="0.35">
      <c r="A83" s="1" t="str">
        <f t="shared" si="1"/>
        <v/>
      </c>
      <c r="B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3" s="1" t="s">
        <v>112</v>
      </c>
    </row>
    <row r="84" spans="1:7" x14ac:dyDescent="0.35">
      <c r="A84" s="1" t="str">
        <f t="shared" si="1"/>
        <v/>
      </c>
      <c r="B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4" s="1" t="s">
        <v>171</v>
      </c>
      <c r="D84" s="1" t="s">
        <v>110</v>
      </c>
      <c r="E84" s="1" t="s">
        <v>111</v>
      </c>
      <c r="F84" s="1" t="s">
        <v>112</v>
      </c>
      <c r="G84" s="1" t="s">
        <v>113</v>
      </c>
    </row>
    <row r="85" spans="1:7" x14ac:dyDescent="0.35">
      <c r="A85" s="1" t="str">
        <f t="shared" si="1"/>
        <v>14</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85" s="1" t="s">
        <v>3128</v>
      </c>
      <c r="D85" s="1" t="s">
        <v>3129</v>
      </c>
      <c r="E85" s="1" t="s">
        <v>3130</v>
      </c>
      <c r="F85" s="1" t="s">
        <v>112</v>
      </c>
      <c r="G85" s="1">
        <v>802210</v>
      </c>
    </row>
    <row r="86" spans="1:7" x14ac:dyDescent="0.35">
      <c r="A86" s="1" t="str">
        <f t="shared" si="1"/>
        <v>14</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86" s="1" t="s">
        <v>3131</v>
      </c>
      <c r="D86" s="1" t="s">
        <v>3132</v>
      </c>
      <c r="E86" s="1" t="s">
        <v>3133</v>
      </c>
      <c r="F86" s="1" t="s">
        <v>112</v>
      </c>
      <c r="G86" s="1">
        <v>629279</v>
      </c>
    </row>
    <row r="87" spans="1:7" x14ac:dyDescent="0.35">
      <c r="A87" s="1" t="str">
        <f t="shared" si="1"/>
        <v>14</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87" s="1" t="s">
        <v>3134</v>
      </c>
      <c r="D87" s="1" t="s">
        <v>534</v>
      </c>
      <c r="E87" s="1" t="s">
        <v>3135</v>
      </c>
      <c r="F87" s="1" t="s">
        <v>112</v>
      </c>
      <c r="G87" s="1">
        <v>610980</v>
      </c>
    </row>
    <row r="88" spans="1:7" x14ac:dyDescent="0.35">
      <c r="A88" s="1" t="str">
        <f t="shared" si="1"/>
        <v>14</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88" s="1" t="s">
        <v>3136</v>
      </c>
      <c r="D88" s="1" t="s">
        <v>3137</v>
      </c>
      <c r="E88" s="1" t="s">
        <v>3138</v>
      </c>
      <c r="F88" s="1" t="s">
        <v>112</v>
      </c>
      <c r="G88" s="1">
        <v>744761</v>
      </c>
    </row>
    <row r="89" spans="1:7" x14ac:dyDescent="0.35">
      <c r="A89" s="1" t="str">
        <f t="shared" si="1"/>
        <v>14</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89" s="1" t="s">
        <v>3139</v>
      </c>
      <c r="D89" s="1" t="s">
        <v>3140</v>
      </c>
      <c r="E89" s="1" t="s">
        <v>3141</v>
      </c>
      <c r="F89" s="1" t="s">
        <v>112</v>
      </c>
      <c r="G89" s="1">
        <v>240741</v>
      </c>
    </row>
    <row r="90" spans="1:7" x14ac:dyDescent="0.35">
      <c r="A90" s="1" t="str">
        <f t="shared" si="1"/>
        <v>14</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90" s="1" t="s">
        <v>3142</v>
      </c>
      <c r="D90" s="1" t="s">
        <v>3143</v>
      </c>
      <c r="E90" s="1" t="s">
        <v>3144</v>
      </c>
      <c r="F90" s="1" t="s">
        <v>112</v>
      </c>
      <c r="G90" s="1">
        <v>216926</v>
      </c>
    </row>
    <row r="91" spans="1:7" x14ac:dyDescent="0.35">
      <c r="A91" s="1" t="str">
        <f t="shared" si="1"/>
        <v>14</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91" s="1" t="s">
        <v>3145</v>
      </c>
      <c r="D91" s="1" t="s">
        <v>1613</v>
      </c>
      <c r="E91" s="1" t="s">
        <v>3146</v>
      </c>
      <c r="F91" s="1" t="s">
        <v>112</v>
      </c>
      <c r="G91" s="1">
        <v>279264</v>
      </c>
    </row>
    <row r="92" spans="1:7" x14ac:dyDescent="0.35">
      <c r="A92" s="1" t="str">
        <f t="shared" si="1"/>
        <v>14</v>
      </c>
      <c r="B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92" s="1" t="s">
        <v>3147</v>
      </c>
      <c r="D92" s="1" t="s">
        <v>3148</v>
      </c>
      <c r="E92" s="1" t="s">
        <v>3149</v>
      </c>
      <c r="F92" s="1" t="s">
        <v>112</v>
      </c>
      <c r="G92" s="1">
        <v>835217</v>
      </c>
    </row>
    <row r="93" spans="1:7" x14ac:dyDescent="0.35">
      <c r="A93" s="1" t="str">
        <f t="shared" si="1"/>
        <v>14</v>
      </c>
      <c r="B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3" s="1" t="s">
        <v>3150</v>
      </c>
      <c r="D93" s="1" t="s">
        <v>3151</v>
      </c>
      <c r="E93" s="1" t="s">
        <v>3152</v>
      </c>
      <c r="F93" s="1" t="s">
        <v>112</v>
      </c>
      <c r="G93" s="1">
        <v>2456139</v>
      </c>
    </row>
    <row r="94" spans="1:7" x14ac:dyDescent="0.35">
      <c r="A94" s="1" t="str">
        <f t="shared" si="1"/>
        <v>14</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4" s="1" t="s">
        <v>3153</v>
      </c>
      <c r="D94" s="1" t="s">
        <v>3154</v>
      </c>
      <c r="E94" s="1" t="s">
        <v>3155</v>
      </c>
      <c r="F94" s="1" t="s">
        <v>112</v>
      </c>
      <c r="G94" s="1">
        <v>2093644</v>
      </c>
    </row>
    <row r="95" spans="1:7" x14ac:dyDescent="0.35">
      <c r="A95" s="1" t="str">
        <f t="shared" si="1"/>
        <v>14</v>
      </c>
      <c r="B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5" s="1" t="s">
        <v>3156</v>
      </c>
      <c r="D95" s="1" t="s">
        <v>3157</v>
      </c>
      <c r="E95" s="1" t="s">
        <v>3158</v>
      </c>
      <c r="F95" s="1" t="s">
        <v>112</v>
      </c>
      <c r="G95" s="1">
        <v>2749441</v>
      </c>
    </row>
    <row r="96" spans="1:7" x14ac:dyDescent="0.35">
      <c r="A96" s="1" t="str">
        <f t="shared" si="1"/>
        <v>14</v>
      </c>
      <c r="B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6" s="1" t="s">
        <v>3159</v>
      </c>
    </row>
    <row r="97" spans="1:7" x14ac:dyDescent="0.35">
      <c r="A97" s="1" t="str">
        <f t="shared" si="1"/>
        <v>14</v>
      </c>
      <c r="B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97" s="1" t="s">
        <v>3160</v>
      </c>
      <c r="D97" s="1" t="s">
        <v>3161</v>
      </c>
      <c r="E97" s="1" t="s">
        <v>3162</v>
      </c>
      <c r="F97" s="1" t="s">
        <v>112</v>
      </c>
      <c r="G97" s="1">
        <v>1438518</v>
      </c>
    </row>
    <row r="98" spans="1:7" x14ac:dyDescent="0.35">
      <c r="A98" s="1" t="str">
        <f t="shared" si="1"/>
        <v>14</v>
      </c>
      <c r="B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98" s="1" t="s">
        <v>3163</v>
      </c>
    </row>
    <row r="99" spans="1:7" x14ac:dyDescent="0.35">
      <c r="A99" s="1" t="str">
        <f t="shared" si="1"/>
        <v>14</v>
      </c>
      <c r="B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99" s="1" t="s">
        <v>3164</v>
      </c>
      <c r="D99" s="1" t="s">
        <v>3165</v>
      </c>
      <c r="E99" s="1" t="s">
        <v>3166</v>
      </c>
      <c r="F99" s="1" t="s">
        <v>112</v>
      </c>
      <c r="G99" s="1">
        <v>997225</v>
      </c>
    </row>
    <row r="100" spans="1:7" x14ac:dyDescent="0.35">
      <c r="A100" s="1" t="str">
        <f t="shared" si="1"/>
        <v>14</v>
      </c>
      <c r="B1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00" s="1" t="s">
        <v>3167</v>
      </c>
      <c r="D100" s="1" t="s">
        <v>3168</v>
      </c>
      <c r="E100" s="1" t="s">
        <v>3169</v>
      </c>
      <c r="F100" s="1" t="s">
        <v>112</v>
      </c>
      <c r="G100" s="1">
        <v>886566</v>
      </c>
    </row>
    <row r="101" spans="1:7" x14ac:dyDescent="0.35">
      <c r="A101" s="1" t="str">
        <f t="shared" si="1"/>
        <v>14</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01" s="1" t="s">
        <v>3170</v>
      </c>
      <c r="D101" s="1" t="s">
        <v>2232</v>
      </c>
      <c r="E101" s="1" t="s">
        <v>3171</v>
      </c>
      <c r="F101" s="1" t="s">
        <v>112</v>
      </c>
      <c r="G101" s="1">
        <v>2123017</v>
      </c>
    </row>
    <row r="102" spans="1:7" x14ac:dyDescent="0.35">
      <c r="A102" s="1" t="str">
        <f t="shared" si="1"/>
        <v>14</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02" s="1" t="s">
        <v>3172</v>
      </c>
      <c r="D102" s="1" t="s">
        <v>3173</v>
      </c>
      <c r="E102" s="1" t="s">
        <v>3174</v>
      </c>
      <c r="F102" s="1" t="s">
        <v>112</v>
      </c>
      <c r="G102" s="1">
        <v>2143198</v>
      </c>
    </row>
    <row r="103" spans="1:7" x14ac:dyDescent="0.35">
      <c r="A103" s="1" t="str">
        <f t="shared" si="1"/>
        <v>14</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03" s="1" t="s">
        <v>3175</v>
      </c>
      <c r="D103" s="1" t="s">
        <v>3176</v>
      </c>
      <c r="E103" s="1" t="s">
        <v>3177</v>
      </c>
      <c r="F103" s="1" t="s">
        <v>112</v>
      </c>
      <c r="G103" s="1">
        <v>1964341</v>
      </c>
    </row>
    <row r="104" spans="1:7" x14ac:dyDescent="0.35">
      <c r="A104" s="1" t="str">
        <f t="shared" si="1"/>
        <v>14</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04" s="1" t="s">
        <v>3178</v>
      </c>
      <c r="D104" s="1" t="s">
        <v>3179</v>
      </c>
      <c r="E104" s="1" t="s">
        <v>3180</v>
      </c>
      <c r="F104" s="1" t="s">
        <v>112</v>
      </c>
      <c r="G104" s="1">
        <v>2110645</v>
      </c>
    </row>
    <row r="105" spans="1:7" x14ac:dyDescent="0.35">
      <c r="A105" s="1" t="str">
        <f t="shared" si="1"/>
        <v>14</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05" s="1" t="s">
        <v>3181</v>
      </c>
      <c r="D105" s="1" t="s">
        <v>3182</v>
      </c>
      <c r="E105" s="1" t="s">
        <v>3183</v>
      </c>
      <c r="F105" s="1" t="s">
        <v>112</v>
      </c>
      <c r="G105" s="1">
        <v>1803630</v>
      </c>
    </row>
    <row r="106" spans="1:7" x14ac:dyDescent="0.35">
      <c r="A106" s="1" t="str">
        <f t="shared" si="1"/>
        <v>14</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06" s="1" t="s">
        <v>3184</v>
      </c>
      <c r="D106" s="1" t="s">
        <v>3185</v>
      </c>
      <c r="E106" s="1" t="s">
        <v>3186</v>
      </c>
      <c r="F106" s="1" t="s">
        <v>112</v>
      </c>
      <c r="G106" s="1">
        <v>1928521</v>
      </c>
    </row>
    <row r="107" spans="1:7" x14ac:dyDescent="0.35">
      <c r="A107" s="1" t="str">
        <f t="shared" si="1"/>
        <v>14</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07" s="1" t="s">
        <v>3187</v>
      </c>
      <c r="D107" s="1" t="s">
        <v>2617</v>
      </c>
      <c r="E107" s="1" t="s">
        <v>3188</v>
      </c>
      <c r="F107" s="1" t="s">
        <v>112</v>
      </c>
      <c r="G107" s="1">
        <v>2118367</v>
      </c>
    </row>
    <row r="108" spans="1:7" x14ac:dyDescent="0.35">
      <c r="A108" s="1" t="str">
        <f t="shared" si="1"/>
        <v>14</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08" s="1" t="s">
        <v>3189</v>
      </c>
      <c r="D108" s="1" t="s">
        <v>3190</v>
      </c>
      <c r="E108" s="1" t="s">
        <v>3191</v>
      </c>
      <c r="F108" s="1" t="s">
        <v>112</v>
      </c>
      <c r="G108" s="1">
        <v>2355171</v>
      </c>
    </row>
    <row r="109" spans="1:7" x14ac:dyDescent="0.35">
      <c r="A109" s="1" t="str">
        <f t="shared" si="1"/>
        <v>14</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09" s="1" t="s">
        <v>3192</v>
      </c>
      <c r="D109" s="1" t="s">
        <v>3193</v>
      </c>
      <c r="E109" s="1" t="s">
        <v>3194</v>
      </c>
      <c r="F109" s="1" t="s">
        <v>112</v>
      </c>
      <c r="G109" s="1">
        <v>2455123</v>
      </c>
    </row>
    <row r="110" spans="1:7" x14ac:dyDescent="0.35">
      <c r="A110" s="1" t="str">
        <f t="shared" si="1"/>
        <v>14</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0" s="1" t="s">
        <v>3195</v>
      </c>
      <c r="D110" s="1" t="s">
        <v>3196</v>
      </c>
      <c r="E110" s="1" t="s">
        <v>3197</v>
      </c>
      <c r="F110" s="1" t="s">
        <v>112</v>
      </c>
      <c r="G110" s="1">
        <v>2496155</v>
      </c>
    </row>
    <row r="111" spans="1:7" x14ac:dyDescent="0.35">
      <c r="A111" s="1" t="str">
        <f t="shared" si="1"/>
        <v>14</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1" s="1" t="s">
        <v>3198</v>
      </c>
      <c r="D111" s="1" t="s">
        <v>3199</v>
      </c>
      <c r="E111" s="1" t="s">
        <v>3200</v>
      </c>
      <c r="F111" s="1" t="s">
        <v>112</v>
      </c>
      <c r="G111" s="1">
        <v>2492261</v>
      </c>
    </row>
    <row r="112" spans="1:7" x14ac:dyDescent="0.35">
      <c r="A112" s="1" t="str">
        <f t="shared" si="1"/>
        <v>14</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2" s="1" t="s">
        <v>3201</v>
      </c>
      <c r="D112" s="1" t="s">
        <v>1846</v>
      </c>
      <c r="E112" s="1" t="s">
        <v>3202</v>
      </c>
      <c r="F112" s="1" t="s">
        <v>112</v>
      </c>
      <c r="G112" s="1">
        <v>2729433</v>
      </c>
    </row>
    <row r="113" spans="1:8" x14ac:dyDescent="0.35">
      <c r="A113" s="1" t="str">
        <f t="shared" si="1"/>
        <v>14</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13" s="1" t="s">
        <v>3203</v>
      </c>
      <c r="D113" s="1" t="s">
        <v>3204</v>
      </c>
      <c r="E113" s="1" t="s">
        <v>3205</v>
      </c>
      <c r="F113" s="1" t="s">
        <v>112</v>
      </c>
      <c r="G113" s="1">
        <v>2170819</v>
      </c>
    </row>
    <row r="114" spans="1:8" x14ac:dyDescent="0.35">
      <c r="A114" s="1" t="str">
        <f t="shared" si="1"/>
        <v>14</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14" s="1" t="s">
        <v>3206</v>
      </c>
      <c r="D114" s="1" t="s">
        <v>761</v>
      </c>
      <c r="E114" s="1" t="s">
        <v>3207</v>
      </c>
      <c r="F114" s="1" t="s">
        <v>112</v>
      </c>
      <c r="G114" s="1">
        <v>2303367</v>
      </c>
    </row>
    <row r="115" spans="1:8" x14ac:dyDescent="0.35">
      <c r="A115" s="1" t="str">
        <f t="shared" si="1"/>
        <v>14</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15" s="1" t="s">
        <v>3208</v>
      </c>
      <c r="D115" s="1" t="s">
        <v>3209</v>
      </c>
      <c r="E115" s="1" t="s">
        <v>3210</v>
      </c>
      <c r="F115" s="1" t="s">
        <v>112</v>
      </c>
      <c r="G115" s="1">
        <v>2427220</v>
      </c>
    </row>
    <row r="116" spans="1:8" x14ac:dyDescent="0.35">
      <c r="A116" s="1" t="str">
        <f t="shared" si="1"/>
        <v>14</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16" s="1" t="s">
        <v>3211</v>
      </c>
      <c r="D116" s="1" t="s">
        <v>3212</v>
      </c>
      <c r="E116" s="1" t="s">
        <v>3213</v>
      </c>
      <c r="F116" s="1" t="s">
        <v>112</v>
      </c>
      <c r="G116" s="1">
        <v>2210381</v>
      </c>
    </row>
    <row r="117" spans="1:8" x14ac:dyDescent="0.35">
      <c r="A117" s="1" t="str">
        <f t="shared" si="1"/>
        <v/>
      </c>
      <c r="B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17" s="1" t="s">
        <v>112</v>
      </c>
    </row>
    <row r="118" spans="1:8" x14ac:dyDescent="0.35">
      <c r="A118" s="1" t="str">
        <f t="shared" si="1"/>
        <v/>
      </c>
      <c r="B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18" s="1" t="s">
        <v>227</v>
      </c>
      <c r="D118" s="1" t="s">
        <v>112</v>
      </c>
      <c r="E118" s="1" t="s">
        <v>228</v>
      </c>
      <c r="F118" s="1" t="s">
        <v>229</v>
      </c>
      <c r="G118" s="1" t="s">
        <v>230</v>
      </c>
      <c r="H118" s="1" t="s">
        <v>231</v>
      </c>
    </row>
    <row r="119" spans="1:8" x14ac:dyDescent="0.35">
      <c r="A119" s="1" t="str">
        <f t="shared" si="1"/>
        <v>14</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19" s="1" t="s">
        <v>3214</v>
      </c>
      <c r="D119" s="1" t="s">
        <v>112</v>
      </c>
      <c r="E119" s="1" t="s">
        <v>3215</v>
      </c>
      <c r="F119" s="1" t="s">
        <v>3216</v>
      </c>
      <c r="G119" s="1" t="s">
        <v>3217</v>
      </c>
      <c r="H119" s="1" t="s">
        <v>3218</v>
      </c>
    </row>
    <row r="120" spans="1:8" x14ac:dyDescent="0.35">
      <c r="A120" s="1" t="str">
        <f t="shared" si="1"/>
        <v/>
      </c>
      <c r="B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0" s="1" t="s">
        <v>112</v>
      </c>
    </row>
    <row r="121" spans="1:8" x14ac:dyDescent="0.35">
      <c r="A121" s="1" t="str">
        <f t="shared" si="1"/>
        <v/>
      </c>
      <c r="B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1" s="1" t="s">
        <v>112</v>
      </c>
    </row>
    <row r="122" spans="1:8" x14ac:dyDescent="0.35">
      <c r="A122" s="1" t="str">
        <f t="shared" si="1"/>
        <v/>
      </c>
      <c r="B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2" s="1" t="s">
        <v>112</v>
      </c>
    </row>
    <row r="123" spans="1:8" x14ac:dyDescent="0.35">
      <c r="A123" s="1" t="str">
        <f t="shared" si="1"/>
        <v/>
      </c>
      <c r="B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3" s="1" t="s">
        <v>112</v>
      </c>
    </row>
    <row r="124" spans="1:8" x14ac:dyDescent="0.35">
      <c r="A124" s="1" t="str">
        <f t="shared" si="1"/>
        <v/>
      </c>
      <c r="B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4" s="1" t="s">
        <v>112</v>
      </c>
    </row>
    <row r="125" spans="1:8" x14ac:dyDescent="0.3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171</v>
      </c>
      <c r="D125" s="1" t="s">
        <v>110</v>
      </c>
      <c r="E125" s="1" t="s">
        <v>111</v>
      </c>
      <c r="F125" s="1" t="s">
        <v>112</v>
      </c>
      <c r="G125" s="1" t="s">
        <v>113</v>
      </c>
    </row>
    <row r="126" spans="1:8" x14ac:dyDescent="0.35">
      <c r="A126" s="1" t="str">
        <f t="shared" si="1"/>
        <v>15</v>
      </c>
      <c r="B1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26" s="1" t="s">
        <v>3219</v>
      </c>
      <c r="D126" s="1" t="s">
        <v>3220</v>
      </c>
      <c r="E126" s="1" t="s">
        <v>3221</v>
      </c>
      <c r="F126" s="1" t="s">
        <v>112</v>
      </c>
      <c r="G126" s="1">
        <v>2225111</v>
      </c>
    </row>
    <row r="127" spans="1:8" x14ac:dyDescent="0.35">
      <c r="A127" s="1" t="str">
        <f t="shared" si="1"/>
        <v>15</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27" s="1" t="s">
        <v>3222</v>
      </c>
      <c r="D127" s="1" t="s">
        <v>3223</v>
      </c>
      <c r="E127" s="1" t="s">
        <v>3224</v>
      </c>
      <c r="F127" s="1" t="s">
        <v>112</v>
      </c>
      <c r="G127" s="1">
        <v>2275984</v>
      </c>
    </row>
    <row r="128" spans="1:8" x14ac:dyDescent="0.35">
      <c r="A128" s="1" t="str">
        <f t="shared" si="1"/>
        <v>15</v>
      </c>
      <c r="B1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28" s="1" t="s">
        <v>3225</v>
      </c>
      <c r="D128" s="1" t="s">
        <v>3226</v>
      </c>
      <c r="E128" s="1" t="s">
        <v>3227</v>
      </c>
      <c r="F128" s="1" t="s">
        <v>112</v>
      </c>
      <c r="G128" s="1">
        <v>1940245</v>
      </c>
    </row>
    <row r="129" spans="1:7" x14ac:dyDescent="0.35">
      <c r="A129" s="1" t="str">
        <f t="shared" si="1"/>
        <v>15</v>
      </c>
      <c r="B1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29" s="1" t="s">
        <v>3228</v>
      </c>
    </row>
    <row r="130" spans="1:7" x14ac:dyDescent="0.35">
      <c r="A130" s="1" t="str">
        <f t="shared" ref="A130:A193" si="2">IFERROR(LEFT(RIGHT(C130,LEN(C130)-SEARCH("@",C130)),SEARCH("/",RIGHT(C130,LEN(C130)-SEARCH("@",C130)-1))),"")</f>
        <v>15</v>
      </c>
      <c r="B1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0" s="1" t="s">
        <v>3229</v>
      </c>
      <c r="D130" s="1" t="s">
        <v>2243</v>
      </c>
      <c r="E130" s="1" t="s">
        <v>3230</v>
      </c>
      <c r="F130" s="1" t="s">
        <v>112</v>
      </c>
      <c r="G130" s="1">
        <v>3487301</v>
      </c>
    </row>
    <row r="131" spans="1:7" x14ac:dyDescent="0.35">
      <c r="A131" s="1" t="str">
        <f t="shared" si="2"/>
        <v>15</v>
      </c>
      <c r="B1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1" s="1" t="s">
        <v>3231</v>
      </c>
      <c r="D131" s="1" t="s">
        <v>3232</v>
      </c>
      <c r="E131" s="1" t="s">
        <v>3233</v>
      </c>
      <c r="F131" s="1" t="s">
        <v>112</v>
      </c>
      <c r="G131" s="1">
        <v>3217663</v>
      </c>
    </row>
    <row r="132" spans="1:7" x14ac:dyDescent="0.35">
      <c r="A132" s="1" t="str">
        <f t="shared" si="2"/>
        <v>15</v>
      </c>
      <c r="B1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2" s="1" t="s">
        <v>3234</v>
      </c>
      <c r="D132" s="1" t="s">
        <v>3235</v>
      </c>
      <c r="E132" s="1" t="s">
        <v>3236</v>
      </c>
      <c r="F132" s="1" t="s">
        <v>112</v>
      </c>
      <c r="G132" s="1">
        <v>3405432</v>
      </c>
    </row>
    <row r="133" spans="1:7" x14ac:dyDescent="0.35">
      <c r="A133" s="1" t="str">
        <f t="shared" si="2"/>
        <v>15</v>
      </c>
      <c r="B1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3" s="1" t="s">
        <v>3237</v>
      </c>
      <c r="D133" s="1" t="s">
        <v>3238</v>
      </c>
      <c r="E133" s="1" t="s">
        <v>3239</v>
      </c>
      <c r="F133" s="1" t="s">
        <v>112</v>
      </c>
      <c r="G133" s="1">
        <v>3815838</v>
      </c>
    </row>
    <row r="134" spans="1:7" x14ac:dyDescent="0.35">
      <c r="A134" s="1" t="str">
        <f t="shared" si="2"/>
        <v>15</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34" s="1" t="s">
        <v>3240</v>
      </c>
      <c r="D134" s="1" t="s">
        <v>3241</v>
      </c>
      <c r="E134" s="1" t="s">
        <v>3242</v>
      </c>
      <c r="F134" s="1" t="s">
        <v>112</v>
      </c>
      <c r="G134" s="1">
        <v>3541376</v>
      </c>
    </row>
    <row r="135" spans="1:7" x14ac:dyDescent="0.35">
      <c r="A135" s="1" t="str">
        <f t="shared" si="2"/>
        <v>15</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35" s="1" t="s">
        <v>3243</v>
      </c>
      <c r="D135" s="1" t="s">
        <v>3244</v>
      </c>
      <c r="E135" s="1" t="s">
        <v>3245</v>
      </c>
      <c r="F135" s="1" t="s">
        <v>112</v>
      </c>
      <c r="G135" s="1">
        <v>3099002</v>
      </c>
    </row>
    <row r="136" spans="1:7" x14ac:dyDescent="0.35">
      <c r="A136" s="1" t="str">
        <f t="shared" si="2"/>
        <v>15</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36" s="1" t="s">
        <v>3246</v>
      </c>
      <c r="D136" s="1" t="s">
        <v>3247</v>
      </c>
      <c r="E136" s="1" t="s">
        <v>3248</v>
      </c>
      <c r="F136" s="1" t="s">
        <v>112</v>
      </c>
      <c r="G136" s="1">
        <v>3318999</v>
      </c>
    </row>
    <row r="137" spans="1:7" x14ac:dyDescent="0.35">
      <c r="A137" s="1" t="str">
        <f t="shared" si="2"/>
        <v>15</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37" s="1" t="s">
        <v>3249</v>
      </c>
      <c r="D137" s="1" t="s">
        <v>3250</v>
      </c>
      <c r="E137" s="1" t="s">
        <v>3251</v>
      </c>
      <c r="F137" s="1" t="s">
        <v>112</v>
      </c>
      <c r="G137" s="1">
        <v>3332972</v>
      </c>
    </row>
    <row r="138" spans="1:7" x14ac:dyDescent="0.35">
      <c r="A138" s="1" t="str">
        <f t="shared" si="2"/>
        <v>15</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8" s="1" t="s">
        <v>3252</v>
      </c>
      <c r="D138" s="1" t="s">
        <v>3253</v>
      </c>
      <c r="E138" s="1" t="s">
        <v>3254</v>
      </c>
      <c r="F138" s="1" t="s">
        <v>112</v>
      </c>
      <c r="G138" s="1">
        <v>3454727</v>
      </c>
    </row>
    <row r="139" spans="1:7" x14ac:dyDescent="0.35">
      <c r="A139" s="1" t="str">
        <f t="shared" si="2"/>
        <v>15</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9" s="1" t="s">
        <v>3255</v>
      </c>
      <c r="D139" s="1" t="s">
        <v>1413</v>
      </c>
      <c r="E139" s="1" t="s">
        <v>3256</v>
      </c>
      <c r="F139" s="1" t="s">
        <v>112</v>
      </c>
      <c r="G139" s="1">
        <v>2629373</v>
      </c>
    </row>
    <row r="140" spans="1:7" x14ac:dyDescent="0.35">
      <c r="A140" s="1" t="str">
        <f t="shared" si="2"/>
        <v>15</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0" s="1" t="s">
        <v>3257</v>
      </c>
      <c r="D140" s="1" t="s">
        <v>3258</v>
      </c>
      <c r="E140" s="1" t="s">
        <v>3259</v>
      </c>
      <c r="F140" s="1" t="s">
        <v>112</v>
      </c>
      <c r="G140" s="1">
        <v>3078150</v>
      </c>
    </row>
    <row r="141" spans="1:7" x14ac:dyDescent="0.35">
      <c r="A141" s="1" t="str">
        <f t="shared" si="2"/>
        <v>15</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1" s="1" t="s">
        <v>3260</v>
      </c>
      <c r="D141" s="1" t="s">
        <v>3261</v>
      </c>
      <c r="E141" s="1" t="s">
        <v>3262</v>
      </c>
      <c r="F141" s="1" t="s">
        <v>112</v>
      </c>
      <c r="G141" s="1">
        <v>4606064</v>
      </c>
    </row>
    <row r="142" spans="1:7" x14ac:dyDescent="0.35">
      <c r="A142" s="1" t="str">
        <f t="shared" si="2"/>
        <v>15</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2" s="1" t="s">
        <v>3263</v>
      </c>
      <c r="D142" s="1" t="s">
        <v>3264</v>
      </c>
      <c r="E142" s="1" t="s">
        <v>3265</v>
      </c>
      <c r="F142" s="1" t="s">
        <v>112</v>
      </c>
      <c r="G142" s="1">
        <v>4841636</v>
      </c>
    </row>
    <row r="143" spans="1:7" x14ac:dyDescent="0.35">
      <c r="A143" s="1" t="str">
        <f t="shared" si="2"/>
        <v>15</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3" s="1" t="s">
        <v>3266</v>
      </c>
    </row>
    <row r="144" spans="1:7" x14ac:dyDescent="0.35">
      <c r="A144" s="1" t="str">
        <f t="shared" si="2"/>
        <v>15</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4" s="1" t="s">
        <v>3267</v>
      </c>
      <c r="D144" s="1" t="s">
        <v>3268</v>
      </c>
      <c r="E144" s="1" t="s">
        <v>3269</v>
      </c>
      <c r="F144" s="1" t="s">
        <v>112</v>
      </c>
      <c r="G144" s="1">
        <v>4803026</v>
      </c>
    </row>
    <row r="145" spans="1:8" x14ac:dyDescent="0.35">
      <c r="A145" s="1" t="str">
        <f t="shared" si="2"/>
        <v>15</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5" s="1" t="s">
        <v>3270</v>
      </c>
    </row>
    <row r="146" spans="1:8" x14ac:dyDescent="0.35">
      <c r="A146" s="1" t="str">
        <f t="shared" si="2"/>
        <v>15</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6" s="1" t="s">
        <v>3271</v>
      </c>
      <c r="D146" s="1" t="s">
        <v>3272</v>
      </c>
      <c r="E146" s="1" t="s">
        <v>3273</v>
      </c>
      <c r="F146" s="1" t="s">
        <v>112</v>
      </c>
      <c r="G146" s="1">
        <v>2953584</v>
      </c>
    </row>
    <row r="147" spans="1:8" x14ac:dyDescent="0.35">
      <c r="A147" s="1" t="str">
        <f t="shared" si="2"/>
        <v>15</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7" s="1" t="s">
        <v>3274</v>
      </c>
      <c r="D147" s="1" t="s">
        <v>3275</v>
      </c>
      <c r="E147" s="1" t="s">
        <v>3276</v>
      </c>
      <c r="F147" s="1" t="s">
        <v>112</v>
      </c>
      <c r="G147" s="1">
        <v>3669663</v>
      </c>
    </row>
    <row r="148" spans="1:8" x14ac:dyDescent="0.35">
      <c r="A148" s="1" t="str">
        <f t="shared" si="2"/>
        <v>15</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8" s="1" t="s">
        <v>3277</v>
      </c>
      <c r="D148" s="1" t="s">
        <v>3278</v>
      </c>
      <c r="E148" s="1" t="s">
        <v>3279</v>
      </c>
      <c r="F148" s="1" t="s">
        <v>112</v>
      </c>
      <c r="G148" s="1">
        <v>3129802</v>
      </c>
    </row>
    <row r="149" spans="1:8" x14ac:dyDescent="0.35">
      <c r="A149" s="1" t="str">
        <f t="shared" si="2"/>
        <v>15</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3280</v>
      </c>
      <c r="D149" s="1" t="s">
        <v>3281</v>
      </c>
      <c r="E149" s="1" t="s">
        <v>3282</v>
      </c>
      <c r="F149" s="1" t="s">
        <v>112</v>
      </c>
      <c r="G149" s="1">
        <v>3537915</v>
      </c>
    </row>
    <row r="150" spans="1:8" x14ac:dyDescent="0.35">
      <c r="A150" s="1" t="str">
        <f t="shared" si="2"/>
        <v>15</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0" s="1" t="s">
        <v>3283</v>
      </c>
    </row>
    <row r="151" spans="1:8" x14ac:dyDescent="0.35">
      <c r="A151" s="1" t="str">
        <f t="shared" si="2"/>
        <v>15</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1" s="1" t="s">
        <v>3284</v>
      </c>
    </row>
    <row r="152" spans="1:8" x14ac:dyDescent="0.35">
      <c r="A152" s="1" t="str">
        <f t="shared" si="2"/>
        <v>15</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3285</v>
      </c>
    </row>
    <row r="153" spans="1:8" x14ac:dyDescent="0.35">
      <c r="A153" s="1" t="str">
        <f t="shared" si="2"/>
        <v>15</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3286</v>
      </c>
      <c r="D153" s="1" t="s">
        <v>3190</v>
      </c>
      <c r="E153" s="1" t="s">
        <v>3287</v>
      </c>
      <c r="F153" s="1" t="s">
        <v>112</v>
      </c>
      <c r="G153" s="1">
        <v>2581312</v>
      </c>
    </row>
    <row r="154" spans="1:8" x14ac:dyDescent="0.35">
      <c r="A154" s="1" t="str">
        <f t="shared" si="2"/>
        <v>15</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4" s="1" t="s">
        <v>3288</v>
      </c>
      <c r="D154" s="1" t="s">
        <v>3289</v>
      </c>
      <c r="E154" s="1" t="s">
        <v>3290</v>
      </c>
      <c r="F154" s="1" t="s">
        <v>112</v>
      </c>
      <c r="G154" s="1">
        <v>4650081</v>
      </c>
    </row>
    <row r="155" spans="1:8" x14ac:dyDescent="0.35">
      <c r="A155" s="1" t="str">
        <f t="shared" si="2"/>
        <v>15</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3291</v>
      </c>
      <c r="D155" s="1" t="s">
        <v>3292</v>
      </c>
      <c r="E155" s="1" t="s">
        <v>3293</v>
      </c>
      <c r="F155" s="1" t="s">
        <v>112</v>
      </c>
      <c r="G155" s="1">
        <v>4127525</v>
      </c>
    </row>
    <row r="156" spans="1:8" x14ac:dyDescent="0.35">
      <c r="A156" s="1" t="str">
        <f t="shared" si="2"/>
        <v>15</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3294</v>
      </c>
      <c r="D156" s="1" t="s">
        <v>3295</v>
      </c>
      <c r="E156" s="1" t="s">
        <v>3296</v>
      </c>
      <c r="F156" s="1" t="s">
        <v>112</v>
      </c>
      <c r="G156" s="1">
        <v>3892408</v>
      </c>
    </row>
    <row r="157" spans="1:8" x14ac:dyDescent="0.35">
      <c r="A157" s="1" t="str">
        <f t="shared" si="2"/>
        <v>15</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3297</v>
      </c>
      <c r="D157" s="1" t="s">
        <v>3298</v>
      </c>
      <c r="E157" s="1" t="s">
        <v>3299</v>
      </c>
      <c r="F157" s="1" t="s">
        <v>112</v>
      </c>
      <c r="G157" s="1">
        <v>4432744</v>
      </c>
    </row>
    <row r="158" spans="1:8" x14ac:dyDescent="0.3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112</v>
      </c>
    </row>
    <row r="159" spans="1:8" x14ac:dyDescent="0.3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227</v>
      </c>
      <c r="D159" s="1" t="s">
        <v>112</v>
      </c>
      <c r="E159" s="1" t="s">
        <v>228</v>
      </c>
      <c r="F159" s="1" t="s">
        <v>229</v>
      </c>
      <c r="G159" s="1" t="s">
        <v>230</v>
      </c>
      <c r="H159" s="1" t="s">
        <v>231</v>
      </c>
    </row>
    <row r="160" spans="1:8" x14ac:dyDescent="0.35">
      <c r="A160" s="1" t="str">
        <f t="shared" si="2"/>
        <v>15</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3300</v>
      </c>
      <c r="D160" s="1" t="s">
        <v>112</v>
      </c>
      <c r="E160" s="1" t="s">
        <v>3301</v>
      </c>
      <c r="F160" s="1" t="s">
        <v>3302</v>
      </c>
      <c r="G160" s="1" t="s">
        <v>3303</v>
      </c>
      <c r="H160" s="1" t="s">
        <v>3304</v>
      </c>
    </row>
    <row r="161" spans="1:7" x14ac:dyDescent="0.3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112</v>
      </c>
    </row>
    <row r="162" spans="1:7" x14ac:dyDescent="0.3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3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3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3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3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171</v>
      </c>
      <c r="D166" s="1" t="s">
        <v>110</v>
      </c>
      <c r="E166" s="1" t="s">
        <v>111</v>
      </c>
      <c r="F166" s="1" t="s">
        <v>112</v>
      </c>
      <c r="G166" s="1" t="s">
        <v>113</v>
      </c>
    </row>
    <row r="167" spans="1:7" x14ac:dyDescent="0.35">
      <c r="A167" s="1" t="str">
        <f t="shared" si="2"/>
        <v>16</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3305</v>
      </c>
      <c r="D167" s="1" t="s">
        <v>3306</v>
      </c>
      <c r="E167" s="1" t="s">
        <v>3307</v>
      </c>
      <c r="F167" s="1" t="s">
        <v>112</v>
      </c>
      <c r="G167" s="1">
        <v>87363</v>
      </c>
    </row>
    <row r="168" spans="1:7" x14ac:dyDescent="0.35">
      <c r="A168" s="1" t="str">
        <f t="shared" si="2"/>
        <v>16</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3308</v>
      </c>
      <c r="D168" s="1" t="s">
        <v>1044</v>
      </c>
      <c r="E168" s="1" t="s">
        <v>3309</v>
      </c>
      <c r="F168" s="1" t="s">
        <v>112</v>
      </c>
      <c r="G168" s="1">
        <v>140702</v>
      </c>
    </row>
    <row r="169" spans="1:7" x14ac:dyDescent="0.35">
      <c r="A169" s="1" t="str">
        <f t="shared" si="2"/>
        <v>16</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3310</v>
      </c>
      <c r="D169" s="1" t="s">
        <v>1618</v>
      </c>
      <c r="E169" s="1" t="s">
        <v>3311</v>
      </c>
      <c r="F169" s="1" t="s">
        <v>112</v>
      </c>
      <c r="G169" s="1">
        <v>53815</v>
      </c>
    </row>
    <row r="170" spans="1:7" x14ac:dyDescent="0.35">
      <c r="A170" s="1" t="str">
        <f t="shared" si="2"/>
        <v>16</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70" s="1" t="s">
        <v>3312</v>
      </c>
      <c r="D170" s="1" t="s">
        <v>1339</v>
      </c>
      <c r="E170" s="1" t="s">
        <v>3313</v>
      </c>
      <c r="F170" s="1" t="s">
        <v>112</v>
      </c>
      <c r="G170" s="1">
        <v>248809</v>
      </c>
    </row>
    <row r="171" spans="1:7" x14ac:dyDescent="0.35">
      <c r="A171" s="1" t="str">
        <f t="shared" si="2"/>
        <v>16</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3314</v>
      </c>
      <c r="D171" s="1" t="s">
        <v>186</v>
      </c>
      <c r="E171" s="1" t="s">
        <v>3315</v>
      </c>
      <c r="F171" s="1" t="s">
        <v>112</v>
      </c>
      <c r="G171" s="1">
        <v>265356</v>
      </c>
    </row>
    <row r="172" spans="1:7" x14ac:dyDescent="0.35">
      <c r="A172" s="1" t="str">
        <f t="shared" si="2"/>
        <v>16</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3316</v>
      </c>
      <c r="D172" s="1" t="s">
        <v>3317</v>
      </c>
      <c r="E172" s="1" t="s">
        <v>3318</v>
      </c>
      <c r="F172" s="1" t="s">
        <v>112</v>
      </c>
      <c r="G172" s="1">
        <v>413758</v>
      </c>
    </row>
    <row r="173" spans="1:7" x14ac:dyDescent="0.35">
      <c r="A173" s="1" t="str">
        <f t="shared" si="2"/>
        <v>16</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3" s="1" t="s">
        <v>3319</v>
      </c>
      <c r="D173" s="1" t="s">
        <v>3320</v>
      </c>
      <c r="E173" s="1" t="s">
        <v>3321</v>
      </c>
      <c r="F173" s="1" t="s">
        <v>112</v>
      </c>
      <c r="G173" s="1">
        <v>351464</v>
      </c>
    </row>
    <row r="174" spans="1:7" x14ac:dyDescent="0.35">
      <c r="A174" s="1" t="str">
        <f t="shared" si="2"/>
        <v>16</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4" s="1" t="s">
        <v>3322</v>
      </c>
      <c r="D174" s="1" t="s">
        <v>1900</v>
      </c>
      <c r="E174" s="1" t="s">
        <v>3323</v>
      </c>
      <c r="F174" s="1" t="s">
        <v>112</v>
      </c>
      <c r="G174" s="1">
        <v>106960</v>
      </c>
    </row>
    <row r="175" spans="1:7" x14ac:dyDescent="0.35">
      <c r="A175" s="1" t="str">
        <f t="shared" si="2"/>
        <v>16</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3324</v>
      </c>
      <c r="D175" s="1" t="s">
        <v>3325</v>
      </c>
      <c r="E175" s="1" t="s">
        <v>3326</v>
      </c>
      <c r="F175" s="1" t="s">
        <v>112</v>
      </c>
      <c r="G175" s="1">
        <v>216623</v>
      </c>
    </row>
    <row r="176" spans="1:7" x14ac:dyDescent="0.35">
      <c r="A176" s="1" t="str">
        <f t="shared" si="2"/>
        <v>16</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6" s="1" t="s">
        <v>3327</v>
      </c>
      <c r="D176" s="1" t="s">
        <v>1974</v>
      </c>
      <c r="E176" s="1" t="s">
        <v>3328</v>
      </c>
      <c r="F176" s="1" t="s">
        <v>112</v>
      </c>
      <c r="G176" s="1">
        <v>316748</v>
      </c>
    </row>
    <row r="177" spans="1:7" x14ac:dyDescent="0.35">
      <c r="A177" s="1" t="str">
        <f t="shared" si="2"/>
        <v>16</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7" s="1" t="s">
        <v>3329</v>
      </c>
      <c r="D177" s="1" t="s">
        <v>2652</v>
      </c>
      <c r="E177" s="1" t="s">
        <v>3330</v>
      </c>
      <c r="F177" s="1" t="s">
        <v>112</v>
      </c>
      <c r="G177" s="1">
        <v>143017</v>
      </c>
    </row>
    <row r="178" spans="1:7" x14ac:dyDescent="0.35">
      <c r="A178" s="1" t="str">
        <f t="shared" si="2"/>
        <v>16</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8" s="1" t="s">
        <v>3331</v>
      </c>
      <c r="D178" s="1" t="s">
        <v>254</v>
      </c>
      <c r="E178" s="1">
        <v>30</v>
      </c>
      <c r="F178" s="1" t="s">
        <v>112</v>
      </c>
      <c r="G178" s="1">
        <v>1298</v>
      </c>
    </row>
    <row r="179" spans="1:7" x14ac:dyDescent="0.35">
      <c r="A179" s="1" t="str">
        <f t="shared" si="2"/>
        <v>16</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9" s="1" t="s">
        <v>3332</v>
      </c>
    </row>
    <row r="180" spans="1:7" x14ac:dyDescent="0.35">
      <c r="A180" s="1" t="str">
        <f t="shared" si="2"/>
        <v>16</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80" s="1" t="s">
        <v>3333</v>
      </c>
    </row>
    <row r="181" spans="1:7" x14ac:dyDescent="0.35">
      <c r="A181" s="1" t="str">
        <f t="shared" si="2"/>
        <v>16</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81" s="1" t="s">
        <v>3334</v>
      </c>
      <c r="D181" s="1" t="s">
        <v>3335</v>
      </c>
      <c r="E181" s="1" t="s">
        <v>3336</v>
      </c>
      <c r="F181" s="1" t="s">
        <v>112</v>
      </c>
      <c r="G181" s="1">
        <v>321269</v>
      </c>
    </row>
    <row r="182" spans="1:7" x14ac:dyDescent="0.35">
      <c r="A182" s="1" t="str">
        <f t="shared" si="2"/>
        <v>16</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82" s="1" t="s">
        <v>3337</v>
      </c>
      <c r="D182" s="1" t="s">
        <v>3338</v>
      </c>
      <c r="E182" s="1" t="s">
        <v>3339</v>
      </c>
      <c r="F182" s="1" t="s">
        <v>112</v>
      </c>
      <c r="G182" s="1">
        <v>153962</v>
      </c>
    </row>
    <row r="183" spans="1:7" x14ac:dyDescent="0.35">
      <c r="A183" s="1" t="str">
        <f t="shared" si="2"/>
        <v>16</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3" s="1" t="s">
        <v>3340</v>
      </c>
    </row>
    <row r="184" spans="1:7" x14ac:dyDescent="0.35">
      <c r="A184" s="1" t="str">
        <f t="shared" si="2"/>
        <v>16</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4" s="1" t="s">
        <v>3341</v>
      </c>
      <c r="D184" s="1" t="s">
        <v>3342</v>
      </c>
      <c r="E184" s="1" t="s">
        <v>3343</v>
      </c>
      <c r="F184" s="1" t="s">
        <v>112</v>
      </c>
      <c r="G184" s="1">
        <v>482325</v>
      </c>
    </row>
    <row r="185" spans="1:7" x14ac:dyDescent="0.35">
      <c r="A185" s="1" t="str">
        <f t="shared" si="2"/>
        <v>16</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5" s="1" t="s">
        <v>3344</v>
      </c>
      <c r="D185" s="1" t="s">
        <v>1095</v>
      </c>
      <c r="E185" s="1" t="s">
        <v>3345</v>
      </c>
      <c r="F185" s="1" t="s">
        <v>112</v>
      </c>
      <c r="G185" s="1">
        <v>345559</v>
      </c>
    </row>
    <row r="186" spans="1:7" x14ac:dyDescent="0.35">
      <c r="A186" s="1" t="str">
        <f t="shared" si="2"/>
        <v>16</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6" s="1" t="s">
        <v>3346</v>
      </c>
    </row>
    <row r="187" spans="1:7" x14ac:dyDescent="0.35">
      <c r="A187" s="1" t="str">
        <f t="shared" si="2"/>
        <v>16</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7" s="1" t="s">
        <v>3347</v>
      </c>
      <c r="D187" s="1" t="s">
        <v>3348</v>
      </c>
      <c r="E187" s="1" t="s">
        <v>3349</v>
      </c>
      <c r="F187" s="1" t="s">
        <v>112</v>
      </c>
      <c r="G187" s="1">
        <v>648486</v>
      </c>
    </row>
    <row r="188" spans="1:7" x14ac:dyDescent="0.35">
      <c r="A188" s="1" t="str">
        <f t="shared" si="2"/>
        <v>16</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8" s="1" t="s">
        <v>3350</v>
      </c>
      <c r="D188" s="1" t="s">
        <v>3351</v>
      </c>
      <c r="E188" s="1" t="s">
        <v>3352</v>
      </c>
      <c r="F188" s="1" t="s">
        <v>112</v>
      </c>
      <c r="G188" s="1">
        <v>555066</v>
      </c>
    </row>
    <row r="189" spans="1:7" x14ac:dyDescent="0.35">
      <c r="A189" s="1" t="str">
        <f t="shared" si="2"/>
        <v>16</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9" s="1" t="s">
        <v>3353</v>
      </c>
      <c r="D189" s="1" t="s">
        <v>3354</v>
      </c>
      <c r="E189" s="1" t="s">
        <v>3355</v>
      </c>
      <c r="F189" s="1" t="s">
        <v>112</v>
      </c>
      <c r="G189" s="1">
        <v>486889</v>
      </c>
    </row>
    <row r="190" spans="1:7" x14ac:dyDescent="0.35">
      <c r="A190" s="1" t="str">
        <f t="shared" si="2"/>
        <v>16</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0" s="1" t="s">
        <v>3356</v>
      </c>
      <c r="D190" s="1" t="s">
        <v>1534</v>
      </c>
      <c r="E190" s="1" t="s">
        <v>3357</v>
      </c>
      <c r="F190" s="1" t="s">
        <v>112</v>
      </c>
      <c r="G190" s="1">
        <v>425374</v>
      </c>
    </row>
    <row r="191" spans="1:7" x14ac:dyDescent="0.35">
      <c r="A191" s="1" t="str">
        <f t="shared" si="2"/>
        <v>16</v>
      </c>
      <c r="B1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91" s="1" t="s">
        <v>3358</v>
      </c>
    </row>
    <row r="192" spans="1:7" x14ac:dyDescent="0.35">
      <c r="A192" s="1" t="str">
        <f t="shared" si="2"/>
        <v>16</v>
      </c>
      <c r="B1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92" s="1" t="s">
        <v>3359</v>
      </c>
      <c r="D192" s="1" t="s">
        <v>960</v>
      </c>
      <c r="E192" s="1" t="s">
        <v>3360</v>
      </c>
      <c r="F192" s="1" t="s">
        <v>112</v>
      </c>
      <c r="G192" s="1">
        <v>272299</v>
      </c>
    </row>
    <row r="193" spans="1:8" x14ac:dyDescent="0.35">
      <c r="A193" s="1" t="str">
        <f t="shared" si="2"/>
        <v>16</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93" s="1" t="s">
        <v>3361</v>
      </c>
      <c r="D193" s="1" t="s">
        <v>3362</v>
      </c>
      <c r="E193" s="1" t="s">
        <v>3363</v>
      </c>
      <c r="F193" s="1" t="s">
        <v>112</v>
      </c>
      <c r="G193" s="1">
        <v>130861</v>
      </c>
    </row>
    <row r="194" spans="1:8" x14ac:dyDescent="0.35">
      <c r="A194" s="1" t="str">
        <f t="shared" ref="A194:A257" si="3">IFERROR(LEFT(RIGHT(C194,LEN(C194)-SEARCH("@",C194)),SEARCH("/",RIGHT(C194,LEN(C194)-SEARCH("@",C194)-1))),"")</f>
        <v>16</v>
      </c>
      <c r="B1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94" s="1" t="s">
        <v>3364</v>
      </c>
      <c r="D194" s="1" t="s">
        <v>3365</v>
      </c>
      <c r="E194" s="1" t="s">
        <v>3366</v>
      </c>
      <c r="F194" s="1" t="s">
        <v>112</v>
      </c>
      <c r="G194" s="1">
        <v>277165</v>
      </c>
    </row>
    <row r="195" spans="1:8" x14ac:dyDescent="0.35">
      <c r="A195" s="1" t="str">
        <f t="shared" si="3"/>
        <v>16</v>
      </c>
      <c r="B1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5" s="1" t="s">
        <v>3367</v>
      </c>
      <c r="D195" s="1" t="s">
        <v>3368</v>
      </c>
      <c r="E195" s="1" t="s">
        <v>3369</v>
      </c>
      <c r="F195" s="1" t="s">
        <v>112</v>
      </c>
      <c r="G195" s="1">
        <v>252053</v>
      </c>
    </row>
    <row r="196" spans="1:8" x14ac:dyDescent="0.35">
      <c r="A196" s="1" t="str">
        <f t="shared" si="3"/>
        <v>16</v>
      </c>
      <c r="B1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6" s="1" t="s">
        <v>3370</v>
      </c>
      <c r="D196" s="1" t="s">
        <v>3371</v>
      </c>
      <c r="E196" s="1" t="s">
        <v>3372</v>
      </c>
      <c r="F196" s="1" t="s">
        <v>112</v>
      </c>
      <c r="G196" s="1">
        <v>80290</v>
      </c>
    </row>
    <row r="197" spans="1:8" x14ac:dyDescent="0.35">
      <c r="A197" s="1" t="str">
        <f t="shared" si="3"/>
        <v>16</v>
      </c>
      <c r="B1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7" s="1" t="s">
        <v>3373</v>
      </c>
      <c r="D197" s="1" t="s">
        <v>619</v>
      </c>
      <c r="E197" s="1" t="s">
        <v>3374</v>
      </c>
      <c r="F197" s="1" t="s">
        <v>112</v>
      </c>
      <c r="G197" s="1">
        <v>6078</v>
      </c>
    </row>
    <row r="198" spans="1:8" x14ac:dyDescent="0.35">
      <c r="A198" s="1" t="str">
        <f t="shared" si="3"/>
        <v>16</v>
      </c>
      <c r="B1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8" s="1" t="s">
        <v>3375</v>
      </c>
      <c r="D198" s="1" t="s">
        <v>2894</v>
      </c>
      <c r="E198" s="1" t="s">
        <v>3376</v>
      </c>
      <c r="F198" s="1" t="s">
        <v>112</v>
      </c>
      <c r="G198" s="1">
        <v>168648</v>
      </c>
    </row>
    <row r="199" spans="1:8" x14ac:dyDescent="0.3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112</v>
      </c>
    </row>
    <row r="200" spans="1:8" x14ac:dyDescent="0.35">
      <c r="A200" s="1" t="str">
        <f t="shared" si="3"/>
        <v/>
      </c>
      <c r="B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00" s="1" t="s">
        <v>227</v>
      </c>
      <c r="D200" s="1" t="s">
        <v>112</v>
      </c>
      <c r="E200" s="1" t="s">
        <v>228</v>
      </c>
      <c r="F200" s="1" t="s">
        <v>229</v>
      </c>
      <c r="G200" s="1" t="s">
        <v>230</v>
      </c>
      <c r="H200" s="1" t="s">
        <v>231</v>
      </c>
    </row>
    <row r="201" spans="1:8" x14ac:dyDescent="0.35">
      <c r="A201" s="1" t="str">
        <f t="shared" si="3"/>
        <v>16</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01" s="1" t="s">
        <v>3377</v>
      </c>
      <c r="D201" s="1" t="s">
        <v>112</v>
      </c>
      <c r="E201" s="1" t="s">
        <v>3378</v>
      </c>
      <c r="F201" s="1" t="s">
        <v>3379</v>
      </c>
      <c r="G201" s="1" t="s">
        <v>3380</v>
      </c>
      <c r="H201" s="1" t="s">
        <v>3381</v>
      </c>
    </row>
    <row r="202" spans="1:8" x14ac:dyDescent="0.35">
      <c r="A202" s="1" t="str">
        <f t="shared" si="3"/>
        <v/>
      </c>
      <c r="B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02" s="1" t="s">
        <v>112</v>
      </c>
    </row>
    <row r="203" spans="1:8" x14ac:dyDescent="0.35">
      <c r="A203" s="1" t="str">
        <f t="shared" si="3"/>
        <v/>
      </c>
      <c r="B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03" s="1" t="s">
        <v>112</v>
      </c>
    </row>
    <row r="204" spans="1:8" x14ac:dyDescent="0.35">
      <c r="A204" s="1" t="str">
        <f t="shared" si="3"/>
        <v/>
      </c>
      <c r="B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04" s="1" t="s">
        <v>112</v>
      </c>
    </row>
    <row r="205" spans="1:8" x14ac:dyDescent="0.35">
      <c r="A205" s="1" t="str">
        <f t="shared" si="3"/>
        <v/>
      </c>
      <c r="B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05" s="1" t="s">
        <v>112</v>
      </c>
    </row>
    <row r="206" spans="1:8" x14ac:dyDescent="0.35">
      <c r="A206" s="1" t="str">
        <f t="shared" si="3"/>
        <v/>
      </c>
      <c r="B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06" s="1" t="s">
        <v>112</v>
      </c>
    </row>
    <row r="207" spans="1:8" x14ac:dyDescent="0.35">
      <c r="A207" s="1" t="str">
        <f t="shared" si="3"/>
        <v/>
      </c>
      <c r="B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07" s="1" t="s">
        <v>171</v>
      </c>
      <c r="D207" s="1" t="s">
        <v>110</v>
      </c>
      <c r="E207" s="1" t="s">
        <v>111</v>
      </c>
      <c r="F207" s="1" t="s">
        <v>112</v>
      </c>
      <c r="G207" s="1" t="s">
        <v>113</v>
      </c>
    </row>
    <row r="208" spans="1:8" x14ac:dyDescent="0.35">
      <c r="A208" s="1" t="str">
        <f t="shared" si="3"/>
        <v>2</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8" s="1" t="s">
        <v>3382</v>
      </c>
      <c r="D208" s="1" t="s">
        <v>3383</v>
      </c>
      <c r="E208" s="1" t="s">
        <v>3384</v>
      </c>
      <c r="F208" s="1" t="s">
        <v>112</v>
      </c>
      <c r="G208" s="1">
        <v>444711</v>
      </c>
    </row>
    <row r="209" spans="1:7" x14ac:dyDescent="0.35">
      <c r="A209" s="1" t="str">
        <f t="shared" si="3"/>
        <v>2</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9" s="1" t="s">
        <v>3385</v>
      </c>
      <c r="D209" s="1" t="s">
        <v>3386</v>
      </c>
      <c r="E209" s="1" t="s">
        <v>3387</v>
      </c>
      <c r="F209" s="1" t="s">
        <v>112</v>
      </c>
      <c r="G209" s="1">
        <v>432706</v>
      </c>
    </row>
    <row r="210" spans="1:7" x14ac:dyDescent="0.35">
      <c r="A210" s="1" t="str">
        <f t="shared" si="3"/>
        <v>2</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10" s="1" t="s">
        <v>3388</v>
      </c>
      <c r="D210" s="1" t="s">
        <v>3389</v>
      </c>
      <c r="E210" s="1" t="s">
        <v>3390</v>
      </c>
      <c r="F210" s="1" t="s">
        <v>112</v>
      </c>
      <c r="G210" s="1">
        <v>455461</v>
      </c>
    </row>
    <row r="211" spans="1:7" x14ac:dyDescent="0.35">
      <c r="A211" s="1" t="str">
        <f t="shared" si="3"/>
        <v>2</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11" s="1" t="s">
        <v>3391</v>
      </c>
      <c r="D211" s="1" t="s">
        <v>3392</v>
      </c>
      <c r="E211" s="1" t="s">
        <v>3393</v>
      </c>
      <c r="F211" s="1" t="s">
        <v>112</v>
      </c>
      <c r="G211" s="1">
        <v>61948</v>
      </c>
    </row>
    <row r="212" spans="1:7" x14ac:dyDescent="0.35">
      <c r="A212" s="1" t="str">
        <f t="shared" si="3"/>
        <v>2</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12" s="1" t="s">
        <v>3394</v>
      </c>
      <c r="D212" s="1" t="s">
        <v>3395</v>
      </c>
      <c r="E212" s="1" t="s">
        <v>3396</v>
      </c>
      <c r="F212" s="1" t="s">
        <v>112</v>
      </c>
      <c r="G212" s="1">
        <v>71660</v>
      </c>
    </row>
    <row r="213" spans="1:7" x14ac:dyDescent="0.35">
      <c r="A213" s="1" t="str">
        <f t="shared" si="3"/>
        <v>2</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13" s="1" t="s">
        <v>3397</v>
      </c>
      <c r="D213" s="1" t="s">
        <v>459</v>
      </c>
      <c r="E213" s="1" t="s">
        <v>3398</v>
      </c>
      <c r="F213" s="1" t="s">
        <v>112</v>
      </c>
      <c r="G213" s="1">
        <v>372532</v>
      </c>
    </row>
    <row r="214" spans="1:7" x14ac:dyDescent="0.35">
      <c r="A214" s="1" t="str">
        <f t="shared" si="3"/>
        <v>2</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14" s="1" t="s">
        <v>3399</v>
      </c>
      <c r="D214" s="1" t="s">
        <v>2454</v>
      </c>
      <c r="E214" s="1" t="s">
        <v>3400</v>
      </c>
      <c r="F214" s="1" t="s">
        <v>112</v>
      </c>
      <c r="G214" s="1">
        <v>233084</v>
      </c>
    </row>
    <row r="215" spans="1:7" x14ac:dyDescent="0.35">
      <c r="A215" s="1" t="str">
        <f t="shared" si="3"/>
        <v>2</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15" s="1" t="s">
        <v>3401</v>
      </c>
      <c r="D215" s="1" t="s">
        <v>3402</v>
      </c>
      <c r="E215" s="1" t="s">
        <v>3403</v>
      </c>
      <c r="F215" s="1" t="s">
        <v>112</v>
      </c>
      <c r="G215" s="1">
        <v>267389</v>
      </c>
    </row>
    <row r="216" spans="1:7" x14ac:dyDescent="0.35">
      <c r="A216" s="1" t="str">
        <f t="shared" si="3"/>
        <v>2</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16" s="1" t="s">
        <v>3404</v>
      </c>
      <c r="D216" s="1" t="s">
        <v>3405</v>
      </c>
      <c r="E216" s="1" t="s">
        <v>3406</v>
      </c>
      <c r="F216" s="1" t="s">
        <v>112</v>
      </c>
      <c r="G216" s="1">
        <v>548707</v>
      </c>
    </row>
    <row r="217" spans="1:7" x14ac:dyDescent="0.35">
      <c r="A217" s="1" t="str">
        <f t="shared" si="3"/>
        <v>2</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17" s="1" t="s">
        <v>3407</v>
      </c>
    </row>
    <row r="218" spans="1:7" x14ac:dyDescent="0.35">
      <c r="A218" s="1" t="str">
        <f t="shared" si="3"/>
        <v>2</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18" s="1" t="s">
        <v>3408</v>
      </c>
      <c r="D218" s="1" t="s">
        <v>1569</v>
      </c>
      <c r="E218" s="1" t="s">
        <v>2919</v>
      </c>
      <c r="F218" s="1" t="s">
        <v>112</v>
      </c>
      <c r="G218" s="1">
        <v>486759</v>
      </c>
    </row>
    <row r="219" spans="1:7" x14ac:dyDescent="0.35">
      <c r="A219" s="1" t="str">
        <f t="shared" si="3"/>
        <v>2</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19" s="1" t="s">
        <v>3409</v>
      </c>
      <c r="D219" s="1" t="s">
        <v>3410</v>
      </c>
      <c r="E219" s="1" t="s">
        <v>3411</v>
      </c>
      <c r="F219" s="1" t="s">
        <v>112</v>
      </c>
      <c r="G219" s="1">
        <v>446657</v>
      </c>
    </row>
    <row r="220" spans="1:7" x14ac:dyDescent="0.35">
      <c r="A220" s="1" t="str">
        <f t="shared" si="3"/>
        <v>2</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20" s="1" t="s">
        <v>3412</v>
      </c>
      <c r="D220" s="1" t="s">
        <v>3413</v>
      </c>
      <c r="E220" s="1" t="s">
        <v>3414</v>
      </c>
      <c r="F220" s="1" t="s">
        <v>112</v>
      </c>
      <c r="G220" s="1">
        <v>298774</v>
      </c>
    </row>
    <row r="221" spans="1:7" x14ac:dyDescent="0.35">
      <c r="A221" s="1" t="str">
        <f t="shared" si="3"/>
        <v>2</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21" s="1" t="s">
        <v>3415</v>
      </c>
      <c r="D221" s="1" t="s">
        <v>337</v>
      </c>
      <c r="E221" s="1" t="s">
        <v>3416</v>
      </c>
      <c r="F221" s="1" t="s">
        <v>112</v>
      </c>
      <c r="G221" s="1">
        <v>498418</v>
      </c>
    </row>
    <row r="222" spans="1:7" x14ac:dyDescent="0.35">
      <c r="A222" s="1" t="str">
        <f t="shared" si="3"/>
        <v>2</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22" s="1" t="s">
        <v>3417</v>
      </c>
      <c r="D222" s="1" t="s">
        <v>359</v>
      </c>
      <c r="E222" s="1" t="s">
        <v>3418</v>
      </c>
      <c r="F222" s="1" t="s">
        <v>112</v>
      </c>
      <c r="G222" s="1">
        <v>696742</v>
      </c>
    </row>
    <row r="223" spans="1:7" x14ac:dyDescent="0.35">
      <c r="A223" s="1" t="str">
        <f t="shared" si="3"/>
        <v>2</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23" s="1" t="s">
        <v>3419</v>
      </c>
      <c r="D223" s="1" t="s">
        <v>3420</v>
      </c>
      <c r="E223" s="1" t="s">
        <v>3421</v>
      </c>
      <c r="F223" s="1" t="s">
        <v>112</v>
      </c>
      <c r="G223" s="1">
        <v>330462</v>
      </c>
    </row>
    <row r="224" spans="1:7" x14ac:dyDescent="0.35">
      <c r="A224" s="1" t="str">
        <f t="shared" si="3"/>
        <v>2</v>
      </c>
      <c r="B2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24" s="1" t="s">
        <v>3422</v>
      </c>
      <c r="D224" s="1" t="s">
        <v>3423</v>
      </c>
      <c r="E224" s="1" t="s">
        <v>3424</v>
      </c>
      <c r="F224" s="1" t="s">
        <v>112</v>
      </c>
      <c r="G224" s="1">
        <v>203927</v>
      </c>
    </row>
    <row r="225" spans="1:7" x14ac:dyDescent="0.35">
      <c r="A225" s="1" t="str">
        <f t="shared" si="3"/>
        <v>2</v>
      </c>
      <c r="B2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25" s="1" t="s">
        <v>3425</v>
      </c>
      <c r="D225" s="1" t="s">
        <v>3426</v>
      </c>
      <c r="E225" s="1" t="s">
        <v>3427</v>
      </c>
      <c r="F225" s="1" t="s">
        <v>112</v>
      </c>
      <c r="G225" s="1">
        <v>323151</v>
      </c>
    </row>
    <row r="226" spans="1:7" x14ac:dyDescent="0.35">
      <c r="A226" s="1" t="str">
        <f t="shared" si="3"/>
        <v>2</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26" s="1" t="s">
        <v>3428</v>
      </c>
      <c r="D226" s="1" t="s">
        <v>3429</v>
      </c>
      <c r="E226" s="1" t="s">
        <v>3430</v>
      </c>
      <c r="F226" s="1" t="s">
        <v>112</v>
      </c>
      <c r="G226" s="1">
        <v>182967</v>
      </c>
    </row>
    <row r="227" spans="1:7" x14ac:dyDescent="0.35">
      <c r="A227" s="1" t="str">
        <f t="shared" si="3"/>
        <v>2</v>
      </c>
      <c r="B2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27" s="1" t="s">
        <v>3431</v>
      </c>
    </row>
    <row r="228" spans="1:7" x14ac:dyDescent="0.35">
      <c r="A228" s="1" t="str">
        <f t="shared" si="3"/>
        <v>2</v>
      </c>
      <c r="B2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28" s="1" t="s">
        <v>3432</v>
      </c>
      <c r="D228" s="1" t="s">
        <v>3433</v>
      </c>
      <c r="E228" s="1" t="s">
        <v>3434</v>
      </c>
      <c r="F228" s="1" t="s">
        <v>112</v>
      </c>
      <c r="G228" s="1">
        <v>808461</v>
      </c>
    </row>
    <row r="229" spans="1:7" x14ac:dyDescent="0.35">
      <c r="A229" s="1" t="str">
        <f t="shared" si="3"/>
        <v>2</v>
      </c>
      <c r="B2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29" s="1" t="s">
        <v>3435</v>
      </c>
      <c r="D229" s="1" t="s">
        <v>3436</v>
      </c>
      <c r="E229" s="1" t="s">
        <v>3437</v>
      </c>
      <c r="F229" s="1" t="s">
        <v>112</v>
      </c>
      <c r="G229" s="1">
        <v>1151619</v>
      </c>
    </row>
    <row r="230" spans="1:7" x14ac:dyDescent="0.35">
      <c r="A230" s="1" t="str">
        <f t="shared" si="3"/>
        <v>2</v>
      </c>
      <c r="B2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30" s="1" t="s">
        <v>3438</v>
      </c>
      <c r="D230" s="1" t="s">
        <v>3439</v>
      </c>
      <c r="E230" s="1" t="s">
        <v>3440</v>
      </c>
      <c r="F230" s="1" t="s">
        <v>112</v>
      </c>
      <c r="G230" s="1">
        <v>857387</v>
      </c>
    </row>
    <row r="231" spans="1:7" x14ac:dyDescent="0.35">
      <c r="A231" s="1" t="str">
        <f t="shared" si="3"/>
        <v>2</v>
      </c>
      <c r="B2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31" s="1" t="s">
        <v>3441</v>
      </c>
      <c r="D231" s="1" t="s">
        <v>3442</v>
      </c>
      <c r="E231" s="1" t="s">
        <v>3443</v>
      </c>
      <c r="F231" s="1" t="s">
        <v>112</v>
      </c>
      <c r="G231" s="1">
        <v>583120</v>
      </c>
    </row>
    <row r="232" spans="1:7" x14ac:dyDescent="0.35">
      <c r="A232" s="1" t="str">
        <f t="shared" si="3"/>
        <v>2</v>
      </c>
      <c r="B2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32" s="1" t="s">
        <v>3444</v>
      </c>
      <c r="D232" s="1" t="s">
        <v>3445</v>
      </c>
      <c r="E232" s="1" t="s">
        <v>3446</v>
      </c>
      <c r="F232" s="1" t="s">
        <v>112</v>
      </c>
      <c r="G232" s="1">
        <v>275067</v>
      </c>
    </row>
    <row r="233" spans="1:7" x14ac:dyDescent="0.35">
      <c r="A233" s="1" t="str">
        <f t="shared" si="3"/>
        <v>2</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33" s="1" t="s">
        <v>3447</v>
      </c>
      <c r="D233" s="1" t="s">
        <v>3448</v>
      </c>
      <c r="E233" s="1" t="s">
        <v>3449</v>
      </c>
      <c r="F233" s="1" t="s">
        <v>112</v>
      </c>
      <c r="G233" s="1">
        <v>322372</v>
      </c>
    </row>
    <row r="234" spans="1:7" x14ac:dyDescent="0.35">
      <c r="A234" s="1" t="str">
        <f t="shared" si="3"/>
        <v>2</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34" s="1" t="s">
        <v>3450</v>
      </c>
      <c r="D234" s="1" t="s">
        <v>3451</v>
      </c>
      <c r="E234" s="1" t="s">
        <v>3452</v>
      </c>
      <c r="F234" s="1" t="s">
        <v>112</v>
      </c>
      <c r="G234" s="1">
        <v>109750</v>
      </c>
    </row>
    <row r="235" spans="1:7" x14ac:dyDescent="0.35">
      <c r="A235" s="1" t="str">
        <f t="shared" si="3"/>
        <v>2</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35" s="1" t="s">
        <v>3453</v>
      </c>
      <c r="D235" s="1" t="s">
        <v>3454</v>
      </c>
      <c r="E235" s="1" t="s">
        <v>3455</v>
      </c>
      <c r="F235" s="1" t="s">
        <v>112</v>
      </c>
      <c r="G235" s="1">
        <v>493248</v>
      </c>
    </row>
    <row r="236" spans="1:7" x14ac:dyDescent="0.35">
      <c r="A236" s="1" t="str">
        <f t="shared" si="3"/>
        <v>2</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6" s="1" t="s">
        <v>3456</v>
      </c>
      <c r="D236" s="1" t="s">
        <v>3457</v>
      </c>
      <c r="E236" s="1" t="s">
        <v>3458</v>
      </c>
      <c r="F236" s="1" t="s">
        <v>112</v>
      </c>
      <c r="G236" s="1">
        <v>411011</v>
      </c>
    </row>
    <row r="237" spans="1:7" x14ac:dyDescent="0.35">
      <c r="A237" s="1" t="str">
        <f t="shared" si="3"/>
        <v>2</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7" s="1" t="s">
        <v>3459</v>
      </c>
      <c r="D237" s="1" t="s">
        <v>2887</v>
      </c>
      <c r="E237" s="1" t="s">
        <v>3460</v>
      </c>
      <c r="F237" s="1" t="s">
        <v>112</v>
      </c>
      <c r="G237" s="1">
        <v>417846</v>
      </c>
    </row>
    <row r="238" spans="1:7" x14ac:dyDescent="0.35">
      <c r="A238" s="1" t="str">
        <f t="shared" si="3"/>
        <v>2</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8" s="1" t="s">
        <v>3461</v>
      </c>
    </row>
    <row r="239" spans="1:7" x14ac:dyDescent="0.35">
      <c r="A239" s="1" t="str">
        <f t="shared" si="3"/>
        <v>2</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9" s="1" t="s">
        <v>3462</v>
      </c>
    </row>
    <row r="240" spans="1:7" x14ac:dyDescent="0.35">
      <c r="A240" s="1" t="str">
        <f t="shared" si="3"/>
        <v/>
      </c>
      <c r="B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0" s="1" t="s">
        <v>112</v>
      </c>
    </row>
    <row r="241" spans="1:8" x14ac:dyDescent="0.35">
      <c r="A241" s="1" t="str">
        <f t="shared" si="3"/>
        <v/>
      </c>
      <c r="B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1" s="1" t="s">
        <v>227</v>
      </c>
      <c r="D241" s="1" t="s">
        <v>112</v>
      </c>
      <c r="E241" s="1" t="s">
        <v>228</v>
      </c>
      <c r="F241" s="1" t="s">
        <v>229</v>
      </c>
      <c r="G241" s="1" t="s">
        <v>230</v>
      </c>
      <c r="H241" s="1" t="s">
        <v>231</v>
      </c>
    </row>
    <row r="242" spans="1:8" x14ac:dyDescent="0.35">
      <c r="A242" s="1" t="str">
        <f t="shared" si="3"/>
        <v>2</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42" s="1" t="s">
        <v>3463</v>
      </c>
      <c r="D242" s="1" t="s">
        <v>112</v>
      </c>
      <c r="E242" s="1" t="s">
        <v>3464</v>
      </c>
      <c r="F242" s="1" t="s">
        <v>3465</v>
      </c>
      <c r="G242" s="1" t="s">
        <v>3466</v>
      </c>
      <c r="H242" s="1" t="s">
        <v>3467</v>
      </c>
    </row>
    <row r="243" spans="1:8" x14ac:dyDescent="0.35">
      <c r="A243" s="1" t="str">
        <f t="shared" si="3"/>
        <v/>
      </c>
      <c r="B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3" s="1" t="s">
        <v>112</v>
      </c>
    </row>
    <row r="244" spans="1:8" x14ac:dyDescent="0.35">
      <c r="A244" s="1" t="str">
        <f t="shared" si="3"/>
        <v/>
      </c>
      <c r="B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4" s="1" t="s">
        <v>112</v>
      </c>
    </row>
    <row r="245" spans="1:8" x14ac:dyDescent="0.35">
      <c r="A245" s="1" t="str">
        <f t="shared" si="3"/>
        <v/>
      </c>
      <c r="B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5" s="1" t="s">
        <v>112</v>
      </c>
    </row>
    <row r="246" spans="1:8" x14ac:dyDescent="0.35">
      <c r="A246" s="1" t="str">
        <f t="shared" si="3"/>
        <v/>
      </c>
      <c r="B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6" s="1" t="s">
        <v>112</v>
      </c>
    </row>
    <row r="247" spans="1:8" x14ac:dyDescent="0.35">
      <c r="A247" s="1" t="str">
        <f t="shared" si="3"/>
        <v/>
      </c>
      <c r="B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7" s="1" t="s">
        <v>112</v>
      </c>
    </row>
    <row r="248" spans="1:8" x14ac:dyDescent="0.35">
      <c r="A248" s="1" t="str">
        <f t="shared" si="3"/>
        <v/>
      </c>
      <c r="B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8" s="1" t="s">
        <v>171</v>
      </c>
      <c r="D248" s="1" t="s">
        <v>110</v>
      </c>
      <c r="E248" s="1" t="s">
        <v>111</v>
      </c>
      <c r="F248" s="1" t="s">
        <v>112</v>
      </c>
      <c r="G248" s="1" t="s">
        <v>113</v>
      </c>
    </row>
    <row r="249" spans="1:8" x14ac:dyDescent="0.35">
      <c r="A249" s="1" t="str">
        <f t="shared" si="3"/>
        <v>3</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49" s="1" t="s">
        <v>3468</v>
      </c>
      <c r="D249" s="1" t="s">
        <v>1301</v>
      </c>
      <c r="E249" s="1" t="s">
        <v>3469</v>
      </c>
      <c r="F249" s="1" t="s">
        <v>112</v>
      </c>
      <c r="G249" s="1">
        <v>523660</v>
      </c>
    </row>
    <row r="250" spans="1:8" x14ac:dyDescent="0.35">
      <c r="A250" s="1" t="str">
        <f t="shared" si="3"/>
        <v>3</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50" s="1" t="s">
        <v>3470</v>
      </c>
      <c r="D250" s="1" t="s">
        <v>3413</v>
      </c>
      <c r="E250" s="1" t="s">
        <v>3471</v>
      </c>
      <c r="F250" s="1" t="s">
        <v>112</v>
      </c>
      <c r="G250" s="1">
        <v>318998</v>
      </c>
    </row>
    <row r="251" spans="1:8" x14ac:dyDescent="0.35">
      <c r="A251" s="1" t="str">
        <f t="shared" si="3"/>
        <v>3</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51" s="1" t="s">
        <v>3472</v>
      </c>
      <c r="D251" s="1" t="s">
        <v>3473</v>
      </c>
      <c r="E251" s="1" t="s">
        <v>3474</v>
      </c>
      <c r="F251" s="1" t="s">
        <v>112</v>
      </c>
      <c r="G251" s="1">
        <v>589133</v>
      </c>
    </row>
    <row r="252" spans="1:8" x14ac:dyDescent="0.35">
      <c r="A252" s="1" t="str">
        <f t="shared" si="3"/>
        <v>3</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52" s="1" t="s">
        <v>3475</v>
      </c>
      <c r="D252" s="1" t="s">
        <v>3476</v>
      </c>
      <c r="E252" s="1" t="s">
        <v>3477</v>
      </c>
      <c r="F252" s="1" t="s">
        <v>112</v>
      </c>
      <c r="G252" s="1">
        <v>456521</v>
      </c>
    </row>
    <row r="253" spans="1:8" x14ac:dyDescent="0.35">
      <c r="A253" s="1" t="str">
        <f t="shared" si="3"/>
        <v>3</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53" s="1" t="s">
        <v>3478</v>
      </c>
      <c r="D253" s="1" t="s">
        <v>3479</v>
      </c>
      <c r="E253" s="1" t="s">
        <v>3480</v>
      </c>
      <c r="F253" s="1" t="s">
        <v>112</v>
      </c>
      <c r="G253" s="1">
        <v>379605</v>
      </c>
    </row>
    <row r="254" spans="1:8" x14ac:dyDescent="0.35">
      <c r="A254" s="1" t="str">
        <f t="shared" si="3"/>
        <v>3</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54" s="1" t="s">
        <v>3481</v>
      </c>
      <c r="D254" s="1" t="s">
        <v>3482</v>
      </c>
      <c r="E254" s="1" t="s">
        <v>3483</v>
      </c>
      <c r="F254" s="1" t="s">
        <v>112</v>
      </c>
      <c r="G254" s="1">
        <v>401018</v>
      </c>
    </row>
    <row r="255" spans="1:8" x14ac:dyDescent="0.35">
      <c r="A255" s="1" t="str">
        <f t="shared" si="3"/>
        <v>3</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55" s="1" t="s">
        <v>3484</v>
      </c>
      <c r="D255" s="1" t="s">
        <v>3485</v>
      </c>
      <c r="E255" s="1" t="s">
        <v>3486</v>
      </c>
      <c r="F255" s="1" t="s">
        <v>112</v>
      </c>
      <c r="G255" s="1">
        <v>509362</v>
      </c>
    </row>
    <row r="256" spans="1:8" x14ac:dyDescent="0.35">
      <c r="A256" s="1" t="str">
        <f t="shared" si="3"/>
        <v>3</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56" s="1" t="s">
        <v>3487</v>
      </c>
      <c r="D256" s="1" t="s">
        <v>3488</v>
      </c>
      <c r="E256" s="1" t="s">
        <v>3489</v>
      </c>
      <c r="F256" s="1" t="s">
        <v>112</v>
      </c>
      <c r="G256" s="1">
        <v>459159</v>
      </c>
    </row>
    <row r="257" spans="1:7" x14ac:dyDescent="0.35">
      <c r="A257" s="1" t="str">
        <f t="shared" si="3"/>
        <v>3</v>
      </c>
      <c r="B2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57" s="1" t="s">
        <v>3490</v>
      </c>
      <c r="D257" s="1" t="s">
        <v>256</v>
      </c>
      <c r="E257" s="1" t="s">
        <v>3491</v>
      </c>
      <c r="F257" s="1" t="s">
        <v>112</v>
      </c>
      <c r="G257" s="1">
        <v>3309</v>
      </c>
    </row>
    <row r="258" spans="1:7" x14ac:dyDescent="0.35">
      <c r="A258" s="1" t="str">
        <f t="shared" ref="A258:A321" si="4">IFERROR(LEFT(RIGHT(C258,LEN(C258)-SEARCH("@",C258)),SEARCH("/",RIGHT(C258,LEN(C258)-SEARCH("@",C258)-1))),"")</f>
        <v>3</v>
      </c>
      <c r="B2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58" s="1" t="s">
        <v>3492</v>
      </c>
      <c r="D258" s="1" t="s">
        <v>3493</v>
      </c>
      <c r="E258" s="1" t="s">
        <v>3494</v>
      </c>
      <c r="F258" s="1" t="s">
        <v>112</v>
      </c>
      <c r="G258" s="1">
        <v>390117</v>
      </c>
    </row>
    <row r="259" spans="1:7" x14ac:dyDescent="0.35">
      <c r="A259" s="1" t="str">
        <f t="shared" si="4"/>
        <v>3</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59" s="1" t="s">
        <v>3495</v>
      </c>
    </row>
    <row r="260" spans="1:7" x14ac:dyDescent="0.35">
      <c r="A260" s="1" t="str">
        <f t="shared" si="4"/>
        <v>3</v>
      </c>
      <c r="B2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60" s="1" t="s">
        <v>3496</v>
      </c>
    </row>
    <row r="261" spans="1:7" x14ac:dyDescent="0.35">
      <c r="A261" s="1" t="str">
        <f t="shared" si="4"/>
        <v>3</v>
      </c>
      <c r="B2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61" s="1" t="s">
        <v>3497</v>
      </c>
      <c r="D261" s="1" t="s">
        <v>2472</v>
      </c>
      <c r="E261" s="1" t="s">
        <v>3498</v>
      </c>
      <c r="F261" s="1" t="s">
        <v>112</v>
      </c>
      <c r="G261" s="1">
        <v>237821</v>
      </c>
    </row>
    <row r="262" spans="1:7" x14ac:dyDescent="0.35">
      <c r="A262" s="1" t="str">
        <f t="shared" si="4"/>
        <v>3</v>
      </c>
      <c r="B2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62" s="1" t="s">
        <v>3499</v>
      </c>
      <c r="D262" s="1" t="s">
        <v>2997</v>
      </c>
      <c r="E262" s="1" t="s">
        <v>3500</v>
      </c>
      <c r="F262" s="1" t="s">
        <v>112</v>
      </c>
      <c r="G262" s="1">
        <v>262284</v>
      </c>
    </row>
    <row r="263" spans="1:7" x14ac:dyDescent="0.35">
      <c r="A263" s="1" t="str">
        <f t="shared" si="4"/>
        <v>3</v>
      </c>
      <c r="B2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63" s="1" t="s">
        <v>3501</v>
      </c>
      <c r="D263" s="1" t="s">
        <v>2707</v>
      </c>
      <c r="E263" s="1" t="s">
        <v>3502</v>
      </c>
      <c r="F263" s="1" t="s">
        <v>112</v>
      </c>
      <c r="G263" s="1">
        <v>12243</v>
      </c>
    </row>
    <row r="264" spans="1:7" x14ac:dyDescent="0.35">
      <c r="A264" s="1" t="str">
        <f t="shared" si="4"/>
        <v>3</v>
      </c>
      <c r="B2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64" s="1" t="s">
        <v>3503</v>
      </c>
      <c r="D264" s="1" t="s">
        <v>1510</v>
      </c>
      <c r="E264" s="1" t="s">
        <v>3504</v>
      </c>
      <c r="F264" s="1" t="s">
        <v>112</v>
      </c>
      <c r="G264" s="1">
        <v>222874</v>
      </c>
    </row>
    <row r="265" spans="1:7" x14ac:dyDescent="0.35">
      <c r="A265" s="1" t="str">
        <f t="shared" si="4"/>
        <v>3</v>
      </c>
      <c r="B2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65" s="1" t="s">
        <v>3505</v>
      </c>
      <c r="D265" s="1" t="s">
        <v>1047</v>
      </c>
      <c r="E265" s="1" t="s">
        <v>3506</v>
      </c>
      <c r="F265" s="1" t="s">
        <v>112</v>
      </c>
      <c r="G265" s="1">
        <v>331327</v>
      </c>
    </row>
    <row r="266" spans="1:7" x14ac:dyDescent="0.35">
      <c r="A266" s="1" t="str">
        <f t="shared" si="4"/>
        <v>3</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66" s="1" t="s">
        <v>3507</v>
      </c>
      <c r="D266" s="1" t="s">
        <v>1954</v>
      </c>
      <c r="E266" s="1" t="s">
        <v>3508</v>
      </c>
      <c r="F266" s="1" t="s">
        <v>112</v>
      </c>
      <c r="G266" s="1">
        <v>348760</v>
      </c>
    </row>
    <row r="267" spans="1:7" x14ac:dyDescent="0.35">
      <c r="A267" s="1" t="str">
        <f t="shared" si="4"/>
        <v>3</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67" s="1" t="s">
        <v>3509</v>
      </c>
      <c r="D267" s="1" t="s">
        <v>3510</v>
      </c>
      <c r="E267" s="1" t="s">
        <v>3511</v>
      </c>
      <c r="F267" s="1" t="s">
        <v>112</v>
      </c>
      <c r="G267" s="1">
        <v>500732</v>
      </c>
    </row>
    <row r="268" spans="1:7" x14ac:dyDescent="0.35">
      <c r="A268" s="1" t="str">
        <f t="shared" si="4"/>
        <v>3</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68" s="1" t="s">
        <v>3512</v>
      </c>
      <c r="D268" s="1" t="s">
        <v>2840</v>
      </c>
      <c r="E268" s="1" t="s">
        <v>3513</v>
      </c>
      <c r="F268" s="1" t="s">
        <v>112</v>
      </c>
      <c r="G268" s="1">
        <v>375971</v>
      </c>
    </row>
    <row r="269" spans="1:7" x14ac:dyDescent="0.35">
      <c r="A269" s="1" t="str">
        <f t="shared" si="4"/>
        <v>3</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69" s="1" t="s">
        <v>3514</v>
      </c>
      <c r="D269" s="1" t="s">
        <v>3515</v>
      </c>
      <c r="E269" s="1" t="s">
        <v>3516</v>
      </c>
      <c r="F269" s="1" t="s">
        <v>112</v>
      </c>
      <c r="G269" s="1">
        <v>491604</v>
      </c>
    </row>
    <row r="270" spans="1:7" x14ac:dyDescent="0.35">
      <c r="A270" s="1" t="str">
        <f t="shared" si="4"/>
        <v>3</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70" s="1" t="s">
        <v>3517</v>
      </c>
      <c r="D270" s="1" t="s">
        <v>3518</v>
      </c>
      <c r="E270" s="1" t="s">
        <v>3519</v>
      </c>
      <c r="F270" s="1" t="s">
        <v>112</v>
      </c>
      <c r="G270" s="1">
        <v>327736</v>
      </c>
    </row>
    <row r="271" spans="1:7" x14ac:dyDescent="0.35">
      <c r="A271" s="1" t="str">
        <f t="shared" si="4"/>
        <v>3</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71" s="1" t="s">
        <v>3520</v>
      </c>
      <c r="D271" s="1" t="s">
        <v>198</v>
      </c>
      <c r="E271" s="1" t="s">
        <v>3521</v>
      </c>
      <c r="F271" s="1" t="s">
        <v>112</v>
      </c>
      <c r="G271" s="1">
        <v>396087</v>
      </c>
    </row>
    <row r="272" spans="1:7" x14ac:dyDescent="0.35">
      <c r="A272" s="1" t="str">
        <f t="shared" si="4"/>
        <v>3</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72" s="1" t="s">
        <v>3522</v>
      </c>
      <c r="D272" s="1" t="s">
        <v>1489</v>
      </c>
      <c r="E272" s="1" t="s">
        <v>3523</v>
      </c>
      <c r="F272" s="1" t="s">
        <v>112</v>
      </c>
      <c r="G272" s="1">
        <v>195167</v>
      </c>
    </row>
    <row r="273" spans="1:8" x14ac:dyDescent="0.35">
      <c r="A273" s="1" t="str">
        <f t="shared" si="4"/>
        <v>3</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73" s="1" t="s">
        <v>3524</v>
      </c>
      <c r="D273" s="1" t="s">
        <v>3525</v>
      </c>
      <c r="E273" s="1" t="s">
        <v>3526</v>
      </c>
      <c r="F273" s="1" t="s">
        <v>112</v>
      </c>
      <c r="G273" s="1">
        <v>33678</v>
      </c>
    </row>
    <row r="274" spans="1:8" x14ac:dyDescent="0.35">
      <c r="A274" s="1" t="str">
        <f t="shared" si="4"/>
        <v>3</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74" s="1" t="s">
        <v>3527</v>
      </c>
      <c r="D274" s="1" t="s">
        <v>2707</v>
      </c>
      <c r="E274" s="1">
        <v>31</v>
      </c>
      <c r="F274" s="1" t="s">
        <v>112</v>
      </c>
      <c r="G274" s="1">
        <v>12069</v>
      </c>
    </row>
    <row r="275" spans="1:8" x14ac:dyDescent="0.35">
      <c r="A275" s="1" t="str">
        <f t="shared" si="4"/>
        <v>3</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75" s="1" t="s">
        <v>3528</v>
      </c>
      <c r="D275" s="1" t="s">
        <v>180</v>
      </c>
      <c r="E275" s="1">
        <v>30</v>
      </c>
      <c r="F275" s="1" t="s">
        <v>112</v>
      </c>
      <c r="G275" s="1">
        <v>649</v>
      </c>
    </row>
    <row r="276" spans="1:8" x14ac:dyDescent="0.35">
      <c r="A276" s="1" t="str">
        <f t="shared" si="4"/>
        <v>3</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76" s="1" t="s">
        <v>3529</v>
      </c>
      <c r="D276" s="1" t="s">
        <v>3320</v>
      </c>
      <c r="E276" s="1" t="s">
        <v>3530</v>
      </c>
      <c r="F276" s="1" t="s">
        <v>112</v>
      </c>
      <c r="G276" s="1">
        <v>391609</v>
      </c>
    </row>
    <row r="277" spans="1:8" x14ac:dyDescent="0.35">
      <c r="A277" s="1" t="str">
        <f t="shared" si="4"/>
        <v>3</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77" s="1" t="s">
        <v>3531</v>
      </c>
      <c r="D277" s="1" t="s">
        <v>957</v>
      </c>
      <c r="E277" s="1" t="s">
        <v>3532</v>
      </c>
      <c r="F277" s="1" t="s">
        <v>112</v>
      </c>
      <c r="G277" s="1">
        <v>355552</v>
      </c>
    </row>
    <row r="278" spans="1:8" x14ac:dyDescent="0.35">
      <c r="A278" s="1" t="str">
        <f t="shared" si="4"/>
        <v>3</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78" s="1" t="s">
        <v>3533</v>
      </c>
      <c r="D278" s="1" t="s">
        <v>3534</v>
      </c>
      <c r="E278" s="1" t="s">
        <v>3535</v>
      </c>
      <c r="F278" s="1" t="s">
        <v>112</v>
      </c>
      <c r="G278" s="1">
        <v>413174</v>
      </c>
    </row>
    <row r="279" spans="1:8" x14ac:dyDescent="0.35">
      <c r="A279" s="1" t="str">
        <f t="shared" si="4"/>
        <v>3</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79" s="1" t="s">
        <v>3536</v>
      </c>
      <c r="D279" s="1" t="s">
        <v>1444</v>
      </c>
      <c r="E279" s="1" t="s">
        <v>3537</v>
      </c>
      <c r="F279" s="1" t="s">
        <v>112</v>
      </c>
      <c r="G279" s="1">
        <v>515657</v>
      </c>
    </row>
    <row r="280" spans="1:8" x14ac:dyDescent="0.35">
      <c r="A280" s="1" t="str">
        <f t="shared" si="4"/>
        <v>3</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0" s="1" t="s">
        <v>3538</v>
      </c>
      <c r="D280" s="1" t="s">
        <v>1967</v>
      </c>
      <c r="E280" s="1" t="s">
        <v>3539</v>
      </c>
      <c r="F280" s="1" t="s">
        <v>112</v>
      </c>
      <c r="G280" s="1">
        <v>15898</v>
      </c>
    </row>
    <row r="281" spans="1:8" x14ac:dyDescent="0.35">
      <c r="A281" s="1" t="str">
        <f t="shared" si="4"/>
        <v/>
      </c>
      <c r="B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1" s="1" t="s">
        <v>112</v>
      </c>
    </row>
    <row r="282" spans="1:8" x14ac:dyDescent="0.35">
      <c r="A282" s="1" t="str">
        <f t="shared" si="4"/>
        <v/>
      </c>
      <c r="B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2" s="1" t="s">
        <v>227</v>
      </c>
      <c r="D282" s="1" t="s">
        <v>112</v>
      </c>
      <c r="E282" s="1" t="s">
        <v>228</v>
      </c>
      <c r="F282" s="1" t="s">
        <v>229</v>
      </c>
      <c r="G282" s="1" t="s">
        <v>230</v>
      </c>
      <c r="H282" s="1" t="s">
        <v>231</v>
      </c>
    </row>
    <row r="283" spans="1:8" x14ac:dyDescent="0.35">
      <c r="A283" s="1" t="str">
        <f t="shared" si="4"/>
        <v>3</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3" s="1" t="s">
        <v>3540</v>
      </c>
      <c r="D283" s="1" t="s">
        <v>112</v>
      </c>
      <c r="E283" s="1" t="s">
        <v>3541</v>
      </c>
      <c r="F283" s="1" t="s">
        <v>3542</v>
      </c>
      <c r="G283" s="1" t="s">
        <v>3543</v>
      </c>
      <c r="H283" s="1" t="s">
        <v>3544</v>
      </c>
    </row>
    <row r="284" spans="1:8" x14ac:dyDescent="0.35">
      <c r="A284" s="1" t="str">
        <f t="shared" si="4"/>
        <v/>
      </c>
      <c r="B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4" s="1" t="s">
        <v>112</v>
      </c>
    </row>
    <row r="285" spans="1:8" x14ac:dyDescent="0.35">
      <c r="A285" s="1" t="str">
        <f t="shared" si="4"/>
        <v/>
      </c>
      <c r="B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5" s="1" t="s">
        <v>112</v>
      </c>
    </row>
    <row r="286" spans="1:8" x14ac:dyDescent="0.35">
      <c r="A286" s="1" t="str">
        <f t="shared" si="4"/>
        <v/>
      </c>
      <c r="B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6" s="1" t="s">
        <v>112</v>
      </c>
    </row>
    <row r="287" spans="1:8" x14ac:dyDescent="0.35">
      <c r="A287" s="1" t="str">
        <f t="shared" si="4"/>
        <v/>
      </c>
      <c r="B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7" s="1" t="s">
        <v>112</v>
      </c>
    </row>
    <row r="288" spans="1:8" x14ac:dyDescent="0.35">
      <c r="A288" s="1" t="str">
        <f t="shared" si="4"/>
        <v/>
      </c>
      <c r="B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8" s="1" t="s">
        <v>112</v>
      </c>
    </row>
    <row r="289" spans="1:7" x14ac:dyDescent="0.35">
      <c r="A289" s="1" t="str">
        <f t="shared" si="4"/>
        <v/>
      </c>
      <c r="B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9" s="1" t="s">
        <v>171</v>
      </c>
      <c r="D289" s="1" t="s">
        <v>110</v>
      </c>
      <c r="E289" s="1" t="s">
        <v>111</v>
      </c>
      <c r="F289" s="1" t="s">
        <v>112</v>
      </c>
      <c r="G289" s="1" t="s">
        <v>113</v>
      </c>
    </row>
    <row r="290" spans="1:7" x14ac:dyDescent="0.35">
      <c r="A290" s="1" t="str">
        <f t="shared" si="4"/>
        <v>4</v>
      </c>
      <c r="B2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0" s="1" t="s">
        <v>3545</v>
      </c>
    </row>
    <row r="291" spans="1:7" x14ac:dyDescent="0.35">
      <c r="A291" s="1" t="str">
        <f t="shared" si="4"/>
        <v>4</v>
      </c>
      <c r="B2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1" s="1" t="s">
        <v>3546</v>
      </c>
    </row>
    <row r="292" spans="1:7" x14ac:dyDescent="0.35">
      <c r="A292" s="1" t="str">
        <f t="shared" si="4"/>
        <v>4</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2" s="1" t="s">
        <v>3547</v>
      </c>
    </row>
    <row r="293" spans="1:7" x14ac:dyDescent="0.35">
      <c r="A293" s="1" t="str">
        <f t="shared" si="4"/>
        <v>4</v>
      </c>
      <c r="B2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3" s="1" t="s">
        <v>3548</v>
      </c>
      <c r="D293" s="1" t="s">
        <v>3549</v>
      </c>
      <c r="E293" s="1" t="s">
        <v>3550</v>
      </c>
      <c r="F293" s="1" t="s">
        <v>112</v>
      </c>
      <c r="G293" s="1">
        <v>617944</v>
      </c>
    </row>
    <row r="294" spans="1:7" x14ac:dyDescent="0.35">
      <c r="A294" s="1" t="str">
        <f t="shared" si="4"/>
        <v>4</v>
      </c>
      <c r="B2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94" s="1" t="s">
        <v>3551</v>
      </c>
      <c r="D294" s="1" t="s">
        <v>3552</v>
      </c>
      <c r="E294" s="1" t="s">
        <v>3553</v>
      </c>
      <c r="F294" s="1" t="s">
        <v>112</v>
      </c>
      <c r="G294" s="1">
        <v>581671</v>
      </c>
    </row>
    <row r="295" spans="1:7" x14ac:dyDescent="0.35">
      <c r="A295" s="1" t="str">
        <f t="shared" si="4"/>
        <v>4</v>
      </c>
      <c r="B2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95" s="1" t="s">
        <v>3554</v>
      </c>
    </row>
    <row r="296" spans="1:7" x14ac:dyDescent="0.35">
      <c r="A296" s="1" t="str">
        <f t="shared" si="4"/>
        <v>4</v>
      </c>
      <c r="B2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96" s="1" t="s">
        <v>3555</v>
      </c>
      <c r="D296" s="1" t="s">
        <v>1304</v>
      </c>
      <c r="E296" s="1" t="s">
        <v>3556</v>
      </c>
      <c r="F296" s="1" t="s">
        <v>112</v>
      </c>
      <c r="G296" s="1">
        <v>635032</v>
      </c>
    </row>
    <row r="297" spans="1:7" x14ac:dyDescent="0.35">
      <c r="A297" s="1" t="str">
        <f t="shared" si="4"/>
        <v>4</v>
      </c>
      <c r="B2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97" s="1" t="s">
        <v>3557</v>
      </c>
      <c r="D297" s="1" t="s">
        <v>3558</v>
      </c>
      <c r="E297" s="1" t="s">
        <v>3559</v>
      </c>
      <c r="F297" s="1" t="s">
        <v>112</v>
      </c>
      <c r="G297" s="1">
        <v>831691</v>
      </c>
    </row>
    <row r="298" spans="1:7" x14ac:dyDescent="0.35">
      <c r="A298" s="1" t="str">
        <f t="shared" si="4"/>
        <v>4</v>
      </c>
      <c r="B2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98" s="1" t="s">
        <v>3560</v>
      </c>
      <c r="D298" s="1" t="s">
        <v>3561</v>
      </c>
      <c r="E298" s="1" t="s">
        <v>3562</v>
      </c>
      <c r="F298" s="1" t="s">
        <v>112</v>
      </c>
      <c r="G298" s="1">
        <v>3285040</v>
      </c>
    </row>
    <row r="299" spans="1:7" x14ac:dyDescent="0.35">
      <c r="A299" s="1" t="str">
        <f t="shared" si="4"/>
        <v>4</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99" s="1" t="s">
        <v>3563</v>
      </c>
      <c r="D299" s="1" t="s">
        <v>3564</v>
      </c>
      <c r="E299" s="1" t="s">
        <v>3565</v>
      </c>
      <c r="F299" s="1" t="s">
        <v>112</v>
      </c>
      <c r="G299" s="1">
        <v>2859039</v>
      </c>
    </row>
    <row r="300" spans="1:7" x14ac:dyDescent="0.35">
      <c r="A300" s="1" t="str">
        <f t="shared" si="4"/>
        <v>4</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0" s="1" t="s">
        <v>3566</v>
      </c>
      <c r="D300" s="1" t="s">
        <v>3567</v>
      </c>
      <c r="E300" s="1" t="s">
        <v>3568</v>
      </c>
      <c r="F300" s="1" t="s">
        <v>112</v>
      </c>
      <c r="G300" s="1">
        <v>2979280</v>
      </c>
    </row>
    <row r="301" spans="1:7" x14ac:dyDescent="0.35">
      <c r="A301" s="1" t="str">
        <f t="shared" si="4"/>
        <v>4</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1" s="1" t="s">
        <v>3569</v>
      </c>
    </row>
    <row r="302" spans="1:7" x14ac:dyDescent="0.35">
      <c r="A302" s="1" t="str">
        <f t="shared" si="4"/>
        <v>4</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2" s="1" t="s">
        <v>3570</v>
      </c>
      <c r="D302" s="1" t="s">
        <v>3571</v>
      </c>
      <c r="E302" s="1" t="s">
        <v>3572</v>
      </c>
      <c r="F302" s="1" t="s">
        <v>112</v>
      </c>
      <c r="G302" s="1">
        <v>617404</v>
      </c>
    </row>
    <row r="303" spans="1:7" x14ac:dyDescent="0.35">
      <c r="A303" s="1" t="str">
        <f t="shared" si="4"/>
        <v>4</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3" s="1" t="s">
        <v>3573</v>
      </c>
      <c r="D303" s="1" t="s">
        <v>3574</v>
      </c>
      <c r="E303" s="1" t="s">
        <v>3575</v>
      </c>
      <c r="F303" s="1" t="s">
        <v>112</v>
      </c>
      <c r="G303" s="1">
        <v>1130486</v>
      </c>
    </row>
    <row r="304" spans="1:7" x14ac:dyDescent="0.35">
      <c r="A304" s="1" t="str">
        <f t="shared" si="4"/>
        <v>4</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4" s="1" t="s">
        <v>3576</v>
      </c>
      <c r="D304" s="1" t="s">
        <v>3577</v>
      </c>
      <c r="E304" s="1" t="s">
        <v>3578</v>
      </c>
      <c r="F304" s="1" t="s">
        <v>112</v>
      </c>
      <c r="G304" s="1">
        <v>1189861</v>
      </c>
    </row>
    <row r="305" spans="1:7" x14ac:dyDescent="0.35">
      <c r="A305" s="1" t="str">
        <f t="shared" si="4"/>
        <v>4</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5" s="1" t="s">
        <v>3579</v>
      </c>
      <c r="D305" s="1" t="s">
        <v>3580</v>
      </c>
      <c r="E305" s="1" t="s">
        <v>3581</v>
      </c>
      <c r="F305" s="1" t="s">
        <v>112</v>
      </c>
      <c r="G305" s="1">
        <v>1457747</v>
      </c>
    </row>
    <row r="306" spans="1:7" x14ac:dyDescent="0.35">
      <c r="A306" s="1" t="str">
        <f t="shared" si="4"/>
        <v>4</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06" s="1" t="s">
        <v>3582</v>
      </c>
      <c r="D306" s="1" t="s">
        <v>3583</v>
      </c>
      <c r="E306" s="1" t="s">
        <v>3584</v>
      </c>
      <c r="F306" s="1" t="s">
        <v>112</v>
      </c>
      <c r="G306" s="1">
        <v>572089</v>
      </c>
    </row>
    <row r="307" spans="1:7" x14ac:dyDescent="0.35">
      <c r="A307" s="1" t="str">
        <f t="shared" si="4"/>
        <v>4</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07" s="1" t="s">
        <v>3585</v>
      </c>
      <c r="D307" s="1" t="s">
        <v>3586</v>
      </c>
      <c r="E307" s="1" t="s">
        <v>3587</v>
      </c>
      <c r="F307" s="1" t="s">
        <v>112</v>
      </c>
      <c r="G307" s="1">
        <v>1000664</v>
      </c>
    </row>
    <row r="308" spans="1:7" x14ac:dyDescent="0.35">
      <c r="A308" s="1" t="str">
        <f t="shared" si="4"/>
        <v>4</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08" s="1" t="s">
        <v>3588</v>
      </c>
      <c r="D308" s="1" t="s">
        <v>3589</v>
      </c>
      <c r="E308" s="1" t="s">
        <v>3590</v>
      </c>
      <c r="F308" s="1" t="s">
        <v>112</v>
      </c>
      <c r="G308" s="1">
        <v>1299567</v>
      </c>
    </row>
    <row r="309" spans="1:7" x14ac:dyDescent="0.35">
      <c r="A309" s="1" t="str">
        <f t="shared" si="4"/>
        <v>4</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09" s="1" t="s">
        <v>3591</v>
      </c>
      <c r="D309" s="1" t="s">
        <v>3592</v>
      </c>
      <c r="E309" s="1" t="s">
        <v>3593</v>
      </c>
      <c r="F309" s="1" t="s">
        <v>112</v>
      </c>
      <c r="G309" s="1">
        <v>1263207</v>
      </c>
    </row>
    <row r="310" spans="1:7" x14ac:dyDescent="0.35">
      <c r="A310" s="1" t="str">
        <f t="shared" si="4"/>
        <v>4</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0" s="1" t="s">
        <v>3594</v>
      </c>
      <c r="D310" s="1" t="s">
        <v>2905</v>
      </c>
      <c r="E310" s="1" t="s">
        <v>3595</v>
      </c>
      <c r="F310" s="1" t="s">
        <v>112</v>
      </c>
      <c r="G310" s="1">
        <v>9496</v>
      </c>
    </row>
    <row r="311" spans="1:7" x14ac:dyDescent="0.35">
      <c r="A311" s="1" t="str">
        <f t="shared" si="4"/>
        <v>4</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1" s="1" t="s">
        <v>3596</v>
      </c>
    </row>
    <row r="312" spans="1:7" x14ac:dyDescent="0.35">
      <c r="A312" s="1" t="str">
        <f t="shared" si="4"/>
        <v>4</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2" s="1" t="s">
        <v>3597</v>
      </c>
      <c r="D312" s="1" t="s">
        <v>3338</v>
      </c>
      <c r="E312" s="1" t="s">
        <v>3598</v>
      </c>
      <c r="F312" s="1" t="s">
        <v>112</v>
      </c>
      <c r="G312" s="1">
        <v>181626</v>
      </c>
    </row>
    <row r="313" spans="1:7" x14ac:dyDescent="0.35">
      <c r="A313" s="1" t="str">
        <f t="shared" si="4"/>
        <v>4</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3" s="1" t="s">
        <v>3599</v>
      </c>
    </row>
    <row r="314" spans="1:7" x14ac:dyDescent="0.35">
      <c r="A314" s="1" t="str">
        <f t="shared" si="4"/>
        <v>4</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4" s="1" t="s">
        <v>3600</v>
      </c>
      <c r="D314" s="1" t="s">
        <v>521</v>
      </c>
      <c r="E314" s="1" t="s">
        <v>3601</v>
      </c>
      <c r="F314" s="1" t="s">
        <v>112</v>
      </c>
      <c r="G314" s="1">
        <v>60888</v>
      </c>
    </row>
    <row r="315" spans="1:7" x14ac:dyDescent="0.35">
      <c r="A315" s="1" t="str">
        <f t="shared" si="4"/>
        <v>4</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5" s="1" t="s">
        <v>3602</v>
      </c>
      <c r="D315" s="1" t="s">
        <v>2850</v>
      </c>
      <c r="E315" s="1" t="s">
        <v>3603</v>
      </c>
      <c r="F315" s="1" t="s">
        <v>112</v>
      </c>
      <c r="G315" s="1">
        <v>141351</v>
      </c>
    </row>
    <row r="316" spans="1:7" x14ac:dyDescent="0.35">
      <c r="A316" s="1" t="str">
        <f t="shared" si="4"/>
        <v>4</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6" s="1" t="s">
        <v>3604</v>
      </c>
      <c r="D316" s="1" t="s">
        <v>604</v>
      </c>
      <c r="E316" s="1" t="s">
        <v>3605</v>
      </c>
      <c r="F316" s="1" t="s">
        <v>112</v>
      </c>
      <c r="G316" s="1">
        <v>282292</v>
      </c>
    </row>
    <row r="317" spans="1:7" x14ac:dyDescent="0.35">
      <c r="A317" s="1" t="str">
        <f t="shared" si="4"/>
        <v>4</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3606</v>
      </c>
      <c r="D317" s="1" t="s">
        <v>3607</v>
      </c>
      <c r="E317" s="1" t="s">
        <v>3608</v>
      </c>
      <c r="F317" s="1" t="s">
        <v>112</v>
      </c>
      <c r="G317" s="1">
        <v>453665</v>
      </c>
    </row>
    <row r="318" spans="1:7" x14ac:dyDescent="0.35">
      <c r="A318" s="1" t="str">
        <f t="shared" si="4"/>
        <v>4</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18" s="1" t="s">
        <v>3609</v>
      </c>
      <c r="D318" s="1" t="s">
        <v>2001</v>
      </c>
      <c r="E318" s="1" t="s">
        <v>3610</v>
      </c>
      <c r="F318" s="1" t="s">
        <v>112</v>
      </c>
      <c r="G318" s="1">
        <v>48884</v>
      </c>
    </row>
    <row r="319" spans="1:7" x14ac:dyDescent="0.35">
      <c r="A319" s="1" t="str">
        <f t="shared" si="4"/>
        <v>4</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19" s="1" t="s">
        <v>3611</v>
      </c>
      <c r="D319" s="1" t="s">
        <v>3612</v>
      </c>
      <c r="E319" s="1" t="s">
        <v>3613</v>
      </c>
      <c r="F319" s="1" t="s">
        <v>112</v>
      </c>
      <c r="G319" s="1">
        <v>142736</v>
      </c>
    </row>
    <row r="320" spans="1:7" x14ac:dyDescent="0.35">
      <c r="A320" s="1" t="str">
        <f t="shared" si="4"/>
        <v>4</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3614</v>
      </c>
      <c r="D320" s="1" t="s">
        <v>690</v>
      </c>
      <c r="E320" s="1" t="s">
        <v>3615</v>
      </c>
      <c r="F320" s="1" t="s">
        <v>112</v>
      </c>
      <c r="G320" s="1">
        <v>512412</v>
      </c>
    </row>
    <row r="321" spans="1:8" x14ac:dyDescent="0.35">
      <c r="A321" s="1" t="str">
        <f t="shared" si="4"/>
        <v>4</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3616</v>
      </c>
      <c r="D321" s="1" t="s">
        <v>3457</v>
      </c>
      <c r="E321" s="1" t="s">
        <v>3617</v>
      </c>
      <c r="F321" s="1" t="s">
        <v>112</v>
      </c>
      <c r="G321" s="1">
        <v>328017</v>
      </c>
    </row>
    <row r="322" spans="1:8" x14ac:dyDescent="0.35">
      <c r="A322" s="1" t="str">
        <f t="shared" ref="A322:A385" si="5">IFERROR(LEFT(RIGHT(C322,LEN(C322)-SEARCH("@",C322)),SEARCH("/",RIGHT(C322,LEN(C322)-SEARCH("@",C322)-1))),"")</f>
        <v/>
      </c>
      <c r="B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2" s="1" t="s">
        <v>112</v>
      </c>
    </row>
    <row r="323" spans="1:8" x14ac:dyDescent="0.3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227</v>
      </c>
      <c r="D323" s="1" t="s">
        <v>112</v>
      </c>
      <c r="E323" s="1" t="s">
        <v>228</v>
      </c>
      <c r="F323" s="1" t="s">
        <v>229</v>
      </c>
      <c r="G323" s="1" t="s">
        <v>230</v>
      </c>
      <c r="H323" s="1" t="s">
        <v>231</v>
      </c>
    </row>
    <row r="324" spans="1:8" x14ac:dyDescent="0.35">
      <c r="A324" s="1" t="str">
        <f t="shared" si="5"/>
        <v>4</v>
      </c>
      <c r="B3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4" s="1" t="s">
        <v>3618</v>
      </c>
      <c r="D324" s="1" t="s">
        <v>112</v>
      </c>
      <c r="E324" s="1" t="s">
        <v>3619</v>
      </c>
      <c r="F324" s="1" t="s">
        <v>3620</v>
      </c>
      <c r="G324" s="1" t="s">
        <v>3621</v>
      </c>
      <c r="H324" s="1" t="s">
        <v>3622</v>
      </c>
    </row>
    <row r="325" spans="1:8" x14ac:dyDescent="0.35">
      <c r="A325" s="1" t="str">
        <f t="shared" si="5"/>
        <v/>
      </c>
      <c r="B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5" s="1" t="s">
        <v>112</v>
      </c>
    </row>
    <row r="326" spans="1:8" x14ac:dyDescent="0.3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112</v>
      </c>
    </row>
    <row r="327" spans="1:8" x14ac:dyDescent="0.3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8" x14ac:dyDescent="0.3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8" x14ac:dyDescent="0.3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8" x14ac:dyDescent="0.3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171</v>
      </c>
      <c r="D330" s="1" t="s">
        <v>110</v>
      </c>
      <c r="E330" s="1" t="s">
        <v>111</v>
      </c>
      <c r="F330" s="1" t="s">
        <v>112</v>
      </c>
      <c r="G330" s="1" t="s">
        <v>113</v>
      </c>
    </row>
    <row r="331" spans="1:8" x14ac:dyDescent="0.35">
      <c r="A331" s="1" t="str">
        <f t="shared" si="5"/>
        <v>5</v>
      </c>
      <c r="B3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1" s="1" t="s">
        <v>3623</v>
      </c>
      <c r="D331" s="1" t="s">
        <v>3624</v>
      </c>
      <c r="E331" s="1" t="s">
        <v>3625</v>
      </c>
      <c r="F331" s="1" t="s">
        <v>112</v>
      </c>
      <c r="G331" s="1">
        <v>1778021</v>
      </c>
    </row>
    <row r="332" spans="1:8" x14ac:dyDescent="0.35">
      <c r="A332" s="1" t="str">
        <f t="shared" si="5"/>
        <v>5</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3626</v>
      </c>
      <c r="D332" s="1" t="s">
        <v>3627</v>
      </c>
      <c r="E332" s="1" t="s">
        <v>3628</v>
      </c>
      <c r="F332" s="1" t="s">
        <v>112</v>
      </c>
      <c r="G332" s="1">
        <v>2439203</v>
      </c>
    </row>
    <row r="333" spans="1:8" x14ac:dyDescent="0.35">
      <c r="A333" s="1" t="str">
        <f t="shared" si="5"/>
        <v>5</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3629</v>
      </c>
    </row>
    <row r="334" spans="1:8" x14ac:dyDescent="0.35">
      <c r="A334" s="1" t="str">
        <f t="shared" si="5"/>
        <v>5</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3630</v>
      </c>
      <c r="D334" s="1" t="s">
        <v>2787</v>
      </c>
      <c r="E334" s="1" t="s">
        <v>3631</v>
      </c>
      <c r="F334" s="1" t="s">
        <v>112</v>
      </c>
      <c r="G334" s="1">
        <v>1553978</v>
      </c>
    </row>
    <row r="335" spans="1:8" x14ac:dyDescent="0.35">
      <c r="A335" s="1" t="str">
        <f t="shared" si="5"/>
        <v>5</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3632</v>
      </c>
      <c r="D335" s="1" t="s">
        <v>3633</v>
      </c>
      <c r="E335" s="1" t="s">
        <v>3634</v>
      </c>
      <c r="F335" s="1" t="s">
        <v>112</v>
      </c>
      <c r="G335" s="1">
        <v>2885514</v>
      </c>
    </row>
    <row r="336" spans="1:8" x14ac:dyDescent="0.35">
      <c r="A336" s="1" t="str">
        <f t="shared" si="5"/>
        <v>5</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3635</v>
      </c>
      <c r="D336" s="1" t="s">
        <v>3636</v>
      </c>
      <c r="E336" s="1" t="s">
        <v>3637</v>
      </c>
      <c r="F336" s="1" t="s">
        <v>112</v>
      </c>
      <c r="G336" s="1">
        <v>2544714</v>
      </c>
    </row>
    <row r="337" spans="1:7" x14ac:dyDescent="0.35">
      <c r="A337" s="1" t="str">
        <f t="shared" si="5"/>
        <v>5</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3638</v>
      </c>
      <c r="D337" s="1" t="s">
        <v>3639</v>
      </c>
      <c r="E337" s="1" t="s">
        <v>3640</v>
      </c>
      <c r="F337" s="1" t="s">
        <v>112</v>
      </c>
      <c r="G337" s="1">
        <v>2512464</v>
      </c>
    </row>
    <row r="338" spans="1:7" x14ac:dyDescent="0.35">
      <c r="A338" s="1" t="str">
        <f t="shared" si="5"/>
        <v>5</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8" s="1" t="s">
        <v>3641</v>
      </c>
      <c r="D338" s="1" t="s">
        <v>3642</v>
      </c>
      <c r="E338" s="1" t="s">
        <v>3643</v>
      </c>
      <c r="F338" s="1" t="s">
        <v>112</v>
      </c>
      <c r="G338" s="1">
        <v>2562645</v>
      </c>
    </row>
    <row r="339" spans="1:7" x14ac:dyDescent="0.35">
      <c r="A339" s="1" t="str">
        <f t="shared" si="5"/>
        <v>5</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3644</v>
      </c>
      <c r="D339" s="1" t="s">
        <v>3645</v>
      </c>
      <c r="E339" s="1" t="s">
        <v>3646</v>
      </c>
      <c r="F339" s="1" t="s">
        <v>112</v>
      </c>
      <c r="G339" s="1">
        <v>2949842</v>
      </c>
    </row>
    <row r="340" spans="1:7" x14ac:dyDescent="0.35">
      <c r="A340" s="1" t="str">
        <f t="shared" si="5"/>
        <v>5</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3647</v>
      </c>
    </row>
    <row r="341" spans="1:7" x14ac:dyDescent="0.35">
      <c r="A341" s="1" t="str">
        <f t="shared" si="5"/>
        <v>5</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1" s="1" t="s">
        <v>3648</v>
      </c>
    </row>
    <row r="342" spans="1:7" x14ac:dyDescent="0.35">
      <c r="A342" s="1" t="str">
        <f t="shared" si="5"/>
        <v>5</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2" s="1" t="s">
        <v>3649</v>
      </c>
      <c r="D342" s="1" t="s">
        <v>911</v>
      </c>
      <c r="E342" s="1" t="s">
        <v>3650</v>
      </c>
      <c r="F342" s="1" t="s">
        <v>112</v>
      </c>
      <c r="G342" s="1">
        <v>3308141</v>
      </c>
    </row>
    <row r="343" spans="1:7" x14ac:dyDescent="0.35">
      <c r="A343" s="1" t="str">
        <f t="shared" si="5"/>
        <v>5</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3651</v>
      </c>
      <c r="D343" s="1" t="s">
        <v>3652</v>
      </c>
      <c r="E343" s="1" t="s">
        <v>3653</v>
      </c>
      <c r="F343" s="1" t="s">
        <v>112</v>
      </c>
      <c r="G343" s="1">
        <v>2756990</v>
      </c>
    </row>
    <row r="344" spans="1:7" x14ac:dyDescent="0.35">
      <c r="A344" s="1" t="str">
        <f t="shared" si="5"/>
        <v>5</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4" s="1" t="s">
        <v>3654</v>
      </c>
      <c r="D344" s="1" t="s">
        <v>3655</v>
      </c>
      <c r="E344" s="1" t="s">
        <v>3656</v>
      </c>
      <c r="F344" s="1" t="s">
        <v>112</v>
      </c>
      <c r="G344" s="1">
        <v>2220157</v>
      </c>
    </row>
    <row r="345" spans="1:7" x14ac:dyDescent="0.35">
      <c r="A345" s="1" t="str">
        <f t="shared" si="5"/>
        <v>5</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5" s="1" t="s">
        <v>3657</v>
      </c>
      <c r="D345" s="1" t="s">
        <v>3658</v>
      </c>
      <c r="E345" s="1" t="s">
        <v>3659</v>
      </c>
      <c r="F345" s="1" t="s">
        <v>112</v>
      </c>
      <c r="G345" s="1">
        <v>2575061</v>
      </c>
    </row>
    <row r="346" spans="1:7" x14ac:dyDescent="0.35">
      <c r="A346" s="1" t="str">
        <f t="shared" si="5"/>
        <v>5</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6" s="1" t="s">
        <v>3660</v>
      </c>
      <c r="D346" s="1" t="s">
        <v>3661</v>
      </c>
      <c r="E346" s="1" t="s">
        <v>3662</v>
      </c>
      <c r="F346" s="1" t="s">
        <v>112</v>
      </c>
      <c r="G346" s="1">
        <v>2163054</v>
      </c>
    </row>
    <row r="347" spans="1:7" x14ac:dyDescent="0.35">
      <c r="A347" s="1" t="str">
        <f t="shared" si="5"/>
        <v>5</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7" s="1" t="s">
        <v>3663</v>
      </c>
      <c r="D347" s="1" t="s">
        <v>3664</v>
      </c>
      <c r="E347" s="1" t="s">
        <v>3665</v>
      </c>
      <c r="F347" s="1" t="s">
        <v>112</v>
      </c>
      <c r="G347" s="1">
        <v>2337543</v>
      </c>
    </row>
    <row r="348" spans="1:7" x14ac:dyDescent="0.35">
      <c r="A348" s="1" t="str">
        <f t="shared" si="5"/>
        <v>5</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8" s="1" t="s">
        <v>3666</v>
      </c>
      <c r="D348" s="1" t="s">
        <v>3667</v>
      </c>
      <c r="E348" s="1" t="s">
        <v>3668</v>
      </c>
      <c r="F348" s="1" t="s">
        <v>112</v>
      </c>
      <c r="G348" s="1">
        <v>2529703</v>
      </c>
    </row>
    <row r="349" spans="1:7" x14ac:dyDescent="0.35">
      <c r="A349" s="1" t="str">
        <f t="shared" si="5"/>
        <v>5</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9" s="1" t="s">
        <v>3669</v>
      </c>
    </row>
    <row r="350" spans="1:7" x14ac:dyDescent="0.35">
      <c r="A350" s="1" t="str">
        <f t="shared" si="5"/>
        <v>5</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50" s="1" t="s">
        <v>3670</v>
      </c>
      <c r="D350" s="1" t="s">
        <v>3671</v>
      </c>
      <c r="E350" s="1" t="s">
        <v>3672</v>
      </c>
      <c r="F350" s="1" t="s">
        <v>112</v>
      </c>
      <c r="G350" s="1">
        <v>1470443</v>
      </c>
    </row>
    <row r="351" spans="1:7" x14ac:dyDescent="0.35">
      <c r="A351" s="1" t="str">
        <f t="shared" si="5"/>
        <v>5</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51" s="1" t="s">
        <v>3673</v>
      </c>
      <c r="D351" s="1" t="s">
        <v>3674</v>
      </c>
      <c r="E351" s="1" t="s">
        <v>3675</v>
      </c>
      <c r="F351" s="1" t="s">
        <v>112</v>
      </c>
      <c r="G351" s="1">
        <v>3708229</v>
      </c>
    </row>
    <row r="352" spans="1:7" x14ac:dyDescent="0.35">
      <c r="A352" s="1" t="str">
        <f t="shared" si="5"/>
        <v>5</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52" s="1" t="s">
        <v>3676</v>
      </c>
      <c r="D352" s="1" t="s">
        <v>3677</v>
      </c>
      <c r="E352" s="1" t="s">
        <v>3678</v>
      </c>
      <c r="F352" s="1" t="s">
        <v>112</v>
      </c>
      <c r="G352" s="1">
        <v>3330723</v>
      </c>
    </row>
    <row r="353" spans="1:8" x14ac:dyDescent="0.35">
      <c r="A353" s="1" t="str">
        <f t="shared" si="5"/>
        <v>5</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53" s="1" t="s">
        <v>3679</v>
      </c>
      <c r="D353" s="1" t="s">
        <v>3680</v>
      </c>
      <c r="E353" s="1" t="s">
        <v>3681</v>
      </c>
      <c r="F353" s="1" t="s">
        <v>112</v>
      </c>
      <c r="G353" s="1">
        <v>3557079</v>
      </c>
    </row>
    <row r="354" spans="1:8" x14ac:dyDescent="0.35">
      <c r="A354" s="1" t="str">
        <f t="shared" si="5"/>
        <v>5</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54" s="1" t="s">
        <v>3682</v>
      </c>
      <c r="D354" s="1" t="s">
        <v>3683</v>
      </c>
      <c r="E354" s="1" t="s">
        <v>3684</v>
      </c>
      <c r="F354" s="1" t="s">
        <v>112</v>
      </c>
      <c r="G354" s="1">
        <v>3959114</v>
      </c>
    </row>
    <row r="355" spans="1:8" x14ac:dyDescent="0.35">
      <c r="A355" s="1" t="str">
        <f t="shared" si="5"/>
        <v>5</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5" s="1" t="s">
        <v>3685</v>
      </c>
      <c r="D355" s="1" t="s">
        <v>3686</v>
      </c>
      <c r="E355" s="1" t="s">
        <v>3687</v>
      </c>
      <c r="F355" s="1" t="s">
        <v>112</v>
      </c>
      <c r="G355" s="1">
        <v>457234</v>
      </c>
    </row>
    <row r="356" spans="1:8" x14ac:dyDescent="0.35">
      <c r="A356" s="1" t="str">
        <f t="shared" si="5"/>
        <v>5</v>
      </c>
      <c r="B3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6" s="1" t="s">
        <v>3688</v>
      </c>
      <c r="D356" s="1" t="s">
        <v>3689</v>
      </c>
      <c r="E356" s="1" t="s">
        <v>3690</v>
      </c>
      <c r="F356" s="1" t="s">
        <v>112</v>
      </c>
      <c r="G356" s="1">
        <v>1338220</v>
      </c>
    </row>
    <row r="357" spans="1:8" x14ac:dyDescent="0.35">
      <c r="A357" s="1" t="str">
        <f t="shared" si="5"/>
        <v>5</v>
      </c>
      <c r="B3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7" s="1" t="s">
        <v>3691</v>
      </c>
      <c r="D357" s="1" t="s">
        <v>3692</v>
      </c>
      <c r="E357" s="1" t="s">
        <v>3693</v>
      </c>
      <c r="F357" s="1" t="s">
        <v>112</v>
      </c>
      <c r="G357" s="1">
        <v>1286892</v>
      </c>
    </row>
    <row r="358" spans="1:8" x14ac:dyDescent="0.35">
      <c r="A358" s="1" t="str">
        <f t="shared" si="5"/>
        <v>5</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8" s="1" t="s">
        <v>3694</v>
      </c>
      <c r="D358" s="1" t="s">
        <v>1473</v>
      </c>
      <c r="E358" s="1" t="s">
        <v>3695</v>
      </c>
      <c r="F358" s="1" t="s">
        <v>112</v>
      </c>
      <c r="G358" s="1">
        <v>322523</v>
      </c>
    </row>
    <row r="359" spans="1:8" x14ac:dyDescent="0.35">
      <c r="A359" s="1" t="str">
        <f t="shared" si="5"/>
        <v>5</v>
      </c>
      <c r="B3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9" s="1" t="s">
        <v>3696</v>
      </c>
      <c r="D359" s="1" t="s">
        <v>173</v>
      </c>
      <c r="E359" s="1" t="s">
        <v>3697</v>
      </c>
      <c r="F359" s="1" t="s">
        <v>112</v>
      </c>
      <c r="G359" s="1">
        <v>30520</v>
      </c>
    </row>
    <row r="360" spans="1:8" x14ac:dyDescent="0.35">
      <c r="A360" s="1" t="str">
        <f t="shared" si="5"/>
        <v>5</v>
      </c>
      <c r="B3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60" s="1" t="s">
        <v>3698</v>
      </c>
    </row>
    <row r="361" spans="1:8" x14ac:dyDescent="0.35">
      <c r="A361" s="1" t="str">
        <f t="shared" si="5"/>
        <v>5</v>
      </c>
      <c r="B3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61" s="1" t="s">
        <v>3699</v>
      </c>
    </row>
    <row r="362" spans="1:8" x14ac:dyDescent="0.35">
      <c r="A362" s="1" t="str">
        <f t="shared" si="5"/>
        <v>5</v>
      </c>
      <c r="B3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62" s="1" t="s">
        <v>3700</v>
      </c>
    </row>
    <row r="363" spans="1:8" x14ac:dyDescent="0.3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8" x14ac:dyDescent="0.3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227</v>
      </c>
      <c r="D364" s="1" t="s">
        <v>112</v>
      </c>
      <c r="E364" s="1" t="s">
        <v>228</v>
      </c>
      <c r="F364" s="1" t="s">
        <v>229</v>
      </c>
      <c r="G364" s="1" t="s">
        <v>230</v>
      </c>
      <c r="H364" s="1" t="s">
        <v>231</v>
      </c>
    </row>
    <row r="365" spans="1:8" x14ac:dyDescent="0.35">
      <c r="A365" s="1" t="str">
        <f t="shared" si="5"/>
        <v>5</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65" s="1" t="s">
        <v>3701</v>
      </c>
      <c r="D365" s="1" t="s">
        <v>112</v>
      </c>
      <c r="E365" s="1" t="s">
        <v>3702</v>
      </c>
      <c r="F365" s="1" t="s">
        <v>3703</v>
      </c>
      <c r="G365" s="1" t="s">
        <v>3704</v>
      </c>
      <c r="H365" s="1" t="s">
        <v>3705</v>
      </c>
    </row>
    <row r="366" spans="1:8" x14ac:dyDescent="0.35">
      <c r="A366" s="1" t="str">
        <f t="shared" si="5"/>
        <v/>
      </c>
      <c r="B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6" s="1" t="s">
        <v>112</v>
      </c>
    </row>
    <row r="367" spans="1:8" x14ac:dyDescent="0.35">
      <c r="A367" s="1" t="str">
        <f t="shared" si="5"/>
        <v/>
      </c>
      <c r="B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7" s="1" t="s">
        <v>112</v>
      </c>
    </row>
    <row r="368" spans="1:8" x14ac:dyDescent="0.35">
      <c r="A368" s="1" t="str">
        <f t="shared" si="5"/>
        <v/>
      </c>
      <c r="B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8" s="1" t="s">
        <v>112</v>
      </c>
    </row>
    <row r="369" spans="1:7" x14ac:dyDescent="0.35">
      <c r="A369" s="1" t="str">
        <f t="shared" si="5"/>
        <v/>
      </c>
      <c r="B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9" s="1" t="s">
        <v>112</v>
      </c>
    </row>
    <row r="370" spans="1:7" x14ac:dyDescent="0.35">
      <c r="A370" s="1" t="str">
        <f t="shared" si="5"/>
        <v/>
      </c>
      <c r="B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70" s="1" t="s">
        <v>112</v>
      </c>
    </row>
    <row r="371" spans="1:7" x14ac:dyDescent="0.35">
      <c r="A371" s="1" t="str">
        <f t="shared" si="5"/>
        <v/>
      </c>
      <c r="B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71" s="1" t="s">
        <v>171</v>
      </c>
      <c r="D371" s="1" t="s">
        <v>110</v>
      </c>
      <c r="E371" s="1" t="s">
        <v>111</v>
      </c>
      <c r="F371" s="1" t="s">
        <v>112</v>
      </c>
      <c r="G371" s="1" t="s">
        <v>113</v>
      </c>
    </row>
    <row r="372" spans="1:7" x14ac:dyDescent="0.35">
      <c r="A372" s="1" t="str">
        <f t="shared" si="5"/>
        <v>6</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2" s="1" t="s">
        <v>3706</v>
      </c>
      <c r="D372" s="1" t="s">
        <v>3707</v>
      </c>
      <c r="E372" s="1" t="s">
        <v>3708</v>
      </c>
      <c r="F372" s="1" t="s">
        <v>112</v>
      </c>
      <c r="G372" s="1">
        <v>2440890</v>
      </c>
    </row>
    <row r="373" spans="1:7" x14ac:dyDescent="0.35">
      <c r="A373" s="1" t="str">
        <f t="shared" si="5"/>
        <v>6</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3" s="1" t="s">
        <v>3709</v>
      </c>
      <c r="D373" s="1" t="s">
        <v>3710</v>
      </c>
      <c r="E373" s="1" t="s">
        <v>3711</v>
      </c>
      <c r="F373" s="1" t="s">
        <v>112</v>
      </c>
      <c r="G373" s="1">
        <v>2888370</v>
      </c>
    </row>
    <row r="374" spans="1:7" x14ac:dyDescent="0.35">
      <c r="A374" s="1" t="str">
        <f t="shared" si="5"/>
        <v>6</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4" s="1" t="s">
        <v>3712</v>
      </c>
      <c r="D374" s="1" t="s">
        <v>2546</v>
      </c>
      <c r="E374" s="1" t="s">
        <v>3713</v>
      </c>
      <c r="F374" s="1" t="s">
        <v>112</v>
      </c>
      <c r="G374" s="1">
        <v>3012201</v>
      </c>
    </row>
    <row r="375" spans="1:7" x14ac:dyDescent="0.35">
      <c r="A375" s="1" t="str">
        <f t="shared" si="5"/>
        <v>6</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5" s="1" t="s">
        <v>3714</v>
      </c>
      <c r="D375" s="1" t="s">
        <v>3715</v>
      </c>
      <c r="E375" s="1" t="s">
        <v>3716</v>
      </c>
      <c r="F375" s="1" t="s">
        <v>112</v>
      </c>
      <c r="G375" s="1">
        <v>2958732</v>
      </c>
    </row>
    <row r="376" spans="1:7" x14ac:dyDescent="0.35">
      <c r="A376" s="1" t="str">
        <f t="shared" si="5"/>
        <v>6</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6" s="1" t="s">
        <v>3717</v>
      </c>
      <c r="D376" s="1" t="s">
        <v>3718</v>
      </c>
      <c r="E376" s="1" t="s">
        <v>3719</v>
      </c>
      <c r="F376" s="1" t="s">
        <v>112</v>
      </c>
      <c r="G376" s="1">
        <v>2484842</v>
      </c>
    </row>
    <row r="377" spans="1:7" x14ac:dyDescent="0.35">
      <c r="A377" s="1" t="str">
        <f t="shared" si="5"/>
        <v>6</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7" s="1" t="s">
        <v>3720</v>
      </c>
      <c r="D377" s="1" t="s">
        <v>3721</v>
      </c>
      <c r="E377" s="1" t="s">
        <v>3722</v>
      </c>
      <c r="F377" s="1" t="s">
        <v>112</v>
      </c>
      <c r="G377" s="1">
        <v>2465094</v>
      </c>
    </row>
    <row r="378" spans="1:7" x14ac:dyDescent="0.35">
      <c r="A378" s="1" t="str">
        <f t="shared" si="5"/>
        <v>6</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8" s="1" t="s">
        <v>3723</v>
      </c>
      <c r="D378" s="1" t="s">
        <v>3724</v>
      </c>
      <c r="E378" s="1" t="s">
        <v>3725</v>
      </c>
      <c r="F378" s="1" t="s">
        <v>112</v>
      </c>
      <c r="G378" s="1">
        <v>2641508</v>
      </c>
    </row>
    <row r="379" spans="1:7" x14ac:dyDescent="0.35">
      <c r="A379" s="1" t="str">
        <f t="shared" si="5"/>
        <v>6</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9" s="1" t="s">
        <v>3726</v>
      </c>
      <c r="D379" s="1" t="s">
        <v>3727</v>
      </c>
      <c r="E379" s="1" t="s">
        <v>3728</v>
      </c>
      <c r="F379" s="1" t="s">
        <v>112</v>
      </c>
      <c r="G379" s="1">
        <v>2728892</v>
      </c>
    </row>
    <row r="380" spans="1:7" x14ac:dyDescent="0.35">
      <c r="A380" s="1" t="str">
        <f t="shared" si="5"/>
        <v>6</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80" s="1" t="s">
        <v>3729</v>
      </c>
    </row>
    <row r="381" spans="1:7" x14ac:dyDescent="0.35">
      <c r="A381" s="1" t="str">
        <f t="shared" si="5"/>
        <v>6</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81" s="1" t="s">
        <v>3730</v>
      </c>
    </row>
    <row r="382" spans="1:7" x14ac:dyDescent="0.35">
      <c r="A382" s="1" t="str">
        <f t="shared" si="5"/>
        <v>6</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82" s="1" t="s">
        <v>3731</v>
      </c>
      <c r="D382" s="1" t="s">
        <v>3732</v>
      </c>
      <c r="E382" s="1" t="s">
        <v>3733</v>
      </c>
      <c r="F382" s="1" t="s">
        <v>112</v>
      </c>
      <c r="G382" s="1">
        <v>3148469</v>
      </c>
    </row>
    <row r="383" spans="1:7" x14ac:dyDescent="0.35">
      <c r="A383" s="1" t="str">
        <f t="shared" si="5"/>
        <v>6</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83" s="1" t="s">
        <v>3734</v>
      </c>
      <c r="D383" s="1" t="s">
        <v>3735</v>
      </c>
      <c r="E383" s="1" t="s">
        <v>3736</v>
      </c>
      <c r="F383" s="1" t="s">
        <v>112</v>
      </c>
      <c r="G383" s="1">
        <v>3430588</v>
      </c>
    </row>
    <row r="384" spans="1:7" x14ac:dyDescent="0.35">
      <c r="A384" s="1" t="str">
        <f t="shared" si="5"/>
        <v>6</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84" s="1" t="s">
        <v>3737</v>
      </c>
      <c r="D384" s="1" t="s">
        <v>3738</v>
      </c>
      <c r="E384" s="1" t="s">
        <v>3739</v>
      </c>
      <c r="F384" s="1" t="s">
        <v>112</v>
      </c>
      <c r="G384" s="1">
        <v>3023665</v>
      </c>
    </row>
    <row r="385" spans="1:7" x14ac:dyDescent="0.35">
      <c r="A385" s="1" t="str">
        <f t="shared" si="5"/>
        <v>6</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85" s="1" t="s">
        <v>3740</v>
      </c>
      <c r="D385" s="1" t="s">
        <v>3741</v>
      </c>
      <c r="E385" s="1" t="s">
        <v>3742</v>
      </c>
      <c r="F385" s="1" t="s">
        <v>112</v>
      </c>
      <c r="G385" s="1">
        <v>2896849</v>
      </c>
    </row>
    <row r="386" spans="1:7" x14ac:dyDescent="0.35">
      <c r="A386" s="1" t="str">
        <f t="shared" ref="A386:A449" si="6">IFERROR(LEFT(RIGHT(C386,LEN(C386)-SEARCH("@",C386)),SEARCH("/",RIGHT(C386,LEN(C386)-SEARCH("@",C386)-1))),"")</f>
        <v>6</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86" s="1" t="s">
        <v>3743</v>
      </c>
      <c r="D386" s="1" t="s">
        <v>3744</v>
      </c>
      <c r="E386" s="1" t="s">
        <v>3745</v>
      </c>
      <c r="F386" s="1" t="s">
        <v>112</v>
      </c>
      <c r="G386" s="1">
        <v>3080486</v>
      </c>
    </row>
    <row r="387" spans="1:7" x14ac:dyDescent="0.35">
      <c r="A387" s="1" t="str">
        <f t="shared" si="6"/>
        <v>6</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87" s="1" t="s">
        <v>3746</v>
      </c>
      <c r="D387" s="1" t="s">
        <v>3747</v>
      </c>
      <c r="E387" s="1" t="s">
        <v>3748</v>
      </c>
      <c r="F387" s="1" t="s">
        <v>112</v>
      </c>
      <c r="G387" s="1">
        <v>3003441</v>
      </c>
    </row>
    <row r="388" spans="1:7" x14ac:dyDescent="0.35">
      <c r="A388" s="1" t="str">
        <f t="shared" si="6"/>
        <v>6</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88" s="1" t="s">
        <v>3749</v>
      </c>
      <c r="D388" s="1" t="s">
        <v>3750</v>
      </c>
      <c r="E388" s="1" t="s">
        <v>3751</v>
      </c>
      <c r="F388" s="1" t="s">
        <v>112</v>
      </c>
      <c r="G388" s="1">
        <v>2190589</v>
      </c>
    </row>
    <row r="389" spans="1:7" x14ac:dyDescent="0.35">
      <c r="A389" s="1" t="str">
        <f t="shared" si="6"/>
        <v>6</v>
      </c>
      <c r="B3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89" s="1" t="s">
        <v>3752</v>
      </c>
      <c r="D389" s="1" t="s">
        <v>3753</v>
      </c>
      <c r="E389" s="1" t="s">
        <v>3754</v>
      </c>
      <c r="F389" s="1" t="s">
        <v>112</v>
      </c>
      <c r="G389" s="1">
        <v>2578283</v>
      </c>
    </row>
    <row r="390" spans="1:7" x14ac:dyDescent="0.35">
      <c r="A390" s="1" t="str">
        <f t="shared" si="6"/>
        <v>6</v>
      </c>
      <c r="B3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90" s="1" t="s">
        <v>3755</v>
      </c>
      <c r="D390" s="1" t="s">
        <v>3756</v>
      </c>
      <c r="E390" s="1" t="s">
        <v>3757</v>
      </c>
      <c r="F390" s="1" t="s">
        <v>112</v>
      </c>
      <c r="G390" s="1">
        <v>2141403</v>
      </c>
    </row>
    <row r="391" spans="1:7" x14ac:dyDescent="0.35">
      <c r="A391" s="1" t="str">
        <f t="shared" si="6"/>
        <v>6</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91" s="1" t="s">
        <v>3758</v>
      </c>
      <c r="D391" s="1" t="s">
        <v>3759</v>
      </c>
      <c r="E391" s="1" t="s">
        <v>3760</v>
      </c>
      <c r="F391" s="1" t="s">
        <v>112</v>
      </c>
      <c r="G391" s="1">
        <v>2453739</v>
      </c>
    </row>
    <row r="392" spans="1:7" x14ac:dyDescent="0.35">
      <c r="A392" s="1" t="str">
        <f t="shared" si="6"/>
        <v>6</v>
      </c>
      <c r="B3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92" s="1" t="s">
        <v>3761</v>
      </c>
      <c r="D392" s="1" t="s">
        <v>3762</v>
      </c>
      <c r="E392" s="1" t="s">
        <v>3763</v>
      </c>
      <c r="F392" s="1" t="s">
        <v>112</v>
      </c>
      <c r="G392" s="1">
        <v>3534584</v>
      </c>
    </row>
    <row r="393" spans="1:7" x14ac:dyDescent="0.35">
      <c r="A393" s="1" t="str">
        <f t="shared" si="6"/>
        <v>6</v>
      </c>
      <c r="B3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93" s="1" t="s">
        <v>3764</v>
      </c>
      <c r="D393" s="1" t="s">
        <v>1131</v>
      </c>
      <c r="E393" s="1" t="s">
        <v>3765</v>
      </c>
      <c r="F393" s="1" t="s">
        <v>112</v>
      </c>
      <c r="G393" s="1">
        <v>3203950</v>
      </c>
    </row>
    <row r="394" spans="1:7" x14ac:dyDescent="0.35">
      <c r="A394" s="1" t="str">
        <f t="shared" si="6"/>
        <v>6</v>
      </c>
      <c r="B3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94" s="1" t="s">
        <v>3766</v>
      </c>
      <c r="D394" s="1" t="s">
        <v>3767</v>
      </c>
      <c r="E394" s="1" t="s">
        <v>3768</v>
      </c>
      <c r="F394" s="1" t="s">
        <v>112</v>
      </c>
      <c r="G394" s="1">
        <v>3464222</v>
      </c>
    </row>
    <row r="395" spans="1:7" x14ac:dyDescent="0.35">
      <c r="A395" s="1" t="str">
        <f t="shared" si="6"/>
        <v>6</v>
      </c>
      <c r="B3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95" s="1" t="s">
        <v>3769</v>
      </c>
      <c r="D395" s="1" t="s">
        <v>3770</v>
      </c>
      <c r="E395" s="1" t="s">
        <v>3771</v>
      </c>
      <c r="F395" s="1" t="s">
        <v>112</v>
      </c>
      <c r="G395" s="1">
        <v>3952798</v>
      </c>
    </row>
    <row r="396" spans="1:7" x14ac:dyDescent="0.35">
      <c r="A396" s="1" t="str">
        <f t="shared" si="6"/>
        <v>6</v>
      </c>
      <c r="B3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96" s="1" t="s">
        <v>3772</v>
      </c>
      <c r="D396" s="1" t="s">
        <v>3773</v>
      </c>
      <c r="E396" s="1" t="s">
        <v>3774</v>
      </c>
      <c r="F396" s="1" t="s">
        <v>112</v>
      </c>
      <c r="G396" s="1">
        <v>2568377</v>
      </c>
    </row>
    <row r="397" spans="1:7" x14ac:dyDescent="0.35">
      <c r="A397" s="1" t="str">
        <f t="shared" si="6"/>
        <v>6</v>
      </c>
      <c r="B3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97" s="1" t="s">
        <v>3775</v>
      </c>
      <c r="D397" s="1" t="s">
        <v>3776</v>
      </c>
      <c r="E397" s="1" t="s">
        <v>3777</v>
      </c>
      <c r="F397" s="1" t="s">
        <v>112</v>
      </c>
      <c r="G397" s="1">
        <v>2878398</v>
      </c>
    </row>
    <row r="398" spans="1:7" x14ac:dyDescent="0.35">
      <c r="A398" s="1" t="str">
        <f t="shared" si="6"/>
        <v>6</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98" s="1" t="s">
        <v>3778</v>
      </c>
      <c r="D398" s="1" t="s">
        <v>3779</v>
      </c>
      <c r="E398" s="1" t="s">
        <v>3780</v>
      </c>
      <c r="F398" s="1" t="s">
        <v>112</v>
      </c>
      <c r="G398" s="1">
        <v>2841671</v>
      </c>
    </row>
    <row r="399" spans="1:7" x14ac:dyDescent="0.35">
      <c r="A399" s="1" t="str">
        <f t="shared" si="6"/>
        <v>6</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99" s="1" t="s">
        <v>3781</v>
      </c>
      <c r="D399" s="1" t="s">
        <v>3782</v>
      </c>
      <c r="E399" s="1" t="s">
        <v>3783</v>
      </c>
      <c r="F399" s="1" t="s">
        <v>112</v>
      </c>
      <c r="G399" s="1">
        <v>3276691</v>
      </c>
    </row>
    <row r="400" spans="1:7" x14ac:dyDescent="0.35">
      <c r="A400" s="1" t="str">
        <f t="shared" si="6"/>
        <v>6</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00" s="1" t="s">
        <v>3784</v>
      </c>
      <c r="D400" s="1" t="s">
        <v>3785</v>
      </c>
      <c r="E400" s="1" t="s">
        <v>3786</v>
      </c>
      <c r="F400" s="1" t="s">
        <v>112</v>
      </c>
      <c r="G400" s="1">
        <v>2709490</v>
      </c>
    </row>
    <row r="401" spans="1:8" x14ac:dyDescent="0.35">
      <c r="A401" s="1" t="str">
        <f t="shared" si="6"/>
        <v>6</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01" s="1" t="s">
        <v>3787</v>
      </c>
      <c r="D401" s="1" t="s">
        <v>3788</v>
      </c>
      <c r="E401" s="1" t="s">
        <v>3789</v>
      </c>
      <c r="F401" s="1" t="s">
        <v>112</v>
      </c>
      <c r="G401" s="1">
        <v>2823761</v>
      </c>
    </row>
    <row r="402" spans="1:8" x14ac:dyDescent="0.35">
      <c r="A402" s="1" t="str">
        <f t="shared" si="6"/>
        <v>6</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02" s="1" t="s">
        <v>3790</v>
      </c>
      <c r="D402" s="1" t="s">
        <v>3791</v>
      </c>
      <c r="E402" s="1" t="s">
        <v>3792</v>
      </c>
      <c r="F402" s="1" t="s">
        <v>112</v>
      </c>
      <c r="G402" s="1">
        <v>2403492</v>
      </c>
    </row>
    <row r="403" spans="1:8" x14ac:dyDescent="0.35">
      <c r="A403" s="1" t="str">
        <f t="shared" si="6"/>
        <v>6</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03" s="1" t="s">
        <v>3793</v>
      </c>
      <c r="D403" s="1" t="s">
        <v>3794</v>
      </c>
      <c r="E403" s="1" t="s">
        <v>3795</v>
      </c>
      <c r="F403" s="1" t="s">
        <v>112</v>
      </c>
      <c r="G403" s="1">
        <v>2588212</v>
      </c>
    </row>
    <row r="404" spans="1:8" x14ac:dyDescent="0.35">
      <c r="A404" s="1" t="str">
        <f t="shared" si="6"/>
        <v/>
      </c>
      <c r="B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04" s="1" t="s">
        <v>112</v>
      </c>
    </row>
    <row r="405" spans="1:8" x14ac:dyDescent="0.35">
      <c r="A405" s="1" t="str">
        <f t="shared" si="6"/>
        <v/>
      </c>
      <c r="B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05" s="1" t="s">
        <v>227</v>
      </c>
      <c r="D405" s="1" t="s">
        <v>112</v>
      </c>
      <c r="E405" s="1" t="s">
        <v>228</v>
      </c>
      <c r="F405" s="1" t="s">
        <v>229</v>
      </c>
      <c r="G405" s="1" t="s">
        <v>230</v>
      </c>
      <c r="H405" s="1" t="s">
        <v>231</v>
      </c>
    </row>
    <row r="406" spans="1:8" x14ac:dyDescent="0.35">
      <c r="A406" s="1" t="str">
        <f t="shared" si="6"/>
        <v>6</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06" s="1" t="s">
        <v>3796</v>
      </c>
      <c r="D406" s="1" t="s">
        <v>112</v>
      </c>
      <c r="E406" s="1" t="s">
        <v>3797</v>
      </c>
      <c r="F406" s="1" t="s">
        <v>3798</v>
      </c>
      <c r="G406" s="1" t="s">
        <v>3799</v>
      </c>
      <c r="H406" s="1" t="s">
        <v>3800</v>
      </c>
    </row>
    <row r="407" spans="1:8" x14ac:dyDescent="0.35">
      <c r="A407" s="1" t="str">
        <f t="shared" si="6"/>
        <v/>
      </c>
      <c r="B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07" s="1" t="s">
        <v>112</v>
      </c>
    </row>
    <row r="408" spans="1:8" x14ac:dyDescent="0.35">
      <c r="A408" s="1" t="str">
        <f t="shared" si="6"/>
        <v/>
      </c>
      <c r="B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08" s="1" t="s">
        <v>112</v>
      </c>
    </row>
    <row r="409" spans="1:8" x14ac:dyDescent="0.35">
      <c r="A409" s="1" t="str">
        <f t="shared" si="6"/>
        <v/>
      </c>
      <c r="B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09" s="1" t="s">
        <v>112</v>
      </c>
    </row>
    <row r="410" spans="1:8" x14ac:dyDescent="0.35">
      <c r="A410" s="1" t="str">
        <f t="shared" si="6"/>
        <v/>
      </c>
      <c r="B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10" s="1" t="s">
        <v>112</v>
      </c>
    </row>
    <row r="411" spans="1:8" x14ac:dyDescent="0.35">
      <c r="A411" s="1" t="str">
        <f t="shared" si="6"/>
        <v/>
      </c>
      <c r="B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11" s="1" t="s">
        <v>112</v>
      </c>
    </row>
    <row r="412" spans="1:8" x14ac:dyDescent="0.35">
      <c r="A412" s="1" t="str">
        <f t="shared" si="6"/>
        <v/>
      </c>
      <c r="B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12" s="1" t="s">
        <v>171</v>
      </c>
      <c r="D412" s="1" t="s">
        <v>110</v>
      </c>
      <c r="E412" s="1" t="s">
        <v>111</v>
      </c>
      <c r="F412" s="1" t="s">
        <v>112</v>
      </c>
      <c r="G412" s="1" t="s">
        <v>113</v>
      </c>
    </row>
    <row r="413" spans="1:8" x14ac:dyDescent="0.35">
      <c r="A413" s="1" t="str">
        <f t="shared" si="6"/>
        <v>7</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13" s="1" t="s">
        <v>3801</v>
      </c>
      <c r="D413" s="1" t="s">
        <v>3802</v>
      </c>
      <c r="E413" s="1" t="s">
        <v>3803</v>
      </c>
      <c r="F413" s="1" t="s">
        <v>112</v>
      </c>
      <c r="G413" s="1">
        <v>5966260</v>
      </c>
    </row>
    <row r="414" spans="1:8" x14ac:dyDescent="0.35">
      <c r="A414" s="1" t="str">
        <f t="shared" si="6"/>
        <v>7</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14" s="1" t="s">
        <v>3804</v>
      </c>
    </row>
    <row r="415" spans="1:8" x14ac:dyDescent="0.35">
      <c r="A415" s="1" t="str">
        <f t="shared" si="6"/>
        <v>7</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15" s="1" t="s">
        <v>3805</v>
      </c>
    </row>
    <row r="416" spans="1:8" x14ac:dyDescent="0.35">
      <c r="A416" s="1" t="str">
        <f t="shared" si="6"/>
        <v>7</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16" s="1" t="s">
        <v>3806</v>
      </c>
    </row>
    <row r="417" spans="1:7" x14ac:dyDescent="0.35">
      <c r="A417" s="1" t="str">
        <f t="shared" si="6"/>
        <v>7</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17" s="1" t="s">
        <v>3807</v>
      </c>
      <c r="D417" s="1" t="s">
        <v>3808</v>
      </c>
      <c r="E417" s="1" t="s">
        <v>3809</v>
      </c>
      <c r="F417" s="1" t="s">
        <v>112</v>
      </c>
      <c r="G417" s="1">
        <v>5347321</v>
      </c>
    </row>
    <row r="418" spans="1:7" x14ac:dyDescent="0.35">
      <c r="A418" s="1" t="str">
        <f t="shared" si="6"/>
        <v>7</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18" s="1" t="s">
        <v>3810</v>
      </c>
      <c r="D418" s="1" t="s">
        <v>3811</v>
      </c>
      <c r="E418" s="1" t="s">
        <v>3812</v>
      </c>
      <c r="F418" s="1" t="s">
        <v>112</v>
      </c>
      <c r="G418" s="1">
        <v>5047358</v>
      </c>
    </row>
    <row r="419" spans="1:7" x14ac:dyDescent="0.35">
      <c r="A419" s="1" t="str">
        <f t="shared" si="6"/>
        <v>7</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19" s="1" t="s">
        <v>3813</v>
      </c>
      <c r="D419" s="1" t="s">
        <v>3814</v>
      </c>
      <c r="E419" s="1" t="s">
        <v>3815</v>
      </c>
      <c r="F419" s="1" t="s">
        <v>112</v>
      </c>
      <c r="G419" s="1">
        <v>4712224</v>
      </c>
    </row>
    <row r="420" spans="1:7" x14ac:dyDescent="0.35">
      <c r="A420" s="1" t="str">
        <f t="shared" si="6"/>
        <v>7</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20" s="1" t="s">
        <v>3816</v>
      </c>
      <c r="D420" s="1" t="s">
        <v>3817</v>
      </c>
      <c r="E420" s="1" t="s">
        <v>3818</v>
      </c>
      <c r="F420" s="1" t="s">
        <v>112</v>
      </c>
      <c r="G420" s="1">
        <v>5629851</v>
      </c>
    </row>
    <row r="421" spans="1:7" x14ac:dyDescent="0.35">
      <c r="A421" s="1" t="str">
        <f t="shared" si="6"/>
        <v>7</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1" s="1" t="s">
        <v>3819</v>
      </c>
    </row>
    <row r="422" spans="1:7" x14ac:dyDescent="0.35">
      <c r="A422" s="1" t="str">
        <f t="shared" si="6"/>
        <v>7</v>
      </c>
      <c r="B4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2" s="1" t="s">
        <v>3820</v>
      </c>
    </row>
    <row r="423" spans="1:7" x14ac:dyDescent="0.35">
      <c r="A423" s="1" t="str">
        <f t="shared" si="6"/>
        <v>7</v>
      </c>
      <c r="B4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3" s="1" t="s">
        <v>3821</v>
      </c>
      <c r="D423" s="1" t="s">
        <v>3822</v>
      </c>
      <c r="E423" s="1" t="s">
        <v>3823</v>
      </c>
      <c r="F423" s="1" t="s">
        <v>112</v>
      </c>
      <c r="G423" s="1">
        <v>4759983</v>
      </c>
    </row>
    <row r="424" spans="1:7" x14ac:dyDescent="0.35">
      <c r="A424" s="1" t="str">
        <f t="shared" si="6"/>
        <v>7</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4" s="1" t="s">
        <v>3824</v>
      </c>
      <c r="D424" s="1" t="s">
        <v>3825</v>
      </c>
      <c r="E424" s="1" t="s">
        <v>3826</v>
      </c>
      <c r="F424" s="1" t="s">
        <v>112</v>
      </c>
      <c r="G424" s="1">
        <v>4663297</v>
      </c>
    </row>
    <row r="425" spans="1:7" x14ac:dyDescent="0.35">
      <c r="A425" s="1" t="str">
        <f t="shared" si="6"/>
        <v>7</v>
      </c>
      <c r="B4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25" s="1" t="s">
        <v>3827</v>
      </c>
      <c r="D425" s="1" t="s">
        <v>3828</v>
      </c>
      <c r="E425" s="1" t="s">
        <v>3829</v>
      </c>
      <c r="F425" s="1" t="s">
        <v>112</v>
      </c>
      <c r="G425" s="1">
        <v>4752802</v>
      </c>
    </row>
    <row r="426" spans="1:7" x14ac:dyDescent="0.35">
      <c r="A426" s="1" t="str">
        <f t="shared" si="6"/>
        <v>7</v>
      </c>
      <c r="B4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26" s="1" t="s">
        <v>3830</v>
      </c>
      <c r="D426" s="1" t="s">
        <v>3831</v>
      </c>
      <c r="E426" s="1" t="s">
        <v>3832</v>
      </c>
      <c r="F426" s="1" t="s">
        <v>112</v>
      </c>
      <c r="G426" s="1">
        <v>4300758</v>
      </c>
    </row>
    <row r="427" spans="1:7" x14ac:dyDescent="0.35">
      <c r="A427" s="1" t="str">
        <f t="shared" si="6"/>
        <v>7</v>
      </c>
      <c r="B4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27" s="1" t="s">
        <v>3833</v>
      </c>
      <c r="D427" s="1" t="s">
        <v>3834</v>
      </c>
      <c r="E427" s="1" t="s">
        <v>3835</v>
      </c>
      <c r="F427" s="1" t="s">
        <v>112</v>
      </c>
      <c r="G427" s="1">
        <v>4341661</v>
      </c>
    </row>
    <row r="428" spans="1:7" x14ac:dyDescent="0.35">
      <c r="A428" s="1" t="str">
        <f t="shared" si="6"/>
        <v>7</v>
      </c>
      <c r="B4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28" s="1" t="s">
        <v>3836</v>
      </c>
      <c r="D428" s="1" t="s">
        <v>3837</v>
      </c>
      <c r="E428" s="1" t="s">
        <v>3838</v>
      </c>
      <c r="F428" s="1" t="s">
        <v>112</v>
      </c>
      <c r="G428" s="1">
        <v>4100855</v>
      </c>
    </row>
    <row r="429" spans="1:7" x14ac:dyDescent="0.35">
      <c r="A429" s="1" t="str">
        <f t="shared" si="6"/>
        <v>7</v>
      </c>
      <c r="B4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29" s="1" t="s">
        <v>3839</v>
      </c>
      <c r="D429" s="1" t="s">
        <v>3840</v>
      </c>
      <c r="E429" s="1" t="s">
        <v>3841</v>
      </c>
      <c r="F429" s="1" t="s">
        <v>112</v>
      </c>
      <c r="G429" s="1">
        <v>4490647</v>
      </c>
    </row>
    <row r="430" spans="1:7" x14ac:dyDescent="0.35">
      <c r="A430" s="1" t="str">
        <f t="shared" si="6"/>
        <v>7</v>
      </c>
      <c r="B4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30" s="1" t="s">
        <v>3842</v>
      </c>
      <c r="D430" s="1" t="s">
        <v>3843</v>
      </c>
      <c r="E430" s="1" t="s">
        <v>3844</v>
      </c>
      <c r="F430" s="1" t="s">
        <v>112</v>
      </c>
      <c r="G430" s="1">
        <v>4371942</v>
      </c>
    </row>
    <row r="431" spans="1:7" x14ac:dyDescent="0.35">
      <c r="A431" s="1" t="str">
        <f t="shared" si="6"/>
        <v>7</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31" s="1" t="s">
        <v>3845</v>
      </c>
      <c r="D431" s="1" t="s">
        <v>3846</v>
      </c>
      <c r="E431" s="1" t="s">
        <v>3847</v>
      </c>
      <c r="F431" s="1" t="s">
        <v>112</v>
      </c>
      <c r="G431" s="1">
        <v>4945351</v>
      </c>
    </row>
    <row r="432" spans="1:7" x14ac:dyDescent="0.35">
      <c r="A432" s="1" t="str">
        <f t="shared" si="6"/>
        <v>7</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32" s="1" t="s">
        <v>3848</v>
      </c>
      <c r="D432" s="1" t="s">
        <v>3849</v>
      </c>
      <c r="E432" s="1" t="s">
        <v>3850</v>
      </c>
      <c r="F432" s="1" t="s">
        <v>112</v>
      </c>
      <c r="G432" s="1">
        <v>4767012</v>
      </c>
    </row>
    <row r="433" spans="1:8" x14ac:dyDescent="0.35">
      <c r="A433" s="1" t="str">
        <f t="shared" si="6"/>
        <v>7</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33" s="1" t="s">
        <v>3851</v>
      </c>
      <c r="D433" s="1" t="s">
        <v>3852</v>
      </c>
      <c r="E433" s="1" t="s">
        <v>3853</v>
      </c>
      <c r="F433" s="1" t="s">
        <v>112</v>
      </c>
      <c r="G433" s="1">
        <v>6431087</v>
      </c>
    </row>
    <row r="434" spans="1:8" x14ac:dyDescent="0.35">
      <c r="A434" s="1" t="str">
        <f t="shared" si="6"/>
        <v>7</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34" s="1" t="s">
        <v>3854</v>
      </c>
      <c r="D434" s="1" t="s">
        <v>3855</v>
      </c>
      <c r="E434" s="1" t="s">
        <v>3856</v>
      </c>
      <c r="F434" s="1" t="s">
        <v>112</v>
      </c>
      <c r="G434" s="1">
        <v>6555545</v>
      </c>
    </row>
    <row r="435" spans="1:8" x14ac:dyDescent="0.35">
      <c r="A435" s="1" t="str">
        <f t="shared" si="6"/>
        <v>7</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35" s="1" t="s">
        <v>3857</v>
      </c>
      <c r="D435" s="1" t="s">
        <v>3858</v>
      </c>
      <c r="E435" s="1" t="s">
        <v>3859</v>
      </c>
      <c r="F435" s="1" t="s">
        <v>112</v>
      </c>
      <c r="G435" s="1">
        <v>6486676</v>
      </c>
    </row>
    <row r="436" spans="1:8" x14ac:dyDescent="0.35">
      <c r="A436" s="1" t="str">
        <f t="shared" si="6"/>
        <v>7</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36" s="1" t="s">
        <v>3860</v>
      </c>
      <c r="D436" s="1" t="s">
        <v>3861</v>
      </c>
      <c r="E436" s="1" t="s">
        <v>3862</v>
      </c>
      <c r="F436" s="1" t="s">
        <v>112</v>
      </c>
      <c r="G436" s="1">
        <v>6700357</v>
      </c>
    </row>
    <row r="437" spans="1:8" x14ac:dyDescent="0.35">
      <c r="A437" s="1" t="str">
        <f t="shared" si="6"/>
        <v>7</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37" s="1" t="s">
        <v>3863</v>
      </c>
      <c r="D437" s="1" t="s">
        <v>3292</v>
      </c>
      <c r="E437" s="1" t="s">
        <v>3864</v>
      </c>
      <c r="F437" s="1" t="s">
        <v>112</v>
      </c>
      <c r="G437" s="1">
        <v>4671473</v>
      </c>
    </row>
    <row r="438" spans="1:8" x14ac:dyDescent="0.35">
      <c r="A438" s="1" t="str">
        <f t="shared" si="6"/>
        <v>7</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38" s="1" t="s">
        <v>3865</v>
      </c>
      <c r="D438" s="1" t="s">
        <v>3866</v>
      </c>
      <c r="E438" s="1" t="s">
        <v>3867</v>
      </c>
      <c r="F438" s="1" t="s">
        <v>112</v>
      </c>
      <c r="G438" s="1">
        <v>4702469</v>
      </c>
    </row>
    <row r="439" spans="1:8" x14ac:dyDescent="0.35">
      <c r="A439" s="1" t="str">
        <f t="shared" si="6"/>
        <v>7</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39" s="1" t="s">
        <v>3868</v>
      </c>
      <c r="D439" s="1" t="s">
        <v>3869</v>
      </c>
      <c r="E439" s="1" t="s">
        <v>3870</v>
      </c>
      <c r="F439" s="1" t="s">
        <v>112</v>
      </c>
      <c r="G439" s="1">
        <v>4538904</v>
      </c>
    </row>
    <row r="440" spans="1:8" x14ac:dyDescent="0.35">
      <c r="A440" s="1" t="str">
        <f t="shared" si="6"/>
        <v>7</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0" s="1" t="s">
        <v>3871</v>
      </c>
      <c r="D440" s="1" t="s">
        <v>3872</v>
      </c>
      <c r="E440" s="1" t="s">
        <v>3873</v>
      </c>
      <c r="F440" s="1" t="s">
        <v>112</v>
      </c>
      <c r="G440" s="1">
        <v>4389419</v>
      </c>
    </row>
    <row r="441" spans="1:8" x14ac:dyDescent="0.35">
      <c r="A441" s="1" t="str">
        <f t="shared" si="6"/>
        <v>7</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41" s="1" t="s">
        <v>3874</v>
      </c>
      <c r="D441" s="1" t="s">
        <v>3875</v>
      </c>
      <c r="E441" s="1" t="s">
        <v>3876</v>
      </c>
      <c r="F441" s="1" t="s">
        <v>112</v>
      </c>
      <c r="G441" s="1">
        <v>6199214</v>
      </c>
    </row>
    <row r="442" spans="1:8" x14ac:dyDescent="0.35">
      <c r="A442" s="1" t="str">
        <f t="shared" si="6"/>
        <v>7</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42" s="1" t="s">
        <v>3877</v>
      </c>
      <c r="D442" s="1" t="s">
        <v>3878</v>
      </c>
      <c r="E442" s="1" t="s">
        <v>3879</v>
      </c>
      <c r="F442" s="1" t="s">
        <v>112</v>
      </c>
      <c r="G442" s="1">
        <v>5925272</v>
      </c>
    </row>
    <row r="443" spans="1:8" x14ac:dyDescent="0.35">
      <c r="A443" s="1" t="str">
        <f t="shared" si="6"/>
        <v>7</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43" s="1" t="s">
        <v>3880</v>
      </c>
      <c r="D443" s="1" t="s">
        <v>3881</v>
      </c>
      <c r="E443" s="1" t="s">
        <v>3882</v>
      </c>
      <c r="F443" s="1" t="s">
        <v>112</v>
      </c>
      <c r="G443" s="1">
        <v>5345482</v>
      </c>
    </row>
    <row r="444" spans="1:8" x14ac:dyDescent="0.35">
      <c r="A444" s="1" t="str">
        <f t="shared" si="6"/>
        <v>7</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44" s="1" t="s">
        <v>3883</v>
      </c>
      <c r="D444" s="1" t="s">
        <v>3884</v>
      </c>
      <c r="E444" s="1" t="s">
        <v>3885</v>
      </c>
      <c r="F444" s="1" t="s">
        <v>112</v>
      </c>
      <c r="G444" s="1">
        <v>6392261</v>
      </c>
    </row>
    <row r="445" spans="1:8" x14ac:dyDescent="0.35">
      <c r="A445" s="1" t="str">
        <f t="shared" si="6"/>
        <v/>
      </c>
      <c r="B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45" s="1" t="s">
        <v>112</v>
      </c>
    </row>
    <row r="446" spans="1:8" x14ac:dyDescent="0.35">
      <c r="A446" s="1" t="str">
        <f t="shared" si="6"/>
        <v/>
      </c>
      <c r="B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46" s="1" t="s">
        <v>227</v>
      </c>
      <c r="D446" s="1" t="s">
        <v>112</v>
      </c>
      <c r="E446" s="1" t="s">
        <v>228</v>
      </c>
      <c r="F446" s="1" t="s">
        <v>229</v>
      </c>
      <c r="G446" s="1" t="s">
        <v>230</v>
      </c>
      <c r="H446" s="1" t="s">
        <v>231</v>
      </c>
    </row>
    <row r="447" spans="1:8" x14ac:dyDescent="0.35">
      <c r="A447" s="1" t="str">
        <f t="shared" si="6"/>
        <v>7</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47" s="1" t="s">
        <v>3886</v>
      </c>
      <c r="D447" s="1" t="s">
        <v>112</v>
      </c>
      <c r="E447" s="1" t="s">
        <v>3887</v>
      </c>
      <c r="F447" s="1" t="s">
        <v>3888</v>
      </c>
      <c r="G447" s="1" t="s">
        <v>3889</v>
      </c>
      <c r="H447" s="1" t="s">
        <v>3890</v>
      </c>
    </row>
    <row r="448" spans="1:8" x14ac:dyDescent="0.35">
      <c r="A448" s="1" t="str">
        <f t="shared" si="6"/>
        <v/>
      </c>
      <c r="B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48" s="1" t="s">
        <v>112</v>
      </c>
    </row>
    <row r="449" spans="1:7" x14ac:dyDescent="0.35">
      <c r="A449" s="1" t="str">
        <f t="shared" si="6"/>
        <v/>
      </c>
      <c r="B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49" s="1" t="s">
        <v>112</v>
      </c>
    </row>
    <row r="450" spans="1:7" x14ac:dyDescent="0.35">
      <c r="A450" s="1" t="str">
        <f t="shared" ref="A450:A513" si="7">IFERROR(LEFT(RIGHT(C450,LEN(C450)-SEARCH("@",C450)),SEARCH("/",RIGHT(C450,LEN(C450)-SEARCH("@",C450)-1))),"")</f>
        <v/>
      </c>
      <c r="B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0" s="1" t="s">
        <v>112</v>
      </c>
    </row>
    <row r="451" spans="1:7" x14ac:dyDescent="0.35">
      <c r="A451" s="1" t="str">
        <f t="shared" si="7"/>
        <v/>
      </c>
      <c r="B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1" s="1" t="s">
        <v>112</v>
      </c>
    </row>
    <row r="452" spans="1:7" x14ac:dyDescent="0.35">
      <c r="A452" s="1" t="str">
        <f t="shared" si="7"/>
        <v/>
      </c>
      <c r="B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2" s="1" t="s">
        <v>112</v>
      </c>
    </row>
    <row r="453" spans="1:7" x14ac:dyDescent="0.35">
      <c r="A453" s="1" t="str">
        <f t="shared" si="7"/>
        <v/>
      </c>
      <c r="B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3" s="1" t="s">
        <v>171</v>
      </c>
      <c r="D453" s="1" t="s">
        <v>110</v>
      </c>
      <c r="E453" s="1" t="s">
        <v>111</v>
      </c>
      <c r="F453" s="1" t="s">
        <v>112</v>
      </c>
      <c r="G453" s="1" t="s">
        <v>113</v>
      </c>
    </row>
    <row r="454" spans="1:7" x14ac:dyDescent="0.35">
      <c r="A454" s="1" t="str">
        <f t="shared" si="7"/>
        <v>10</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54" s="1" t="s">
        <v>3891</v>
      </c>
      <c r="D454" s="1" t="s">
        <v>1964</v>
      </c>
      <c r="E454" s="1" t="s">
        <v>1987</v>
      </c>
      <c r="F454" s="1" t="s">
        <v>112</v>
      </c>
      <c r="G454" s="1">
        <v>58466</v>
      </c>
    </row>
    <row r="455" spans="1:7" x14ac:dyDescent="0.35">
      <c r="A455" s="1" t="str">
        <f t="shared" si="7"/>
        <v>10</v>
      </c>
      <c r="B4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55" s="1" t="s">
        <v>3892</v>
      </c>
    </row>
    <row r="456" spans="1:7" x14ac:dyDescent="0.35">
      <c r="A456" s="1" t="str">
        <f t="shared" si="7"/>
        <v>10</v>
      </c>
      <c r="B4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56" s="1" t="s">
        <v>3893</v>
      </c>
      <c r="D456" s="1" t="s">
        <v>3894</v>
      </c>
      <c r="E456" s="1" t="s">
        <v>3895</v>
      </c>
      <c r="F456" s="1" t="s">
        <v>112</v>
      </c>
      <c r="G456" s="1">
        <v>122468</v>
      </c>
    </row>
    <row r="457" spans="1:7" x14ac:dyDescent="0.35">
      <c r="A457" s="1" t="str">
        <f t="shared" si="7"/>
        <v>10</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57" s="1" t="s">
        <v>3896</v>
      </c>
      <c r="D457" s="1" t="s">
        <v>3368</v>
      </c>
      <c r="E457" s="1" t="s">
        <v>3897</v>
      </c>
      <c r="F457" s="1" t="s">
        <v>112</v>
      </c>
      <c r="G457" s="1">
        <v>221879</v>
      </c>
    </row>
    <row r="458" spans="1:7" x14ac:dyDescent="0.35">
      <c r="A458" s="1" t="str">
        <f t="shared" si="7"/>
        <v>10</v>
      </c>
      <c r="B4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58" s="1" t="s">
        <v>3898</v>
      </c>
      <c r="D458" s="1" t="s">
        <v>487</v>
      </c>
      <c r="E458" s="1" t="s">
        <v>3899</v>
      </c>
      <c r="F458" s="1" t="s">
        <v>112</v>
      </c>
      <c r="G458" s="1">
        <v>119332</v>
      </c>
    </row>
    <row r="459" spans="1:7" x14ac:dyDescent="0.35">
      <c r="A459" s="1" t="str">
        <f t="shared" si="7"/>
        <v>10</v>
      </c>
      <c r="B4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59" s="1" t="s">
        <v>3900</v>
      </c>
      <c r="D459" s="1">
        <v>0</v>
      </c>
      <c r="E459" s="1">
        <v>0</v>
      </c>
      <c r="F459" s="1" t="s">
        <v>112</v>
      </c>
      <c r="G459" s="1">
        <v>0</v>
      </c>
    </row>
    <row r="460" spans="1:7" x14ac:dyDescent="0.35">
      <c r="A460" s="1" t="str">
        <f t="shared" si="7"/>
        <v>10</v>
      </c>
      <c r="B4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0" s="1" t="s">
        <v>3901</v>
      </c>
      <c r="D460" s="1" t="s">
        <v>254</v>
      </c>
      <c r="E460" s="1">
        <v>31</v>
      </c>
      <c r="F460" s="1" t="s">
        <v>112</v>
      </c>
      <c r="G460" s="1">
        <v>1341</v>
      </c>
    </row>
    <row r="461" spans="1:7" x14ac:dyDescent="0.35">
      <c r="A461" s="1" t="str">
        <f t="shared" si="7"/>
        <v>10</v>
      </c>
      <c r="B4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1" s="1" t="s">
        <v>3902</v>
      </c>
    </row>
    <row r="462" spans="1:7" x14ac:dyDescent="0.35">
      <c r="A462" s="1" t="str">
        <f t="shared" si="7"/>
        <v>10</v>
      </c>
      <c r="B4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62" s="1" t="s">
        <v>3903</v>
      </c>
      <c r="D462" s="1" t="s">
        <v>3904</v>
      </c>
      <c r="E462" s="1" t="s">
        <v>3905</v>
      </c>
      <c r="F462" s="1" t="s">
        <v>112</v>
      </c>
      <c r="G462" s="1">
        <v>418906</v>
      </c>
    </row>
    <row r="463" spans="1:7" x14ac:dyDescent="0.35">
      <c r="A463" s="1" t="str">
        <f t="shared" si="7"/>
        <v>10</v>
      </c>
      <c r="B4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63" s="1" t="s">
        <v>3906</v>
      </c>
      <c r="D463" s="1" t="s">
        <v>3907</v>
      </c>
      <c r="E463" s="1" t="s">
        <v>3908</v>
      </c>
      <c r="F463" s="1" t="s">
        <v>112</v>
      </c>
      <c r="G463" s="1">
        <v>577972</v>
      </c>
    </row>
    <row r="464" spans="1:7" x14ac:dyDescent="0.35">
      <c r="A464" s="1" t="str">
        <f t="shared" si="7"/>
        <v>10</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64" s="1" t="s">
        <v>3909</v>
      </c>
      <c r="D464" s="1" t="s">
        <v>2454</v>
      </c>
      <c r="E464" s="1" t="s">
        <v>3910</v>
      </c>
      <c r="F464" s="1" t="s">
        <v>112</v>
      </c>
      <c r="G464" s="1">
        <v>257720</v>
      </c>
    </row>
    <row r="465" spans="1:7" x14ac:dyDescent="0.35">
      <c r="A465" s="1" t="str">
        <f t="shared" si="7"/>
        <v>10</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65" s="1" t="s">
        <v>3911</v>
      </c>
      <c r="D465" s="1" t="s">
        <v>3912</v>
      </c>
      <c r="E465" s="1" t="s">
        <v>3913</v>
      </c>
      <c r="F465" s="1" t="s">
        <v>112</v>
      </c>
      <c r="G465" s="1">
        <v>395784</v>
      </c>
    </row>
    <row r="466" spans="1:7" x14ac:dyDescent="0.35">
      <c r="A466" s="1" t="str">
        <f t="shared" si="7"/>
        <v>10</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6" s="1" t="s">
        <v>3914</v>
      </c>
      <c r="D466" s="1" t="s">
        <v>3915</v>
      </c>
      <c r="E466" s="1">
        <v>32</v>
      </c>
      <c r="F466" s="1" t="s">
        <v>112</v>
      </c>
      <c r="G466" s="1">
        <v>17996</v>
      </c>
    </row>
    <row r="467" spans="1:7" x14ac:dyDescent="0.35">
      <c r="A467" s="1" t="str">
        <f t="shared" si="7"/>
        <v>10</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7" s="1" t="s">
        <v>3916</v>
      </c>
      <c r="D467" s="1" t="s">
        <v>999</v>
      </c>
      <c r="E467" s="1" t="s">
        <v>3917</v>
      </c>
      <c r="F467" s="1" t="s">
        <v>112</v>
      </c>
      <c r="G467" s="1">
        <v>6900</v>
      </c>
    </row>
    <row r="468" spans="1:7" x14ac:dyDescent="0.35">
      <c r="A468" s="1" t="str">
        <f t="shared" si="7"/>
        <v>10</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8" s="1" t="s">
        <v>3918</v>
      </c>
      <c r="D468" s="1" t="s">
        <v>1618</v>
      </c>
      <c r="E468" s="1" t="s">
        <v>3919</v>
      </c>
      <c r="F468" s="1" t="s">
        <v>112</v>
      </c>
      <c r="G468" s="1">
        <v>54140</v>
      </c>
    </row>
    <row r="469" spans="1:7" x14ac:dyDescent="0.35">
      <c r="A469" s="1" t="str">
        <f t="shared" si="7"/>
        <v>10</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9" s="1" t="s">
        <v>3920</v>
      </c>
      <c r="D469" s="1" t="s">
        <v>180</v>
      </c>
      <c r="E469" s="1">
        <v>30</v>
      </c>
      <c r="F469" s="1" t="s">
        <v>112</v>
      </c>
      <c r="G469" s="1">
        <v>649</v>
      </c>
    </row>
    <row r="470" spans="1:7" x14ac:dyDescent="0.35">
      <c r="A470" s="1" t="str">
        <f t="shared" si="7"/>
        <v>10</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0" s="1" t="s">
        <v>3921</v>
      </c>
      <c r="D470" s="1" t="s">
        <v>616</v>
      </c>
      <c r="E470" s="1" t="s">
        <v>3922</v>
      </c>
      <c r="F470" s="1" t="s">
        <v>112</v>
      </c>
      <c r="G470" s="1">
        <v>31125</v>
      </c>
    </row>
    <row r="471" spans="1:7" x14ac:dyDescent="0.35">
      <c r="A471" s="1" t="str">
        <f t="shared" si="7"/>
        <v>10</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1" s="1" t="s">
        <v>3923</v>
      </c>
      <c r="D471" s="1" t="s">
        <v>1062</v>
      </c>
      <c r="E471" s="1" t="s">
        <v>1460</v>
      </c>
      <c r="F471" s="1" t="s">
        <v>112</v>
      </c>
      <c r="G471" s="1">
        <v>1990</v>
      </c>
    </row>
    <row r="472" spans="1:7" x14ac:dyDescent="0.35">
      <c r="A472" s="1" t="str">
        <f t="shared" si="7"/>
        <v>10</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2" s="1" t="s">
        <v>3924</v>
      </c>
      <c r="D472" s="1" t="s">
        <v>1992</v>
      </c>
      <c r="E472" s="1" t="s">
        <v>3925</v>
      </c>
      <c r="F472" s="1" t="s">
        <v>112</v>
      </c>
      <c r="G472" s="1">
        <v>74255</v>
      </c>
    </row>
    <row r="473" spans="1:7" x14ac:dyDescent="0.35">
      <c r="A473" s="1" t="str">
        <f t="shared" si="7"/>
        <v>10</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3" s="1" t="s">
        <v>3926</v>
      </c>
      <c r="D473" s="1" t="s">
        <v>3927</v>
      </c>
      <c r="E473" s="1" t="s">
        <v>3928</v>
      </c>
      <c r="F473" s="1" t="s">
        <v>112</v>
      </c>
      <c r="G473" s="1">
        <v>16071</v>
      </c>
    </row>
    <row r="474" spans="1:7" x14ac:dyDescent="0.35">
      <c r="A474" s="1" t="str">
        <f t="shared" si="7"/>
        <v>10</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4" s="1" t="s">
        <v>3929</v>
      </c>
      <c r="D474" s="1" t="s">
        <v>2986</v>
      </c>
      <c r="E474" s="1" t="s">
        <v>3930</v>
      </c>
      <c r="F474" s="1" t="s">
        <v>112</v>
      </c>
      <c r="G474" s="1">
        <v>258023</v>
      </c>
    </row>
    <row r="475" spans="1:7" x14ac:dyDescent="0.35">
      <c r="A475" s="1" t="str">
        <f t="shared" si="7"/>
        <v>10</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5" s="1" t="s">
        <v>3931</v>
      </c>
      <c r="D475" s="1" t="s">
        <v>3515</v>
      </c>
      <c r="E475" s="1" t="s">
        <v>3932</v>
      </c>
      <c r="F475" s="1" t="s">
        <v>112</v>
      </c>
      <c r="G475" s="1">
        <v>469563</v>
      </c>
    </row>
    <row r="476" spans="1:7" x14ac:dyDescent="0.35">
      <c r="A476" s="1" t="str">
        <f t="shared" si="7"/>
        <v>10</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6" s="1" t="s">
        <v>3933</v>
      </c>
      <c r="D476" s="1" t="s">
        <v>3934</v>
      </c>
      <c r="E476" s="1" t="s">
        <v>3935</v>
      </c>
      <c r="F476" s="1" t="s">
        <v>112</v>
      </c>
      <c r="G476" s="1">
        <v>498785</v>
      </c>
    </row>
    <row r="477" spans="1:7" x14ac:dyDescent="0.35">
      <c r="A477" s="1" t="str">
        <f t="shared" si="7"/>
        <v>10</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7" s="1" t="s">
        <v>3936</v>
      </c>
      <c r="D477" s="1" t="s">
        <v>3937</v>
      </c>
      <c r="E477" s="1">
        <v>43</v>
      </c>
      <c r="F477" s="1" t="s">
        <v>112</v>
      </c>
      <c r="G477" s="1">
        <v>417608</v>
      </c>
    </row>
    <row r="478" spans="1:7" x14ac:dyDescent="0.35">
      <c r="A478" s="1" t="str">
        <f t="shared" si="7"/>
        <v>10</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78" s="1" t="s">
        <v>3938</v>
      </c>
      <c r="D478" s="1" t="s">
        <v>3939</v>
      </c>
      <c r="E478" s="1" t="s">
        <v>3940</v>
      </c>
      <c r="F478" s="1" t="s">
        <v>112</v>
      </c>
      <c r="G478" s="1">
        <v>296200</v>
      </c>
    </row>
    <row r="479" spans="1:7" x14ac:dyDescent="0.35">
      <c r="A479" s="1" t="str">
        <f t="shared" si="7"/>
        <v>10</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79" s="1" t="s">
        <v>3941</v>
      </c>
    </row>
    <row r="480" spans="1:7" x14ac:dyDescent="0.35">
      <c r="A480" s="1" t="str">
        <f t="shared" si="7"/>
        <v>10</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0" s="1" t="s">
        <v>3942</v>
      </c>
      <c r="D480" s="1" t="s">
        <v>1009</v>
      </c>
      <c r="E480" s="1" t="s">
        <v>3943</v>
      </c>
      <c r="F480" s="1" t="s">
        <v>112</v>
      </c>
      <c r="G480" s="1">
        <v>295789</v>
      </c>
    </row>
    <row r="481" spans="1:8" x14ac:dyDescent="0.35">
      <c r="A481" s="1" t="str">
        <f t="shared" si="7"/>
        <v>10</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1" s="1" t="s">
        <v>3944</v>
      </c>
      <c r="D481" s="1" t="s">
        <v>1900</v>
      </c>
      <c r="E481" s="1" t="s">
        <v>3945</v>
      </c>
      <c r="F481" s="1" t="s">
        <v>112</v>
      </c>
      <c r="G481" s="1">
        <v>112475</v>
      </c>
    </row>
    <row r="482" spans="1:8" x14ac:dyDescent="0.35">
      <c r="A482" s="1" t="str">
        <f t="shared" si="7"/>
        <v>10</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2" s="1" t="s">
        <v>3946</v>
      </c>
      <c r="D482" s="1" t="s">
        <v>3947</v>
      </c>
      <c r="E482" s="1" t="s">
        <v>3948</v>
      </c>
      <c r="F482" s="1" t="s">
        <v>112</v>
      </c>
      <c r="G482" s="1">
        <v>143796</v>
      </c>
    </row>
    <row r="483" spans="1:8" x14ac:dyDescent="0.35">
      <c r="A483" s="1" t="str">
        <f t="shared" si="7"/>
        <v>10</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3" s="1" t="s">
        <v>3949</v>
      </c>
      <c r="D483" s="1" t="s">
        <v>551</v>
      </c>
      <c r="E483" s="1" t="s">
        <v>3950</v>
      </c>
      <c r="F483" s="1" t="s">
        <v>112</v>
      </c>
      <c r="G483" s="1">
        <v>113319</v>
      </c>
    </row>
    <row r="484" spans="1:8" x14ac:dyDescent="0.35">
      <c r="A484" s="1" t="str">
        <f t="shared" si="7"/>
        <v>10</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4" s="1" t="s">
        <v>3951</v>
      </c>
      <c r="D484" s="1" t="s">
        <v>3952</v>
      </c>
      <c r="E484" s="1" t="s">
        <v>3953</v>
      </c>
      <c r="F484" s="1" t="s">
        <v>112</v>
      </c>
      <c r="G484" s="1">
        <v>124047</v>
      </c>
    </row>
    <row r="485" spans="1:8" x14ac:dyDescent="0.35">
      <c r="A485" s="1" t="str">
        <f t="shared" si="7"/>
        <v>10</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3954</v>
      </c>
      <c r="D485" s="1" t="s">
        <v>524</v>
      </c>
      <c r="E485" s="1" t="s">
        <v>3955</v>
      </c>
      <c r="F485" s="1" t="s">
        <v>112</v>
      </c>
      <c r="G485" s="1">
        <v>95885</v>
      </c>
    </row>
    <row r="486" spans="1:8" x14ac:dyDescent="0.35">
      <c r="A486" s="1" t="str">
        <f t="shared" si="7"/>
        <v/>
      </c>
      <c r="B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6" s="1" t="s">
        <v>112</v>
      </c>
    </row>
    <row r="487" spans="1:8" x14ac:dyDescent="0.35">
      <c r="A487" s="1" t="str">
        <f t="shared" si="7"/>
        <v/>
      </c>
      <c r="B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7" s="1" t="s">
        <v>227</v>
      </c>
      <c r="D487" s="1" t="s">
        <v>112</v>
      </c>
      <c r="E487" s="1" t="s">
        <v>228</v>
      </c>
      <c r="F487" s="1" t="s">
        <v>229</v>
      </c>
      <c r="G487" s="1" t="s">
        <v>230</v>
      </c>
      <c r="H487" s="1" t="s">
        <v>231</v>
      </c>
    </row>
    <row r="488" spans="1:8" x14ac:dyDescent="0.35">
      <c r="A488" s="1" t="str">
        <f t="shared" si="7"/>
        <v>10</v>
      </c>
      <c r="B4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88" s="1" t="s">
        <v>3956</v>
      </c>
      <c r="D488" s="1" t="s">
        <v>112</v>
      </c>
      <c r="E488" s="1" t="s">
        <v>3957</v>
      </c>
      <c r="F488" s="1" t="s">
        <v>3958</v>
      </c>
      <c r="G488" s="1" t="s">
        <v>3959</v>
      </c>
      <c r="H488" s="1" t="s">
        <v>3960</v>
      </c>
    </row>
    <row r="489" spans="1:8" x14ac:dyDescent="0.3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112</v>
      </c>
    </row>
    <row r="490" spans="1:8" x14ac:dyDescent="0.35">
      <c r="A490" s="1" t="str">
        <f t="shared" si="7"/>
        <v/>
      </c>
      <c r="B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0" s="1" t="s">
        <v>112</v>
      </c>
    </row>
    <row r="491" spans="1:8" x14ac:dyDescent="0.3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112</v>
      </c>
    </row>
    <row r="492" spans="1:8" x14ac:dyDescent="0.3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8" x14ac:dyDescent="0.3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8" x14ac:dyDescent="0.3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171</v>
      </c>
      <c r="D494" s="1" t="s">
        <v>110</v>
      </c>
      <c r="E494" s="1" t="s">
        <v>111</v>
      </c>
      <c r="F494" s="1" t="s">
        <v>112</v>
      </c>
      <c r="G494" s="1" t="s">
        <v>113</v>
      </c>
    </row>
    <row r="495" spans="1:8" x14ac:dyDescent="0.35">
      <c r="A495" s="1" t="str">
        <f t="shared" si="7"/>
        <v>11</v>
      </c>
      <c r="B4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5" s="1" t="s">
        <v>3961</v>
      </c>
      <c r="D495" s="1" t="s">
        <v>507</v>
      </c>
      <c r="E495" s="1" t="s">
        <v>3962</v>
      </c>
      <c r="F495" s="1" t="s">
        <v>112</v>
      </c>
      <c r="G495" s="1">
        <v>2660</v>
      </c>
    </row>
    <row r="496" spans="1:8" x14ac:dyDescent="0.35">
      <c r="A496" s="1" t="str">
        <f t="shared" si="7"/>
        <v>11</v>
      </c>
      <c r="B4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6" s="1" t="s">
        <v>3963</v>
      </c>
      <c r="D496" s="1" t="s">
        <v>222</v>
      </c>
      <c r="E496" s="1" t="s">
        <v>223</v>
      </c>
      <c r="F496" s="1" t="s">
        <v>112</v>
      </c>
      <c r="G496" s="1">
        <v>4002</v>
      </c>
    </row>
    <row r="497" spans="1:7" x14ac:dyDescent="0.35">
      <c r="A497" s="1" t="str">
        <f t="shared" si="7"/>
        <v>11</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3964</v>
      </c>
      <c r="D497" s="1" t="s">
        <v>3965</v>
      </c>
      <c r="E497" s="1" t="s">
        <v>3966</v>
      </c>
      <c r="F497" s="1" t="s">
        <v>112</v>
      </c>
      <c r="G497" s="1">
        <v>42827</v>
      </c>
    </row>
    <row r="498" spans="1:7" x14ac:dyDescent="0.35">
      <c r="A498" s="1" t="str">
        <f t="shared" si="7"/>
        <v>11</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3967</v>
      </c>
      <c r="D498" s="1" t="s">
        <v>3368</v>
      </c>
      <c r="E498" s="1" t="s">
        <v>3968</v>
      </c>
      <c r="F498" s="1" t="s">
        <v>112</v>
      </c>
      <c r="G498" s="1">
        <v>204813</v>
      </c>
    </row>
    <row r="499" spans="1:7" x14ac:dyDescent="0.35">
      <c r="A499" s="1" t="str">
        <f t="shared" si="7"/>
        <v>11</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99" s="1" t="s">
        <v>3969</v>
      </c>
    </row>
    <row r="500" spans="1:7" x14ac:dyDescent="0.35">
      <c r="A500" s="1" t="str">
        <f t="shared" si="7"/>
        <v>11</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3970</v>
      </c>
      <c r="D500" s="1" t="s">
        <v>3971</v>
      </c>
      <c r="E500" s="1" t="s">
        <v>3972</v>
      </c>
      <c r="F500" s="1" t="s">
        <v>112</v>
      </c>
      <c r="G500" s="1">
        <v>115763</v>
      </c>
    </row>
    <row r="501" spans="1:7" x14ac:dyDescent="0.35">
      <c r="A501" s="1" t="str">
        <f t="shared" si="7"/>
        <v>11</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3973</v>
      </c>
      <c r="D501" s="1">
        <v>0</v>
      </c>
      <c r="E501" s="1">
        <v>0</v>
      </c>
      <c r="F501" s="1" t="s">
        <v>112</v>
      </c>
      <c r="G501" s="1">
        <v>0</v>
      </c>
    </row>
    <row r="502" spans="1:7" x14ac:dyDescent="0.35">
      <c r="A502" s="1" t="str">
        <f t="shared" si="7"/>
        <v>11</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3974</v>
      </c>
      <c r="D502" s="1" t="s">
        <v>3975</v>
      </c>
      <c r="E502" s="1" t="s">
        <v>3976</v>
      </c>
      <c r="F502" s="1" t="s">
        <v>112</v>
      </c>
      <c r="G502" s="1">
        <v>190711</v>
      </c>
    </row>
    <row r="503" spans="1:7" x14ac:dyDescent="0.35">
      <c r="A503" s="1" t="str">
        <f t="shared" si="7"/>
        <v>11</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3977</v>
      </c>
      <c r="D503" s="1">
        <v>0</v>
      </c>
      <c r="E503" s="1">
        <v>0</v>
      </c>
      <c r="F503" s="1" t="s">
        <v>112</v>
      </c>
      <c r="G503" s="1">
        <v>0</v>
      </c>
    </row>
    <row r="504" spans="1:7" x14ac:dyDescent="0.35">
      <c r="A504" s="1" t="str">
        <f t="shared" si="7"/>
        <v>11</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3978</v>
      </c>
      <c r="D504" s="1" t="s">
        <v>1003</v>
      </c>
      <c r="E504" s="1" t="s">
        <v>3979</v>
      </c>
      <c r="F504" s="1" t="s">
        <v>112</v>
      </c>
      <c r="G504" s="1">
        <v>25112</v>
      </c>
    </row>
    <row r="505" spans="1:7" x14ac:dyDescent="0.35">
      <c r="A505" s="1" t="str">
        <f t="shared" si="7"/>
        <v>11</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3980</v>
      </c>
      <c r="D505" s="1" t="s">
        <v>3981</v>
      </c>
      <c r="E505" s="1" t="s">
        <v>3982</v>
      </c>
      <c r="F505" s="1" t="s">
        <v>112</v>
      </c>
      <c r="G505" s="1">
        <v>165534</v>
      </c>
    </row>
    <row r="506" spans="1:7" x14ac:dyDescent="0.35">
      <c r="A506" s="1" t="str">
        <f t="shared" si="7"/>
        <v>11</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6" s="1" t="s">
        <v>3983</v>
      </c>
      <c r="D506" s="1" t="s">
        <v>3984</v>
      </c>
      <c r="E506" s="1" t="s">
        <v>3985</v>
      </c>
      <c r="F506" s="1" t="s">
        <v>112</v>
      </c>
      <c r="G506" s="1">
        <v>312703</v>
      </c>
    </row>
    <row r="507" spans="1:7" x14ac:dyDescent="0.35">
      <c r="A507" s="1" t="str">
        <f t="shared" si="7"/>
        <v>11</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3986</v>
      </c>
      <c r="D507" s="1" t="s">
        <v>3445</v>
      </c>
      <c r="E507" s="1" t="s">
        <v>3987</v>
      </c>
      <c r="F507" s="1" t="s">
        <v>112</v>
      </c>
      <c r="G507" s="1">
        <v>256595</v>
      </c>
    </row>
    <row r="508" spans="1:7" x14ac:dyDescent="0.35">
      <c r="A508" s="1" t="str">
        <f t="shared" si="7"/>
        <v>11</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3988</v>
      </c>
    </row>
    <row r="509" spans="1:7" x14ac:dyDescent="0.35">
      <c r="A509" s="1" t="str">
        <f t="shared" si="7"/>
        <v>11</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9" s="1" t="s">
        <v>3989</v>
      </c>
    </row>
    <row r="510" spans="1:7" x14ac:dyDescent="0.35">
      <c r="A510" s="1" t="str">
        <f t="shared" si="7"/>
        <v>11</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10" s="1" t="s">
        <v>3990</v>
      </c>
      <c r="D510" s="1" t="s">
        <v>3991</v>
      </c>
      <c r="E510" s="1" t="s">
        <v>3992</v>
      </c>
      <c r="F510" s="1" t="s">
        <v>112</v>
      </c>
      <c r="G510" s="1">
        <v>354795</v>
      </c>
    </row>
    <row r="511" spans="1:7" x14ac:dyDescent="0.35">
      <c r="A511" s="1" t="str">
        <f t="shared" si="7"/>
        <v>11</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3993</v>
      </c>
      <c r="D511" s="1" t="s">
        <v>1468</v>
      </c>
      <c r="E511" s="1" t="s">
        <v>3994</v>
      </c>
      <c r="F511" s="1" t="s">
        <v>112</v>
      </c>
      <c r="G511" s="1">
        <v>260965</v>
      </c>
    </row>
    <row r="512" spans="1:7" x14ac:dyDescent="0.35">
      <c r="A512" s="1" t="str">
        <f t="shared" si="7"/>
        <v>11</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2" s="1" t="s">
        <v>3995</v>
      </c>
    </row>
    <row r="513" spans="1:8" x14ac:dyDescent="0.35">
      <c r="A513" s="1" t="str">
        <f t="shared" si="7"/>
        <v>11</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3" s="1" t="s">
        <v>3996</v>
      </c>
      <c r="D513" s="1" t="s">
        <v>3997</v>
      </c>
      <c r="E513" s="1" t="s">
        <v>3998</v>
      </c>
      <c r="F513" s="1" t="s">
        <v>112</v>
      </c>
      <c r="G513" s="1">
        <v>369828</v>
      </c>
    </row>
    <row r="514" spans="1:8" x14ac:dyDescent="0.35">
      <c r="A514" s="1" t="str">
        <f t="shared" ref="A514:A577" si="8">IFERROR(LEFT(RIGHT(C514,LEN(C514)-SEARCH("@",C514)),SEARCH("/",RIGHT(C514,LEN(C514)-SEARCH("@",C514)-1))),"")</f>
        <v>11</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4" s="1" t="s">
        <v>3999</v>
      </c>
      <c r="D514" s="1" t="s">
        <v>4000</v>
      </c>
      <c r="E514" s="1" t="s">
        <v>4001</v>
      </c>
      <c r="F514" s="1" t="s">
        <v>112</v>
      </c>
      <c r="G514" s="1">
        <v>123939</v>
      </c>
    </row>
    <row r="515" spans="1:8" x14ac:dyDescent="0.35">
      <c r="A515" s="1" t="str">
        <f t="shared" si="8"/>
        <v>11</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5" s="1" t="s">
        <v>4002</v>
      </c>
      <c r="D515" s="1" t="s">
        <v>1543</v>
      </c>
      <c r="E515" s="1" t="s">
        <v>4003</v>
      </c>
      <c r="F515" s="1" t="s">
        <v>112</v>
      </c>
      <c r="G515" s="1">
        <v>194215</v>
      </c>
    </row>
    <row r="516" spans="1:8" x14ac:dyDescent="0.35">
      <c r="A516" s="1" t="str">
        <f t="shared" si="8"/>
        <v>11</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6" s="1" t="s">
        <v>4004</v>
      </c>
      <c r="D516" s="1" t="s">
        <v>2978</v>
      </c>
      <c r="E516" s="1" t="s">
        <v>4005</v>
      </c>
      <c r="F516" s="1" t="s">
        <v>112</v>
      </c>
      <c r="G516" s="1">
        <v>353930</v>
      </c>
    </row>
    <row r="517" spans="1:8" x14ac:dyDescent="0.35">
      <c r="A517" s="1" t="str">
        <f t="shared" si="8"/>
        <v>11</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7" s="1" t="s">
        <v>4006</v>
      </c>
      <c r="D517" s="1" t="s">
        <v>949</v>
      </c>
      <c r="E517" s="1" t="s">
        <v>4007</v>
      </c>
      <c r="F517" s="1" t="s">
        <v>112</v>
      </c>
      <c r="G517" s="1">
        <v>206176</v>
      </c>
    </row>
    <row r="518" spans="1:8" x14ac:dyDescent="0.35">
      <c r="A518" s="1" t="str">
        <f t="shared" si="8"/>
        <v>11</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8" s="1" t="s">
        <v>4008</v>
      </c>
      <c r="D518" s="1" t="s">
        <v>4009</v>
      </c>
      <c r="E518" s="1" t="s">
        <v>4010</v>
      </c>
      <c r="F518" s="1" t="s">
        <v>112</v>
      </c>
      <c r="G518" s="1">
        <v>147364</v>
      </c>
    </row>
    <row r="519" spans="1:8" x14ac:dyDescent="0.35">
      <c r="A519" s="1" t="str">
        <f t="shared" si="8"/>
        <v>11</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9" s="1" t="s">
        <v>4011</v>
      </c>
      <c r="D519" s="1" t="s">
        <v>589</v>
      </c>
      <c r="E519" s="1" t="s">
        <v>4012</v>
      </c>
      <c r="F519" s="1" t="s">
        <v>112</v>
      </c>
      <c r="G519" s="1">
        <v>49468</v>
      </c>
    </row>
    <row r="520" spans="1:8" x14ac:dyDescent="0.35">
      <c r="A520" s="1" t="str">
        <f t="shared" si="8"/>
        <v>11</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20" s="1" t="s">
        <v>4013</v>
      </c>
      <c r="D520" s="1" t="s">
        <v>2994</v>
      </c>
      <c r="E520" s="1" t="s">
        <v>4014</v>
      </c>
      <c r="F520" s="1" t="s">
        <v>112</v>
      </c>
      <c r="G520" s="1">
        <v>264469</v>
      </c>
    </row>
    <row r="521" spans="1:8" x14ac:dyDescent="0.35">
      <c r="A521" s="1" t="str">
        <f t="shared" si="8"/>
        <v>11</v>
      </c>
      <c r="B5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21" s="1" t="s">
        <v>4015</v>
      </c>
      <c r="D521" s="1" t="s">
        <v>4016</v>
      </c>
      <c r="E521" s="1" t="s">
        <v>4017</v>
      </c>
      <c r="F521" s="1" t="s">
        <v>112</v>
      </c>
      <c r="G521" s="1">
        <v>402987</v>
      </c>
    </row>
    <row r="522" spans="1:8" x14ac:dyDescent="0.35">
      <c r="A522" s="1" t="str">
        <f t="shared" si="8"/>
        <v>11</v>
      </c>
      <c r="B5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22" s="1" t="s">
        <v>4018</v>
      </c>
      <c r="D522" s="1" t="s">
        <v>3371</v>
      </c>
      <c r="E522" s="1" t="s">
        <v>4019</v>
      </c>
      <c r="F522" s="1" t="s">
        <v>112</v>
      </c>
      <c r="G522" s="1">
        <v>81718</v>
      </c>
    </row>
    <row r="523" spans="1:8" x14ac:dyDescent="0.35">
      <c r="A523" s="1" t="str">
        <f t="shared" si="8"/>
        <v>11</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3" s="1" t="s">
        <v>4020</v>
      </c>
      <c r="D523" s="1" t="s">
        <v>4021</v>
      </c>
      <c r="E523" s="1" t="s">
        <v>4022</v>
      </c>
      <c r="F523" s="1" t="s">
        <v>112</v>
      </c>
      <c r="G523" s="1">
        <v>261700</v>
      </c>
    </row>
    <row r="524" spans="1:8" x14ac:dyDescent="0.35">
      <c r="A524" s="1" t="str">
        <f t="shared" si="8"/>
        <v>11</v>
      </c>
      <c r="B5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4" s="1" t="s">
        <v>4023</v>
      </c>
      <c r="D524" s="1" t="s">
        <v>207</v>
      </c>
      <c r="E524" s="1" t="s">
        <v>4024</v>
      </c>
      <c r="F524" s="1" t="s">
        <v>112</v>
      </c>
      <c r="G524" s="1">
        <v>304657</v>
      </c>
    </row>
    <row r="525" spans="1:8" x14ac:dyDescent="0.35">
      <c r="A525" s="1" t="str">
        <f t="shared" si="8"/>
        <v>11</v>
      </c>
      <c r="B5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5" s="1" t="s">
        <v>4025</v>
      </c>
      <c r="D525" s="1" t="s">
        <v>4026</v>
      </c>
      <c r="E525" s="1" t="s">
        <v>4027</v>
      </c>
      <c r="F525" s="1" t="s">
        <v>112</v>
      </c>
      <c r="G525" s="1">
        <v>456283</v>
      </c>
    </row>
    <row r="526" spans="1:8" x14ac:dyDescent="0.35">
      <c r="A526" s="1" t="str">
        <f t="shared" si="8"/>
        <v>11</v>
      </c>
      <c r="B5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6" s="1" t="s">
        <v>4028</v>
      </c>
      <c r="D526" s="1" t="s">
        <v>1047</v>
      </c>
      <c r="E526" s="1" t="s">
        <v>4029</v>
      </c>
      <c r="F526" s="1" t="s">
        <v>112</v>
      </c>
      <c r="G526" s="1">
        <v>403095</v>
      </c>
    </row>
    <row r="527" spans="1:8" x14ac:dyDescent="0.3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8" x14ac:dyDescent="0.3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227</v>
      </c>
      <c r="D528" s="1" t="s">
        <v>112</v>
      </c>
      <c r="E528" s="1" t="s">
        <v>228</v>
      </c>
      <c r="F528" s="1" t="s">
        <v>229</v>
      </c>
      <c r="G528" s="1" t="s">
        <v>230</v>
      </c>
      <c r="H528" s="1" t="s">
        <v>231</v>
      </c>
    </row>
    <row r="529" spans="1:8" x14ac:dyDescent="0.35">
      <c r="A529" s="1" t="str">
        <f t="shared" si="8"/>
        <v>11</v>
      </c>
      <c r="B5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9" s="1" t="s">
        <v>4030</v>
      </c>
      <c r="D529" s="1" t="s">
        <v>112</v>
      </c>
      <c r="E529" s="1" t="s">
        <v>4031</v>
      </c>
      <c r="F529" s="1" t="s">
        <v>4032</v>
      </c>
      <c r="G529" s="1" t="s">
        <v>4033</v>
      </c>
      <c r="H529" s="1" t="s">
        <v>4034</v>
      </c>
    </row>
    <row r="530" spans="1:8" x14ac:dyDescent="0.35">
      <c r="A530" s="1" t="str">
        <f t="shared" si="8"/>
        <v/>
      </c>
      <c r="B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30" s="1" t="s">
        <v>112</v>
      </c>
    </row>
    <row r="531" spans="1:8" x14ac:dyDescent="0.35">
      <c r="A531" s="1" t="str">
        <f t="shared" si="8"/>
        <v/>
      </c>
      <c r="B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31" s="1" t="s">
        <v>112</v>
      </c>
    </row>
    <row r="532" spans="1:8" x14ac:dyDescent="0.35">
      <c r="A532" s="1" t="str">
        <f t="shared" si="8"/>
        <v/>
      </c>
      <c r="B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32" s="1" t="s">
        <v>112</v>
      </c>
    </row>
    <row r="533" spans="1:8" x14ac:dyDescent="0.35">
      <c r="A533" s="1" t="str">
        <f t="shared" si="8"/>
        <v/>
      </c>
      <c r="B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33" s="1" t="s">
        <v>112</v>
      </c>
    </row>
    <row r="534" spans="1:8" x14ac:dyDescent="0.35">
      <c r="A534" s="1" t="str">
        <f t="shared" si="8"/>
        <v/>
      </c>
      <c r="B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34" s="1" t="s">
        <v>112</v>
      </c>
    </row>
    <row r="535" spans="1:8" x14ac:dyDescent="0.35">
      <c r="A535" s="1" t="str">
        <f t="shared" si="8"/>
        <v/>
      </c>
      <c r="B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35" s="1" t="s">
        <v>171</v>
      </c>
      <c r="D535" s="1" t="s">
        <v>110</v>
      </c>
      <c r="E535" s="1" t="s">
        <v>111</v>
      </c>
      <c r="F535" s="1" t="s">
        <v>112</v>
      </c>
      <c r="G535" s="1" t="s">
        <v>113</v>
      </c>
    </row>
    <row r="536" spans="1:8" x14ac:dyDescent="0.35">
      <c r="A536" s="1" t="str">
        <f t="shared" si="8"/>
        <v>12</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6" s="1" t="s">
        <v>4035</v>
      </c>
      <c r="D536" s="1" t="s">
        <v>4036</v>
      </c>
      <c r="E536" s="1" t="s">
        <v>4037</v>
      </c>
      <c r="F536" s="1" t="s">
        <v>112</v>
      </c>
      <c r="G536" s="1">
        <v>597677</v>
      </c>
    </row>
    <row r="537" spans="1:8" x14ac:dyDescent="0.35">
      <c r="A537" s="1" t="str">
        <f t="shared" si="8"/>
        <v>12</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7" s="1" t="s">
        <v>4038</v>
      </c>
      <c r="D537" s="1" t="s">
        <v>2385</v>
      </c>
      <c r="E537" s="1" t="s">
        <v>4039</v>
      </c>
      <c r="F537" s="1" t="s">
        <v>112</v>
      </c>
      <c r="G537" s="1">
        <v>440233</v>
      </c>
    </row>
    <row r="538" spans="1:8" x14ac:dyDescent="0.35">
      <c r="A538" s="1" t="str">
        <f t="shared" si="8"/>
        <v>12</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8" s="1" t="s">
        <v>4040</v>
      </c>
      <c r="D538" s="1" t="s">
        <v>4041</v>
      </c>
      <c r="E538" s="1" t="s">
        <v>4042</v>
      </c>
      <c r="F538" s="1" t="s">
        <v>112</v>
      </c>
      <c r="G538" s="1">
        <v>575485</v>
      </c>
    </row>
    <row r="539" spans="1:8" x14ac:dyDescent="0.35">
      <c r="A539" s="1" t="str">
        <f t="shared" si="8"/>
        <v>12</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9" s="1" t="s">
        <v>4043</v>
      </c>
      <c r="D539" s="1" t="s">
        <v>4044</v>
      </c>
      <c r="E539" s="1" t="s">
        <v>4045</v>
      </c>
      <c r="F539" s="1" t="s">
        <v>112</v>
      </c>
      <c r="G539" s="1">
        <v>554764</v>
      </c>
    </row>
    <row r="540" spans="1:8" x14ac:dyDescent="0.35">
      <c r="A540" s="1" t="str">
        <f t="shared" si="8"/>
        <v>12</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40" s="1" t="s">
        <v>4046</v>
      </c>
      <c r="D540" s="1" t="s">
        <v>1557</v>
      </c>
      <c r="E540" s="1" t="s">
        <v>4047</v>
      </c>
      <c r="F540" s="1" t="s">
        <v>112</v>
      </c>
      <c r="G540" s="1">
        <v>131575</v>
      </c>
    </row>
    <row r="541" spans="1:8" x14ac:dyDescent="0.35">
      <c r="A541" s="1" t="str">
        <f t="shared" si="8"/>
        <v>12</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41" s="1" t="s">
        <v>4048</v>
      </c>
      <c r="D541" s="1" t="s">
        <v>4049</v>
      </c>
      <c r="E541" s="1" t="s">
        <v>4050</v>
      </c>
      <c r="F541" s="1" t="s">
        <v>112</v>
      </c>
      <c r="G541" s="1">
        <v>123528</v>
      </c>
    </row>
    <row r="542" spans="1:8" x14ac:dyDescent="0.35">
      <c r="A542" s="1" t="str">
        <f t="shared" si="8"/>
        <v>12</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42" s="1" t="s">
        <v>4051</v>
      </c>
      <c r="D542" s="1" t="s">
        <v>3015</v>
      </c>
      <c r="E542" s="1" t="s">
        <v>4052</v>
      </c>
      <c r="F542" s="1" t="s">
        <v>112</v>
      </c>
      <c r="G542" s="1">
        <v>222334</v>
      </c>
    </row>
    <row r="543" spans="1:8" x14ac:dyDescent="0.35">
      <c r="A543" s="1" t="str">
        <f t="shared" si="8"/>
        <v>12</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43" s="1" t="s">
        <v>4053</v>
      </c>
      <c r="D543" s="1" t="s">
        <v>4054</v>
      </c>
      <c r="E543" s="1" t="s">
        <v>4055</v>
      </c>
      <c r="F543" s="1" t="s">
        <v>112</v>
      </c>
      <c r="G543" s="1">
        <v>95604</v>
      </c>
    </row>
    <row r="544" spans="1:8" x14ac:dyDescent="0.35">
      <c r="A544" s="1" t="str">
        <f t="shared" si="8"/>
        <v>12</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44" s="1" t="s">
        <v>4056</v>
      </c>
      <c r="D544" s="1" t="s">
        <v>487</v>
      </c>
      <c r="E544" s="1" t="s">
        <v>4057</v>
      </c>
      <c r="F544" s="1" t="s">
        <v>112</v>
      </c>
      <c r="G544" s="1">
        <v>122101</v>
      </c>
    </row>
    <row r="545" spans="1:7" x14ac:dyDescent="0.35">
      <c r="A545" s="1" t="str">
        <f t="shared" si="8"/>
        <v>12</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45" s="1" t="s">
        <v>4058</v>
      </c>
      <c r="D545" s="1" t="s">
        <v>4059</v>
      </c>
      <c r="E545" s="1" t="s">
        <v>4060</v>
      </c>
      <c r="F545" s="1" t="s">
        <v>112</v>
      </c>
      <c r="G545" s="1">
        <v>109188</v>
      </c>
    </row>
    <row r="546" spans="1:7" x14ac:dyDescent="0.35">
      <c r="A546" s="1" t="str">
        <f t="shared" si="8"/>
        <v>12</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46" s="1" t="s">
        <v>4061</v>
      </c>
      <c r="D546" s="1" t="s">
        <v>4062</v>
      </c>
      <c r="E546" s="1" t="s">
        <v>4063</v>
      </c>
      <c r="F546" s="1" t="s">
        <v>112</v>
      </c>
      <c r="G546" s="1">
        <v>69432</v>
      </c>
    </row>
    <row r="547" spans="1:7" x14ac:dyDescent="0.35">
      <c r="A547" s="1" t="str">
        <f t="shared" si="8"/>
        <v>12</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47" s="1" t="s">
        <v>4064</v>
      </c>
      <c r="D547" s="1" t="s">
        <v>4065</v>
      </c>
      <c r="E547" s="1" t="s">
        <v>4066</v>
      </c>
      <c r="F547" s="1" t="s">
        <v>112</v>
      </c>
      <c r="G547" s="1">
        <v>94934</v>
      </c>
    </row>
    <row r="548" spans="1:7" x14ac:dyDescent="0.35">
      <c r="A548" s="1" t="str">
        <f t="shared" si="8"/>
        <v>12</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8" s="1" t="s">
        <v>4067</v>
      </c>
      <c r="D548" s="1" t="s">
        <v>2440</v>
      </c>
      <c r="E548" s="1" t="s">
        <v>4068</v>
      </c>
      <c r="F548" s="1" t="s">
        <v>112</v>
      </c>
      <c r="G548" s="1">
        <v>205333</v>
      </c>
    </row>
    <row r="549" spans="1:7" x14ac:dyDescent="0.35">
      <c r="A549" s="1" t="str">
        <f t="shared" si="8"/>
        <v>12</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9" s="1" t="s">
        <v>4069</v>
      </c>
      <c r="D549" s="1" t="s">
        <v>1639</v>
      </c>
      <c r="E549" s="1" t="s">
        <v>4070</v>
      </c>
      <c r="F549" s="1" t="s">
        <v>112</v>
      </c>
      <c r="G549" s="1">
        <v>223999</v>
      </c>
    </row>
    <row r="550" spans="1:7" x14ac:dyDescent="0.35">
      <c r="A550" s="1" t="str">
        <f t="shared" si="8"/>
        <v>12</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50" s="1" t="s">
        <v>4071</v>
      </c>
      <c r="D550" s="1" t="s">
        <v>4072</v>
      </c>
      <c r="E550" s="1" t="s">
        <v>4073</v>
      </c>
      <c r="F550" s="1" t="s">
        <v>112</v>
      </c>
      <c r="G550" s="1">
        <v>228109</v>
      </c>
    </row>
    <row r="551" spans="1:7" x14ac:dyDescent="0.35">
      <c r="A551" s="1" t="str">
        <f t="shared" si="8"/>
        <v>12</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51" s="1" t="s">
        <v>4074</v>
      </c>
      <c r="D551" s="1" t="s">
        <v>493</v>
      </c>
      <c r="E551" s="1" t="s">
        <v>4075</v>
      </c>
      <c r="F551" s="1" t="s">
        <v>112</v>
      </c>
      <c r="G551" s="1">
        <v>154070</v>
      </c>
    </row>
    <row r="552" spans="1:7" x14ac:dyDescent="0.35">
      <c r="A552" s="1" t="str">
        <f t="shared" si="8"/>
        <v>12</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52" s="1" t="s">
        <v>4076</v>
      </c>
      <c r="D552" s="1" t="s">
        <v>4077</v>
      </c>
      <c r="E552" s="1" t="s">
        <v>4078</v>
      </c>
      <c r="F552" s="1" t="s">
        <v>112</v>
      </c>
      <c r="G552" s="1">
        <v>176608</v>
      </c>
    </row>
    <row r="553" spans="1:7" x14ac:dyDescent="0.35">
      <c r="A553" s="1" t="str">
        <f t="shared" si="8"/>
        <v>12</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53" s="1" t="s">
        <v>4079</v>
      </c>
      <c r="D553" s="1" t="s">
        <v>487</v>
      </c>
      <c r="E553" s="1" t="s">
        <v>4080</v>
      </c>
      <c r="F553" s="1" t="s">
        <v>112</v>
      </c>
      <c r="G553" s="1">
        <v>119700</v>
      </c>
    </row>
    <row r="554" spans="1:7" x14ac:dyDescent="0.35">
      <c r="A554" s="1" t="str">
        <f t="shared" si="8"/>
        <v>12</v>
      </c>
      <c r="B5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54" s="1" t="s">
        <v>4081</v>
      </c>
      <c r="D554" s="1" t="s">
        <v>2945</v>
      </c>
      <c r="E554" s="1" t="s">
        <v>4082</v>
      </c>
      <c r="F554" s="1" t="s">
        <v>112</v>
      </c>
      <c r="G554" s="1">
        <v>152080</v>
      </c>
    </row>
    <row r="555" spans="1:7" x14ac:dyDescent="0.35">
      <c r="A555" s="1" t="str">
        <f t="shared" si="8"/>
        <v>12</v>
      </c>
      <c r="B5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55" s="1" t="s">
        <v>4083</v>
      </c>
      <c r="D555" s="1" t="s">
        <v>4084</v>
      </c>
      <c r="E555" s="1" t="s">
        <v>4085</v>
      </c>
      <c r="F555" s="1" t="s">
        <v>112</v>
      </c>
      <c r="G555" s="1">
        <v>96707</v>
      </c>
    </row>
    <row r="556" spans="1:7" x14ac:dyDescent="0.35">
      <c r="A556" s="1" t="str">
        <f t="shared" si="8"/>
        <v>12</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56" s="1" t="s">
        <v>4086</v>
      </c>
      <c r="D556" s="1" t="s">
        <v>2707</v>
      </c>
      <c r="E556" s="1" t="s">
        <v>1460</v>
      </c>
      <c r="F556" s="1" t="s">
        <v>112</v>
      </c>
      <c r="G556" s="1">
        <v>11940</v>
      </c>
    </row>
    <row r="557" spans="1:7" x14ac:dyDescent="0.35">
      <c r="A557" s="1" t="str">
        <f t="shared" si="8"/>
        <v>12</v>
      </c>
      <c r="B5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57" s="1" t="s">
        <v>4087</v>
      </c>
      <c r="D557" s="1" t="s">
        <v>3306</v>
      </c>
      <c r="E557" s="1" t="s">
        <v>4088</v>
      </c>
      <c r="F557" s="1" t="s">
        <v>112</v>
      </c>
      <c r="G557" s="1">
        <v>91776</v>
      </c>
    </row>
    <row r="558" spans="1:7" x14ac:dyDescent="0.35">
      <c r="A558" s="1" t="str">
        <f t="shared" si="8"/>
        <v>12</v>
      </c>
      <c r="B5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58" s="1" t="s">
        <v>4089</v>
      </c>
      <c r="D558" s="1" t="s">
        <v>619</v>
      </c>
      <c r="E558" s="1" t="s">
        <v>1714</v>
      </c>
      <c r="F558" s="1" t="s">
        <v>112</v>
      </c>
      <c r="G558" s="1">
        <v>6056</v>
      </c>
    </row>
    <row r="559" spans="1:7" x14ac:dyDescent="0.35">
      <c r="A559" s="1" t="str">
        <f t="shared" si="8"/>
        <v>12</v>
      </c>
      <c r="B5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59" s="1" t="s">
        <v>4090</v>
      </c>
      <c r="D559" s="1" t="s">
        <v>2600</v>
      </c>
      <c r="E559" s="1" t="s">
        <v>4091</v>
      </c>
      <c r="F559" s="1" t="s">
        <v>112</v>
      </c>
      <c r="G559" s="1">
        <v>283892</v>
      </c>
    </row>
    <row r="560" spans="1:7" x14ac:dyDescent="0.35">
      <c r="A560" s="1" t="str">
        <f t="shared" si="8"/>
        <v>12</v>
      </c>
      <c r="B5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60" s="1" t="s">
        <v>4092</v>
      </c>
      <c r="D560" s="1" t="s">
        <v>4093</v>
      </c>
      <c r="E560" s="1" t="s">
        <v>4094</v>
      </c>
      <c r="F560" s="1" t="s">
        <v>112</v>
      </c>
      <c r="G560" s="1">
        <v>350707</v>
      </c>
    </row>
    <row r="561" spans="1:8" x14ac:dyDescent="0.35">
      <c r="A561" s="1" t="str">
        <f t="shared" si="8"/>
        <v>12</v>
      </c>
      <c r="B5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61" s="1" t="s">
        <v>4095</v>
      </c>
      <c r="D561" s="1" t="s">
        <v>1012</v>
      </c>
      <c r="E561" s="1" t="s">
        <v>4096</v>
      </c>
      <c r="F561" s="1" t="s">
        <v>112</v>
      </c>
      <c r="G561" s="1">
        <v>306777</v>
      </c>
    </row>
    <row r="562" spans="1:8" x14ac:dyDescent="0.35">
      <c r="A562" s="1" t="str">
        <f t="shared" si="8"/>
        <v>12</v>
      </c>
      <c r="B5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62" s="1" t="s">
        <v>4097</v>
      </c>
      <c r="D562" s="1" t="s">
        <v>1661</v>
      </c>
      <c r="E562" s="1" t="s">
        <v>4098</v>
      </c>
      <c r="F562" s="1" t="s">
        <v>112</v>
      </c>
      <c r="G562" s="1">
        <v>294534</v>
      </c>
    </row>
    <row r="563" spans="1:8" x14ac:dyDescent="0.35">
      <c r="A563" s="1" t="str">
        <f t="shared" si="8"/>
        <v>12</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63" s="1" t="s">
        <v>4099</v>
      </c>
      <c r="D563" s="1" t="s">
        <v>3402</v>
      </c>
      <c r="E563" s="1" t="s">
        <v>4100</v>
      </c>
      <c r="F563" s="1" t="s">
        <v>112</v>
      </c>
      <c r="G563" s="1">
        <v>281340</v>
      </c>
    </row>
    <row r="564" spans="1:8" x14ac:dyDescent="0.35">
      <c r="A564" s="1" t="str">
        <f t="shared" si="8"/>
        <v>12</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4" s="1" t="s">
        <v>4101</v>
      </c>
      <c r="D564" s="1" t="s">
        <v>1967</v>
      </c>
      <c r="E564" s="1">
        <v>32</v>
      </c>
      <c r="F564" s="1" t="s">
        <v>112</v>
      </c>
      <c r="G564" s="1">
        <v>16612</v>
      </c>
    </row>
    <row r="565" spans="1:8" x14ac:dyDescent="0.35">
      <c r="A565" s="1" t="str">
        <f t="shared" si="8"/>
        <v>12</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5" s="1" t="s">
        <v>4102</v>
      </c>
      <c r="D565" s="1" t="s">
        <v>629</v>
      </c>
      <c r="E565" s="1" t="s">
        <v>4103</v>
      </c>
      <c r="F565" s="1" t="s">
        <v>112</v>
      </c>
      <c r="G565" s="1">
        <v>84616</v>
      </c>
    </row>
    <row r="566" spans="1:8" x14ac:dyDescent="0.35">
      <c r="A566" s="1" t="str">
        <f t="shared" si="8"/>
        <v>12</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6" s="1" t="s">
        <v>4104</v>
      </c>
      <c r="D566" s="1" t="s">
        <v>4105</v>
      </c>
      <c r="E566" s="1" t="s">
        <v>4106</v>
      </c>
      <c r="F566" s="1" t="s">
        <v>112</v>
      </c>
      <c r="G566" s="1">
        <v>387110</v>
      </c>
    </row>
    <row r="567" spans="1:8" x14ac:dyDescent="0.35">
      <c r="A567" s="1" t="str">
        <f t="shared" si="8"/>
        <v>12</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7" s="1" t="s">
        <v>4107</v>
      </c>
    </row>
    <row r="568" spans="1:8" x14ac:dyDescent="0.35">
      <c r="A568" s="1" t="str">
        <f t="shared" si="8"/>
        <v/>
      </c>
      <c r="B5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8" s="1" t="s">
        <v>112</v>
      </c>
    </row>
    <row r="569" spans="1:8" x14ac:dyDescent="0.35">
      <c r="A569" s="1" t="str">
        <f t="shared" si="8"/>
        <v/>
      </c>
      <c r="B5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9" s="1" t="s">
        <v>227</v>
      </c>
      <c r="D569" s="1" t="s">
        <v>112</v>
      </c>
      <c r="E569" s="1" t="s">
        <v>228</v>
      </c>
      <c r="F569" s="1" t="s">
        <v>229</v>
      </c>
      <c r="G569" s="1" t="s">
        <v>230</v>
      </c>
      <c r="H569" s="1" t="s">
        <v>231</v>
      </c>
    </row>
    <row r="570" spans="1:8" x14ac:dyDescent="0.35">
      <c r="A570" s="1" t="str">
        <f t="shared" si="8"/>
        <v>12</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70" s="1" t="s">
        <v>4108</v>
      </c>
      <c r="D570" s="1" t="s">
        <v>112</v>
      </c>
      <c r="E570" s="1" t="s">
        <v>4109</v>
      </c>
      <c r="F570" s="1" t="s">
        <v>4110</v>
      </c>
      <c r="G570" s="1" t="s">
        <v>4111</v>
      </c>
      <c r="H570" s="1" t="s">
        <v>4112</v>
      </c>
    </row>
    <row r="571" spans="1:8" x14ac:dyDescent="0.35">
      <c r="A571" s="1" t="str">
        <f t="shared" si="8"/>
        <v/>
      </c>
      <c r="B5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71" s="1" t="s">
        <v>112</v>
      </c>
    </row>
    <row r="572" spans="1:8" x14ac:dyDescent="0.35">
      <c r="A572" s="1" t="str">
        <f t="shared" si="8"/>
        <v/>
      </c>
      <c r="B5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72" s="1" t="s">
        <v>112</v>
      </c>
    </row>
    <row r="573" spans="1:8" x14ac:dyDescent="0.35">
      <c r="A573" s="1" t="str">
        <f t="shared" si="8"/>
        <v/>
      </c>
      <c r="B5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73" s="1" t="s">
        <v>112</v>
      </c>
    </row>
    <row r="574" spans="1:8" x14ac:dyDescent="0.35">
      <c r="A574" s="1" t="str">
        <f t="shared" si="8"/>
        <v/>
      </c>
      <c r="B5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74" s="1" t="s">
        <v>112</v>
      </c>
    </row>
    <row r="575" spans="1:8" x14ac:dyDescent="0.35">
      <c r="A575" s="1" t="str">
        <f t="shared" si="8"/>
        <v/>
      </c>
      <c r="B5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75" s="1" t="s">
        <v>112</v>
      </c>
    </row>
    <row r="576" spans="1:8" x14ac:dyDescent="0.35">
      <c r="A576" s="1" t="str">
        <f t="shared" si="8"/>
        <v/>
      </c>
      <c r="B5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76" s="1" t="s">
        <v>171</v>
      </c>
      <c r="D576" s="1" t="s">
        <v>110</v>
      </c>
      <c r="E576" s="1" t="s">
        <v>111</v>
      </c>
      <c r="F576" s="1" t="s">
        <v>112</v>
      </c>
      <c r="G576" s="1" t="s">
        <v>113</v>
      </c>
    </row>
    <row r="577" spans="1:7" x14ac:dyDescent="0.35">
      <c r="A577" s="1" t="str">
        <f t="shared" si="8"/>
        <v>17</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77" s="1" t="s">
        <v>4113</v>
      </c>
      <c r="D577" s="1" t="s">
        <v>4114</v>
      </c>
      <c r="E577" s="1" t="s">
        <v>4115</v>
      </c>
      <c r="F577" s="1" t="s">
        <v>112</v>
      </c>
      <c r="G577" s="1">
        <v>609552</v>
      </c>
    </row>
    <row r="578" spans="1:7" x14ac:dyDescent="0.35">
      <c r="A578" s="1" t="str">
        <f t="shared" ref="A578:A641" si="9">IFERROR(LEFT(RIGHT(C578,LEN(C578)-SEARCH("@",C578)),SEARCH("/",RIGHT(C578,LEN(C578)-SEARCH("@",C578)-1))),"")</f>
        <v>17</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78" s="1" t="s">
        <v>4116</v>
      </c>
      <c r="D578" s="1" t="s">
        <v>1162</v>
      </c>
      <c r="E578" s="1" t="s">
        <v>4117</v>
      </c>
      <c r="F578" s="1" t="s">
        <v>112</v>
      </c>
      <c r="G578" s="1">
        <v>813717</v>
      </c>
    </row>
    <row r="579" spans="1:7" x14ac:dyDescent="0.35">
      <c r="A579" s="1" t="str">
        <f t="shared" si="9"/>
        <v>17</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79" s="1" t="s">
        <v>4118</v>
      </c>
      <c r="D579" s="1" t="s">
        <v>4119</v>
      </c>
      <c r="E579" s="1" t="s">
        <v>4120</v>
      </c>
      <c r="F579" s="1" t="s">
        <v>112</v>
      </c>
      <c r="G579" s="1">
        <v>561490</v>
      </c>
    </row>
    <row r="580" spans="1:7" x14ac:dyDescent="0.35">
      <c r="A580" s="1" t="str">
        <f t="shared" si="9"/>
        <v>17</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80" s="1" t="s">
        <v>4121</v>
      </c>
      <c r="D580" s="1" t="s">
        <v>3383</v>
      </c>
      <c r="E580" s="1" t="s">
        <v>4122</v>
      </c>
      <c r="F580" s="1" t="s">
        <v>112</v>
      </c>
      <c r="G580" s="1">
        <v>358537</v>
      </c>
    </row>
    <row r="581" spans="1:7" x14ac:dyDescent="0.35">
      <c r="A581" s="1" t="str">
        <f t="shared" si="9"/>
        <v>17</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81" s="1" t="s">
        <v>4123</v>
      </c>
      <c r="D581" s="1" t="s">
        <v>4124</v>
      </c>
      <c r="E581" s="1" t="s">
        <v>4125</v>
      </c>
      <c r="F581" s="1" t="s">
        <v>112</v>
      </c>
      <c r="G581" s="1">
        <v>2058128</v>
      </c>
    </row>
    <row r="582" spans="1:7" x14ac:dyDescent="0.35">
      <c r="A582" s="1" t="str">
        <f t="shared" si="9"/>
        <v>17</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82" s="1" t="s">
        <v>4126</v>
      </c>
      <c r="D582" s="1" t="s">
        <v>4127</v>
      </c>
      <c r="E582" s="1" t="s">
        <v>4128</v>
      </c>
      <c r="F582" s="1" t="s">
        <v>112</v>
      </c>
      <c r="G582" s="1">
        <v>1842607</v>
      </c>
    </row>
    <row r="583" spans="1:7" x14ac:dyDescent="0.35">
      <c r="A583" s="1" t="str">
        <f t="shared" si="9"/>
        <v>17</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83" s="1" t="s">
        <v>4129</v>
      </c>
      <c r="D583" s="1" t="s">
        <v>2793</v>
      </c>
      <c r="E583" s="1" t="s">
        <v>4130</v>
      </c>
      <c r="F583" s="1" t="s">
        <v>112</v>
      </c>
      <c r="G583" s="1">
        <v>1845982</v>
      </c>
    </row>
    <row r="584" spans="1:7" x14ac:dyDescent="0.35">
      <c r="A584" s="1" t="str">
        <f t="shared" si="9"/>
        <v>17</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84" s="1" t="s">
        <v>4131</v>
      </c>
      <c r="D584" s="1" t="s">
        <v>853</v>
      </c>
      <c r="E584" s="1" t="s">
        <v>4132</v>
      </c>
      <c r="F584" s="1" t="s">
        <v>112</v>
      </c>
      <c r="G584" s="1">
        <v>2007319</v>
      </c>
    </row>
    <row r="585" spans="1:7" x14ac:dyDescent="0.35">
      <c r="A585" s="1" t="str">
        <f t="shared" si="9"/>
        <v>17</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85" s="1" t="s">
        <v>4133</v>
      </c>
      <c r="D585" s="1" t="s">
        <v>4134</v>
      </c>
      <c r="E585" s="1" t="s">
        <v>4135</v>
      </c>
      <c r="F585" s="1" t="s">
        <v>112</v>
      </c>
      <c r="G585" s="1">
        <v>1184431</v>
      </c>
    </row>
    <row r="586" spans="1:7" x14ac:dyDescent="0.35">
      <c r="A586" s="1" t="str">
        <f t="shared" si="9"/>
        <v>17</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86" s="1" t="s">
        <v>4136</v>
      </c>
      <c r="D586" s="1" t="s">
        <v>4137</v>
      </c>
      <c r="E586" s="1" t="s">
        <v>4138</v>
      </c>
      <c r="F586" s="1" t="s">
        <v>112</v>
      </c>
      <c r="G586" s="1">
        <v>1114762</v>
      </c>
    </row>
    <row r="587" spans="1:7" x14ac:dyDescent="0.35">
      <c r="A587" s="1" t="str">
        <f t="shared" si="9"/>
        <v>17</v>
      </c>
      <c r="B5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87" s="1" t="s">
        <v>4139</v>
      </c>
      <c r="D587" s="1" t="s">
        <v>4140</v>
      </c>
      <c r="E587" s="1" t="s">
        <v>4141</v>
      </c>
      <c r="F587" s="1" t="s">
        <v>112</v>
      </c>
      <c r="G587" s="1">
        <v>1045719</v>
      </c>
    </row>
    <row r="588" spans="1:7" x14ac:dyDescent="0.35">
      <c r="A588" s="1" t="str">
        <f t="shared" si="9"/>
        <v>17</v>
      </c>
      <c r="B5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88" s="1" t="s">
        <v>4142</v>
      </c>
      <c r="D588" s="1" t="s">
        <v>4143</v>
      </c>
      <c r="E588" s="1" t="s">
        <v>4144</v>
      </c>
      <c r="F588" s="1" t="s">
        <v>112</v>
      </c>
      <c r="G588" s="1">
        <v>1168252</v>
      </c>
    </row>
    <row r="589" spans="1:7" x14ac:dyDescent="0.35">
      <c r="A589" s="1" t="str">
        <f t="shared" si="9"/>
        <v>17</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89" s="1" t="s">
        <v>4145</v>
      </c>
    </row>
    <row r="590" spans="1:7" x14ac:dyDescent="0.35">
      <c r="A590" s="1" t="str">
        <f t="shared" si="9"/>
        <v>17</v>
      </c>
      <c r="B5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90" s="1" t="s">
        <v>4146</v>
      </c>
      <c r="D590" s="1" t="s">
        <v>4147</v>
      </c>
      <c r="E590" s="1" t="s">
        <v>4148</v>
      </c>
      <c r="F590" s="1" t="s">
        <v>112</v>
      </c>
      <c r="G590" s="1">
        <v>2145750</v>
      </c>
    </row>
    <row r="591" spans="1:7" x14ac:dyDescent="0.35">
      <c r="A591" s="1" t="str">
        <f t="shared" si="9"/>
        <v>17</v>
      </c>
      <c r="B5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91" s="1" t="s">
        <v>4149</v>
      </c>
      <c r="D591" s="1" t="s">
        <v>291</v>
      </c>
      <c r="E591" s="1" t="s">
        <v>4150</v>
      </c>
      <c r="F591" s="1" t="s">
        <v>112</v>
      </c>
      <c r="G591" s="1">
        <v>1736383</v>
      </c>
    </row>
    <row r="592" spans="1:7" x14ac:dyDescent="0.35">
      <c r="A592" s="1" t="str">
        <f t="shared" si="9"/>
        <v>17</v>
      </c>
      <c r="B5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92" s="1" t="s">
        <v>4151</v>
      </c>
      <c r="D592" s="1" t="s">
        <v>4152</v>
      </c>
      <c r="E592" s="1" t="s">
        <v>4153</v>
      </c>
      <c r="F592" s="1" t="s">
        <v>112</v>
      </c>
      <c r="G592" s="1">
        <v>2778165</v>
      </c>
    </row>
    <row r="593" spans="1:7" x14ac:dyDescent="0.35">
      <c r="A593" s="1" t="str">
        <f t="shared" si="9"/>
        <v>17</v>
      </c>
      <c r="B5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93" s="1" t="s">
        <v>4154</v>
      </c>
      <c r="D593" s="1" t="s">
        <v>2950</v>
      </c>
      <c r="E593" s="1" t="s">
        <v>4155</v>
      </c>
      <c r="F593" s="1" t="s">
        <v>112</v>
      </c>
      <c r="G593" s="1">
        <v>513169</v>
      </c>
    </row>
    <row r="594" spans="1:7" x14ac:dyDescent="0.35">
      <c r="A594" s="1" t="str">
        <f t="shared" si="9"/>
        <v>17</v>
      </c>
      <c r="B5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94" s="1" t="s">
        <v>4156</v>
      </c>
      <c r="D594" s="1" t="s">
        <v>1621</v>
      </c>
      <c r="E594" s="1" t="s">
        <v>4157</v>
      </c>
      <c r="F594" s="1" t="s">
        <v>112</v>
      </c>
      <c r="G594" s="1">
        <v>316878</v>
      </c>
    </row>
    <row r="595" spans="1:7" x14ac:dyDescent="0.35">
      <c r="A595" s="1" t="str">
        <f t="shared" si="9"/>
        <v>17</v>
      </c>
      <c r="B5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95" s="1" t="s">
        <v>4158</v>
      </c>
      <c r="D595" s="1" t="s">
        <v>4159</v>
      </c>
      <c r="E595" s="1" t="s">
        <v>4160</v>
      </c>
      <c r="F595" s="1" t="s">
        <v>112</v>
      </c>
      <c r="G595" s="1">
        <v>657679</v>
      </c>
    </row>
    <row r="596" spans="1:7" x14ac:dyDescent="0.35">
      <c r="A596" s="1" t="str">
        <f t="shared" si="9"/>
        <v>17</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96" s="1" t="s">
        <v>4161</v>
      </c>
    </row>
    <row r="597" spans="1:7" x14ac:dyDescent="0.35">
      <c r="A597" s="1" t="str">
        <f t="shared" si="9"/>
        <v>17</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97" s="1" t="s">
        <v>4162</v>
      </c>
      <c r="D597" s="1" t="s">
        <v>4163</v>
      </c>
      <c r="E597" s="1" t="s">
        <v>4164</v>
      </c>
      <c r="F597" s="1" t="s">
        <v>112</v>
      </c>
      <c r="G597" s="1">
        <v>719237</v>
      </c>
    </row>
    <row r="598" spans="1:7" x14ac:dyDescent="0.35">
      <c r="A598" s="1" t="str">
        <f t="shared" si="9"/>
        <v>17</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98" s="1" t="s">
        <v>4165</v>
      </c>
      <c r="D598" s="1" t="s">
        <v>4166</v>
      </c>
      <c r="E598" s="1" t="s">
        <v>4167</v>
      </c>
      <c r="F598" s="1" t="s">
        <v>112</v>
      </c>
      <c r="G598" s="1">
        <v>1382129</v>
      </c>
    </row>
    <row r="599" spans="1:7" x14ac:dyDescent="0.35">
      <c r="A599" s="1" t="str">
        <f t="shared" si="9"/>
        <v>17</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99" s="1" t="s">
        <v>4168</v>
      </c>
      <c r="D599" s="1" t="s">
        <v>4169</v>
      </c>
      <c r="E599" s="1" t="s">
        <v>4170</v>
      </c>
      <c r="F599" s="1" t="s">
        <v>112</v>
      </c>
      <c r="G599" s="1">
        <v>877979</v>
      </c>
    </row>
    <row r="600" spans="1:7" x14ac:dyDescent="0.35">
      <c r="A600" s="1" t="str">
        <f t="shared" si="9"/>
        <v>17</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00" s="1" t="s">
        <v>4171</v>
      </c>
      <c r="D600" s="1" t="s">
        <v>4172</v>
      </c>
      <c r="E600" s="1" t="s">
        <v>4173</v>
      </c>
      <c r="F600" s="1" t="s">
        <v>112</v>
      </c>
      <c r="G600" s="1">
        <v>1407306</v>
      </c>
    </row>
    <row r="601" spans="1:7" x14ac:dyDescent="0.35">
      <c r="A601" s="1" t="str">
        <f t="shared" si="9"/>
        <v>17</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01" s="1" t="s">
        <v>4174</v>
      </c>
      <c r="D601" s="1" t="s">
        <v>1699</v>
      </c>
      <c r="E601" s="1" t="s">
        <v>4175</v>
      </c>
      <c r="F601" s="1" t="s">
        <v>112</v>
      </c>
      <c r="G601" s="1">
        <v>2296576</v>
      </c>
    </row>
    <row r="602" spans="1:7" x14ac:dyDescent="0.35">
      <c r="A602" s="1" t="str">
        <f t="shared" si="9"/>
        <v>17</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02" s="1" t="s">
        <v>4176</v>
      </c>
      <c r="D602" s="1" t="s">
        <v>4177</v>
      </c>
      <c r="E602" s="1" t="s">
        <v>4178</v>
      </c>
      <c r="F602" s="1" t="s">
        <v>112</v>
      </c>
      <c r="G602" s="1">
        <v>2773666</v>
      </c>
    </row>
    <row r="603" spans="1:7" x14ac:dyDescent="0.35">
      <c r="A603" s="1" t="str">
        <f t="shared" si="9"/>
        <v>17</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03" s="1" t="s">
        <v>4179</v>
      </c>
      <c r="D603" s="1" t="s">
        <v>4180</v>
      </c>
      <c r="E603" s="1" t="s">
        <v>4181</v>
      </c>
      <c r="F603" s="1" t="s">
        <v>112</v>
      </c>
      <c r="G603" s="1">
        <v>2255522</v>
      </c>
    </row>
    <row r="604" spans="1:7" x14ac:dyDescent="0.35">
      <c r="A604" s="1" t="str">
        <f t="shared" si="9"/>
        <v>17</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04" s="1" t="s">
        <v>4182</v>
      </c>
      <c r="D604" s="1" t="s">
        <v>4183</v>
      </c>
      <c r="E604" s="1" t="s">
        <v>4184</v>
      </c>
      <c r="F604" s="1" t="s">
        <v>112</v>
      </c>
      <c r="G604" s="1">
        <v>3071618</v>
      </c>
    </row>
    <row r="605" spans="1:7" x14ac:dyDescent="0.35">
      <c r="A605" s="1" t="str">
        <f t="shared" si="9"/>
        <v>17</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05" s="1" t="s">
        <v>4185</v>
      </c>
      <c r="D605" s="1" t="s">
        <v>4186</v>
      </c>
      <c r="E605" s="1" t="s">
        <v>4187</v>
      </c>
      <c r="F605" s="1" t="s">
        <v>112</v>
      </c>
      <c r="G605" s="1">
        <v>3337817</v>
      </c>
    </row>
    <row r="606" spans="1:7" x14ac:dyDescent="0.35">
      <c r="A606" s="1" t="str">
        <f t="shared" si="9"/>
        <v>17</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06" s="1" t="s">
        <v>4188</v>
      </c>
    </row>
    <row r="607" spans="1:7" x14ac:dyDescent="0.35">
      <c r="A607" s="1" t="str">
        <f t="shared" si="9"/>
        <v>17</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07" s="1" t="s">
        <v>4189</v>
      </c>
      <c r="D607" s="1" t="s">
        <v>4190</v>
      </c>
      <c r="E607" s="1" t="s">
        <v>4191</v>
      </c>
      <c r="F607" s="1" t="s">
        <v>112</v>
      </c>
      <c r="G607" s="1">
        <v>3493293</v>
      </c>
    </row>
    <row r="608" spans="1:7" x14ac:dyDescent="0.35">
      <c r="A608" s="1" t="str">
        <f t="shared" si="9"/>
        <v>17</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08" s="1" t="s">
        <v>4192</v>
      </c>
      <c r="D608" s="1" t="s">
        <v>4193</v>
      </c>
      <c r="E608" s="1" t="s">
        <v>4194</v>
      </c>
      <c r="F608" s="1" t="s">
        <v>112</v>
      </c>
      <c r="G608" s="1">
        <v>3236049</v>
      </c>
    </row>
    <row r="609" spans="1:8" x14ac:dyDescent="0.35">
      <c r="A609" s="1" t="str">
        <f t="shared" si="9"/>
        <v/>
      </c>
      <c r="B6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9" s="1" t="s">
        <v>112</v>
      </c>
    </row>
    <row r="610" spans="1:8" x14ac:dyDescent="0.35">
      <c r="A610" s="1" t="str">
        <f t="shared" si="9"/>
        <v/>
      </c>
      <c r="B6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0" s="1" t="s">
        <v>227</v>
      </c>
      <c r="D610" s="1" t="s">
        <v>112</v>
      </c>
      <c r="E610" s="1" t="s">
        <v>228</v>
      </c>
      <c r="F610" s="1" t="s">
        <v>229</v>
      </c>
      <c r="G610" s="1" t="s">
        <v>230</v>
      </c>
      <c r="H610" s="1" t="s">
        <v>231</v>
      </c>
    </row>
    <row r="611" spans="1:8" x14ac:dyDescent="0.35">
      <c r="A611" s="1" t="str">
        <f t="shared" si="9"/>
        <v>17</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1" s="1" t="s">
        <v>4195</v>
      </c>
      <c r="D611" s="1" t="s">
        <v>112</v>
      </c>
      <c r="E611" s="1" t="s">
        <v>1762</v>
      </c>
      <c r="F611" s="1" t="s">
        <v>4196</v>
      </c>
      <c r="G611" s="1" t="s">
        <v>4197</v>
      </c>
      <c r="H611" s="1" t="s">
        <v>4198</v>
      </c>
    </row>
    <row r="612" spans="1:8" x14ac:dyDescent="0.35">
      <c r="A612" s="1" t="str">
        <f t="shared" si="9"/>
        <v/>
      </c>
      <c r="B6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2" s="1" t="s">
        <v>112</v>
      </c>
    </row>
    <row r="613" spans="1:8" x14ac:dyDescent="0.35">
      <c r="A613" s="1" t="str">
        <f t="shared" si="9"/>
        <v/>
      </c>
      <c r="B6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3" s="1" t="s">
        <v>112</v>
      </c>
    </row>
    <row r="614" spans="1:8" x14ac:dyDescent="0.35">
      <c r="A614" s="1" t="str">
        <f t="shared" si="9"/>
        <v/>
      </c>
      <c r="B6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4" s="1" t="s">
        <v>112</v>
      </c>
    </row>
    <row r="615" spans="1:8" x14ac:dyDescent="0.35">
      <c r="A615" s="1" t="str">
        <f t="shared" si="9"/>
        <v/>
      </c>
      <c r="B6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5" s="1" t="s">
        <v>112</v>
      </c>
    </row>
    <row r="616" spans="1:8" x14ac:dyDescent="0.35">
      <c r="A616" s="1" t="str">
        <f t="shared" si="9"/>
        <v/>
      </c>
      <c r="B6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6" s="1" t="s">
        <v>112</v>
      </c>
    </row>
    <row r="617" spans="1:8" x14ac:dyDescent="0.35">
      <c r="A617" s="1" t="str">
        <f t="shared" si="9"/>
        <v/>
      </c>
      <c r="B6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7" s="1" t="s">
        <v>171</v>
      </c>
      <c r="D617" s="1" t="s">
        <v>110</v>
      </c>
      <c r="E617" s="1" t="s">
        <v>111</v>
      </c>
      <c r="F617" s="1" t="s">
        <v>112</v>
      </c>
      <c r="G617" s="1" t="s">
        <v>113</v>
      </c>
    </row>
    <row r="618" spans="1:8" x14ac:dyDescent="0.35">
      <c r="A618" s="1" t="str">
        <f t="shared" si="9"/>
        <v>18</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18" s="1" t="s">
        <v>4199</v>
      </c>
      <c r="D618" s="1" t="s">
        <v>258</v>
      </c>
      <c r="E618" s="1" t="s">
        <v>4200</v>
      </c>
      <c r="F618" s="1" t="s">
        <v>112</v>
      </c>
      <c r="G618" s="1">
        <v>77781</v>
      </c>
    </row>
    <row r="619" spans="1:8" x14ac:dyDescent="0.35">
      <c r="A619" s="1" t="str">
        <f t="shared" si="9"/>
        <v>18</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19" s="1" t="s">
        <v>4201</v>
      </c>
      <c r="D619" s="1" t="s">
        <v>4202</v>
      </c>
      <c r="E619" s="1" t="s">
        <v>502</v>
      </c>
      <c r="F619" s="1" t="s">
        <v>112</v>
      </c>
      <c r="G619" s="1">
        <v>31363</v>
      </c>
    </row>
    <row r="620" spans="1:8" x14ac:dyDescent="0.35">
      <c r="A620" s="1" t="str">
        <f t="shared" si="9"/>
        <v>18</v>
      </c>
      <c r="B6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0" s="1" t="s">
        <v>4203</v>
      </c>
      <c r="D620" s="1" t="s">
        <v>3947</v>
      </c>
      <c r="E620" s="1" t="s">
        <v>4204</v>
      </c>
      <c r="F620" s="1" t="s">
        <v>112</v>
      </c>
      <c r="G620" s="1">
        <v>116455</v>
      </c>
    </row>
    <row r="621" spans="1:8" x14ac:dyDescent="0.35">
      <c r="A621" s="1" t="str">
        <f t="shared" si="9"/>
        <v>18</v>
      </c>
      <c r="B6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1" s="1" t="s">
        <v>4205</v>
      </c>
      <c r="D621" s="1" t="s">
        <v>453</v>
      </c>
      <c r="E621" s="1" t="s">
        <v>4206</v>
      </c>
      <c r="F621" s="1" t="s">
        <v>112</v>
      </c>
      <c r="G621" s="1">
        <v>116996</v>
      </c>
    </row>
    <row r="622" spans="1:8" x14ac:dyDescent="0.35">
      <c r="A622" s="1" t="str">
        <f t="shared" si="9"/>
        <v>18</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22" s="1" t="s">
        <v>4207</v>
      </c>
      <c r="D622" s="1" t="s">
        <v>4208</v>
      </c>
      <c r="E622" s="1" t="s">
        <v>4209</v>
      </c>
      <c r="F622" s="1" t="s">
        <v>112</v>
      </c>
      <c r="G622" s="1">
        <v>1025279</v>
      </c>
    </row>
    <row r="623" spans="1:8" x14ac:dyDescent="0.35">
      <c r="A623" s="1" t="str">
        <f t="shared" si="9"/>
        <v>18</v>
      </c>
      <c r="B6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23" s="1" t="s">
        <v>4210</v>
      </c>
      <c r="D623" s="1" t="s">
        <v>4211</v>
      </c>
      <c r="E623" s="1" t="s">
        <v>4212</v>
      </c>
      <c r="F623" s="1" t="s">
        <v>112</v>
      </c>
      <c r="G623" s="1">
        <v>1806810</v>
      </c>
    </row>
    <row r="624" spans="1:8" x14ac:dyDescent="0.35">
      <c r="A624" s="1" t="str">
        <f t="shared" si="9"/>
        <v>18</v>
      </c>
      <c r="B6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24" s="1" t="s">
        <v>4213</v>
      </c>
    </row>
    <row r="625" spans="1:7" x14ac:dyDescent="0.35">
      <c r="A625" s="1" t="str">
        <f t="shared" si="9"/>
        <v>18</v>
      </c>
      <c r="B6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25" s="1" t="s">
        <v>4214</v>
      </c>
      <c r="D625" s="1" t="s">
        <v>4215</v>
      </c>
      <c r="E625" s="1" t="s">
        <v>4216</v>
      </c>
      <c r="F625" s="1" t="s">
        <v>112</v>
      </c>
      <c r="G625" s="1">
        <v>1357016</v>
      </c>
    </row>
    <row r="626" spans="1:7" x14ac:dyDescent="0.35">
      <c r="A626" s="1" t="str">
        <f t="shared" si="9"/>
        <v>18</v>
      </c>
      <c r="B6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26" s="1" t="s">
        <v>4217</v>
      </c>
      <c r="D626" s="1" t="s">
        <v>4218</v>
      </c>
      <c r="E626" s="1" t="s">
        <v>4219</v>
      </c>
      <c r="F626" s="1" t="s">
        <v>112</v>
      </c>
      <c r="G626" s="1">
        <v>2573157</v>
      </c>
    </row>
    <row r="627" spans="1:7" x14ac:dyDescent="0.35">
      <c r="A627" s="1" t="str">
        <f t="shared" si="9"/>
        <v>18</v>
      </c>
      <c r="B6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27" s="1" t="s">
        <v>4220</v>
      </c>
      <c r="D627" s="1" t="s">
        <v>4221</v>
      </c>
      <c r="E627" s="1" t="s">
        <v>4222</v>
      </c>
      <c r="F627" s="1" t="s">
        <v>112</v>
      </c>
      <c r="G627" s="1">
        <v>2724934</v>
      </c>
    </row>
    <row r="628" spans="1:7" x14ac:dyDescent="0.35">
      <c r="A628" s="1" t="str">
        <f t="shared" si="9"/>
        <v>18</v>
      </c>
      <c r="B6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28" s="1" t="s">
        <v>4223</v>
      </c>
      <c r="D628" s="1" t="s">
        <v>4224</v>
      </c>
      <c r="E628" s="1" t="s">
        <v>4225</v>
      </c>
      <c r="F628" s="1" t="s">
        <v>112</v>
      </c>
      <c r="G628" s="1">
        <v>2880540</v>
      </c>
    </row>
    <row r="629" spans="1:7" x14ac:dyDescent="0.35">
      <c r="A629" s="1" t="str">
        <f t="shared" si="9"/>
        <v>18</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29" s="1" t="s">
        <v>4226</v>
      </c>
      <c r="D629" s="1" t="s">
        <v>4227</v>
      </c>
      <c r="E629" s="1" t="s">
        <v>4228</v>
      </c>
      <c r="F629" s="1" t="s">
        <v>112</v>
      </c>
      <c r="G629" s="1">
        <v>1998970</v>
      </c>
    </row>
    <row r="630" spans="1:7" x14ac:dyDescent="0.35">
      <c r="A630" s="1" t="str">
        <f t="shared" si="9"/>
        <v>18</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0" s="1" t="s">
        <v>4229</v>
      </c>
      <c r="D630" s="1" t="s">
        <v>707</v>
      </c>
      <c r="E630" s="1" t="s">
        <v>4230</v>
      </c>
      <c r="F630" s="1" t="s">
        <v>112</v>
      </c>
      <c r="G630" s="1">
        <v>1239155</v>
      </c>
    </row>
    <row r="631" spans="1:7" x14ac:dyDescent="0.35">
      <c r="A631" s="1" t="str">
        <f t="shared" si="9"/>
        <v>18</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1" s="1" t="s">
        <v>4231</v>
      </c>
      <c r="D631" s="1" t="s">
        <v>4232</v>
      </c>
      <c r="E631" s="1" t="s">
        <v>4233</v>
      </c>
      <c r="F631" s="1" t="s">
        <v>112</v>
      </c>
      <c r="G631" s="1">
        <v>1116449</v>
      </c>
    </row>
    <row r="632" spans="1:7" x14ac:dyDescent="0.35">
      <c r="A632" s="1" t="str">
        <f t="shared" si="9"/>
        <v>18</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2" s="1" t="s">
        <v>4234</v>
      </c>
      <c r="D632" s="1" t="s">
        <v>1170</v>
      </c>
      <c r="E632" s="1" t="s">
        <v>4235</v>
      </c>
      <c r="F632" s="1" t="s">
        <v>112</v>
      </c>
      <c r="G632" s="1">
        <v>1298226</v>
      </c>
    </row>
    <row r="633" spans="1:7" x14ac:dyDescent="0.35">
      <c r="A633" s="1" t="str">
        <f t="shared" si="9"/>
        <v>18</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3" s="1" t="s">
        <v>4236</v>
      </c>
      <c r="D633" s="1" t="s">
        <v>4237</v>
      </c>
      <c r="E633" s="1" t="s">
        <v>4238</v>
      </c>
      <c r="F633" s="1" t="s">
        <v>112</v>
      </c>
      <c r="G633" s="1">
        <v>1462700</v>
      </c>
    </row>
    <row r="634" spans="1:7" x14ac:dyDescent="0.35">
      <c r="A634" s="1" t="str">
        <f t="shared" si="9"/>
        <v>18</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34" s="1" t="s">
        <v>4239</v>
      </c>
      <c r="D634" s="1" t="s">
        <v>4240</v>
      </c>
      <c r="E634" s="1" t="s">
        <v>4241</v>
      </c>
      <c r="F634" s="1" t="s">
        <v>112</v>
      </c>
      <c r="G634" s="1">
        <v>826997</v>
      </c>
    </row>
    <row r="635" spans="1:7" x14ac:dyDescent="0.35">
      <c r="A635" s="1" t="str">
        <f t="shared" si="9"/>
        <v>18</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35" s="1" t="s">
        <v>4242</v>
      </c>
      <c r="D635" s="1" t="s">
        <v>4243</v>
      </c>
      <c r="E635" s="1" t="s">
        <v>4244</v>
      </c>
      <c r="F635" s="1" t="s">
        <v>112</v>
      </c>
      <c r="G635" s="1">
        <v>321550</v>
      </c>
    </row>
    <row r="636" spans="1:7" x14ac:dyDescent="0.35">
      <c r="A636" s="1" t="str">
        <f t="shared" si="9"/>
        <v>18</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36" s="1" t="s">
        <v>4245</v>
      </c>
      <c r="D636" s="1" t="s">
        <v>4246</v>
      </c>
      <c r="E636" s="1" t="s">
        <v>4247</v>
      </c>
      <c r="F636" s="1" t="s">
        <v>112</v>
      </c>
      <c r="G636" s="1">
        <v>935731</v>
      </c>
    </row>
    <row r="637" spans="1:7" x14ac:dyDescent="0.35">
      <c r="A637" s="1" t="str">
        <f t="shared" si="9"/>
        <v>18</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37" s="1" t="s">
        <v>4248</v>
      </c>
      <c r="D637" s="1" t="s">
        <v>4249</v>
      </c>
      <c r="E637" s="1" t="s">
        <v>4250</v>
      </c>
      <c r="F637" s="1" t="s">
        <v>112</v>
      </c>
      <c r="G637" s="1">
        <v>831237</v>
      </c>
    </row>
    <row r="638" spans="1:7" x14ac:dyDescent="0.35">
      <c r="A638" s="1" t="str">
        <f t="shared" si="9"/>
        <v>18</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38" s="1" t="s">
        <v>4251</v>
      </c>
    </row>
    <row r="639" spans="1:7" x14ac:dyDescent="0.35">
      <c r="A639" s="1" t="str">
        <f t="shared" si="9"/>
        <v>18</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39" s="1" t="s">
        <v>4252</v>
      </c>
      <c r="D639" s="1" t="s">
        <v>4253</v>
      </c>
      <c r="E639" s="1" t="s">
        <v>4254</v>
      </c>
      <c r="F639" s="1" t="s">
        <v>112</v>
      </c>
      <c r="G639" s="1">
        <v>919422</v>
      </c>
    </row>
    <row r="640" spans="1:7" x14ac:dyDescent="0.35">
      <c r="A640" s="1" t="str">
        <f t="shared" si="9"/>
        <v>18</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0" s="1" t="s">
        <v>4255</v>
      </c>
      <c r="D640" s="1" t="s">
        <v>767</v>
      </c>
      <c r="E640" s="1" t="s">
        <v>4256</v>
      </c>
      <c r="F640" s="1" t="s">
        <v>112</v>
      </c>
      <c r="G640" s="1">
        <v>736757</v>
      </c>
    </row>
    <row r="641" spans="1:8" x14ac:dyDescent="0.35">
      <c r="A641" s="1" t="str">
        <f t="shared" si="9"/>
        <v>18</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1" s="1" t="s">
        <v>4257</v>
      </c>
      <c r="D641" s="1" t="s">
        <v>4258</v>
      </c>
      <c r="E641" s="1" t="s">
        <v>4259</v>
      </c>
      <c r="F641" s="1" t="s">
        <v>112</v>
      </c>
      <c r="G641" s="1">
        <v>1359309</v>
      </c>
    </row>
    <row r="642" spans="1:8" x14ac:dyDescent="0.35">
      <c r="A642" s="1" t="str">
        <f t="shared" ref="A642:A705" si="10">IFERROR(LEFT(RIGHT(C642,LEN(C642)-SEARCH("@",C642)),SEARCH("/",RIGHT(C642,LEN(C642)-SEARCH("@",C642)-1))),"")</f>
        <v>18</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2" s="1" t="s">
        <v>4260</v>
      </c>
      <c r="D642" s="1" t="s">
        <v>4261</v>
      </c>
      <c r="E642" s="1" t="s">
        <v>4262</v>
      </c>
      <c r="F642" s="1" t="s">
        <v>112</v>
      </c>
      <c r="G642" s="1">
        <v>4188607</v>
      </c>
    </row>
    <row r="643" spans="1:8" x14ac:dyDescent="0.35">
      <c r="A643" s="1" t="str">
        <f t="shared" si="10"/>
        <v>18</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3" s="1" t="s">
        <v>4263</v>
      </c>
      <c r="D643" s="1" t="s">
        <v>4264</v>
      </c>
      <c r="E643" s="1" t="s">
        <v>4265</v>
      </c>
      <c r="F643" s="1" t="s">
        <v>112</v>
      </c>
      <c r="G643" s="1">
        <v>4295589</v>
      </c>
    </row>
    <row r="644" spans="1:8" x14ac:dyDescent="0.35">
      <c r="A644" s="1" t="str">
        <f t="shared" si="10"/>
        <v>18</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4" s="1" t="s">
        <v>4266</v>
      </c>
      <c r="D644" s="1" t="s">
        <v>4267</v>
      </c>
      <c r="E644" s="1" t="s">
        <v>4268</v>
      </c>
      <c r="F644" s="1" t="s">
        <v>112</v>
      </c>
      <c r="G644" s="1">
        <v>4556294</v>
      </c>
    </row>
    <row r="645" spans="1:8" x14ac:dyDescent="0.35">
      <c r="A645" s="1" t="str">
        <f t="shared" si="10"/>
        <v>18</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5" s="1" t="s">
        <v>4269</v>
      </c>
      <c r="D645" s="1" t="s">
        <v>4270</v>
      </c>
      <c r="E645" s="1" t="s">
        <v>4271</v>
      </c>
      <c r="F645" s="1" t="s">
        <v>112</v>
      </c>
      <c r="G645" s="1">
        <v>5088952</v>
      </c>
    </row>
    <row r="646" spans="1:8" x14ac:dyDescent="0.35">
      <c r="A646" s="1" t="str">
        <f t="shared" si="10"/>
        <v>18</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46" s="1" t="s">
        <v>4272</v>
      </c>
      <c r="D646" s="1" t="s">
        <v>1510</v>
      </c>
      <c r="E646" s="1" t="s">
        <v>4273</v>
      </c>
      <c r="F646" s="1" t="s">
        <v>112</v>
      </c>
      <c r="G646" s="1">
        <v>167048</v>
      </c>
    </row>
    <row r="647" spans="1:8" x14ac:dyDescent="0.35">
      <c r="A647" s="1" t="str">
        <f t="shared" si="10"/>
        <v>18</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47" s="1" t="s">
        <v>4274</v>
      </c>
      <c r="D647" s="1" t="s">
        <v>2978</v>
      </c>
      <c r="E647" s="1" t="s">
        <v>4275</v>
      </c>
      <c r="F647" s="1" t="s">
        <v>112</v>
      </c>
      <c r="G647" s="1">
        <v>328753</v>
      </c>
    </row>
    <row r="648" spans="1:8" x14ac:dyDescent="0.35">
      <c r="A648" s="1" t="str">
        <f t="shared" si="10"/>
        <v>18</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48" s="1" t="s">
        <v>4276</v>
      </c>
      <c r="D648" s="1" t="s">
        <v>4277</v>
      </c>
      <c r="E648" s="1" t="s">
        <v>4278</v>
      </c>
      <c r="F648" s="1" t="s">
        <v>112</v>
      </c>
      <c r="G648" s="1">
        <v>547691</v>
      </c>
    </row>
    <row r="649" spans="1:8" x14ac:dyDescent="0.35">
      <c r="A649" s="1" t="str">
        <f t="shared" si="10"/>
        <v>18</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49" s="1" t="s">
        <v>4279</v>
      </c>
      <c r="D649" s="1" t="s">
        <v>4280</v>
      </c>
      <c r="E649" s="1" t="s">
        <v>4281</v>
      </c>
      <c r="F649" s="1" t="s">
        <v>112</v>
      </c>
      <c r="G649" s="1">
        <v>450680</v>
      </c>
    </row>
    <row r="650" spans="1:8" x14ac:dyDescent="0.35">
      <c r="A650" s="1" t="str">
        <f t="shared" si="10"/>
        <v/>
      </c>
      <c r="B6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0" s="1" t="s">
        <v>112</v>
      </c>
    </row>
    <row r="651" spans="1:8" x14ac:dyDescent="0.35">
      <c r="A651" s="1" t="str">
        <f t="shared" si="10"/>
        <v/>
      </c>
      <c r="B6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1" s="1" t="s">
        <v>227</v>
      </c>
      <c r="D651" s="1" t="s">
        <v>112</v>
      </c>
      <c r="E651" s="1" t="s">
        <v>228</v>
      </c>
      <c r="F651" s="1" t="s">
        <v>229</v>
      </c>
      <c r="G651" s="1" t="s">
        <v>230</v>
      </c>
      <c r="H651" s="1" t="s">
        <v>231</v>
      </c>
    </row>
    <row r="652" spans="1:8" x14ac:dyDescent="0.35">
      <c r="A652" s="1" t="str">
        <f t="shared" si="10"/>
        <v>18</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2" s="1" t="s">
        <v>4282</v>
      </c>
      <c r="D652" s="1" t="s">
        <v>112</v>
      </c>
      <c r="E652" s="1" t="s">
        <v>4283</v>
      </c>
      <c r="F652" s="1" t="s">
        <v>4284</v>
      </c>
      <c r="G652" s="1" t="s">
        <v>4285</v>
      </c>
      <c r="H652" s="1" t="s">
        <v>4286</v>
      </c>
    </row>
    <row r="653" spans="1:8" x14ac:dyDescent="0.3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112</v>
      </c>
    </row>
    <row r="654" spans="1:8" x14ac:dyDescent="0.3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112</v>
      </c>
    </row>
    <row r="655" spans="1:8" x14ac:dyDescent="0.35">
      <c r="A655" s="1" t="str">
        <f t="shared" si="10"/>
        <v/>
      </c>
      <c r="B6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5" s="1" t="s">
        <v>112</v>
      </c>
    </row>
    <row r="656" spans="1:8" x14ac:dyDescent="0.3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112</v>
      </c>
    </row>
    <row r="657" spans="1:7" x14ac:dyDescent="0.3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3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171</v>
      </c>
      <c r="D658" s="1" t="s">
        <v>110</v>
      </c>
      <c r="E658" s="1" t="s">
        <v>111</v>
      </c>
      <c r="F658" s="1" t="s">
        <v>112</v>
      </c>
      <c r="G658" s="1" t="s">
        <v>113</v>
      </c>
    </row>
    <row r="659" spans="1:7" x14ac:dyDescent="0.35">
      <c r="A659" s="1" t="str">
        <f t="shared" si="10"/>
        <v>19</v>
      </c>
      <c r="B6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59" s="1" t="s">
        <v>4287</v>
      </c>
    </row>
    <row r="660" spans="1:7" x14ac:dyDescent="0.35">
      <c r="A660" s="1" t="str">
        <f t="shared" si="10"/>
        <v>19</v>
      </c>
      <c r="B6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0" s="1" t="s">
        <v>4288</v>
      </c>
      <c r="D660" s="1" t="s">
        <v>4289</v>
      </c>
      <c r="E660" s="1" t="s">
        <v>4290</v>
      </c>
      <c r="F660" s="1" t="s">
        <v>112</v>
      </c>
      <c r="G660" s="1">
        <v>1912948</v>
      </c>
    </row>
    <row r="661" spans="1:7" x14ac:dyDescent="0.35">
      <c r="A661" s="1" t="str">
        <f t="shared" si="10"/>
        <v>19</v>
      </c>
      <c r="B6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1" s="1" t="s">
        <v>4291</v>
      </c>
      <c r="D661" s="1" t="s">
        <v>4292</v>
      </c>
      <c r="E661" s="1" t="s">
        <v>4293</v>
      </c>
      <c r="F661" s="1" t="s">
        <v>112</v>
      </c>
      <c r="G661" s="1">
        <v>1706491</v>
      </c>
    </row>
    <row r="662" spans="1:7" x14ac:dyDescent="0.35">
      <c r="A662" s="1" t="str">
        <f t="shared" si="10"/>
        <v>19</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4294</v>
      </c>
      <c r="D662" s="1" t="s">
        <v>4295</v>
      </c>
      <c r="E662" s="1" t="s">
        <v>4296</v>
      </c>
      <c r="F662" s="1" t="s">
        <v>112</v>
      </c>
      <c r="G662" s="1">
        <v>1985084</v>
      </c>
    </row>
    <row r="663" spans="1:7" x14ac:dyDescent="0.35">
      <c r="A663" s="1" t="str">
        <f t="shared" si="10"/>
        <v>19</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3" s="1" t="s">
        <v>4297</v>
      </c>
      <c r="D663" s="1" t="s">
        <v>4298</v>
      </c>
      <c r="E663" s="1" t="s">
        <v>4299</v>
      </c>
      <c r="F663" s="1" t="s">
        <v>112</v>
      </c>
      <c r="G663" s="1">
        <v>1567865</v>
      </c>
    </row>
    <row r="664" spans="1:7" x14ac:dyDescent="0.35">
      <c r="A664" s="1" t="str">
        <f t="shared" si="10"/>
        <v>19</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4" s="1" t="s">
        <v>4300</v>
      </c>
      <c r="D664" s="1" t="s">
        <v>1435</v>
      </c>
      <c r="E664" s="1" t="s">
        <v>4301</v>
      </c>
      <c r="F664" s="1" t="s">
        <v>112</v>
      </c>
      <c r="G664" s="1">
        <v>1730132</v>
      </c>
    </row>
    <row r="665" spans="1:7" x14ac:dyDescent="0.35">
      <c r="A665" s="1" t="str">
        <f t="shared" si="10"/>
        <v>19</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4302</v>
      </c>
      <c r="D665" s="1" t="s">
        <v>4303</v>
      </c>
      <c r="E665" s="1" t="s">
        <v>4304</v>
      </c>
      <c r="F665" s="1" t="s">
        <v>112</v>
      </c>
      <c r="G665" s="1">
        <v>1983526</v>
      </c>
    </row>
    <row r="666" spans="1:7" x14ac:dyDescent="0.35">
      <c r="A666" s="1" t="str">
        <f t="shared" si="10"/>
        <v>19</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4305</v>
      </c>
      <c r="D666" s="1" t="s">
        <v>4306</v>
      </c>
      <c r="E666" s="1" t="s">
        <v>4307</v>
      </c>
      <c r="F666" s="1" t="s">
        <v>112</v>
      </c>
      <c r="G666" s="1">
        <v>1110111</v>
      </c>
    </row>
    <row r="667" spans="1:7" x14ac:dyDescent="0.35">
      <c r="A667" s="1" t="str">
        <f t="shared" si="10"/>
        <v>19</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7" s="1" t="s">
        <v>4308</v>
      </c>
      <c r="D667" s="1" t="s">
        <v>4309</v>
      </c>
      <c r="E667" s="1" t="s">
        <v>4310</v>
      </c>
      <c r="F667" s="1" t="s">
        <v>112</v>
      </c>
      <c r="G667" s="1">
        <v>1866682</v>
      </c>
    </row>
    <row r="668" spans="1:7" x14ac:dyDescent="0.35">
      <c r="A668" s="1" t="str">
        <f t="shared" si="10"/>
        <v>19</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4311</v>
      </c>
      <c r="D668" s="1" t="s">
        <v>4312</v>
      </c>
      <c r="E668" s="1" t="s">
        <v>4313</v>
      </c>
      <c r="F668" s="1" t="s">
        <v>112</v>
      </c>
      <c r="G668" s="1">
        <v>2254397</v>
      </c>
    </row>
    <row r="669" spans="1:7" x14ac:dyDescent="0.35">
      <c r="A669" s="1" t="str">
        <f t="shared" si="10"/>
        <v>19</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4314</v>
      </c>
      <c r="D669" s="1" t="s">
        <v>4315</v>
      </c>
      <c r="E669" s="1" t="s">
        <v>4316</v>
      </c>
      <c r="F669" s="1" t="s">
        <v>112</v>
      </c>
      <c r="G669" s="1">
        <v>1986814</v>
      </c>
    </row>
    <row r="670" spans="1:7" x14ac:dyDescent="0.35">
      <c r="A670" s="1" t="str">
        <f t="shared" si="10"/>
        <v>19</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4317</v>
      </c>
      <c r="D670" s="1" t="s">
        <v>4318</v>
      </c>
      <c r="E670" s="1" t="s">
        <v>4319</v>
      </c>
      <c r="F670" s="1" t="s">
        <v>112</v>
      </c>
      <c r="G670" s="1">
        <v>1993714</v>
      </c>
    </row>
    <row r="671" spans="1:7" x14ac:dyDescent="0.35">
      <c r="A671" s="1" t="str">
        <f t="shared" si="10"/>
        <v>19</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4320</v>
      </c>
      <c r="D671" s="1" t="s">
        <v>4321</v>
      </c>
      <c r="E671" s="1" t="s">
        <v>4322</v>
      </c>
      <c r="F671" s="1" t="s">
        <v>112</v>
      </c>
      <c r="G671" s="1">
        <v>3780235</v>
      </c>
    </row>
    <row r="672" spans="1:7" x14ac:dyDescent="0.35">
      <c r="A672" s="1" t="str">
        <f t="shared" si="10"/>
        <v>19</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4323</v>
      </c>
      <c r="D672" s="1" t="s">
        <v>4324</v>
      </c>
      <c r="E672" s="1" t="s">
        <v>4325</v>
      </c>
      <c r="F672" s="1" t="s">
        <v>112</v>
      </c>
      <c r="G672" s="1">
        <v>3454662</v>
      </c>
    </row>
    <row r="673" spans="1:7" x14ac:dyDescent="0.35">
      <c r="A673" s="1" t="str">
        <f t="shared" si="10"/>
        <v>19</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4326</v>
      </c>
      <c r="D673" s="1" t="s">
        <v>4327</v>
      </c>
      <c r="E673" s="1" t="s">
        <v>4328</v>
      </c>
      <c r="F673" s="1" t="s">
        <v>112</v>
      </c>
      <c r="G673" s="1">
        <v>3703795</v>
      </c>
    </row>
    <row r="674" spans="1:7" x14ac:dyDescent="0.35">
      <c r="A674" s="1" t="str">
        <f t="shared" si="10"/>
        <v>19</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4" s="1" t="s">
        <v>4329</v>
      </c>
    </row>
    <row r="675" spans="1:7" x14ac:dyDescent="0.35">
      <c r="A675" s="1" t="str">
        <f t="shared" si="10"/>
        <v>19</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4330</v>
      </c>
      <c r="D675" s="1" t="s">
        <v>4331</v>
      </c>
      <c r="E675" s="1" t="s">
        <v>4332</v>
      </c>
      <c r="F675" s="1" t="s">
        <v>112</v>
      </c>
      <c r="G675" s="1">
        <v>1085345</v>
      </c>
    </row>
    <row r="676" spans="1:7" x14ac:dyDescent="0.35">
      <c r="A676" s="1" t="str">
        <f t="shared" si="10"/>
        <v>19</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4333</v>
      </c>
      <c r="D676" s="1" t="s">
        <v>4334</v>
      </c>
      <c r="E676" s="1" t="s">
        <v>4335</v>
      </c>
      <c r="F676" s="1" t="s">
        <v>112</v>
      </c>
      <c r="G676" s="1">
        <v>1134574</v>
      </c>
    </row>
    <row r="677" spans="1:7" x14ac:dyDescent="0.35">
      <c r="A677" s="1" t="str">
        <f t="shared" si="10"/>
        <v>19</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7" s="1" t="s">
        <v>4336</v>
      </c>
      <c r="D677" s="1" t="s">
        <v>4337</v>
      </c>
      <c r="E677" s="1" t="s">
        <v>4338</v>
      </c>
      <c r="F677" s="1" t="s">
        <v>112</v>
      </c>
      <c r="G677" s="1">
        <v>1116167</v>
      </c>
    </row>
    <row r="678" spans="1:7" x14ac:dyDescent="0.35">
      <c r="A678" s="1" t="str">
        <f t="shared" si="10"/>
        <v>19</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8" s="1" t="s">
        <v>4339</v>
      </c>
      <c r="D678" s="1" t="s">
        <v>4340</v>
      </c>
      <c r="E678" s="1" t="s">
        <v>4341</v>
      </c>
      <c r="F678" s="1" t="s">
        <v>112</v>
      </c>
      <c r="G678" s="1">
        <v>1487380</v>
      </c>
    </row>
    <row r="679" spans="1:7" x14ac:dyDescent="0.35">
      <c r="A679" s="1" t="str">
        <f t="shared" si="10"/>
        <v>19</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4342</v>
      </c>
      <c r="D679" s="1" t="s">
        <v>4343</v>
      </c>
      <c r="E679" s="1" t="s">
        <v>4344</v>
      </c>
      <c r="F679" s="1" t="s">
        <v>112</v>
      </c>
      <c r="G679" s="1">
        <v>2054818</v>
      </c>
    </row>
    <row r="680" spans="1:7" x14ac:dyDescent="0.35">
      <c r="A680" s="1" t="str">
        <f t="shared" si="10"/>
        <v>19</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80" s="1" t="s">
        <v>4345</v>
      </c>
      <c r="D680" s="1" t="s">
        <v>4346</v>
      </c>
      <c r="E680" s="1" t="s">
        <v>4347</v>
      </c>
      <c r="F680" s="1" t="s">
        <v>112</v>
      </c>
      <c r="G680" s="1">
        <v>2214339</v>
      </c>
    </row>
    <row r="681" spans="1:7" x14ac:dyDescent="0.35">
      <c r="A681" s="1" t="str">
        <f t="shared" si="10"/>
        <v>19</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81" s="1" t="s">
        <v>4348</v>
      </c>
      <c r="D681" s="1" t="s">
        <v>4349</v>
      </c>
      <c r="E681" s="1" t="s">
        <v>4350</v>
      </c>
      <c r="F681" s="1" t="s">
        <v>112</v>
      </c>
      <c r="G681" s="1">
        <v>2328999</v>
      </c>
    </row>
    <row r="682" spans="1:7" x14ac:dyDescent="0.35">
      <c r="A682" s="1" t="str">
        <f t="shared" si="10"/>
        <v>19</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82" s="1" t="s">
        <v>4351</v>
      </c>
      <c r="D682" s="1" t="s">
        <v>4352</v>
      </c>
      <c r="E682" s="1" t="s">
        <v>4353</v>
      </c>
      <c r="F682" s="1" t="s">
        <v>112</v>
      </c>
      <c r="G682" s="1">
        <v>1650296</v>
      </c>
    </row>
    <row r="683" spans="1:7" x14ac:dyDescent="0.35">
      <c r="A683" s="1" t="str">
        <f t="shared" si="10"/>
        <v>19</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3" s="1" t="s">
        <v>4354</v>
      </c>
      <c r="D683" s="1" t="s">
        <v>3383</v>
      </c>
      <c r="E683" s="1" t="s">
        <v>4355</v>
      </c>
      <c r="F683" s="1" t="s">
        <v>112</v>
      </c>
      <c r="G683" s="1">
        <v>367665</v>
      </c>
    </row>
    <row r="684" spans="1:7" x14ac:dyDescent="0.35">
      <c r="A684" s="1" t="str">
        <f t="shared" si="10"/>
        <v>19</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4" s="1" t="s">
        <v>4356</v>
      </c>
      <c r="D684" s="1" t="s">
        <v>4249</v>
      </c>
      <c r="E684" s="1" t="s">
        <v>4357</v>
      </c>
      <c r="F684" s="1" t="s">
        <v>112</v>
      </c>
      <c r="G684" s="1">
        <v>805476</v>
      </c>
    </row>
    <row r="685" spans="1:7" x14ac:dyDescent="0.35">
      <c r="A685" s="1" t="str">
        <f t="shared" si="10"/>
        <v>19</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5" s="1" t="s">
        <v>4358</v>
      </c>
      <c r="D685" s="1" t="s">
        <v>4359</v>
      </c>
      <c r="E685" s="1" t="s">
        <v>4360</v>
      </c>
      <c r="F685" s="1" t="s">
        <v>112</v>
      </c>
      <c r="G685" s="1">
        <v>1112836</v>
      </c>
    </row>
    <row r="686" spans="1:7" x14ac:dyDescent="0.35">
      <c r="A686" s="1" t="str">
        <f t="shared" si="10"/>
        <v>19</v>
      </c>
      <c r="B6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6" s="1" t="s">
        <v>4361</v>
      </c>
      <c r="D686" s="1" t="s">
        <v>4362</v>
      </c>
      <c r="E686" s="1" t="s">
        <v>4363</v>
      </c>
      <c r="F686" s="1" t="s">
        <v>112</v>
      </c>
      <c r="G686" s="1">
        <v>372878</v>
      </c>
    </row>
    <row r="687" spans="1:7" x14ac:dyDescent="0.35">
      <c r="A687" s="1" t="str">
        <f t="shared" si="10"/>
        <v>19</v>
      </c>
      <c r="B6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7" s="1" t="s">
        <v>4364</v>
      </c>
    </row>
    <row r="688" spans="1:7" x14ac:dyDescent="0.35">
      <c r="A688" s="1" t="str">
        <f t="shared" si="10"/>
        <v>19</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8" s="1" t="s">
        <v>4365</v>
      </c>
    </row>
    <row r="689" spans="1:8" x14ac:dyDescent="0.35">
      <c r="A689" s="1" t="str">
        <f t="shared" si="10"/>
        <v>19</v>
      </c>
      <c r="B6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9" s="1" t="s">
        <v>4366</v>
      </c>
    </row>
    <row r="690" spans="1:8" x14ac:dyDescent="0.35">
      <c r="A690" s="1" t="str">
        <f t="shared" si="10"/>
        <v>19</v>
      </c>
      <c r="B6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90" s="1" t="s">
        <v>4367</v>
      </c>
      <c r="D690" s="1" t="s">
        <v>4368</v>
      </c>
      <c r="E690" s="1" t="s">
        <v>4369</v>
      </c>
      <c r="F690" s="1" t="s">
        <v>112</v>
      </c>
      <c r="G690" s="1">
        <v>2361855</v>
      </c>
    </row>
    <row r="691" spans="1:8" x14ac:dyDescent="0.3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1" s="1" t="s">
        <v>112</v>
      </c>
    </row>
    <row r="692" spans="1:8" x14ac:dyDescent="0.3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2" s="1" t="s">
        <v>227</v>
      </c>
      <c r="D692" s="1" t="s">
        <v>112</v>
      </c>
      <c r="E692" s="1" t="s">
        <v>228</v>
      </c>
      <c r="F692" s="1" t="s">
        <v>229</v>
      </c>
      <c r="G692" s="1" t="s">
        <v>230</v>
      </c>
      <c r="H692" s="1" t="s">
        <v>231</v>
      </c>
    </row>
    <row r="693" spans="1:8" x14ac:dyDescent="0.35">
      <c r="A693" s="1" t="str">
        <f t="shared" si="10"/>
        <v>19</v>
      </c>
      <c r="B6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93" s="1" t="s">
        <v>4370</v>
      </c>
      <c r="D693" s="1" t="s">
        <v>112</v>
      </c>
      <c r="E693" s="1" t="s">
        <v>4371</v>
      </c>
      <c r="F693" s="1" t="s">
        <v>4372</v>
      </c>
      <c r="G693" s="1">
        <v>1660525</v>
      </c>
      <c r="H693" s="1" t="s">
        <v>4373</v>
      </c>
    </row>
    <row r="694" spans="1:8" x14ac:dyDescent="0.3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4" s="1" t="s">
        <v>112</v>
      </c>
    </row>
    <row r="695" spans="1:8" x14ac:dyDescent="0.3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5" s="1" t="s">
        <v>112</v>
      </c>
    </row>
    <row r="696" spans="1:8" x14ac:dyDescent="0.3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6" s="1" t="s">
        <v>112</v>
      </c>
    </row>
    <row r="697" spans="1:8" x14ac:dyDescent="0.3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7" s="1" t="s">
        <v>112</v>
      </c>
    </row>
    <row r="698" spans="1:8" x14ac:dyDescent="0.3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8" s="1" t="s">
        <v>112</v>
      </c>
    </row>
    <row r="699" spans="1:8" x14ac:dyDescent="0.3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9" s="1" t="s">
        <v>171</v>
      </c>
      <c r="D699" s="1" t="s">
        <v>110</v>
      </c>
      <c r="E699" s="1" t="s">
        <v>111</v>
      </c>
      <c r="F699" s="1" t="s">
        <v>112</v>
      </c>
      <c r="G699" s="1" t="s">
        <v>113</v>
      </c>
    </row>
    <row r="700" spans="1:8" x14ac:dyDescent="0.35">
      <c r="A700" s="1" t="str">
        <f t="shared" si="10"/>
        <v>20</v>
      </c>
      <c r="B7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0" s="1" t="s">
        <v>4374</v>
      </c>
      <c r="D700" s="1" t="s">
        <v>4375</v>
      </c>
      <c r="E700" s="1" t="s">
        <v>4376</v>
      </c>
      <c r="F700" s="1" t="s">
        <v>112</v>
      </c>
      <c r="G700" s="1">
        <v>760788</v>
      </c>
    </row>
    <row r="701" spans="1:8" x14ac:dyDescent="0.35">
      <c r="A701" s="1" t="str">
        <f t="shared" si="10"/>
        <v>20</v>
      </c>
      <c r="B7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1" s="1" t="s">
        <v>4377</v>
      </c>
      <c r="D701" s="1" t="s">
        <v>4378</v>
      </c>
      <c r="E701" s="1" t="s">
        <v>4379</v>
      </c>
      <c r="F701" s="1" t="s">
        <v>112</v>
      </c>
      <c r="G701" s="1">
        <v>839218</v>
      </c>
    </row>
    <row r="702" spans="1:8" x14ac:dyDescent="0.35">
      <c r="A702" s="1" t="str">
        <f t="shared" si="10"/>
        <v>20</v>
      </c>
      <c r="B7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2" s="1" t="s">
        <v>4380</v>
      </c>
      <c r="D702" s="1" t="s">
        <v>4381</v>
      </c>
      <c r="E702" s="1" t="s">
        <v>4382</v>
      </c>
      <c r="F702" s="1" t="s">
        <v>112</v>
      </c>
      <c r="G702" s="1">
        <v>1114718</v>
      </c>
    </row>
    <row r="703" spans="1:8" x14ac:dyDescent="0.35">
      <c r="A703" s="1" t="str">
        <f t="shared" si="10"/>
        <v>20</v>
      </c>
      <c r="B7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3" s="1" t="s">
        <v>4383</v>
      </c>
      <c r="D703" s="1" t="s">
        <v>4384</v>
      </c>
      <c r="E703" s="1" t="s">
        <v>4385</v>
      </c>
      <c r="F703" s="1" t="s">
        <v>112</v>
      </c>
      <c r="G703" s="1">
        <v>1818858</v>
      </c>
    </row>
    <row r="704" spans="1:8" x14ac:dyDescent="0.35">
      <c r="A704" s="1" t="str">
        <f t="shared" si="10"/>
        <v>20</v>
      </c>
      <c r="B7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04" s="1" t="s">
        <v>4386</v>
      </c>
      <c r="D704" s="1" t="s">
        <v>4387</v>
      </c>
      <c r="E704" s="1" t="s">
        <v>4388</v>
      </c>
      <c r="F704" s="1" t="s">
        <v>112</v>
      </c>
      <c r="G704" s="1">
        <v>1591138</v>
      </c>
    </row>
    <row r="705" spans="1:7" x14ac:dyDescent="0.35">
      <c r="A705" s="1" t="str">
        <f t="shared" si="10"/>
        <v>20</v>
      </c>
      <c r="B7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05" s="1" t="s">
        <v>4389</v>
      </c>
      <c r="D705" s="1" t="s">
        <v>4390</v>
      </c>
      <c r="E705" s="1" t="s">
        <v>4391</v>
      </c>
      <c r="F705" s="1" t="s">
        <v>112</v>
      </c>
      <c r="G705" s="1">
        <v>2500784</v>
      </c>
    </row>
    <row r="706" spans="1:7" x14ac:dyDescent="0.35">
      <c r="A706" s="1" t="str">
        <f t="shared" ref="A706:A769" si="11">IFERROR(LEFT(RIGHT(C706,LEN(C706)-SEARCH("@",C706)),SEARCH("/",RIGHT(C706,LEN(C706)-SEARCH("@",C706)-1))),"")</f>
        <v>20</v>
      </c>
      <c r="B7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06" s="1" t="s">
        <v>4392</v>
      </c>
      <c r="D706" s="1" t="s">
        <v>4393</v>
      </c>
      <c r="E706" s="1" t="s">
        <v>4394</v>
      </c>
      <c r="F706" s="1" t="s">
        <v>112</v>
      </c>
      <c r="G706" s="1">
        <v>2831159</v>
      </c>
    </row>
    <row r="707" spans="1:7" x14ac:dyDescent="0.35">
      <c r="A707" s="1" t="str">
        <f t="shared" si="11"/>
        <v>20</v>
      </c>
      <c r="B7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07" s="1" t="s">
        <v>4395</v>
      </c>
      <c r="D707" s="1" t="s">
        <v>4396</v>
      </c>
      <c r="E707" s="1" t="s">
        <v>4397</v>
      </c>
      <c r="F707" s="1" t="s">
        <v>112</v>
      </c>
      <c r="G707" s="1">
        <v>2345027</v>
      </c>
    </row>
    <row r="708" spans="1:7" x14ac:dyDescent="0.35">
      <c r="A708" s="1" t="str">
        <f t="shared" si="11"/>
        <v>20</v>
      </c>
      <c r="B7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08" s="1" t="s">
        <v>4398</v>
      </c>
      <c r="D708" s="1" t="s">
        <v>4399</v>
      </c>
      <c r="E708" s="1" t="s">
        <v>4400</v>
      </c>
      <c r="F708" s="1" t="s">
        <v>112</v>
      </c>
      <c r="G708" s="1">
        <v>783889</v>
      </c>
    </row>
    <row r="709" spans="1:7" x14ac:dyDescent="0.35">
      <c r="A709" s="1" t="str">
        <f t="shared" si="11"/>
        <v>20</v>
      </c>
      <c r="B7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09" s="1" t="s">
        <v>4401</v>
      </c>
      <c r="D709" s="1" t="s">
        <v>4402</v>
      </c>
      <c r="E709" s="1" t="s">
        <v>4403</v>
      </c>
      <c r="F709" s="1" t="s">
        <v>112</v>
      </c>
      <c r="G709" s="1">
        <v>682510</v>
      </c>
    </row>
    <row r="710" spans="1:7" x14ac:dyDescent="0.35">
      <c r="A710" s="1" t="str">
        <f t="shared" si="11"/>
        <v>20</v>
      </c>
      <c r="B7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10" s="1" t="s">
        <v>4404</v>
      </c>
      <c r="D710" s="1" t="s">
        <v>4405</v>
      </c>
      <c r="E710" s="1" t="s">
        <v>4406</v>
      </c>
      <c r="F710" s="1" t="s">
        <v>112</v>
      </c>
      <c r="G710" s="1">
        <v>536313</v>
      </c>
    </row>
    <row r="711" spans="1:7" x14ac:dyDescent="0.35">
      <c r="A711" s="1" t="str">
        <f t="shared" si="11"/>
        <v>20</v>
      </c>
      <c r="B7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11" s="1" t="s">
        <v>4407</v>
      </c>
      <c r="D711" s="1" t="s">
        <v>4408</v>
      </c>
      <c r="E711" s="1" t="s">
        <v>4409</v>
      </c>
      <c r="F711" s="1" t="s">
        <v>112</v>
      </c>
      <c r="G711" s="1">
        <v>665747</v>
      </c>
    </row>
    <row r="712" spans="1:7" x14ac:dyDescent="0.35">
      <c r="A712" s="1" t="str">
        <f t="shared" si="11"/>
        <v>20</v>
      </c>
      <c r="B7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12" s="1" t="s">
        <v>4410</v>
      </c>
      <c r="D712" s="1" t="s">
        <v>1964</v>
      </c>
      <c r="E712" s="1" t="s">
        <v>4411</v>
      </c>
      <c r="F712" s="1" t="s">
        <v>112</v>
      </c>
      <c r="G712" s="1">
        <v>58271</v>
      </c>
    </row>
    <row r="713" spans="1:7" x14ac:dyDescent="0.35">
      <c r="A713" s="1" t="str">
        <f t="shared" si="11"/>
        <v>20</v>
      </c>
      <c r="B7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13" s="1" t="s">
        <v>4412</v>
      </c>
      <c r="D713" s="1" t="s">
        <v>4413</v>
      </c>
      <c r="E713" s="1" t="s">
        <v>4414</v>
      </c>
      <c r="F713" s="1" t="s">
        <v>112</v>
      </c>
      <c r="G713" s="1">
        <v>353865</v>
      </c>
    </row>
    <row r="714" spans="1:7" x14ac:dyDescent="0.35">
      <c r="A714" s="1" t="str">
        <f t="shared" si="11"/>
        <v>20</v>
      </c>
      <c r="B7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14" s="1" t="s">
        <v>4415</v>
      </c>
      <c r="D714" s="1" t="s">
        <v>1231</v>
      </c>
      <c r="E714" s="1" t="s">
        <v>4416</v>
      </c>
      <c r="F714" s="1" t="s">
        <v>112</v>
      </c>
      <c r="G714" s="1">
        <v>234425</v>
      </c>
    </row>
    <row r="715" spans="1:7" x14ac:dyDescent="0.35">
      <c r="A715" s="1" t="str">
        <f t="shared" si="11"/>
        <v>20</v>
      </c>
      <c r="B7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15" s="1" t="s">
        <v>4417</v>
      </c>
      <c r="D715" s="1" t="s">
        <v>4418</v>
      </c>
      <c r="E715" s="1" t="s">
        <v>4419</v>
      </c>
      <c r="F715" s="1" t="s">
        <v>112</v>
      </c>
      <c r="G715" s="1">
        <v>328126</v>
      </c>
    </row>
    <row r="716" spans="1:7" x14ac:dyDescent="0.35">
      <c r="A716" s="1" t="str">
        <f t="shared" si="11"/>
        <v>20</v>
      </c>
      <c r="B7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716" s="1" t="s">
        <v>4420</v>
      </c>
      <c r="D716" s="1" t="s">
        <v>787</v>
      </c>
      <c r="E716" s="1" t="s">
        <v>4421</v>
      </c>
      <c r="F716" s="1" t="s">
        <v>112</v>
      </c>
      <c r="G716" s="1">
        <v>1328140</v>
      </c>
    </row>
    <row r="717" spans="1:7" x14ac:dyDescent="0.35">
      <c r="A717" s="1" t="str">
        <f t="shared" si="11"/>
        <v>20</v>
      </c>
      <c r="B7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717" s="1" t="s">
        <v>4422</v>
      </c>
      <c r="D717" s="1" t="s">
        <v>1421</v>
      </c>
      <c r="E717" s="1" t="s">
        <v>4423</v>
      </c>
      <c r="F717" s="1" t="s">
        <v>112</v>
      </c>
      <c r="G717" s="1">
        <v>1551188</v>
      </c>
    </row>
    <row r="718" spans="1:7" x14ac:dyDescent="0.35">
      <c r="A718" s="1" t="str">
        <f t="shared" si="11"/>
        <v>20</v>
      </c>
      <c r="B7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718" s="1" t="s">
        <v>4424</v>
      </c>
      <c r="D718" s="1" t="s">
        <v>4425</v>
      </c>
      <c r="E718" s="1" t="s">
        <v>4426</v>
      </c>
      <c r="F718" s="1" t="s">
        <v>112</v>
      </c>
      <c r="G718" s="1">
        <v>1655574</v>
      </c>
    </row>
    <row r="719" spans="1:7" x14ac:dyDescent="0.35">
      <c r="A719" s="1" t="str">
        <f t="shared" si="11"/>
        <v>20</v>
      </c>
      <c r="B7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719" s="1" t="s">
        <v>4427</v>
      </c>
      <c r="D719" s="1" t="s">
        <v>4428</v>
      </c>
      <c r="E719" s="1" t="s">
        <v>4429</v>
      </c>
      <c r="F719" s="1" t="s">
        <v>112</v>
      </c>
      <c r="G719" s="1">
        <v>1467610</v>
      </c>
    </row>
    <row r="720" spans="1:7" x14ac:dyDescent="0.35">
      <c r="A720" s="1" t="str">
        <f t="shared" si="11"/>
        <v>20</v>
      </c>
      <c r="B7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720" s="1" t="s">
        <v>4430</v>
      </c>
      <c r="D720" s="1" t="s">
        <v>719</v>
      </c>
      <c r="E720" s="1" t="s">
        <v>4431</v>
      </c>
      <c r="F720" s="1" t="s">
        <v>112</v>
      </c>
      <c r="G720" s="1">
        <v>1650296</v>
      </c>
    </row>
    <row r="721" spans="1:8" x14ac:dyDescent="0.35">
      <c r="A721" s="1" t="str">
        <f t="shared" si="11"/>
        <v>20</v>
      </c>
      <c r="B7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721" s="1" t="s">
        <v>4432</v>
      </c>
      <c r="D721" s="1" t="s">
        <v>4433</v>
      </c>
      <c r="E721" s="1" t="s">
        <v>4434</v>
      </c>
      <c r="F721" s="1" t="s">
        <v>112</v>
      </c>
      <c r="G721" s="1">
        <v>1673548</v>
      </c>
    </row>
    <row r="722" spans="1:8" x14ac:dyDescent="0.35">
      <c r="A722" s="1" t="str">
        <f t="shared" si="11"/>
        <v>20</v>
      </c>
      <c r="B7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722" s="1" t="s">
        <v>4435</v>
      </c>
      <c r="D722" s="1" t="s">
        <v>4436</v>
      </c>
      <c r="E722" s="1" t="s">
        <v>4437</v>
      </c>
      <c r="F722" s="1" t="s">
        <v>112</v>
      </c>
      <c r="G722" s="1">
        <v>1345855</v>
      </c>
    </row>
    <row r="723" spans="1:8" x14ac:dyDescent="0.35">
      <c r="A723" s="1" t="str">
        <f t="shared" si="11"/>
        <v>20</v>
      </c>
      <c r="B7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723" s="1" t="s">
        <v>4438</v>
      </c>
      <c r="D723" s="1" t="s">
        <v>4439</v>
      </c>
      <c r="E723" s="1" t="s">
        <v>4440</v>
      </c>
      <c r="F723" s="1" t="s">
        <v>112</v>
      </c>
      <c r="G723" s="1">
        <v>2113954</v>
      </c>
    </row>
    <row r="724" spans="1:8" x14ac:dyDescent="0.35">
      <c r="A724" s="1" t="str">
        <f t="shared" si="11"/>
        <v>20</v>
      </c>
      <c r="B7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24" s="1" t="s">
        <v>4441</v>
      </c>
      <c r="D724" s="1" t="s">
        <v>4442</v>
      </c>
      <c r="E724" s="1" t="s">
        <v>4443</v>
      </c>
      <c r="F724" s="1" t="s">
        <v>112</v>
      </c>
      <c r="G724" s="1">
        <v>3103587</v>
      </c>
    </row>
    <row r="725" spans="1:8" x14ac:dyDescent="0.35">
      <c r="A725" s="1" t="str">
        <f t="shared" si="11"/>
        <v>20</v>
      </c>
      <c r="B7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25" s="1" t="s">
        <v>4444</v>
      </c>
      <c r="D725" s="1" t="s">
        <v>4445</v>
      </c>
      <c r="E725" s="1" t="s">
        <v>4446</v>
      </c>
      <c r="F725" s="1" t="s">
        <v>112</v>
      </c>
      <c r="G725" s="1">
        <v>3014948</v>
      </c>
    </row>
    <row r="726" spans="1:8" x14ac:dyDescent="0.35">
      <c r="A726" s="1" t="str">
        <f t="shared" si="11"/>
        <v>20</v>
      </c>
      <c r="B7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26" s="1" t="s">
        <v>4447</v>
      </c>
      <c r="D726" s="1" t="s">
        <v>4448</v>
      </c>
      <c r="E726" s="1" t="s">
        <v>4449</v>
      </c>
      <c r="F726" s="1" t="s">
        <v>112</v>
      </c>
      <c r="G726" s="1">
        <v>2414264</v>
      </c>
    </row>
    <row r="727" spans="1:8" x14ac:dyDescent="0.35">
      <c r="A727" s="1" t="str">
        <f t="shared" si="11"/>
        <v>20</v>
      </c>
      <c r="B7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27" s="1" t="s">
        <v>4450</v>
      </c>
      <c r="D727" s="1" t="s">
        <v>781</v>
      </c>
      <c r="E727" s="1" t="s">
        <v>4451</v>
      </c>
      <c r="F727" s="1" t="s">
        <v>112</v>
      </c>
      <c r="G727" s="1">
        <v>2594852</v>
      </c>
    </row>
    <row r="728" spans="1:8" x14ac:dyDescent="0.35">
      <c r="A728" s="1" t="str">
        <f t="shared" si="11"/>
        <v>20</v>
      </c>
      <c r="B7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28" s="1" t="s">
        <v>4452</v>
      </c>
      <c r="D728" s="1" t="s">
        <v>4453</v>
      </c>
      <c r="E728" s="1" t="s">
        <v>4454</v>
      </c>
      <c r="F728" s="1" t="s">
        <v>112</v>
      </c>
      <c r="G728" s="1">
        <v>2070392</v>
      </c>
    </row>
    <row r="729" spans="1:8" x14ac:dyDescent="0.35">
      <c r="A729" s="1" t="str">
        <f t="shared" si="11"/>
        <v>20</v>
      </c>
      <c r="B7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29" s="1" t="s">
        <v>4455</v>
      </c>
      <c r="D729" s="1" t="s">
        <v>4456</v>
      </c>
      <c r="E729" s="1" t="s">
        <v>4457</v>
      </c>
      <c r="F729" s="1" t="s">
        <v>112</v>
      </c>
      <c r="G729" s="1">
        <v>1957787</v>
      </c>
    </row>
    <row r="730" spans="1:8" x14ac:dyDescent="0.35">
      <c r="A730" s="1" t="str">
        <f t="shared" si="11"/>
        <v>20</v>
      </c>
      <c r="B7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30" s="1" t="s">
        <v>4458</v>
      </c>
      <c r="D730" s="1" t="s">
        <v>4459</v>
      </c>
      <c r="E730" s="1" t="s">
        <v>4460</v>
      </c>
      <c r="F730" s="1" t="s">
        <v>112</v>
      </c>
      <c r="G730" s="1">
        <v>2420364</v>
      </c>
    </row>
    <row r="731" spans="1:8" x14ac:dyDescent="0.35">
      <c r="A731" s="1" t="str">
        <f t="shared" si="11"/>
        <v>20</v>
      </c>
      <c r="B7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31" s="1" t="s">
        <v>4461</v>
      </c>
      <c r="D731" s="1" t="s">
        <v>4462</v>
      </c>
      <c r="E731" s="1" t="s">
        <v>4463</v>
      </c>
      <c r="F731" s="1" t="s">
        <v>112</v>
      </c>
      <c r="G731" s="1">
        <v>2423976</v>
      </c>
    </row>
    <row r="732" spans="1:8" x14ac:dyDescent="0.3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32" s="1" t="s">
        <v>112</v>
      </c>
    </row>
    <row r="733" spans="1:8" x14ac:dyDescent="0.3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33" s="1" t="s">
        <v>227</v>
      </c>
      <c r="D733" s="1" t="s">
        <v>112</v>
      </c>
      <c r="E733" s="1" t="s">
        <v>228</v>
      </c>
      <c r="F733" s="1" t="s">
        <v>229</v>
      </c>
      <c r="G733" s="1" t="s">
        <v>230</v>
      </c>
      <c r="H733" s="1" t="s">
        <v>231</v>
      </c>
    </row>
    <row r="734" spans="1:8" x14ac:dyDescent="0.35">
      <c r="A734" s="1" t="str">
        <f t="shared" si="11"/>
        <v>20</v>
      </c>
      <c r="B7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734" s="1" t="s">
        <v>4464</v>
      </c>
      <c r="D734" s="1" t="s">
        <v>112</v>
      </c>
      <c r="E734" s="1" t="s">
        <v>4465</v>
      </c>
      <c r="F734" s="1" t="s">
        <v>4466</v>
      </c>
      <c r="G734" s="1" t="s">
        <v>4467</v>
      </c>
      <c r="H734" s="1" t="s">
        <v>4468</v>
      </c>
    </row>
    <row r="735" spans="1:8" x14ac:dyDescent="0.3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35" s="1" t="s">
        <v>112</v>
      </c>
    </row>
    <row r="736" spans="1:8" x14ac:dyDescent="0.3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36" s="1" t="s">
        <v>112</v>
      </c>
    </row>
    <row r="737" spans="1:7" x14ac:dyDescent="0.3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37" s="1" t="s">
        <v>112</v>
      </c>
    </row>
    <row r="738" spans="1:7" x14ac:dyDescent="0.3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38" s="1" t="s">
        <v>112</v>
      </c>
    </row>
    <row r="739" spans="1:7" x14ac:dyDescent="0.3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39" s="1" t="s">
        <v>112</v>
      </c>
    </row>
    <row r="740" spans="1:7" x14ac:dyDescent="0.3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40" s="1" t="s">
        <v>171</v>
      </c>
      <c r="D740" s="1" t="s">
        <v>110</v>
      </c>
      <c r="E740" s="1" t="s">
        <v>111</v>
      </c>
      <c r="F740" s="1" t="s">
        <v>112</v>
      </c>
      <c r="G740" s="1" t="s">
        <v>113</v>
      </c>
    </row>
    <row r="741" spans="1:7" x14ac:dyDescent="0.35">
      <c r="A741" s="1" t="str">
        <f t="shared" si="11"/>
        <v>21</v>
      </c>
      <c r="B7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41" s="1" t="s">
        <v>4469</v>
      </c>
    </row>
    <row r="742" spans="1:7" x14ac:dyDescent="0.35">
      <c r="A742" s="1" t="str">
        <f t="shared" si="11"/>
        <v>21</v>
      </c>
      <c r="B7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42" s="1" t="s">
        <v>4470</v>
      </c>
      <c r="D742" s="1" t="s">
        <v>4471</v>
      </c>
      <c r="E742" s="1" t="s">
        <v>4472</v>
      </c>
      <c r="F742" s="1" t="s">
        <v>112</v>
      </c>
      <c r="G742" s="1">
        <v>1142578</v>
      </c>
    </row>
    <row r="743" spans="1:7" x14ac:dyDescent="0.35">
      <c r="A743" s="1" t="str">
        <f t="shared" si="11"/>
        <v>21</v>
      </c>
      <c r="B7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43" s="1" t="s">
        <v>4473</v>
      </c>
      <c r="D743" s="1" t="s">
        <v>4474</v>
      </c>
      <c r="E743" s="1" t="s">
        <v>4475</v>
      </c>
      <c r="F743" s="1" t="s">
        <v>112</v>
      </c>
      <c r="G743" s="1">
        <v>1097068</v>
      </c>
    </row>
    <row r="744" spans="1:7" x14ac:dyDescent="0.35">
      <c r="A744" s="1" t="str">
        <f t="shared" si="11"/>
        <v>21</v>
      </c>
      <c r="B7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44" s="1" t="s">
        <v>4476</v>
      </c>
      <c r="D744" s="1" t="s">
        <v>4477</v>
      </c>
      <c r="E744" s="1" t="s">
        <v>4478</v>
      </c>
      <c r="F744" s="1" t="s">
        <v>112</v>
      </c>
      <c r="G744" s="1">
        <v>857409</v>
      </c>
    </row>
    <row r="745" spans="1:7" x14ac:dyDescent="0.35">
      <c r="A745" s="1" t="str">
        <f t="shared" si="11"/>
        <v>21</v>
      </c>
      <c r="B7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45" s="1" t="s">
        <v>4479</v>
      </c>
      <c r="D745" s="1" t="s">
        <v>4480</v>
      </c>
      <c r="E745" s="1" t="s">
        <v>4481</v>
      </c>
      <c r="F745" s="1" t="s">
        <v>112</v>
      </c>
      <c r="G745" s="1">
        <v>2200215</v>
      </c>
    </row>
    <row r="746" spans="1:7" x14ac:dyDescent="0.35">
      <c r="A746" s="1" t="str">
        <f t="shared" si="11"/>
        <v>21</v>
      </c>
      <c r="B7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46" s="1" t="s">
        <v>4482</v>
      </c>
      <c r="D746" s="1" t="s">
        <v>4483</v>
      </c>
      <c r="E746" s="1" t="s">
        <v>4484</v>
      </c>
      <c r="F746" s="1" t="s">
        <v>112</v>
      </c>
      <c r="G746" s="1">
        <v>2262054</v>
      </c>
    </row>
    <row r="747" spans="1:7" x14ac:dyDescent="0.35">
      <c r="A747" s="1" t="str">
        <f t="shared" si="11"/>
        <v>21</v>
      </c>
      <c r="B7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47" s="1" t="s">
        <v>4485</v>
      </c>
      <c r="D747" s="1" t="s">
        <v>4486</v>
      </c>
      <c r="E747" s="1" t="s">
        <v>4487</v>
      </c>
      <c r="F747" s="1" t="s">
        <v>112</v>
      </c>
      <c r="G747" s="1">
        <v>2326144</v>
      </c>
    </row>
    <row r="748" spans="1:7" x14ac:dyDescent="0.35">
      <c r="A748" s="1" t="str">
        <f t="shared" si="11"/>
        <v>21</v>
      </c>
      <c r="B7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48" s="1" t="s">
        <v>4488</v>
      </c>
      <c r="D748" s="1" t="s">
        <v>4489</v>
      </c>
      <c r="E748" s="1" t="s">
        <v>4490</v>
      </c>
      <c r="F748" s="1" t="s">
        <v>112</v>
      </c>
      <c r="G748" s="1">
        <v>2117026</v>
      </c>
    </row>
    <row r="749" spans="1:7" x14ac:dyDescent="0.35">
      <c r="A749" s="1" t="str">
        <f t="shared" si="11"/>
        <v>21</v>
      </c>
      <c r="B7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9" s="1" t="s">
        <v>4491</v>
      </c>
      <c r="D749" s="1" t="s">
        <v>4492</v>
      </c>
      <c r="E749" s="1" t="s">
        <v>4493</v>
      </c>
      <c r="F749" s="1" t="s">
        <v>112</v>
      </c>
      <c r="G749" s="1">
        <v>3161534</v>
      </c>
    </row>
    <row r="750" spans="1:7" x14ac:dyDescent="0.35">
      <c r="A750" s="1" t="str">
        <f t="shared" si="11"/>
        <v>21</v>
      </c>
      <c r="B7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0" s="1" t="s">
        <v>4494</v>
      </c>
      <c r="D750" s="1" t="s">
        <v>4495</v>
      </c>
      <c r="E750" s="1" t="s">
        <v>4496</v>
      </c>
      <c r="F750" s="1" t="s">
        <v>112</v>
      </c>
      <c r="G750" s="1">
        <v>2968335</v>
      </c>
    </row>
    <row r="751" spans="1:7" x14ac:dyDescent="0.35">
      <c r="A751" s="1" t="str">
        <f t="shared" si="11"/>
        <v>21</v>
      </c>
      <c r="B7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1" s="1" t="s">
        <v>4497</v>
      </c>
      <c r="D751" s="1" t="s">
        <v>4498</v>
      </c>
      <c r="E751" s="1" t="s">
        <v>4499</v>
      </c>
      <c r="F751" s="1" t="s">
        <v>112</v>
      </c>
      <c r="G751" s="1">
        <v>2956439</v>
      </c>
    </row>
    <row r="752" spans="1:7" x14ac:dyDescent="0.35">
      <c r="A752" s="1" t="str">
        <f t="shared" si="11"/>
        <v>21</v>
      </c>
      <c r="B7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2" s="1" t="s">
        <v>4500</v>
      </c>
      <c r="D752" s="1" t="s">
        <v>4501</v>
      </c>
      <c r="E752" s="1" t="s">
        <v>4502</v>
      </c>
      <c r="F752" s="1" t="s">
        <v>112</v>
      </c>
      <c r="G752" s="1">
        <v>3132939</v>
      </c>
    </row>
    <row r="753" spans="1:7" x14ac:dyDescent="0.35">
      <c r="A753" s="1" t="str">
        <f t="shared" si="11"/>
        <v>21</v>
      </c>
      <c r="B7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53" s="1" t="s">
        <v>4503</v>
      </c>
      <c r="D753" s="1" t="s">
        <v>4504</v>
      </c>
      <c r="E753" s="1" t="s">
        <v>4505</v>
      </c>
      <c r="F753" s="1" t="s">
        <v>112</v>
      </c>
      <c r="G753" s="1">
        <v>2404725</v>
      </c>
    </row>
    <row r="754" spans="1:7" x14ac:dyDescent="0.35">
      <c r="A754" s="1" t="str">
        <f t="shared" si="11"/>
        <v>21</v>
      </c>
      <c r="B7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54" s="1" t="s">
        <v>4506</v>
      </c>
      <c r="D754" s="1" t="s">
        <v>4507</v>
      </c>
      <c r="E754" s="1" t="s">
        <v>4508</v>
      </c>
      <c r="F754" s="1" t="s">
        <v>112</v>
      </c>
      <c r="G754" s="1">
        <v>3165232</v>
      </c>
    </row>
    <row r="755" spans="1:7" x14ac:dyDescent="0.35">
      <c r="A755" s="1" t="str">
        <f t="shared" si="11"/>
        <v>21</v>
      </c>
      <c r="B7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55" s="1" t="s">
        <v>4509</v>
      </c>
      <c r="D755" s="1" t="s">
        <v>4510</v>
      </c>
      <c r="E755" s="1" t="s">
        <v>4511</v>
      </c>
      <c r="F755" s="1" t="s">
        <v>112</v>
      </c>
      <c r="G755" s="1">
        <v>2525160</v>
      </c>
    </row>
    <row r="756" spans="1:7" x14ac:dyDescent="0.35">
      <c r="A756" s="1" t="str">
        <f t="shared" si="11"/>
        <v>21</v>
      </c>
      <c r="B7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56" s="1" t="s">
        <v>4512</v>
      </c>
      <c r="D756" s="1" t="s">
        <v>4513</v>
      </c>
      <c r="E756" s="1" t="s">
        <v>4514</v>
      </c>
      <c r="F756" s="1" t="s">
        <v>112</v>
      </c>
      <c r="G756" s="1">
        <v>3268385</v>
      </c>
    </row>
    <row r="757" spans="1:7" x14ac:dyDescent="0.35">
      <c r="A757" s="1" t="str">
        <f t="shared" si="11"/>
        <v>21</v>
      </c>
      <c r="B7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757" s="1" t="s">
        <v>4515</v>
      </c>
      <c r="D757" s="1" t="s">
        <v>4516</v>
      </c>
      <c r="E757" s="1" t="s">
        <v>4517</v>
      </c>
      <c r="F757" s="1" t="s">
        <v>112</v>
      </c>
      <c r="G757" s="1">
        <v>395048</v>
      </c>
    </row>
    <row r="758" spans="1:7" x14ac:dyDescent="0.35">
      <c r="A758" s="1" t="str">
        <f t="shared" si="11"/>
        <v>21</v>
      </c>
      <c r="B7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758" s="1" t="s">
        <v>4518</v>
      </c>
      <c r="D758" s="1" t="s">
        <v>280</v>
      </c>
      <c r="E758" s="1" t="s">
        <v>4519</v>
      </c>
      <c r="F758" s="1" t="s">
        <v>112</v>
      </c>
      <c r="G758" s="1">
        <v>438568</v>
      </c>
    </row>
    <row r="759" spans="1:7" x14ac:dyDescent="0.35">
      <c r="A759" s="1" t="str">
        <f t="shared" si="11"/>
        <v>21</v>
      </c>
      <c r="B7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759" s="1" t="s">
        <v>4520</v>
      </c>
      <c r="D759" s="1" t="s">
        <v>4521</v>
      </c>
      <c r="E759" s="1" t="s">
        <v>4522</v>
      </c>
      <c r="F759" s="1" t="s">
        <v>112</v>
      </c>
      <c r="G759" s="1">
        <v>651709</v>
      </c>
    </row>
    <row r="760" spans="1:7" x14ac:dyDescent="0.35">
      <c r="A760" s="1" t="str">
        <f t="shared" si="11"/>
        <v>21</v>
      </c>
      <c r="B7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760" s="1" t="s">
        <v>4523</v>
      </c>
      <c r="D760" s="1" t="s">
        <v>4524</v>
      </c>
      <c r="E760" s="1" t="s">
        <v>4525</v>
      </c>
      <c r="F760" s="1" t="s">
        <v>112</v>
      </c>
      <c r="G760" s="1">
        <v>1060362</v>
      </c>
    </row>
    <row r="761" spans="1:7" x14ac:dyDescent="0.35">
      <c r="A761" s="1" t="str">
        <f t="shared" si="11"/>
        <v>21</v>
      </c>
      <c r="B7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761" s="1" t="s">
        <v>4526</v>
      </c>
      <c r="D761" s="1" t="s">
        <v>4527</v>
      </c>
      <c r="E761" s="1" t="s">
        <v>4528</v>
      </c>
      <c r="F761" s="1" t="s">
        <v>112</v>
      </c>
      <c r="G761" s="1">
        <v>1750918</v>
      </c>
    </row>
    <row r="762" spans="1:7" x14ac:dyDescent="0.35">
      <c r="A762" s="1" t="str">
        <f t="shared" si="11"/>
        <v>21</v>
      </c>
      <c r="B7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762" s="1" t="s">
        <v>4529</v>
      </c>
      <c r="D762" s="1" t="s">
        <v>3715</v>
      </c>
      <c r="E762" s="1" t="s">
        <v>4530</v>
      </c>
      <c r="F762" s="1" t="s">
        <v>112</v>
      </c>
      <c r="G762" s="1">
        <v>2424581</v>
      </c>
    </row>
    <row r="763" spans="1:7" x14ac:dyDescent="0.35">
      <c r="A763" s="1" t="str">
        <f t="shared" si="11"/>
        <v>21</v>
      </c>
      <c r="B7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763" s="1" t="s">
        <v>4531</v>
      </c>
      <c r="D763" s="1" t="s">
        <v>4532</v>
      </c>
      <c r="E763" s="1" t="s">
        <v>4533</v>
      </c>
      <c r="F763" s="1" t="s">
        <v>112</v>
      </c>
      <c r="G763" s="1">
        <v>2345632</v>
      </c>
    </row>
    <row r="764" spans="1:7" x14ac:dyDescent="0.35">
      <c r="A764" s="1" t="str">
        <f t="shared" si="11"/>
        <v>21</v>
      </c>
      <c r="B7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764" s="1" t="s">
        <v>4534</v>
      </c>
      <c r="D764" s="1" t="s">
        <v>4535</v>
      </c>
      <c r="E764" s="1" t="s">
        <v>1865</v>
      </c>
      <c r="F764" s="1" t="s">
        <v>112</v>
      </c>
      <c r="G764" s="1">
        <v>1912450</v>
      </c>
    </row>
    <row r="765" spans="1:7" x14ac:dyDescent="0.35">
      <c r="A765" s="1" t="str">
        <f t="shared" si="11"/>
        <v>21</v>
      </c>
      <c r="B7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65" s="1" t="s">
        <v>4536</v>
      </c>
      <c r="D765" s="1" t="s">
        <v>4537</v>
      </c>
      <c r="E765" s="1" t="s">
        <v>4538</v>
      </c>
      <c r="F765" s="1" t="s">
        <v>112</v>
      </c>
      <c r="G765" s="1">
        <v>387262</v>
      </c>
    </row>
    <row r="766" spans="1:7" x14ac:dyDescent="0.35">
      <c r="A766" s="1" t="str">
        <f t="shared" si="11"/>
        <v>21</v>
      </c>
      <c r="B7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66" s="1" t="s">
        <v>4539</v>
      </c>
      <c r="D766" s="1" t="s">
        <v>4540</v>
      </c>
      <c r="E766" s="1" t="s">
        <v>4541</v>
      </c>
      <c r="F766" s="1" t="s">
        <v>112</v>
      </c>
      <c r="G766" s="1">
        <v>360549</v>
      </c>
    </row>
    <row r="767" spans="1:7" x14ac:dyDescent="0.35">
      <c r="A767" s="1" t="str">
        <f t="shared" si="11"/>
        <v>21</v>
      </c>
      <c r="B7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67" s="1" t="s">
        <v>4542</v>
      </c>
      <c r="D767" s="1" t="s">
        <v>2860</v>
      </c>
      <c r="E767" s="1" t="s">
        <v>4543</v>
      </c>
      <c r="F767" s="1" t="s">
        <v>112</v>
      </c>
      <c r="G767" s="1">
        <v>262955</v>
      </c>
    </row>
    <row r="768" spans="1:7" x14ac:dyDescent="0.35">
      <c r="A768" s="1" t="str">
        <f t="shared" si="11"/>
        <v>21</v>
      </c>
      <c r="B7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68" s="1" t="s">
        <v>4544</v>
      </c>
      <c r="D768" s="1" t="s">
        <v>1468</v>
      </c>
      <c r="E768" s="1" t="s">
        <v>4545</v>
      </c>
      <c r="F768" s="1" t="s">
        <v>112</v>
      </c>
      <c r="G768" s="1">
        <v>278615</v>
      </c>
    </row>
    <row r="769" spans="1:8" x14ac:dyDescent="0.35">
      <c r="A769" s="1" t="str">
        <f t="shared" si="11"/>
        <v>21</v>
      </c>
      <c r="B7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69" s="1" t="s">
        <v>4546</v>
      </c>
      <c r="D769" s="1" t="s">
        <v>4547</v>
      </c>
      <c r="E769" s="1" t="s">
        <v>4548</v>
      </c>
      <c r="F769" s="1" t="s">
        <v>112</v>
      </c>
      <c r="G769" s="1">
        <v>1822297</v>
      </c>
    </row>
    <row r="770" spans="1:8" x14ac:dyDescent="0.35">
      <c r="A770" s="1" t="str">
        <f t="shared" ref="A770:A833" si="12">IFERROR(LEFT(RIGHT(C770,LEN(C770)-SEARCH("@",C770)),SEARCH("/",RIGHT(C770,LEN(C770)-SEARCH("@",C770)-1))),"")</f>
        <v>21</v>
      </c>
      <c r="B7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70" s="1" t="s">
        <v>4549</v>
      </c>
      <c r="D770" s="1" t="s">
        <v>2730</v>
      </c>
      <c r="E770" s="1" t="s">
        <v>4550</v>
      </c>
      <c r="F770" s="1" t="s">
        <v>112</v>
      </c>
      <c r="G770" s="1">
        <v>1548311</v>
      </c>
    </row>
    <row r="771" spans="1:8" x14ac:dyDescent="0.35">
      <c r="A771" s="1" t="str">
        <f t="shared" si="12"/>
        <v>21</v>
      </c>
      <c r="B7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71" s="1" t="s">
        <v>4551</v>
      </c>
    </row>
    <row r="772" spans="1:8" x14ac:dyDescent="0.35">
      <c r="A772" s="1" t="str">
        <f t="shared" si="12"/>
        <v>21</v>
      </c>
      <c r="B7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72" s="1" t="s">
        <v>4552</v>
      </c>
    </row>
    <row r="773" spans="1:8" x14ac:dyDescent="0.3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73" s="1" t="s">
        <v>112</v>
      </c>
    </row>
    <row r="774" spans="1:8" x14ac:dyDescent="0.3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74" s="1" t="s">
        <v>227</v>
      </c>
      <c r="D774" s="1" t="s">
        <v>112</v>
      </c>
      <c r="E774" s="1" t="s">
        <v>228</v>
      </c>
      <c r="F774" s="1" t="s">
        <v>229</v>
      </c>
      <c r="G774" s="1" t="s">
        <v>230</v>
      </c>
      <c r="H774" s="1" t="s">
        <v>231</v>
      </c>
    </row>
    <row r="775" spans="1:8" x14ac:dyDescent="0.35">
      <c r="A775" s="1" t="str">
        <f t="shared" si="12"/>
        <v>21</v>
      </c>
      <c r="B7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775" s="1" t="s">
        <v>4553</v>
      </c>
      <c r="D775" s="1" t="s">
        <v>112</v>
      </c>
      <c r="E775" s="1" t="s">
        <v>4554</v>
      </c>
      <c r="F775" s="1" t="s">
        <v>4555</v>
      </c>
      <c r="G775" s="1" t="s">
        <v>4556</v>
      </c>
      <c r="H775" s="1" t="s">
        <v>4557</v>
      </c>
    </row>
    <row r="776" spans="1:8" x14ac:dyDescent="0.3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76" s="1" t="s">
        <v>112</v>
      </c>
    </row>
    <row r="777" spans="1:8" x14ac:dyDescent="0.3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77" s="1" t="s">
        <v>112</v>
      </c>
    </row>
    <row r="778" spans="1:8" x14ac:dyDescent="0.3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78" s="1" t="s">
        <v>112</v>
      </c>
    </row>
    <row r="779" spans="1:8" x14ac:dyDescent="0.3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79" s="1" t="s">
        <v>112</v>
      </c>
    </row>
    <row r="780" spans="1:8" x14ac:dyDescent="0.3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80" s="1" t="s">
        <v>112</v>
      </c>
    </row>
    <row r="781" spans="1:8" x14ac:dyDescent="0.3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81" s="1" t="s">
        <v>171</v>
      </c>
      <c r="D781" s="1" t="s">
        <v>110</v>
      </c>
      <c r="E781" s="1" t="s">
        <v>111</v>
      </c>
      <c r="F781" s="1" t="s">
        <v>112</v>
      </c>
      <c r="G781" s="1" t="s">
        <v>113</v>
      </c>
    </row>
    <row r="782" spans="1:8" x14ac:dyDescent="0.35">
      <c r="A782" s="1" t="str">
        <f t="shared" si="12"/>
        <v>8</v>
      </c>
      <c r="B7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82" s="1" t="s">
        <v>4558</v>
      </c>
      <c r="D782" s="1" t="s">
        <v>210</v>
      </c>
      <c r="E782" s="1" t="s">
        <v>4559</v>
      </c>
      <c r="F782" s="1" t="s">
        <v>112</v>
      </c>
      <c r="G782" s="1">
        <v>192333</v>
      </c>
    </row>
    <row r="783" spans="1:8" x14ac:dyDescent="0.35">
      <c r="A783" s="1" t="str">
        <f t="shared" si="12"/>
        <v>8</v>
      </c>
      <c r="B7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83" s="1" t="s">
        <v>4560</v>
      </c>
      <c r="D783" s="1" t="s">
        <v>270</v>
      </c>
      <c r="E783" s="1" t="s">
        <v>4561</v>
      </c>
      <c r="F783" s="1" t="s">
        <v>112</v>
      </c>
      <c r="G783" s="1">
        <v>255319</v>
      </c>
    </row>
    <row r="784" spans="1:8" x14ac:dyDescent="0.35">
      <c r="A784" s="1" t="str">
        <f t="shared" si="12"/>
        <v>8</v>
      </c>
      <c r="B7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84" s="1" t="s">
        <v>4562</v>
      </c>
      <c r="D784" s="1" t="s">
        <v>4563</v>
      </c>
      <c r="E784" s="1" t="s">
        <v>4564</v>
      </c>
      <c r="F784" s="1" t="s">
        <v>112</v>
      </c>
      <c r="G784" s="1">
        <v>54378</v>
      </c>
    </row>
    <row r="785" spans="1:7" x14ac:dyDescent="0.35">
      <c r="A785" s="1" t="str">
        <f t="shared" si="12"/>
        <v>8</v>
      </c>
      <c r="B7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85" s="1" t="s">
        <v>4565</v>
      </c>
      <c r="D785" s="1" t="s">
        <v>1560</v>
      </c>
      <c r="E785" s="1" t="s">
        <v>4566</v>
      </c>
      <c r="F785" s="1" t="s">
        <v>112</v>
      </c>
      <c r="G785" s="1">
        <v>275457</v>
      </c>
    </row>
    <row r="786" spans="1:7" x14ac:dyDescent="0.35">
      <c r="A786" s="1" t="str">
        <f t="shared" si="12"/>
        <v>8</v>
      </c>
      <c r="B7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86" s="1" t="s">
        <v>4567</v>
      </c>
      <c r="D786" s="1" t="s">
        <v>4059</v>
      </c>
      <c r="E786" s="1" t="s">
        <v>4568</v>
      </c>
      <c r="F786" s="1" t="s">
        <v>112</v>
      </c>
      <c r="G786" s="1">
        <v>107046</v>
      </c>
    </row>
    <row r="787" spans="1:7" x14ac:dyDescent="0.35">
      <c r="A787" s="1" t="str">
        <f t="shared" si="12"/>
        <v>8</v>
      </c>
      <c r="B7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87" s="1" t="s">
        <v>4569</v>
      </c>
      <c r="D787" s="1" t="s">
        <v>256</v>
      </c>
      <c r="E787" s="1" t="s">
        <v>4570</v>
      </c>
      <c r="F787" s="1" t="s">
        <v>112</v>
      </c>
      <c r="G787" s="1">
        <v>3374</v>
      </c>
    </row>
    <row r="788" spans="1:7" x14ac:dyDescent="0.35">
      <c r="A788" s="1" t="str">
        <f t="shared" si="12"/>
        <v>8</v>
      </c>
      <c r="B7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88" s="1" t="s">
        <v>4571</v>
      </c>
      <c r="D788" s="1" t="s">
        <v>3894</v>
      </c>
      <c r="E788" s="1" t="s">
        <v>4572</v>
      </c>
      <c r="F788" s="1" t="s">
        <v>112</v>
      </c>
      <c r="G788" s="1">
        <v>140811</v>
      </c>
    </row>
    <row r="789" spans="1:7" x14ac:dyDescent="0.35">
      <c r="A789" s="1" t="str">
        <f t="shared" si="12"/>
        <v>8</v>
      </c>
      <c r="B7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89" s="1" t="s">
        <v>4573</v>
      </c>
    </row>
    <row r="790" spans="1:7" x14ac:dyDescent="0.35">
      <c r="A790" s="1" t="str">
        <f t="shared" si="12"/>
        <v>8</v>
      </c>
      <c r="B7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90" s="1" t="s">
        <v>4574</v>
      </c>
      <c r="D790" s="1" t="s">
        <v>4575</v>
      </c>
      <c r="E790" s="1" t="s">
        <v>4576</v>
      </c>
      <c r="F790" s="1" t="s">
        <v>112</v>
      </c>
      <c r="G790" s="1">
        <v>224042</v>
      </c>
    </row>
    <row r="791" spans="1:7" x14ac:dyDescent="0.35">
      <c r="A791" s="1" t="str">
        <f t="shared" si="12"/>
        <v>8</v>
      </c>
      <c r="B7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91" s="1" t="s">
        <v>4577</v>
      </c>
      <c r="D791" s="1" t="s">
        <v>2860</v>
      </c>
      <c r="E791" s="1" t="s">
        <v>4578</v>
      </c>
      <c r="F791" s="1" t="s">
        <v>112</v>
      </c>
      <c r="G791" s="1">
        <v>236804</v>
      </c>
    </row>
    <row r="792" spans="1:7" x14ac:dyDescent="0.35">
      <c r="A792" s="1" t="str">
        <f t="shared" si="12"/>
        <v>8</v>
      </c>
      <c r="B7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92" s="1" t="s">
        <v>4579</v>
      </c>
      <c r="D792" s="1" t="s">
        <v>4580</v>
      </c>
      <c r="E792" s="1" t="s">
        <v>4581</v>
      </c>
      <c r="F792" s="1" t="s">
        <v>112</v>
      </c>
      <c r="G792" s="1">
        <v>208599</v>
      </c>
    </row>
    <row r="793" spans="1:7" x14ac:dyDescent="0.35">
      <c r="A793" s="1" t="str">
        <f t="shared" si="12"/>
        <v>8</v>
      </c>
      <c r="B7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93" s="1" t="s">
        <v>4582</v>
      </c>
      <c r="D793" s="1" t="s">
        <v>4583</v>
      </c>
      <c r="E793" s="1" t="s">
        <v>4584</v>
      </c>
      <c r="F793" s="1" t="s">
        <v>112</v>
      </c>
      <c r="G793" s="1">
        <v>340087</v>
      </c>
    </row>
    <row r="794" spans="1:7" x14ac:dyDescent="0.35">
      <c r="A794" s="1" t="str">
        <f t="shared" si="12"/>
        <v>8</v>
      </c>
      <c r="B7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4" s="1" t="s">
        <v>4585</v>
      </c>
      <c r="D794" s="1" t="s">
        <v>1563</v>
      </c>
      <c r="E794" s="1" t="s">
        <v>4586</v>
      </c>
      <c r="F794" s="1" t="s">
        <v>112</v>
      </c>
      <c r="G794" s="1">
        <v>221771</v>
      </c>
    </row>
    <row r="795" spans="1:7" x14ac:dyDescent="0.35">
      <c r="A795" s="1" t="str">
        <f t="shared" si="12"/>
        <v>8</v>
      </c>
      <c r="B7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5" s="1" t="s">
        <v>4587</v>
      </c>
      <c r="D795" s="1" t="s">
        <v>2449</v>
      </c>
      <c r="E795" s="1" t="s">
        <v>4588</v>
      </c>
      <c r="F795" s="1" t="s">
        <v>112</v>
      </c>
      <c r="G795" s="1">
        <v>178360</v>
      </c>
    </row>
    <row r="796" spans="1:7" x14ac:dyDescent="0.35">
      <c r="A796" s="1" t="str">
        <f t="shared" si="12"/>
        <v>8</v>
      </c>
      <c r="B7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6" s="1" t="s">
        <v>4589</v>
      </c>
      <c r="D796" s="1" t="s">
        <v>464</v>
      </c>
      <c r="E796" s="1" t="s">
        <v>4590</v>
      </c>
      <c r="F796" s="1" t="s">
        <v>112</v>
      </c>
      <c r="G796" s="1">
        <v>77370</v>
      </c>
    </row>
    <row r="797" spans="1:7" x14ac:dyDescent="0.35">
      <c r="A797" s="1" t="str">
        <f t="shared" si="12"/>
        <v>8</v>
      </c>
      <c r="B7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7" s="1" t="s">
        <v>4591</v>
      </c>
      <c r="D797" s="1" t="s">
        <v>2394</v>
      </c>
      <c r="E797" s="1" t="s">
        <v>4592</v>
      </c>
      <c r="F797" s="1" t="s">
        <v>112</v>
      </c>
      <c r="G797" s="1">
        <v>61732</v>
      </c>
    </row>
    <row r="798" spans="1:7" x14ac:dyDescent="0.35">
      <c r="A798" s="1" t="str">
        <f t="shared" si="12"/>
        <v>8</v>
      </c>
      <c r="B7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798" s="1" t="s">
        <v>4593</v>
      </c>
      <c r="D798" s="1" t="s">
        <v>1621</v>
      </c>
      <c r="E798" s="1" t="s">
        <v>4594</v>
      </c>
      <c r="F798" s="1" t="s">
        <v>112</v>
      </c>
      <c r="G798" s="1">
        <v>310259</v>
      </c>
    </row>
    <row r="799" spans="1:7" x14ac:dyDescent="0.35">
      <c r="A799" s="1" t="str">
        <f t="shared" si="12"/>
        <v>8</v>
      </c>
      <c r="B7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799" s="1" t="s">
        <v>4595</v>
      </c>
      <c r="D799" s="1" t="s">
        <v>490</v>
      </c>
      <c r="E799" s="1" t="s">
        <v>4596</v>
      </c>
      <c r="F799" s="1" t="s">
        <v>112</v>
      </c>
      <c r="G799" s="1">
        <v>258456</v>
      </c>
    </row>
    <row r="800" spans="1:7" x14ac:dyDescent="0.35">
      <c r="A800" s="1" t="str">
        <f t="shared" si="12"/>
        <v>8</v>
      </c>
      <c r="B8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0" s="1" t="s">
        <v>4597</v>
      </c>
      <c r="D800" s="1" t="s">
        <v>4598</v>
      </c>
      <c r="E800" s="1" t="s">
        <v>4599</v>
      </c>
      <c r="F800" s="1" t="s">
        <v>112</v>
      </c>
      <c r="G800" s="1">
        <v>303229</v>
      </c>
    </row>
    <row r="801" spans="1:8" x14ac:dyDescent="0.35">
      <c r="A801" s="1" t="str">
        <f t="shared" si="12"/>
        <v>8</v>
      </c>
      <c r="B8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1" s="1" t="s">
        <v>4600</v>
      </c>
      <c r="D801" s="1" t="s">
        <v>1510</v>
      </c>
      <c r="E801" s="1" t="s">
        <v>4601</v>
      </c>
      <c r="F801" s="1" t="s">
        <v>112</v>
      </c>
      <c r="G801" s="1">
        <v>175959</v>
      </c>
    </row>
    <row r="802" spans="1:8" x14ac:dyDescent="0.35">
      <c r="A802" s="1" t="str">
        <f t="shared" si="12"/>
        <v>8</v>
      </c>
      <c r="B8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02" s="1" t="s">
        <v>4602</v>
      </c>
    </row>
    <row r="803" spans="1:8" x14ac:dyDescent="0.35">
      <c r="A803" s="1" t="str">
        <f t="shared" si="12"/>
        <v>8</v>
      </c>
      <c r="B8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03" s="1" t="s">
        <v>4603</v>
      </c>
    </row>
    <row r="804" spans="1:8" x14ac:dyDescent="0.35">
      <c r="A804" s="1" t="str">
        <f t="shared" si="12"/>
        <v>8</v>
      </c>
      <c r="B8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04" s="1" t="s">
        <v>4604</v>
      </c>
    </row>
    <row r="805" spans="1:8" x14ac:dyDescent="0.35">
      <c r="A805" s="1" t="str">
        <f t="shared" si="12"/>
        <v>8</v>
      </c>
      <c r="B8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05" s="1" t="s">
        <v>4605</v>
      </c>
      <c r="D805" s="1" t="s">
        <v>1880</v>
      </c>
      <c r="E805" s="1" t="s">
        <v>4606</v>
      </c>
      <c r="F805" s="1" t="s">
        <v>112</v>
      </c>
      <c r="G805" s="1">
        <v>164387</v>
      </c>
    </row>
    <row r="806" spans="1:8" x14ac:dyDescent="0.35">
      <c r="A806" s="1" t="str">
        <f t="shared" si="12"/>
        <v>8</v>
      </c>
      <c r="B8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06" s="1" t="s">
        <v>4607</v>
      </c>
      <c r="D806" s="1" t="s">
        <v>1907</v>
      </c>
      <c r="E806" s="1" t="s">
        <v>4608</v>
      </c>
      <c r="F806" s="1" t="s">
        <v>112</v>
      </c>
      <c r="G806" s="1">
        <v>106744</v>
      </c>
    </row>
    <row r="807" spans="1:8" x14ac:dyDescent="0.35">
      <c r="A807" s="1" t="str">
        <f t="shared" si="12"/>
        <v>8</v>
      </c>
      <c r="B8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07" s="1" t="s">
        <v>4609</v>
      </c>
      <c r="D807" s="1" t="s">
        <v>2072</v>
      </c>
      <c r="E807" s="1" t="s">
        <v>4610</v>
      </c>
      <c r="F807" s="1" t="s">
        <v>112</v>
      </c>
      <c r="G807" s="1">
        <v>228888</v>
      </c>
    </row>
    <row r="808" spans="1:8" x14ac:dyDescent="0.35">
      <c r="A808" s="1" t="str">
        <f t="shared" si="12"/>
        <v>8</v>
      </c>
      <c r="B8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08" s="1" t="s">
        <v>4611</v>
      </c>
      <c r="D808" s="1" t="s">
        <v>1560</v>
      </c>
      <c r="E808" s="1" t="s">
        <v>4612</v>
      </c>
      <c r="F808" s="1" t="s">
        <v>112</v>
      </c>
      <c r="G808" s="1">
        <v>333576</v>
      </c>
    </row>
    <row r="809" spans="1:8" x14ac:dyDescent="0.35">
      <c r="A809" s="1" t="str">
        <f t="shared" si="12"/>
        <v>8</v>
      </c>
      <c r="B8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09" s="1" t="s">
        <v>4613</v>
      </c>
      <c r="D809" s="1" t="s">
        <v>4614</v>
      </c>
      <c r="E809" s="1" t="s">
        <v>4615</v>
      </c>
      <c r="F809" s="1" t="s">
        <v>112</v>
      </c>
      <c r="G809" s="1">
        <v>88077</v>
      </c>
    </row>
    <row r="810" spans="1:8" x14ac:dyDescent="0.35">
      <c r="A810" s="1" t="str">
        <f t="shared" si="12"/>
        <v>8</v>
      </c>
      <c r="B8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10" s="1" t="s">
        <v>4616</v>
      </c>
    </row>
    <row r="811" spans="1:8" x14ac:dyDescent="0.35">
      <c r="A811" s="1" t="str">
        <f t="shared" si="12"/>
        <v>8</v>
      </c>
      <c r="B8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11" s="1" t="s">
        <v>4617</v>
      </c>
      <c r="D811" s="1" t="s">
        <v>4618</v>
      </c>
      <c r="E811" s="1" t="s">
        <v>4619</v>
      </c>
      <c r="F811" s="1" t="s">
        <v>112</v>
      </c>
      <c r="G811" s="1">
        <v>212514</v>
      </c>
    </row>
    <row r="812" spans="1:8" x14ac:dyDescent="0.35">
      <c r="A812" s="1" t="str">
        <f t="shared" si="12"/>
        <v>8</v>
      </c>
      <c r="B8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12" s="1" t="s">
        <v>4620</v>
      </c>
      <c r="D812" s="1" t="s">
        <v>4540</v>
      </c>
      <c r="E812" s="1" t="s">
        <v>4621</v>
      </c>
      <c r="F812" s="1" t="s">
        <v>112</v>
      </c>
      <c r="G812" s="1">
        <v>335112</v>
      </c>
    </row>
    <row r="813" spans="1:8" x14ac:dyDescent="0.35">
      <c r="A813" s="1" t="str">
        <f t="shared" si="12"/>
        <v>8</v>
      </c>
      <c r="B8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13" s="1" t="s">
        <v>4622</v>
      </c>
      <c r="D813" s="1" t="s">
        <v>4623</v>
      </c>
      <c r="E813" s="1" t="s">
        <v>4624</v>
      </c>
      <c r="F813" s="1" t="s">
        <v>112</v>
      </c>
      <c r="G813" s="1">
        <v>264123</v>
      </c>
    </row>
    <row r="814" spans="1:8" x14ac:dyDescent="0.3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14" s="1" t="s">
        <v>112</v>
      </c>
    </row>
    <row r="815" spans="1:8" x14ac:dyDescent="0.3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15" s="1" t="s">
        <v>227</v>
      </c>
      <c r="D815" s="1" t="s">
        <v>112</v>
      </c>
      <c r="E815" s="1" t="s">
        <v>228</v>
      </c>
      <c r="F815" s="1" t="s">
        <v>229</v>
      </c>
      <c r="G815" s="1" t="s">
        <v>230</v>
      </c>
      <c r="H815" s="1" t="s">
        <v>231</v>
      </c>
    </row>
    <row r="816" spans="1:8" x14ac:dyDescent="0.35">
      <c r="A816" s="1" t="str">
        <f t="shared" si="12"/>
        <v>8</v>
      </c>
      <c r="B8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816" s="1" t="s">
        <v>4625</v>
      </c>
      <c r="D816" s="1" t="s">
        <v>112</v>
      </c>
      <c r="E816" s="1" t="s">
        <v>4626</v>
      </c>
      <c r="F816" s="1" t="s">
        <v>4627</v>
      </c>
      <c r="G816" s="1" t="s">
        <v>4628</v>
      </c>
      <c r="H816" s="1" t="s">
        <v>4629</v>
      </c>
    </row>
    <row r="817" spans="1:7" x14ac:dyDescent="0.3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17" s="1" t="s">
        <v>112</v>
      </c>
    </row>
    <row r="818" spans="1:7" x14ac:dyDescent="0.3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18" s="1" t="s">
        <v>112</v>
      </c>
    </row>
    <row r="819" spans="1:7" x14ac:dyDescent="0.3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19" s="1" t="s">
        <v>112</v>
      </c>
    </row>
    <row r="820" spans="1:7" x14ac:dyDescent="0.3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20" s="1" t="s">
        <v>112</v>
      </c>
    </row>
    <row r="821" spans="1:7" x14ac:dyDescent="0.3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21" s="1" t="s">
        <v>112</v>
      </c>
    </row>
    <row r="822" spans="1:7" x14ac:dyDescent="0.3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22" s="1" t="s">
        <v>171</v>
      </c>
      <c r="D822" s="1" t="s">
        <v>110</v>
      </c>
      <c r="E822" s="1" t="s">
        <v>111</v>
      </c>
      <c r="F822" s="1" t="s">
        <v>112</v>
      </c>
      <c r="G822" s="1" t="s">
        <v>113</v>
      </c>
    </row>
    <row r="823" spans="1:7" x14ac:dyDescent="0.35">
      <c r="A823" s="1" t="str">
        <f t="shared" si="12"/>
        <v>9</v>
      </c>
      <c r="B8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823" s="1" t="s">
        <v>4630</v>
      </c>
    </row>
    <row r="824" spans="1:7" x14ac:dyDescent="0.35">
      <c r="A824" s="1" t="str">
        <f t="shared" si="12"/>
        <v>9</v>
      </c>
      <c r="B8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824" s="1" t="s">
        <v>4631</v>
      </c>
      <c r="D824" s="1" t="s">
        <v>3451</v>
      </c>
      <c r="E824" s="1" t="s">
        <v>4632</v>
      </c>
      <c r="F824" s="1" t="s">
        <v>112</v>
      </c>
      <c r="G824" s="1">
        <v>98567</v>
      </c>
    </row>
    <row r="825" spans="1:7" x14ac:dyDescent="0.35">
      <c r="A825" s="1" t="str">
        <f t="shared" si="12"/>
        <v>9</v>
      </c>
      <c r="B8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825" s="1" t="s">
        <v>4633</v>
      </c>
      <c r="D825" s="1" t="s">
        <v>2099</v>
      </c>
      <c r="E825" s="1" t="s">
        <v>4634</v>
      </c>
      <c r="F825" s="1" t="s">
        <v>112</v>
      </c>
      <c r="G825" s="1">
        <v>196183</v>
      </c>
    </row>
    <row r="826" spans="1:7" x14ac:dyDescent="0.35">
      <c r="A826" s="1" t="str">
        <f t="shared" si="12"/>
        <v>9</v>
      </c>
      <c r="B8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826" s="1" t="s">
        <v>4635</v>
      </c>
    </row>
    <row r="827" spans="1:7" x14ac:dyDescent="0.35">
      <c r="A827" s="1" t="str">
        <f t="shared" si="12"/>
        <v>9</v>
      </c>
      <c r="B8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827" s="1" t="s">
        <v>4636</v>
      </c>
      <c r="D827" s="1" t="s">
        <v>4637</v>
      </c>
      <c r="E827" s="1" t="s">
        <v>1968</v>
      </c>
      <c r="F827" s="1" t="s">
        <v>112</v>
      </c>
      <c r="G827" s="1">
        <v>22603</v>
      </c>
    </row>
    <row r="828" spans="1:7" x14ac:dyDescent="0.35">
      <c r="A828" s="1" t="str">
        <f t="shared" si="12"/>
        <v>9</v>
      </c>
      <c r="B8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828" s="1" t="s">
        <v>4638</v>
      </c>
      <c r="D828" s="1" t="s">
        <v>4639</v>
      </c>
      <c r="E828" s="1" t="s">
        <v>4640</v>
      </c>
      <c r="F828" s="1" t="s">
        <v>112</v>
      </c>
      <c r="G828" s="1">
        <v>55524</v>
      </c>
    </row>
    <row r="829" spans="1:7" x14ac:dyDescent="0.35">
      <c r="A829" s="1" t="str">
        <f t="shared" si="12"/>
        <v>9</v>
      </c>
      <c r="B8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829" s="1" t="s">
        <v>4641</v>
      </c>
      <c r="D829" s="1" t="s">
        <v>4202</v>
      </c>
      <c r="E829" s="1" t="s">
        <v>4642</v>
      </c>
      <c r="F829" s="1" t="s">
        <v>112</v>
      </c>
      <c r="G829" s="1">
        <v>31926</v>
      </c>
    </row>
    <row r="830" spans="1:7" x14ac:dyDescent="0.35">
      <c r="A830" s="1" t="str">
        <f t="shared" si="12"/>
        <v>9</v>
      </c>
      <c r="B8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830" s="1" t="s">
        <v>4643</v>
      </c>
      <c r="D830" s="1" t="s">
        <v>4644</v>
      </c>
      <c r="E830" s="1" t="s">
        <v>4645</v>
      </c>
      <c r="F830" s="1" t="s">
        <v>112</v>
      </c>
      <c r="G830" s="1">
        <v>64219</v>
      </c>
    </row>
    <row r="831" spans="1:7" x14ac:dyDescent="0.35">
      <c r="A831" s="1" t="str">
        <f t="shared" si="12"/>
        <v>9</v>
      </c>
      <c r="B8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31" s="1" t="s">
        <v>4646</v>
      </c>
      <c r="D831" s="1" t="s">
        <v>999</v>
      </c>
      <c r="E831" s="1" t="s">
        <v>4647</v>
      </c>
      <c r="F831" s="1" t="s">
        <v>112</v>
      </c>
      <c r="G831" s="1">
        <v>6857</v>
      </c>
    </row>
    <row r="832" spans="1:7" x14ac:dyDescent="0.35">
      <c r="A832" s="1" t="str">
        <f t="shared" si="12"/>
        <v>9</v>
      </c>
      <c r="B8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32" s="1" t="s">
        <v>4648</v>
      </c>
      <c r="D832" s="1" t="s">
        <v>601</v>
      </c>
      <c r="E832" s="1" t="s">
        <v>4649</v>
      </c>
      <c r="F832" s="1" t="s">
        <v>112</v>
      </c>
      <c r="G832" s="1">
        <v>144553</v>
      </c>
    </row>
    <row r="833" spans="1:7" x14ac:dyDescent="0.35">
      <c r="A833" s="1" t="str">
        <f t="shared" si="12"/>
        <v>9</v>
      </c>
      <c r="B8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33" s="1" t="s">
        <v>4650</v>
      </c>
      <c r="D833" s="1" t="s">
        <v>515</v>
      </c>
      <c r="E833" s="1" t="s">
        <v>4651</v>
      </c>
      <c r="F833" s="1" t="s">
        <v>112</v>
      </c>
      <c r="G833" s="1">
        <v>123269</v>
      </c>
    </row>
    <row r="834" spans="1:7" x14ac:dyDescent="0.35">
      <c r="A834" s="1" t="str">
        <f t="shared" ref="A834:A897" si="13">IFERROR(LEFT(RIGHT(C834,LEN(C834)-SEARCH("@",C834)),SEARCH("/",RIGHT(C834,LEN(C834)-SEARCH("@",C834)-1))),"")</f>
        <v>9</v>
      </c>
      <c r="B8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34" s="1" t="s">
        <v>4652</v>
      </c>
      <c r="D834" s="1" t="s">
        <v>3971</v>
      </c>
      <c r="E834" s="1" t="s">
        <v>4653</v>
      </c>
      <c r="F834" s="1" t="s">
        <v>112</v>
      </c>
      <c r="G834" s="1">
        <v>106030</v>
      </c>
    </row>
    <row r="835" spans="1:7" x14ac:dyDescent="0.35">
      <c r="A835" s="1" t="str">
        <f t="shared" si="13"/>
        <v>9</v>
      </c>
      <c r="B8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835" s="1" t="s">
        <v>4654</v>
      </c>
      <c r="D835" s="1" t="s">
        <v>4655</v>
      </c>
      <c r="E835" s="1" t="s">
        <v>4656</v>
      </c>
      <c r="F835" s="1" t="s">
        <v>112</v>
      </c>
      <c r="G835" s="1">
        <v>137501</v>
      </c>
    </row>
    <row r="836" spans="1:7" x14ac:dyDescent="0.35">
      <c r="A836" s="1" t="str">
        <f t="shared" si="13"/>
        <v>9</v>
      </c>
      <c r="B8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836" s="1" t="s">
        <v>4657</v>
      </c>
    </row>
    <row r="837" spans="1:7" x14ac:dyDescent="0.35">
      <c r="A837" s="1" t="str">
        <f t="shared" si="13"/>
        <v>9</v>
      </c>
      <c r="B8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837" s="1" t="s">
        <v>4658</v>
      </c>
    </row>
    <row r="838" spans="1:7" x14ac:dyDescent="0.35">
      <c r="A838" s="1" t="str">
        <f t="shared" si="13"/>
        <v>9</v>
      </c>
      <c r="B8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838" s="1" t="s">
        <v>4659</v>
      </c>
    </row>
    <row r="839" spans="1:7" x14ac:dyDescent="0.35">
      <c r="A839" s="1" t="str">
        <f t="shared" si="13"/>
        <v>9</v>
      </c>
      <c r="B8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39" s="1" t="s">
        <v>4660</v>
      </c>
      <c r="D839" s="1" t="s">
        <v>4563</v>
      </c>
      <c r="E839" s="1" t="s">
        <v>4661</v>
      </c>
      <c r="F839" s="1" t="s">
        <v>112</v>
      </c>
      <c r="G839" s="1">
        <v>55935</v>
      </c>
    </row>
    <row r="840" spans="1:7" x14ac:dyDescent="0.35">
      <c r="A840" s="1" t="str">
        <f t="shared" si="13"/>
        <v>9</v>
      </c>
      <c r="B8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40" s="1" t="s">
        <v>4662</v>
      </c>
      <c r="D840" s="1" t="s">
        <v>4663</v>
      </c>
      <c r="E840" s="1" t="s">
        <v>1878</v>
      </c>
      <c r="F840" s="1" t="s">
        <v>112</v>
      </c>
      <c r="G840" s="1">
        <v>19921</v>
      </c>
    </row>
    <row r="841" spans="1:7" x14ac:dyDescent="0.35">
      <c r="A841" s="1" t="str">
        <f t="shared" si="13"/>
        <v>9</v>
      </c>
      <c r="B8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41" s="1" t="s">
        <v>4664</v>
      </c>
      <c r="D841" s="1" t="s">
        <v>4665</v>
      </c>
      <c r="E841" s="1" t="s">
        <v>4666</v>
      </c>
      <c r="F841" s="1" t="s">
        <v>112</v>
      </c>
      <c r="G841" s="1">
        <v>37874</v>
      </c>
    </row>
    <row r="842" spans="1:7" x14ac:dyDescent="0.35">
      <c r="A842" s="1" t="str">
        <f t="shared" si="13"/>
        <v>9</v>
      </c>
      <c r="B8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42" s="1" t="s">
        <v>4667</v>
      </c>
      <c r="D842" s="1" t="s">
        <v>501</v>
      </c>
      <c r="E842" s="1" t="s">
        <v>4668</v>
      </c>
      <c r="F842" s="1" t="s">
        <v>112</v>
      </c>
      <c r="G842" s="1">
        <v>15876</v>
      </c>
    </row>
    <row r="843" spans="1:7" x14ac:dyDescent="0.35">
      <c r="A843" s="1" t="str">
        <f t="shared" si="13"/>
        <v>9</v>
      </c>
      <c r="B8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3" s="1" t="s">
        <v>4669</v>
      </c>
      <c r="D843" s="1" t="s">
        <v>4670</v>
      </c>
      <c r="E843" s="1" t="s">
        <v>4671</v>
      </c>
      <c r="F843" s="1" t="s">
        <v>112</v>
      </c>
      <c r="G843" s="1">
        <v>246170</v>
      </c>
    </row>
    <row r="844" spans="1:7" x14ac:dyDescent="0.35">
      <c r="A844" s="1" t="str">
        <f t="shared" si="13"/>
        <v>9</v>
      </c>
      <c r="B8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4" s="1" t="s">
        <v>4672</v>
      </c>
      <c r="D844" s="1" t="s">
        <v>4673</v>
      </c>
      <c r="E844" s="1" t="s">
        <v>4674</v>
      </c>
      <c r="F844" s="1" t="s">
        <v>112</v>
      </c>
      <c r="G844" s="1">
        <v>339070</v>
      </c>
    </row>
    <row r="845" spans="1:7" x14ac:dyDescent="0.35">
      <c r="A845" s="1" t="str">
        <f t="shared" si="13"/>
        <v>9</v>
      </c>
      <c r="B8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5" s="1" t="s">
        <v>4675</v>
      </c>
      <c r="D845" s="1" t="s">
        <v>3612</v>
      </c>
      <c r="E845" s="1" t="s">
        <v>4676</v>
      </c>
      <c r="F845" s="1" t="s">
        <v>112</v>
      </c>
      <c r="G845" s="1">
        <v>162570</v>
      </c>
    </row>
    <row r="846" spans="1:7" x14ac:dyDescent="0.35">
      <c r="A846" s="1" t="str">
        <f t="shared" si="13"/>
        <v>9</v>
      </c>
      <c r="B8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6" s="1" t="s">
        <v>4677</v>
      </c>
      <c r="D846" s="1" t="s">
        <v>4678</v>
      </c>
      <c r="E846" s="1" t="s">
        <v>4679</v>
      </c>
      <c r="F846" s="1" t="s">
        <v>112</v>
      </c>
      <c r="G846" s="1">
        <v>429635</v>
      </c>
    </row>
    <row r="847" spans="1:7" x14ac:dyDescent="0.35">
      <c r="A847" s="1" t="str">
        <f t="shared" si="13"/>
        <v>9</v>
      </c>
      <c r="B8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47" s="1" t="s">
        <v>4680</v>
      </c>
      <c r="D847" s="1" t="s">
        <v>2083</v>
      </c>
      <c r="E847" s="1" t="s">
        <v>4681</v>
      </c>
      <c r="F847" s="1" t="s">
        <v>112</v>
      </c>
      <c r="G847" s="1">
        <v>133435</v>
      </c>
    </row>
    <row r="848" spans="1:7" x14ac:dyDescent="0.35">
      <c r="A848" s="1" t="str">
        <f t="shared" si="13"/>
        <v>9</v>
      </c>
      <c r="B8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48" s="1" t="s">
        <v>4682</v>
      </c>
      <c r="D848" s="1" t="s">
        <v>3024</v>
      </c>
      <c r="E848" s="1" t="s">
        <v>4683</v>
      </c>
      <c r="F848" s="1" t="s">
        <v>112</v>
      </c>
      <c r="G848" s="1">
        <v>165317</v>
      </c>
    </row>
    <row r="849" spans="1:8" x14ac:dyDescent="0.35">
      <c r="A849" s="1" t="str">
        <f t="shared" si="13"/>
        <v>9</v>
      </c>
      <c r="B8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49" s="1" t="s">
        <v>4684</v>
      </c>
      <c r="D849" s="1" t="s">
        <v>147</v>
      </c>
      <c r="E849" s="1" t="s">
        <v>4685</v>
      </c>
      <c r="F849" s="1" t="s">
        <v>112</v>
      </c>
      <c r="G849" s="1">
        <v>191771</v>
      </c>
    </row>
    <row r="850" spans="1:8" x14ac:dyDescent="0.35">
      <c r="A850" s="1" t="str">
        <f t="shared" si="13"/>
        <v>9</v>
      </c>
      <c r="B8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50" s="1" t="s">
        <v>4686</v>
      </c>
      <c r="D850" s="1" t="s">
        <v>1563</v>
      </c>
      <c r="E850" s="1" t="s">
        <v>4687</v>
      </c>
      <c r="F850" s="1" t="s">
        <v>112</v>
      </c>
      <c r="G850" s="1">
        <v>212643</v>
      </c>
    </row>
    <row r="851" spans="1:8" x14ac:dyDescent="0.35">
      <c r="A851" s="1" t="str">
        <f t="shared" si="13"/>
        <v>9</v>
      </c>
      <c r="B8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51" s="1" t="s">
        <v>4688</v>
      </c>
      <c r="D851" s="1" t="s">
        <v>1513</v>
      </c>
      <c r="E851" s="1" t="s">
        <v>4689</v>
      </c>
      <c r="F851" s="1" t="s">
        <v>112</v>
      </c>
      <c r="G851" s="1">
        <v>192787</v>
      </c>
    </row>
    <row r="852" spans="1:8" x14ac:dyDescent="0.35">
      <c r="A852" s="1" t="str">
        <f t="shared" si="13"/>
        <v>9</v>
      </c>
      <c r="B8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52" s="1" t="s">
        <v>4690</v>
      </c>
      <c r="D852" s="1" t="s">
        <v>4691</v>
      </c>
      <c r="E852" s="1" t="s">
        <v>4692</v>
      </c>
      <c r="F852" s="1" t="s">
        <v>112</v>
      </c>
      <c r="G852" s="1">
        <v>173969</v>
      </c>
    </row>
    <row r="853" spans="1:8" x14ac:dyDescent="0.35">
      <c r="A853" s="1" t="str">
        <f t="shared" si="13"/>
        <v>9</v>
      </c>
      <c r="B8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53" s="1" t="s">
        <v>4693</v>
      </c>
      <c r="D853" s="1">
        <v>0</v>
      </c>
      <c r="E853" s="1">
        <v>0</v>
      </c>
      <c r="F853" s="1" t="s">
        <v>112</v>
      </c>
      <c r="G853" s="1">
        <v>0</v>
      </c>
    </row>
    <row r="854" spans="1:8" x14ac:dyDescent="0.35">
      <c r="A854" s="1" t="str">
        <f t="shared" si="13"/>
        <v>9</v>
      </c>
      <c r="B8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54" s="1" t="s">
        <v>4694</v>
      </c>
      <c r="D854" s="1" t="s">
        <v>3006</v>
      </c>
      <c r="E854" s="1" t="s">
        <v>4695</v>
      </c>
      <c r="F854" s="1" t="s">
        <v>112</v>
      </c>
      <c r="G854" s="1">
        <v>240416</v>
      </c>
    </row>
    <row r="855" spans="1:8" x14ac:dyDescent="0.3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55" s="1" t="s">
        <v>112</v>
      </c>
    </row>
    <row r="856" spans="1:8" x14ac:dyDescent="0.3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56" s="1" t="s">
        <v>227</v>
      </c>
      <c r="D856" s="1" t="s">
        <v>112</v>
      </c>
      <c r="E856" s="1" t="s">
        <v>228</v>
      </c>
      <c r="F856" s="1" t="s">
        <v>229</v>
      </c>
      <c r="G856" s="1" t="s">
        <v>230</v>
      </c>
      <c r="H856" s="1" t="s">
        <v>231</v>
      </c>
    </row>
    <row r="857" spans="1:8" x14ac:dyDescent="0.35">
      <c r="A857" s="1" t="str">
        <f t="shared" si="13"/>
        <v>9</v>
      </c>
      <c r="B8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857" s="1" t="s">
        <v>4696</v>
      </c>
      <c r="D857" s="1" t="s">
        <v>112</v>
      </c>
      <c r="E857" s="1" t="s">
        <v>4697</v>
      </c>
      <c r="F857" s="1" t="s">
        <v>4698</v>
      </c>
      <c r="G857" s="1" t="s">
        <v>4699</v>
      </c>
      <c r="H857" s="1" t="s">
        <v>4700</v>
      </c>
    </row>
    <row r="858" spans="1:8" x14ac:dyDescent="0.3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8" x14ac:dyDescent="0.3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8" x14ac:dyDescent="0.3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8" x14ac:dyDescent="0.3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8" x14ac:dyDescent="0.3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8" x14ac:dyDescent="0.3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8" x14ac:dyDescent="0.3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4" priority="1" operator="containsText" text="ERREUR">
      <formula>NOT(ISERROR(SEARCH("ERREUR",A1)))</formula>
    </cfRule>
    <cfRule type="containsText" dxfId="33"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85" zoomScaleNormal="85" zoomScaleSheetLayoutView="40" zoomScalePageLayoutView="30" workbookViewId="0">
      <pane xSplit="1" topLeftCell="M1" activePane="topRight" state="frozen"/>
      <selection pane="topRight" activeCell="R5" sqref="R5:V12"/>
    </sheetView>
  </sheetViews>
  <sheetFormatPr baseColWidth="10" defaultColWidth="9.1796875" defaultRowHeight="14.5" x14ac:dyDescent="0.35"/>
  <cols>
    <col min="1" max="1" width="29.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8.26953125" bestFit="1" customWidth="1"/>
    <col min="15" max="15" width="14.81640625" customWidth="1"/>
    <col min="16" max="16" width="17.7265625" customWidth="1"/>
    <col min="17" max="18" width="25.81640625" bestFit="1" customWidth="1"/>
    <col min="19" max="22" width="25.81640625" style="1" customWidth="1"/>
  </cols>
  <sheetData>
    <row r="1" spans="1:22" s="1" customFormat="1" ht="26.5" thickBot="1" x14ac:dyDescent="0.65">
      <c r="A1" s="216" t="s">
        <v>40</v>
      </c>
      <c r="B1" s="217"/>
      <c r="C1" s="217"/>
      <c r="D1" s="217"/>
      <c r="E1" s="217"/>
      <c r="F1" s="217"/>
      <c r="G1" s="217"/>
      <c r="H1" s="217"/>
      <c r="I1" s="217"/>
      <c r="J1" s="217"/>
      <c r="K1" s="217"/>
      <c r="L1" s="217"/>
      <c r="M1" s="217"/>
      <c r="N1" s="217"/>
      <c r="O1" s="217"/>
      <c r="P1" s="217"/>
      <c r="Q1" s="217"/>
      <c r="R1" s="217"/>
      <c r="S1" s="217"/>
      <c r="T1" s="217"/>
      <c r="U1" s="217"/>
      <c r="V1" s="217"/>
    </row>
    <row r="2" spans="1:22" ht="15" thickBot="1" x14ac:dyDescent="0.4">
      <c r="A2"/>
      <c r="B2"/>
      <c r="C2"/>
      <c r="D2"/>
      <c r="E2"/>
      <c r="F2"/>
      <c r="G2"/>
      <c r="H2"/>
      <c r="I2"/>
      <c r="J2"/>
      <c r="K2"/>
      <c r="L2"/>
      <c r="M2"/>
      <c r="S2"/>
      <c r="T2"/>
      <c r="U2"/>
      <c r="V2"/>
    </row>
    <row r="3" spans="1:22" ht="15" thickBot="1" x14ac:dyDescent="0.4">
      <c r="A3" s="51" t="s">
        <v>17</v>
      </c>
      <c r="B3" s="224" t="s">
        <v>6</v>
      </c>
      <c r="C3" s="225"/>
      <c r="D3" s="225"/>
      <c r="E3" s="225"/>
      <c r="F3" s="225"/>
      <c r="G3" s="225"/>
      <c r="H3" s="225"/>
      <c r="I3" s="225"/>
      <c r="J3" s="225"/>
      <c r="K3" s="225"/>
      <c r="L3" s="225"/>
      <c r="M3" s="225"/>
      <c r="O3" s="224" t="s">
        <v>3</v>
      </c>
      <c r="P3" s="225"/>
      <c r="Q3" s="225"/>
      <c r="R3" s="225"/>
      <c r="S3" s="225"/>
      <c r="T3" s="225"/>
      <c r="U3" s="225"/>
      <c r="V3" s="225"/>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CRO-0.1µg/L</v>
      </c>
      <c r="J4" s="35" t="str">
        <f>'Page de garde'!A16</f>
        <v>CRO-1µg/L</v>
      </c>
      <c r="K4" s="35" t="str">
        <f>'Page de garde'!A17</f>
        <v>CRO-10µg/L</v>
      </c>
      <c r="L4" s="35" t="str">
        <f>'Page de garde'!A18</f>
        <v>CRO-100µg/L</v>
      </c>
      <c r="M4" s="35" t="str">
        <f>'Page de garde'!A19</f>
        <v>CRO-1000µg/L</v>
      </c>
      <c r="N4" s="3"/>
      <c r="O4" s="36" t="str">
        <f>'Page de garde'!A36</f>
        <v>Testo -30µg/L</v>
      </c>
      <c r="P4" s="36" t="str">
        <f>'Page de garde'!A37</f>
        <v>Testo 30µg/L + EE2 -64ng/L</v>
      </c>
      <c r="Q4" s="36" t="str">
        <f>'Page de garde'!A38</f>
        <v>Testo 30µg/L + FAD-10mg/L</v>
      </c>
      <c r="R4" s="36" t="str">
        <f>'Page de garde'!A39</f>
        <v>CRO-0,1µg/L + Testostérone</v>
      </c>
      <c r="S4" s="36" t="str">
        <f>'Page de garde'!A40</f>
        <v>CRO-1µg/L + Testostérone</v>
      </c>
      <c r="T4" s="36" t="str">
        <f>'Page de garde'!A41</f>
        <v>CRO-10µg/L + Testostérone</v>
      </c>
      <c r="U4" s="36" t="str">
        <f>'Page de garde'!A42</f>
        <v>CRO-100µg/L + Testostérone</v>
      </c>
      <c r="V4" s="36" t="str">
        <f>'Page de garde'!A43</f>
        <v>CRO-1000µg/L + Testostérone</v>
      </c>
    </row>
    <row r="5" spans="1:22" ht="16.5" x14ac:dyDescent="0.35">
      <c r="A5" s="220" t="s">
        <v>33</v>
      </c>
      <c r="B5" s="73">
        <v>276639.33333333331</v>
      </c>
      <c r="C5" s="13">
        <v>348706.5</v>
      </c>
      <c r="D5" s="32">
        <v>472078</v>
      </c>
      <c r="E5" s="32">
        <v>617944</v>
      </c>
      <c r="F5" s="32">
        <v>1923734</v>
      </c>
      <c r="G5" s="32">
        <v>2825048.25</v>
      </c>
      <c r="H5" s="32">
        <v>5966260</v>
      </c>
      <c r="I5" s="32">
        <v>194371.75</v>
      </c>
      <c r="J5" s="16">
        <v>147375</v>
      </c>
      <c r="K5" s="13">
        <v>134271</v>
      </c>
      <c r="L5" s="13">
        <v>63575.5</v>
      </c>
      <c r="M5" s="13">
        <v>542039.75</v>
      </c>
      <c r="N5" s="3"/>
      <c r="O5" s="32">
        <v>224334.25</v>
      </c>
      <c r="P5" s="13">
        <v>2147113.3333333335</v>
      </c>
      <c r="Q5" s="13">
        <v>132672.25</v>
      </c>
      <c r="R5" s="4">
        <v>585824</v>
      </c>
      <c r="S5" s="32">
        <v>85648.75</v>
      </c>
      <c r="T5" s="32">
        <v>1868174.3333333333</v>
      </c>
      <c r="U5" s="32">
        <v>1133395.5</v>
      </c>
      <c r="V5" s="32">
        <v>1032351.6666666666</v>
      </c>
    </row>
    <row r="6" spans="1:22" ht="16.5" x14ac:dyDescent="0.35">
      <c r="A6" s="221"/>
      <c r="B6" s="73">
        <v>148175.5</v>
      </c>
      <c r="C6" s="13">
        <v>236166.25</v>
      </c>
      <c r="D6" s="32">
        <v>437286</v>
      </c>
      <c r="E6" s="32">
        <v>682798</v>
      </c>
      <c r="F6" s="32">
        <v>2626334.25</v>
      </c>
      <c r="G6" s="32">
        <v>2580084</v>
      </c>
      <c r="H6" s="32">
        <v>5184188.5</v>
      </c>
      <c r="I6" s="32">
        <v>83743.666666666672</v>
      </c>
      <c r="J6" s="16">
        <v>43568</v>
      </c>
      <c r="K6" s="13">
        <v>40224.333333333336</v>
      </c>
      <c r="L6" s="13">
        <v>102158</v>
      </c>
      <c r="M6" s="13">
        <v>143260.25</v>
      </c>
      <c r="N6" s="3"/>
      <c r="O6" s="32">
        <v>2383625.25</v>
      </c>
      <c r="P6" s="13">
        <v>3481558.5</v>
      </c>
      <c r="Q6" s="13">
        <v>284384.5</v>
      </c>
      <c r="R6" s="4">
        <v>1938509</v>
      </c>
      <c r="S6" s="32">
        <v>1396368.3333333333</v>
      </c>
      <c r="T6" s="32">
        <v>1597908.5</v>
      </c>
      <c r="U6" s="32">
        <v>2317027</v>
      </c>
      <c r="V6" s="32">
        <v>2226359.75</v>
      </c>
    </row>
    <row r="7" spans="1:22" ht="16.5" x14ac:dyDescent="0.35">
      <c r="A7" s="221"/>
      <c r="B7" s="73">
        <v>98891.75</v>
      </c>
      <c r="C7" s="13">
        <v>494041</v>
      </c>
      <c r="D7" s="32">
        <v>196713</v>
      </c>
      <c r="E7" s="32">
        <v>3041119.6666666665</v>
      </c>
      <c r="F7" s="32">
        <v>3128991.5</v>
      </c>
      <c r="G7" s="32">
        <v>3289528.5</v>
      </c>
      <c r="H7" s="32">
        <v>4711640</v>
      </c>
      <c r="I7" s="32">
        <v>252383</v>
      </c>
      <c r="J7" s="16">
        <v>95177.25</v>
      </c>
      <c r="K7" s="13">
        <v>412595.5</v>
      </c>
      <c r="L7" s="13">
        <v>125837.25</v>
      </c>
      <c r="M7" s="13">
        <v>98913.75</v>
      </c>
      <c r="N7" s="3"/>
      <c r="O7" s="32">
        <v>1803982.25</v>
      </c>
      <c r="P7" s="13">
        <v>3323087.25</v>
      </c>
      <c r="Q7" s="13">
        <v>169421.5</v>
      </c>
      <c r="R7" s="4">
        <v>1128291</v>
      </c>
      <c r="S7" s="32">
        <v>2544400.25</v>
      </c>
      <c r="T7" s="32">
        <v>2025401.75</v>
      </c>
      <c r="U7" s="32">
        <v>667114.75</v>
      </c>
      <c r="V7" s="32">
        <v>3054811.75</v>
      </c>
    </row>
    <row r="8" spans="1:22" ht="16.5" x14ac:dyDescent="0.35">
      <c r="A8" s="221"/>
      <c r="B8" s="73">
        <v>346446</v>
      </c>
      <c r="C8" s="13">
        <v>456099</v>
      </c>
      <c r="D8" s="32">
        <v>183805.5</v>
      </c>
      <c r="E8" s="32">
        <v>1098874.5</v>
      </c>
      <c r="F8" s="32">
        <v>2428815.5</v>
      </c>
      <c r="G8" s="32">
        <v>3001110.25</v>
      </c>
      <c r="H8" s="32">
        <v>4374019</v>
      </c>
      <c r="I8" s="32">
        <v>134808.25</v>
      </c>
      <c r="J8" s="16">
        <v>137501</v>
      </c>
      <c r="K8" s="13">
        <v>19921.25</v>
      </c>
      <c r="L8" s="13">
        <v>305695</v>
      </c>
      <c r="M8" s="13">
        <v>202877.75</v>
      </c>
      <c r="N8" s="3"/>
      <c r="O8" s="32">
        <v>2453299</v>
      </c>
      <c r="P8" s="13">
        <v>3442078.5</v>
      </c>
      <c r="Q8" s="13">
        <v>237615.5</v>
      </c>
      <c r="R8" s="4">
        <v>2220099.3333333335</v>
      </c>
      <c r="S8" s="32">
        <v>1279132.5</v>
      </c>
      <c r="T8" s="32">
        <v>3646230.6666666665</v>
      </c>
      <c r="U8" s="32">
        <v>243671.75</v>
      </c>
      <c r="V8" s="32">
        <v>2840875.5</v>
      </c>
    </row>
    <row r="9" spans="1:22" ht="16.5" x14ac:dyDescent="0.35">
      <c r="A9" s="221"/>
      <c r="B9" s="73">
        <v>264349.75</v>
      </c>
      <c r="C9" s="13">
        <v>236681.66666666666</v>
      </c>
      <c r="D9" s="32">
        <v>389197.5</v>
      </c>
      <c r="E9" s="32">
        <v>1033881.75</v>
      </c>
      <c r="F9" s="32">
        <v>2112563</v>
      </c>
      <c r="G9" s="32">
        <v>2341003.5</v>
      </c>
      <c r="H9" s="32">
        <v>4643738</v>
      </c>
      <c r="I9" s="32">
        <v>261975.75</v>
      </c>
      <c r="J9" s="16">
        <v>32401.5</v>
      </c>
      <c r="K9" s="13">
        <v>30860.25</v>
      </c>
      <c r="L9" s="13">
        <v>251577.33333333334</v>
      </c>
      <c r="M9" s="13">
        <v>136273.75</v>
      </c>
      <c r="N9" s="3"/>
      <c r="O9" s="32">
        <v>637750.33333333337</v>
      </c>
      <c r="P9" s="13">
        <v>4822331</v>
      </c>
      <c r="Q9" s="13">
        <v>413942</v>
      </c>
      <c r="R9" s="4">
        <v>495908.66666666669</v>
      </c>
      <c r="S9" s="32">
        <v>728878.75</v>
      </c>
      <c r="T9" s="32">
        <v>1205866.5</v>
      </c>
      <c r="U9" s="32">
        <v>1500628</v>
      </c>
      <c r="V9" s="32">
        <v>636421.75</v>
      </c>
    </row>
    <row r="10" spans="1:22" ht="16.5" x14ac:dyDescent="0.35">
      <c r="A10" s="221"/>
      <c r="B10" s="73">
        <v>317667.75</v>
      </c>
      <c r="C10" s="13">
        <v>850146.75</v>
      </c>
      <c r="D10" s="32">
        <v>352648.5</v>
      </c>
      <c r="E10" s="32">
        <v>95561</v>
      </c>
      <c r="F10" s="32">
        <v>3638786.25</v>
      </c>
      <c r="G10" s="32">
        <v>3538888.5</v>
      </c>
      <c r="H10" s="32">
        <v>6543416.25</v>
      </c>
      <c r="I10" s="32">
        <v>164387</v>
      </c>
      <c r="J10" s="16">
        <v>294361.25</v>
      </c>
      <c r="K10" s="13">
        <v>410994.75</v>
      </c>
      <c r="L10" s="13">
        <v>225421.25</v>
      </c>
      <c r="M10" s="13">
        <v>98416</v>
      </c>
      <c r="N10" s="3"/>
      <c r="O10" s="32">
        <v>3376023</v>
      </c>
      <c r="P10" s="13">
        <v>3322741</v>
      </c>
      <c r="Q10" s="13">
        <v>528953.75</v>
      </c>
      <c r="R10" s="4">
        <v>1096662.75</v>
      </c>
      <c r="S10" s="32">
        <v>1005162.6666666666</v>
      </c>
      <c r="T10" s="32">
        <v>2062113</v>
      </c>
      <c r="U10" s="32">
        <v>1695913.25</v>
      </c>
      <c r="V10" s="32">
        <v>2108395.25</v>
      </c>
    </row>
    <row r="11" spans="1:22" ht="16.5" x14ac:dyDescent="0.35">
      <c r="A11" s="221"/>
      <c r="B11" s="73">
        <v>298157.25</v>
      </c>
      <c r="C11" s="13">
        <v>300109.25</v>
      </c>
      <c r="D11" s="32">
        <v>109501.25</v>
      </c>
      <c r="E11" s="32">
        <v>234549</v>
      </c>
      <c r="F11" s="32">
        <v>851217.25</v>
      </c>
      <c r="G11" s="32">
        <v>2891284.25</v>
      </c>
      <c r="H11" s="32">
        <v>4575566.25</v>
      </c>
      <c r="I11" s="32">
        <v>189321.25</v>
      </c>
      <c r="J11" s="16">
        <v>175791.5</v>
      </c>
      <c r="K11" s="13">
        <v>234821.33333333334</v>
      </c>
      <c r="L11" s="13">
        <v>199660.5</v>
      </c>
      <c r="M11" s="13">
        <v>308339.5</v>
      </c>
      <c r="N11" s="3"/>
      <c r="O11" s="32">
        <v>2218340.25</v>
      </c>
      <c r="P11" s="13">
        <v>2581312</v>
      </c>
      <c r="Q11" s="13">
        <v>226775</v>
      </c>
      <c r="R11" s="4">
        <v>2599345.5</v>
      </c>
      <c r="S11" s="32">
        <v>4532360.5</v>
      </c>
      <c r="T11" s="32">
        <v>664713.75</v>
      </c>
      <c r="U11" s="32">
        <v>2781912.75</v>
      </c>
      <c r="V11" s="32">
        <v>322345.25</v>
      </c>
    </row>
    <row r="12" spans="1:22" ht="16.5" x14ac:dyDescent="0.35">
      <c r="A12" s="221"/>
      <c r="B12" s="73">
        <v>184454.5</v>
      </c>
      <c r="C12" s="13">
        <v>414428.5</v>
      </c>
      <c r="D12" s="32">
        <v>325070.25</v>
      </c>
      <c r="E12" s="32">
        <v>258012.25</v>
      </c>
      <c r="F12" s="32">
        <v>30520</v>
      </c>
      <c r="G12" s="32">
        <v>2631238.75</v>
      </c>
      <c r="H12" s="32">
        <v>5965557.25</v>
      </c>
      <c r="I12" s="32">
        <v>270583</v>
      </c>
      <c r="J12" s="16">
        <v>151793</v>
      </c>
      <c r="K12" s="13">
        <v>119261.75</v>
      </c>
      <c r="L12" s="13">
        <v>356433.75</v>
      </c>
      <c r="M12" s="13">
        <v>162779.33333333334</v>
      </c>
      <c r="N12" s="3"/>
      <c r="O12" s="32">
        <v>3870334.5</v>
      </c>
      <c r="P12" s="13">
        <v>4275689.5</v>
      </c>
      <c r="Q12" s="13">
        <v>126767.25</v>
      </c>
      <c r="R12" s="4">
        <v>3355719.6666666665</v>
      </c>
      <c r="S12" s="32">
        <v>373543</v>
      </c>
      <c r="T12" s="32">
        <v>2361855</v>
      </c>
      <c r="U12" s="32">
        <v>2218129.75</v>
      </c>
      <c r="V12" s="32">
        <v>1685304</v>
      </c>
    </row>
    <row r="13" spans="1:22" ht="16.5" x14ac:dyDescent="0.35">
      <c r="A13" s="221"/>
      <c r="B13" s="14"/>
      <c r="C13" s="13"/>
      <c r="D13" s="16"/>
      <c r="E13" s="16"/>
      <c r="F13" s="16"/>
      <c r="G13" s="16"/>
      <c r="H13" s="16"/>
      <c r="I13" s="32"/>
      <c r="J13" s="16"/>
      <c r="K13" s="13"/>
      <c r="L13" s="13"/>
      <c r="M13" s="13"/>
      <c r="N13" s="3"/>
      <c r="O13" s="32">
        <v>696807.5</v>
      </c>
      <c r="P13" s="13"/>
      <c r="Q13" s="13"/>
      <c r="R13" s="4"/>
      <c r="S13" s="32"/>
      <c r="T13" s="32"/>
      <c r="U13" s="32"/>
      <c r="V13" s="32"/>
    </row>
    <row r="14" spans="1:22" ht="16.5" x14ac:dyDescent="0.35">
      <c r="A14" s="221"/>
      <c r="B14" s="14"/>
      <c r="C14" s="16"/>
      <c r="D14" s="16"/>
      <c r="E14" s="16"/>
      <c r="F14" s="16"/>
      <c r="G14" s="16"/>
      <c r="H14" s="16"/>
      <c r="I14" s="32"/>
      <c r="J14" s="16"/>
      <c r="K14" s="13"/>
      <c r="L14" s="13"/>
      <c r="M14" s="13"/>
      <c r="N14" s="3"/>
      <c r="O14" s="32">
        <v>393037</v>
      </c>
      <c r="P14" s="13"/>
      <c r="Q14" s="13"/>
      <c r="R14" s="4"/>
      <c r="S14" s="32"/>
      <c r="T14" s="32"/>
      <c r="U14" s="32"/>
      <c r="V14" s="32"/>
    </row>
    <row r="15" spans="1:22" ht="16.5" x14ac:dyDescent="0.35">
      <c r="A15" s="221"/>
      <c r="B15" s="14"/>
      <c r="C15" s="16"/>
      <c r="D15" s="16"/>
      <c r="E15" s="16"/>
      <c r="F15" s="16"/>
      <c r="G15" s="16"/>
      <c r="H15" s="16"/>
      <c r="I15" s="32"/>
      <c r="J15" s="16"/>
      <c r="K15" s="13"/>
      <c r="L15" s="13"/>
      <c r="M15" s="13"/>
      <c r="N15" s="3"/>
      <c r="O15" s="32">
        <v>2433074.6666666665</v>
      </c>
      <c r="P15" s="13"/>
      <c r="Q15" s="13"/>
      <c r="R15" s="4"/>
      <c r="S15" s="32"/>
      <c r="T15" s="32"/>
      <c r="U15" s="32"/>
      <c r="V15" s="32"/>
    </row>
    <row r="16" spans="1:22" ht="16.5" x14ac:dyDescent="0.35">
      <c r="A16" s="221"/>
      <c r="B16" s="14"/>
      <c r="C16" s="16"/>
      <c r="D16" s="16"/>
      <c r="E16" s="16"/>
      <c r="F16" s="16"/>
      <c r="G16" s="16"/>
      <c r="H16" s="16"/>
      <c r="I16" s="32"/>
      <c r="J16" s="16"/>
      <c r="K16" s="13"/>
      <c r="L16" s="13"/>
      <c r="M16" s="13"/>
      <c r="N16" s="3"/>
      <c r="O16" s="32">
        <v>1107436.3333333333</v>
      </c>
      <c r="P16" s="13"/>
      <c r="Q16" s="13"/>
      <c r="R16" s="4"/>
      <c r="S16" s="32"/>
      <c r="T16" s="32"/>
      <c r="U16" s="32"/>
      <c r="V16" s="32"/>
    </row>
    <row r="17" spans="1:22" s="1" customFormat="1" ht="16.5" x14ac:dyDescent="0.35">
      <c r="A17" s="221"/>
      <c r="B17" s="14"/>
      <c r="C17" s="32"/>
      <c r="D17" s="32"/>
      <c r="E17" s="32"/>
      <c r="F17" s="32"/>
      <c r="G17" s="32"/>
      <c r="H17" s="32"/>
      <c r="I17" s="32"/>
      <c r="J17" s="32"/>
      <c r="K17" s="13"/>
      <c r="L17" s="13"/>
      <c r="M17" s="13"/>
      <c r="N17" s="3"/>
      <c r="O17" s="32">
        <v>2085300.25</v>
      </c>
      <c r="P17" s="13"/>
      <c r="Q17" s="13"/>
      <c r="R17" s="32"/>
      <c r="S17" s="32"/>
      <c r="T17" s="32"/>
      <c r="U17" s="32"/>
      <c r="V17" s="32"/>
    </row>
    <row r="18" spans="1:22" s="1" customFormat="1" ht="16.5" x14ac:dyDescent="0.35">
      <c r="A18" s="221"/>
      <c r="B18" s="14"/>
      <c r="C18" s="32"/>
      <c r="D18" s="32"/>
      <c r="E18" s="32"/>
      <c r="F18" s="32"/>
      <c r="G18" s="32"/>
      <c r="H18" s="32"/>
      <c r="I18" s="32"/>
      <c r="J18" s="32"/>
      <c r="K18" s="13"/>
      <c r="L18" s="13"/>
      <c r="M18" s="13"/>
      <c r="N18" s="3"/>
      <c r="O18" s="32">
        <v>2051422.25</v>
      </c>
      <c r="P18" s="13"/>
      <c r="Q18" s="13"/>
      <c r="R18" s="32"/>
      <c r="S18" s="32"/>
      <c r="T18" s="32"/>
      <c r="U18" s="32"/>
      <c r="V18" s="32"/>
    </row>
    <row r="19" spans="1:22" s="1" customFormat="1" ht="16.5" x14ac:dyDescent="0.35">
      <c r="A19" s="221"/>
      <c r="B19" s="14"/>
      <c r="C19" s="32"/>
      <c r="D19" s="32"/>
      <c r="E19" s="32"/>
      <c r="F19" s="32"/>
      <c r="G19" s="32"/>
      <c r="H19" s="32"/>
      <c r="I19" s="32"/>
      <c r="J19" s="32"/>
      <c r="K19" s="13"/>
      <c r="L19" s="13"/>
      <c r="M19" s="13"/>
      <c r="N19" s="3"/>
      <c r="O19" s="32">
        <v>2543243</v>
      </c>
      <c r="P19" s="13"/>
      <c r="Q19" s="13"/>
      <c r="R19" s="32"/>
      <c r="S19" s="32"/>
      <c r="T19" s="32"/>
      <c r="U19" s="32"/>
      <c r="V19" s="32"/>
    </row>
    <row r="20" spans="1:22" ht="16.5" x14ac:dyDescent="0.35">
      <c r="A20" s="221"/>
      <c r="B20" s="14"/>
      <c r="C20" s="16"/>
      <c r="D20" s="16"/>
      <c r="E20" s="16"/>
      <c r="F20" s="16"/>
      <c r="G20" s="16"/>
      <c r="H20" s="16"/>
      <c r="I20" s="32"/>
      <c r="J20" s="16"/>
      <c r="K20" s="13"/>
      <c r="L20" s="13"/>
      <c r="M20" s="13"/>
      <c r="N20" s="3"/>
      <c r="O20" s="32">
        <v>2277946.75</v>
      </c>
      <c r="P20" s="13"/>
      <c r="Q20" s="13"/>
      <c r="R20" s="4"/>
      <c r="S20" s="32"/>
      <c r="T20" s="32"/>
      <c r="U20" s="32"/>
      <c r="V20" s="32"/>
    </row>
    <row r="21" spans="1:22" s="1" customFormat="1" ht="16.5" x14ac:dyDescent="0.3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CRO-0.1µg/L</v>
      </c>
      <c r="J22" s="68" t="str">
        <f t="shared" si="0"/>
        <v>CRO-1µg/L</v>
      </c>
      <c r="K22" s="68" t="str">
        <f t="shared" si="0"/>
        <v>CRO-10µg/L</v>
      </c>
      <c r="L22" s="68" t="str">
        <f t="shared" si="0"/>
        <v>CRO-100µg/L</v>
      </c>
      <c r="M22" s="68" t="str">
        <f t="shared" si="0"/>
        <v>CRO-1000µg/L</v>
      </c>
      <c r="N22" s="68" t="s">
        <v>47</v>
      </c>
      <c r="O22" s="68" t="str">
        <f t="shared" ref="O22:V22" si="1">O4</f>
        <v>Testo -30µg/L</v>
      </c>
      <c r="P22" s="68" t="str">
        <f t="shared" si="1"/>
        <v>Testo 30µg/L + EE2 -64ng/L</v>
      </c>
      <c r="Q22" s="68" t="str">
        <f t="shared" si="1"/>
        <v>Testo 30µg/L + FAD-10mg/L</v>
      </c>
      <c r="R22" s="68" t="str">
        <f t="shared" si="1"/>
        <v>CRO-0,1µg/L + Testostérone</v>
      </c>
      <c r="S22" s="68" t="str">
        <f t="shared" si="1"/>
        <v>CRO-1µg/L + Testostérone</v>
      </c>
      <c r="T22" s="68" t="str">
        <f t="shared" si="1"/>
        <v>CRO-10µg/L + Testostérone</v>
      </c>
      <c r="U22" s="68" t="str">
        <f t="shared" si="1"/>
        <v>CRO-100µg/L + Testostérone</v>
      </c>
      <c r="V22" s="68" t="str">
        <f t="shared" si="1"/>
        <v>CRO-1000µg/L + Testostérone</v>
      </c>
    </row>
    <row r="23" spans="1:22" x14ac:dyDescent="0.35">
      <c r="A23" s="5" t="s">
        <v>0</v>
      </c>
      <c r="B23" s="5">
        <f t="shared" ref="B23:M23" si="2">AVERAGE(B5:B20)</f>
        <v>241847.72916666666</v>
      </c>
      <c r="C23" s="5">
        <f t="shared" si="2"/>
        <v>417047.36458333337</v>
      </c>
      <c r="D23" s="5">
        <f t="shared" si="2"/>
        <v>308287.5</v>
      </c>
      <c r="E23" s="5">
        <f t="shared" si="2"/>
        <v>882842.52083333326</v>
      </c>
      <c r="F23" s="5">
        <f t="shared" si="2"/>
        <v>2092620.21875</v>
      </c>
      <c r="G23" s="5">
        <f t="shared" si="2"/>
        <v>2887273.25</v>
      </c>
      <c r="H23" s="5">
        <f t="shared" si="2"/>
        <v>5245548.15625</v>
      </c>
      <c r="I23" s="5">
        <f t="shared" si="2"/>
        <v>193946.70833333334</v>
      </c>
      <c r="J23" s="5">
        <f t="shared" si="2"/>
        <v>134746.0625</v>
      </c>
      <c r="K23" s="5">
        <f t="shared" si="2"/>
        <v>175368.77083333334</v>
      </c>
      <c r="L23" s="5">
        <f t="shared" si="2"/>
        <v>203794.82291666669</v>
      </c>
      <c r="M23" s="5">
        <f t="shared" si="2"/>
        <v>211612.51041666666</v>
      </c>
      <c r="N23" s="5" t="s">
        <v>0</v>
      </c>
      <c r="O23" s="5">
        <f t="shared" ref="O23:V23" si="3">AVERAGE(O5:O20)</f>
        <v>1909747.2864583333</v>
      </c>
      <c r="P23" s="5">
        <f t="shared" si="3"/>
        <v>3424488.885416667</v>
      </c>
      <c r="Q23" s="5">
        <f t="shared" si="3"/>
        <v>265066.46875</v>
      </c>
      <c r="R23" s="5">
        <f t="shared" si="3"/>
        <v>1677544.9895833333</v>
      </c>
      <c r="S23" s="5">
        <f t="shared" si="3"/>
        <v>1493186.84375</v>
      </c>
      <c r="T23" s="5">
        <f t="shared" si="3"/>
        <v>1929032.9375</v>
      </c>
      <c r="U23" s="5">
        <f t="shared" si="3"/>
        <v>1569724.09375</v>
      </c>
      <c r="V23" s="5">
        <f t="shared" si="3"/>
        <v>1738358.1145833333</v>
      </c>
    </row>
    <row r="24" spans="1:22" x14ac:dyDescent="0.35">
      <c r="A24" s="3" t="s">
        <v>1</v>
      </c>
      <c r="B24" s="3">
        <f t="shared" ref="B24:M24" si="4">STDEV(B5:B20)</f>
        <v>87897.59778106591</v>
      </c>
      <c r="C24" s="3">
        <f t="shared" si="4"/>
        <v>199510.02310502323</v>
      </c>
      <c r="D24" s="3">
        <f t="shared" si="4"/>
        <v>130780.37127422831</v>
      </c>
      <c r="E24" s="3">
        <f t="shared" si="4"/>
        <v>946296.6530640315</v>
      </c>
      <c r="F24" s="3">
        <f t="shared" si="4"/>
        <v>1176242.9095263325</v>
      </c>
      <c r="G24" s="3">
        <f t="shared" si="4"/>
        <v>389429.6492071083</v>
      </c>
      <c r="H24" s="3">
        <f t="shared" si="4"/>
        <v>809032.70827096351</v>
      </c>
      <c r="I24" s="3">
        <f t="shared" si="4"/>
        <v>65958.094296787269</v>
      </c>
      <c r="J24" s="3">
        <f t="shared" si="4"/>
        <v>82784.533854539477</v>
      </c>
      <c r="K24" s="3">
        <f t="shared" si="4"/>
        <v>161898.74178691447</v>
      </c>
      <c r="L24" s="3">
        <f t="shared" si="4"/>
        <v>101783.47949987778</v>
      </c>
      <c r="M24" s="3">
        <f t="shared" si="4"/>
        <v>149695.72342935047</v>
      </c>
      <c r="N24" s="3" t="s">
        <v>1</v>
      </c>
      <c r="O24" s="3">
        <f t="shared" ref="O24:V24" si="5">STDEV(O5:O20)</f>
        <v>1044218.0623251108</v>
      </c>
      <c r="P24" s="3">
        <f t="shared" si="5"/>
        <v>848977.69481323927</v>
      </c>
      <c r="Q24" s="3">
        <f t="shared" si="5"/>
        <v>141520.44916279751</v>
      </c>
      <c r="R24" s="3">
        <f t="shared" si="5"/>
        <v>1018098.8654302343</v>
      </c>
      <c r="S24" s="3">
        <f t="shared" si="5"/>
        <v>1436957.0779033403</v>
      </c>
      <c r="T24" s="3">
        <f t="shared" si="5"/>
        <v>878140.90123213339</v>
      </c>
      <c r="U24" s="3">
        <f t="shared" si="5"/>
        <v>864580.15640358999</v>
      </c>
      <c r="V24" s="3">
        <f t="shared" si="5"/>
        <v>1003158.1462657419</v>
      </c>
    </row>
    <row r="25" spans="1:22" ht="15" thickBot="1" x14ac:dyDescent="0.4"/>
    <row r="26" spans="1:22" ht="15" thickBot="1" x14ac:dyDescent="0.4">
      <c r="B26" s="224" t="s">
        <v>6</v>
      </c>
      <c r="C26" s="225"/>
      <c r="D26" s="225"/>
      <c r="E26" s="225"/>
      <c r="F26" s="225"/>
      <c r="G26" s="225"/>
      <c r="H26" s="225"/>
      <c r="I26" s="225"/>
      <c r="J26" s="225"/>
      <c r="K26" s="225"/>
      <c r="L26" s="225"/>
      <c r="M26" s="225"/>
      <c r="N26" s="1"/>
      <c r="O26" s="224" t="s">
        <v>3</v>
      </c>
      <c r="P26" s="225"/>
      <c r="Q26" s="225"/>
      <c r="R26" s="225"/>
      <c r="S26" s="225"/>
      <c r="T26" s="225"/>
      <c r="U26" s="225"/>
      <c r="V26" s="225"/>
    </row>
    <row r="27" spans="1:22" s="1" customFormat="1" x14ac:dyDescent="0.3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CRO-0.1µg/L</v>
      </c>
      <c r="J27" s="35" t="str">
        <f t="shared" si="6"/>
        <v>CRO-1µg/L</v>
      </c>
      <c r="K27" s="35" t="str">
        <f t="shared" si="6"/>
        <v>CRO-10µg/L</v>
      </c>
      <c r="L27" s="35" t="str">
        <f t="shared" si="6"/>
        <v>CRO-100µg/L</v>
      </c>
      <c r="M27" s="35" t="str">
        <f t="shared" si="6"/>
        <v>CRO-1000µg/L</v>
      </c>
      <c r="N27" s="3"/>
      <c r="O27" s="36" t="str">
        <f t="shared" ref="O27:V27" si="7">O4</f>
        <v>Testo -30µg/L</v>
      </c>
      <c r="P27" s="36" t="str">
        <f t="shared" si="7"/>
        <v>Testo 30µg/L + EE2 -64ng/L</v>
      </c>
      <c r="Q27" s="36" t="str">
        <f t="shared" si="7"/>
        <v>Testo 30µg/L + FAD-10mg/L</v>
      </c>
      <c r="R27" s="36" t="str">
        <f t="shared" si="7"/>
        <v>CRO-0,1µg/L + Testostérone</v>
      </c>
      <c r="S27" s="36" t="str">
        <f t="shared" si="7"/>
        <v>CRO-1µg/L + Testostérone</v>
      </c>
      <c r="T27" s="36" t="str">
        <f t="shared" si="7"/>
        <v>CRO-10µg/L + Testostérone</v>
      </c>
      <c r="U27" s="36" t="str">
        <f t="shared" si="7"/>
        <v>CRO-100µg/L + Testostérone</v>
      </c>
      <c r="V27" s="36" t="str">
        <f t="shared" si="7"/>
        <v>CRO-1000µg/L + Testostérone</v>
      </c>
    </row>
    <row r="28" spans="1:22" x14ac:dyDescent="0.35">
      <c r="A28" s="222" t="s">
        <v>34</v>
      </c>
      <c r="B28" s="11">
        <f t="shared" ref="B28:M28" si="8">IF(B5="","",(B5/$O$23))</f>
        <v>0.14485651336956043</v>
      </c>
      <c r="C28" s="11">
        <f t="shared" si="8"/>
        <v>0.18259300718614116</v>
      </c>
      <c r="D28" s="11">
        <f t="shared" si="8"/>
        <v>0.24719396296432428</v>
      </c>
      <c r="E28" s="11">
        <f t="shared" si="8"/>
        <v>0.32357370233314492</v>
      </c>
      <c r="F28" s="11">
        <f t="shared" si="8"/>
        <v>1.0073238556959048</v>
      </c>
      <c r="G28" s="11">
        <f t="shared" si="8"/>
        <v>1.4792785778683377</v>
      </c>
      <c r="H28" s="11">
        <f t="shared" si="8"/>
        <v>3.1241096883894808</v>
      </c>
      <c r="I28" s="11">
        <f t="shared" si="8"/>
        <v>0.10177878056340456</v>
      </c>
      <c r="J28" s="11">
        <f t="shared" si="8"/>
        <v>7.7169896271097757E-2</v>
      </c>
      <c r="K28" s="11">
        <f t="shared" si="8"/>
        <v>7.0308255417924126E-2</v>
      </c>
      <c r="L28" s="11">
        <f t="shared" si="8"/>
        <v>3.3290006720157257E-2</v>
      </c>
      <c r="M28" s="11">
        <f t="shared" si="8"/>
        <v>0.28382799852289575</v>
      </c>
      <c r="N28" s="6"/>
      <c r="O28" s="11">
        <f t="shared" ref="O28:V28" si="9">IF(O5="","",(O5/$O$23))</f>
        <v>0.11746802919460229</v>
      </c>
      <c r="P28" s="11">
        <f t="shared" si="9"/>
        <v>1.1242918623621665</v>
      </c>
      <c r="Q28" s="11">
        <f t="shared" si="9"/>
        <v>6.9471102768808482E-2</v>
      </c>
      <c r="R28" s="11">
        <f t="shared" si="9"/>
        <v>0.30675472307460272</v>
      </c>
      <c r="S28" s="11">
        <f t="shared" si="9"/>
        <v>4.4848211387611088E-2</v>
      </c>
      <c r="T28" s="11">
        <f t="shared" si="9"/>
        <v>0.97823117570592388</v>
      </c>
      <c r="U28" s="11">
        <f t="shared" si="9"/>
        <v>0.59347930903565038</v>
      </c>
      <c r="V28" s="11">
        <f t="shared" si="9"/>
        <v>0.54056977799465011</v>
      </c>
    </row>
    <row r="29" spans="1:22" x14ac:dyDescent="0.35">
      <c r="A29" s="223"/>
      <c r="B29" s="11">
        <f t="shared" ref="B29:M29" si="10">IF(B6="","",(B6/$O$23))</f>
        <v>7.7589061678833227E-2</v>
      </c>
      <c r="C29" s="11">
        <f t="shared" si="10"/>
        <v>0.12366361333492208</v>
      </c>
      <c r="D29" s="11">
        <f t="shared" si="10"/>
        <v>0.22897584570519597</v>
      </c>
      <c r="E29" s="11">
        <f t="shared" si="10"/>
        <v>0.35753316935784907</v>
      </c>
      <c r="F29" s="11">
        <f t="shared" si="10"/>
        <v>1.3752260671466079</v>
      </c>
      <c r="G29" s="11">
        <f t="shared" si="10"/>
        <v>1.3510080722695097</v>
      </c>
      <c r="H29" s="11">
        <f t="shared" si="10"/>
        <v>2.7145939867332851</v>
      </c>
      <c r="I29" s="11">
        <f t="shared" si="10"/>
        <v>4.3850653571013094E-2</v>
      </c>
      <c r="J29" s="11">
        <f t="shared" si="10"/>
        <v>2.2813489674226885E-2</v>
      </c>
      <c r="K29" s="11">
        <f t="shared" si="10"/>
        <v>2.1062647198693087E-2</v>
      </c>
      <c r="L29" s="11">
        <f t="shared" si="10"/>
        <v>5.3492941565820559E-2</v>
      </c>
      <c r="M29" s="11">
        <f t="shared" si="10"/>
        <v>7.5015291822029068E-2</v>
      </c>
      <c r="N29" s="6"/>
      <c r="O29" s="11">
        <f t="shared" ref="O29:V29" si="11">IF(O6="","",(O6/$O$23))</f>
        <v>1.2481364769578929</v>
      </c>
      <c r="P29" s="11">
        <f t="shared" si="11"/>
        <v>1.8230467060679132</v>
      </c>
      <c r="Q29" s="11">
        <f t="shared" si="11"/>
        <v>0.14891211105077523</v>
      </c>
      <c r="R29" s="11">
        <f t="shared" si="11"/>
        <v>1.0150604814289361</v>
      </c>
      <c r="S29" s="11">
        <f t="shared" si="11"/>
        <v>0.73117963996321622</v>
      </c>
      <c r="T29" s="11">
        <f t="shared" si="11"/>
        <v>0.83671201489876446</v>
      </c>
      <c r="U29" s="11">
        <f t="shared" si="11"/>
        <v>1.213263669193098</v>
      </c>
      <c r="V29" s="11">
        <f t="shared" si="11"/>
        <v>1.1657876232037125</v>
      </c>
    </row>
    <row r="30" spans="1:22" x14ac:dyDescent="0.35">
      <c r="A30" s="223"/>
      <c r="B30" s="11">
        <f t="shared" ref="B30:M30" si="12">IF(B7="","",(B7/$O$23))</f>
        <v>5.1782636740066716E-2</v>
      </c>
      <c r="C30" s="11">
        <f t="shared" si="12"/>
        <v>0.25869443748036919</v>
      </c>
      <c r="D30" s="11">
        <f t="shared" si="12"/>
        <v>0.1030047281097639</v>
      </c>
      <c r="E30" s="11">
        <f t="shared" si="12"/>
        <v>1.5924199438484279</v>
      </c>
      <c r="F30" s="11">
        <f t="shared" si="12"/>
        <v>1.6384322272308505</v>
      </c>
      <c r="G30" s="11">
        <f t="shared" si="12"/>
        <v>1.7224941348656138</v>
      </c>
      <c r="H30" s="11">
        <f t="shared" si="12"/>
        <v>2.4671536560933336</v>
      </c>
      <c r="I30" s="11">
        <f t="shared" si="12"/>
        <v>0.13215518188694464</v>
      </c>
      <c r="J30" s="11">
        <f t="shared" si="12"/>
        <v>4.9837614994865748E-2</v>
      </c>
      <c r="K30" s="11">
        <f t="shared" si="12"/>
        <v>0.2160471717518013</v>
      </c>
      <c r="L30" s="11">
        <f t="shared" si="12"/>
        <v>6.5892095196201511E-2</v>
      </c>
      <c r="M30" s="11">
        <f t="shared" si="12"/>
        <v>5.1794156588873937E-2</v>
      </c>
      <c r="N30" s="6"/>
      <c r="O30" s="11">
        <f t="shared" ref="O30:V30" si="13">IF(O7="","",(O7/$O$23))</f>
        <v>0.94461830776862798</v>
      </c>
      <c r="P30" s="11">
        <f t="shared" si="13"/>
        <v>1.7400664860546735</v>
      </c>
      <c r="Q30" s="11">
        <f t="shared" si="13"/>
        <v>8.8714093849661002E-2</v>
      </c>
      <c r="R30" s="11">
        <f t="shared" si="13"/>
        <v>0.59080644229762957</v>
      </c>
      <c r="S30" s="11">
        <f t="shared" si="13"/>
        <v>1.3323230084115705</v>
      </c>
      <c r="T30" s="11">
        <f t="shared" si="13"/>
        <v>1.0605600879036463</v>
      </c>
      <c r="U30" s="11">
        <f t="shared" si="13"/>
        <v>0.34932095713940164</v>
      </c>
      <c r="V30" s="11">
        <f t="shared" si="13"/>
        <v>1.5995895224782402</v>
      </c>
    </row>
    <row r="31" spans="1:22" x14ac:dyDescent="0.35">
      <c r="A31" s="223"/>
      <c r="B31" s="11">
        <f t="shared" ref="B31:M31" si="14">IF(B8="","",(B8/$O$23))</f>
        <v>0.18140934272119921</v>
      </c>
      <c r="C31" s="11">
        <f t="shared" si="14"/>
        <v>0.23882688732384338</v>
      </c>
      <c r="D31" s="11">
        <f t="shared" si="14"/>
        <v>9.624598045161839E-2</v>
      </c>
      <c r="E31" s="11">
        <f t="shared" si="14"/>
        <v>0.57540309536864742</v>
      </c>
      <c r="F31" s="11">
        <f t="shared" si="14"/>
        <v>1.2717994245742796</v>
      </c>
      <c r="G31" s="11">
        <f t="shared" si="14"/>
        <v>1.57146983335456</v>
      </c>
      <c r="H31" s="11">
        <f t="shared" si="14"/>
        <v>2.2903653436323039</v>
      </c>
      <c r="I31" s="11">
        <f t="shared" si="14"/>
        <v>7.0589575362091359E-2</v>
      </c>
      <c r="J31" s="11">
        <f t="shared" si="14"/>
        <v>7.1999578674620618E-2</v>
      </c>
      <c r="K31" s="11">
        <f t="shared" si="14"/>
        <v>1.0431354002311153E-2</v>
      </c>
      <c r="L31" s="11">
        <f t="shared" si="14"/>
        <v>0.16007091732378781</v>
      </c>
      <c r="M31" s="11">
        <f t="shared" si="14"/>
        <v>0.10623277301586907</v>
      </c>
      <c r="N31" s="6"/>
      <c r="O31" s="11">
        <f t="shared" ref="O31:V31" si="15">IF(O8="","",(O8/$O$23))</f>
        <v>1.2846197072229881</v>
      </c>
      <c r="P31" s="11">
        <f t="shared" si="15"/>
        <v>1.8023738137538645</v>
      </c>
      <c r="Q31" s="11">
        <f t="shared" si="15"/>
        <v>0.12442248337509774</v>
      </c>
      <c r="R31" s="11">
        <f t="shared" si="15"/>
        <v>1.1625094844096124</v>
      </c>
      <c r="S31" s="11">
        <f t="shared" si="15"/>
        <v>0.66979150020010148</v>
      </c>
      <c r="T31" s="11">
        <f t="shared" si="15"/>
        <v>1.9092739089205244</v>
      </c>
      <c r="U31" s="11">
        <f t="shared" si="15"/>
        <v>0.12759371448140366</v>
      </c>
      <c r="V31" s="11">
        <f t="shared" si="15"/>
        <v>1.4875661927335233</v>
      </c>
    </row>
    <row r="32" spans="1:22" x14ac:dyDescent="0.35">
      <c r="A32" s="223"/>
      <c r="B32" s="11">
        <f t="shared" ref="B32:M32" si="16">IF(B9="","",(B9/$O$23))</f>
        <v>0.13842132510120866</v>
      </c>
      <c r="C32" s="11">
        <f t="shared" si="16"/>
        <v>0.12393350070186397</v>
      </c>
      <c r="D32" s="11">
        <f t="shared" si="16"/>
        <v>0.20379528891583085</v>
      </c>
      <c r="E32" s="11">
        <f t="shared" si="16"/>
        <v>0.54137097475203411</v>
      </c>
      <c r="F32" s="11">
        <f t="shared" si="16"/>
        <v>1.1062002888967539</v>
      </c>
      <c r="G32" s="11">
        <f t="shared" si="16"/>
        <v>1.2258184716897493</v>
      </c>
      <c r="H32" s="11">
        <f t="shared" si="16"/>
        <v>2.4315981663793385</v>
      </c>
      <c r="I32" s="11">
        <f t="shared" si="16"/>
        <v>0.13717822868901131</v>
      </c>
      <c r="J32" s="11">
        <f t="shared" si="16"/>
        <v>1.6966380960325524E-2</v>
      </c>
      <c r="K32" s="11">
        <f t="shared" si="16"/>
        <v>1.6159337006956029E-2</v>
      </c>
      <c r="L32" s="11">
        <f t="shared" si="16"/>
        <v>0.13173331106017111</v>
      </c>
      <c r="M32" s="11">
        <f t="shared" si="16"/>
        <v>7.1356954381499638E-2</v>
      </c>
      <c r="N32" s="6"/>
      <c r="O32" s="11">
        <f t="shared" ref="O32:V32" si="17">IF(O9="","",(O9/$O$23))</f>
        <v>0.33394488257975474</v>
      </c>
      <c r="P32" s="11">
        <f t="shared" si="17"/>
        <v>2.5251147281078823</v>
      </c>
      <c r="Q32" s="11">
        <f t="shared" si="17"/>
        <v>0.21675223886175232</v>
      </c>
      <c r="R32" s="11">
        <f t="shared" si="17"/>
        <v>0.25967240282683673</v>
      </c>
      <c r="S32" s="11">
        <f t="shared" si="17"/>
        <v>0.38166240903618254</v>
      </c>
      <c r="T32" s="11">
        <f t="shared" si="17"/>
        <v>0.63142726189510912</v>
      </c>
      <c r="U32" s="11">
        <f t="shared" si="17"/>
        <v>0.78577307617645387</v>
      </c>
      <c r="V32" s="11">
        <f t="shared" si="17"/>
        <v>0.33324919716485502</v>
      </c>
    </row>
    <row r="33" spans="1:22" x14ac:dyDescent="0.35">
      <c r="A33" s="223"/>
      <c r="B33" s="11">
        <f t="shared" ref="B33:M33" si="18">IF(B10="","",(B10/$O$23))</f>
        <v>0.16634020231499927</v>
      </c>
      <c r="C33" s="11">
        <f t="shared" si="18"/>
        <v>0.44516191017954798</v>
      </c>
      <c r="D33" s="11">
        <f t="shared" si="18"/>
        <v>0.18465715464059859</v>
      </c>
      <c r="E33" s="11">
        <f t="shared" si="18"/>
        <v>5.0038557812128064E-2</v>
      </c>
      <c r="F33" s="11">
        <f t="shared" si="18"/>
        <v>1.9053757928087993</v>
      </c>
      <c r="G33" s="11">
        <f t="shared" si="18"/>
        <v>1.853066384800548</v>
      </c>
      <c r="H33" s="11">
        <f t="shared" si="18"/>
        <v>3.4263257219414114</v>
      </c>
      <c r="I33" s="11">
        <f t="shared" si="18"/>
        <v>8.6077881176026785E-2</v>
      </c>
      <c r="J33" s="11">
        <f t="shared" si="18"/>
        <v>0.15413623157747702</v>
      </c>
      <c r="K33" s="11">
        <f t="shared" si="18"/>
        <v>0.21520897184370319</v>
      </c>
      <c r="L33" s="11">
        <f t="shared" si="18"/>
        <v>0.11803721445157725</v>
      </c>
      <c r="M33" s="11">
        <f t="shared" si="18"/>
        <v>5.1533520009610569E-2</v>
      </c>
      <c r="N33" s="6"/>
      <c r="O33" s="11">
        <f t="shared" ref="O33:V33" si="19">IF(O10="","",(O10/$O$23))</f>
        <v>1.7677852058954386</v>
      </c>
      <c r="P33" s="11">
        <f t="shared" si="19"/>
        <v>1.7398851793433325</v>
      </c>
      <c r="Q33" s="11">
        <f t="shared" si="19"/>
        <v>0.27697578300056441</v>
      </c>
      <c r="R33" s="11">
        <f t="shared" si="19"/>
        <v>0.57424495784140328</v>
      </c>
      <c r="S33" s="11">
        <f t="shared" si="19"/>
        <v>0.52633281575739899</v>
      </c>
      <c r="T33" s="11">
        <f t="shared" si="19"/>
        <v>1.0797831810638319</v>
      </c>
      <c r="U33" s="11">
        <f t="shared" si="19"/>
        <v>0.88803019228010371</v>
      </c>
      <c r="V33" s="11">
        <f t="shared" si="19"/>
        <v>1.1040179320846495</v>
      </c>
    </row>
    <row r="34" spans="1:22" x14ac:dyDescent="0.35">
      <c r="A34" s="223"/>
      <c r="B34" s="11">
        <f t="shared" ref="B34:M34" si="20">IF(B11="","",(B11/$O$23))</f>
        <v>0.15612392912621384</v>
      </c>
      <c r="C34" s="11">
        <f t="shared" si="20"/>
        <v>0.15714605389310904</v>
      </c>
      <c r="D34" s="11">
        <f t="shared" si="20"/>
        <v>5.7338083827348896E-2</v>
      </c>
      <c r="E34" s="11">
        <f t="shared" si="20"/>
        <v>0.12281677354021855</v>
      </c>
      <c r="F34" s="11">
        <f t="shared" si="20"/>
        <v>0.44572245554991752</v>
      </c>
      <c r="G34" s="11">
        <f t="shared" si="20"/>
        <v>1.5139617008499318</v>
      </c>
      <c r="H34" s="11">
        <f t="shared" si="20"/>
        <v>2.3959014276100814</v>
      </c>
      <c r="I34" s="11">
        <f t="shared" si="20"/>
        <v>9.9134189817910542E-2</v>
      </c>
      <c r="J34" s="11">
        <f t="shared" si="20"/>
        <v>9.2049613708842626E-2</v>
      </c>
      <c r="K34" s="11">
        <f t="shared" si="20"/>
        <v>0.12295937530499884</v>
      </c>
      <c r="L34" s="11">
        <f t="shared" si="20"/>
        <v>0.10454812603518585</v>
      </c>
      <c r="M34" s="11">
        <f t="shared" si="20"/>
        <v>0.16145565551336488</v>
      </c>
      <c r="N34" s="6"/>
      <c r="O34" s="11">
        <f t="shared" ref="O34:V34" si="21">IF(O11="","",(O11/$O$23))</f>
        <v>1.1615883764987351</v>
      </c>
      <c r="P34" s="11">
        <f t="shared" si="21"/>
        <v>1.3516510892847491</v>
      </c>
      <c r="Q34" s="11">
        <f t="shared" si="21"/>
        <v>0.11874607787533975</v>
      </c>
      <c r="R34" s="11">
        <f t="shared" si="21"/>
        <v>1.3610939617149771</v>
      </c>
      <c r="S34" s="11">
        <f t="shared" si="21"/>
        <v>2.3732776227190553</v>
      </c>
      <c r="T34" s="11">
        <f t="shared" si="21"/>
        <v>0.34806372273094088</v>
      </c>
      <c r="U34" s="11">
        <f t="shared" si="21"/>
        <v>1.4566915579490709</v>
      </c>
      <c r="V34" s="11">
        <f t="shared" si="21"/>
        <v>0.16878947926026175</v>
      </c>
    </row>
    <row r="35" spans="1:22" x14ac:dyDescent="0.35">
      <c r="A35" s="223"/>
      <c r="B35" s="11">
        <f t="shared" ref="B35:M35" si="22">IF(B12="","",(B12/$O$23))</f>
        <v>9.6585815991431401E-2</v>
      </c>
      <c r="C35" s="11">
        <f t="shared" si="22"/>
        <v>0.21700698460923928</v>
      </c>
      <c r="D35" s="11">
        <f t="shared" si="22"/>
        <v>0.1702163696238834</v>
      </c>
      <c r="E35" s="11">
        <f t="shared" si="22"/>
        <v>0.13510282320049224</v>
      </c>
      <c r="F35" s="11">
        <f t="shared" si="22"/>
        <v>1.5981172072562534E-2</v>
      </c>
      <c r="G35" s="11">
        <f t="shared" si="22"/>
        <v>1.3777942079863812</v>
      </c>
      <c r="H35" s="11">
        <f t="shared" si="22"/>
        <v>3.123741707764514</v>
      </c>
      <c r="I35" s="11">
        <f t="shared" si="22"/>
        <v>0.14168523862746357</v>
      </c>
      <c r="J35" s="11">
        <f t="shared" si="22"/>
        <v>7.9483291363384168E-2</v>
      </c>
      <c r="K35" s="11">
        <f t="shared" si="22"/>
        <v>6.2448969476570609E-2</v>
      </c>
      <c r="L35" s="11">
        <f t="shared" si="22"/>
        <v>0.18663922317230461</v>
      </c>
      <c r="M35" s="11">
        <f t="shared" si="22"/>
        <v>8.5236059497280955E-2</v>
      </c>
      <c r="N35" s="6"/>
      <c r="O35" s="11">
        <f t="shared" ref="O35:V35" si="23">IF(O12="","",(O12/$O$23))</f>
        <v>2.0266212851531877</v>
      </c>
      <c r="P35" s="11">
        <f t="shared" si="23"/>
        <v>2.238877117573685</v>
      </c>
      <c r="Q35" s="11">
        <f t="shared" si="23"/>
        <v>6.6379070623052192E-2</v>
      </c>
      <c r="R35" s="11">
        <f t="shared" si="23"/>
        <v>1.7571537817916838</v>
      </c>
      <c r="S35" s="11">
        <f t="shared" si="23"/>
        <v>0.19559813104525647</v>
      </c>
      <c r="T35" s="11">
        <f t="shared" si="23"/>
        <v>1.236736932026284</v>
      </c>
      <c r="U35" s="11">
        <f t="shared" si="23"/>
        <v>1.1614781524908295</v>
      </c>
      <c r="V35" s="11">
        <f t="shared" si="23"/>
        <v>0.88247487610019437</v>
      </c>
    </row>
    <row r="36" spans="1:22" s="1" customFormat="1" x14ac:dyDescent="0.35">
      <c r="A36" s="223"/>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0.36486895671533809</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5">
      <c r="A37" s="223"/>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0.20580576434743647</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5">
      <c r="A38" s="223"/>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1.2740296498490411</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5">
      <c r="A39" s="223"/>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0.57988632380103933</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5">
      <c r="A40" s="223"/>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1.0919247089845241</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5">
      <c r="A41" s="223"/>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1.0741851890803866</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5">
      <c r="A42" s="223"/>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1.3317170381828363</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5">
      <c r="A43" s="223"/>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1.1928000977681714</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5">
      <c r="A44" s="7"/>
      <c r="B44" s="3"/>
      <c r="C44" s="3"/>
      <c r="D44" s="3"/>
      <c r="E44" s="3"/>
      <c r="F44" s="3"/>
      <c r="G44" s="3"/>
      <c r="H44" s="3"/>
      <c r="I44" s="3"/>
      <c r="J44" s="3"/>
      <c r="N44" s="7"/>
      <c r="O44" s="3"/>
      <c r="P44" s="3"/>
      <c r="Q44" s="3"/>
      <c r="R44" s="3"/>
      <c r="S44" s="3"/>
      <c r="T44" s="3"/>
      <c r="U44" s="3"/>
      <c r="V44" s="3"/>
    </row>
    <row r="45" spans="1:22" s="69" customFormat="1" x14ac:dyDescent="0.3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CRO-0.1µg/L</v>
      </c>
      <c r="J45" s="70" t="str">
        <f t="shared" si="46"/>
        <v>CRO-1µg/L</v>
      </c>
      <c r="K45" s="70" t="str">
        <f t="shared" si="46"/>
        <v>CRO-10µg/L</v>
      </c>
      <c r="L45" s="70" t="str">
        <f t="shared" si="46"/>
        <v>CRO-100µg/L</v>
      </c>
      <c r="M45" s="70" t="str">
        <f t="shared" si="46"/>
        <v>CRO-1000µg/L</v>
      </c>
      <c r="N45" s="70" t="str">
        <f>N22</f>
        <v>Nom des groupes</v>
      </c>
      <c r="O45" s="70" t="str">
        <f t="shared" ref="O45:V45" si="47">O4</f>
        <v>Testo -30µg/L</v>
      </c>
      <c r="P45" s="70" t="str">
        <f t="shared" si="47"/>
        <v>Testo 30µg/L + EE2 -64ng/L</v>
      </c>
      <c r="Q45" s="70" t="str">
        <f t="shared" si="47"/>
        <v>Testo 30µg/L + FAD-10mg/L</v>
      </c>
      <c r="R45" s="70" t="str">
        <f t="shared" si="47"/>
        <v>CRO-0,1µg/L + Testostérone</v>
      </c>
      <c r="S45" s="70" t="str">
        <f t="shared" si="47"/>
        <v>CRO-1µg/L + Testostérone</v>
      </c>
      <c r="T45" s="70" t="str">
        <f t="shared" si="47"/>
        <v>CRO-10µg/L + Testostérone</v>
      </c>
      <c r="U45" s="70" t="str">
        <f t="shared" si="47"/>
        <v>CRO-100µg/L + Testostérone</v>
      </c>
      <c r="V45" s="70" t="str">
        <f t="shared" si="47"/>
        <v>CRO-1000µg/L + Testostérone</v>
      </c>
    </row>
    <row r="46" spans="1:22" x14ac:dyDescent="0.35">
      <c r="A46" s="8" t="s">
        <v>0</v>
      </c>
      <c r="B46" s="10">
        <f t="shared" ref="B46:H46" si="48">AVERAGE(B28:B43)</f>
        <v>0.12663860338043909</v>
      </c>
      <c r="C46" s="10">
        <f t="shared" si="48"/>
        <v>0.21837829933862951</v>
      </c>
      <c r="D46" s="10">
        <f t="shared" si="48"/>
        <v>0.16142842677982053</v>
      </c>
      <c r="E46" s="10">
        <f t="shared" si="48"/>
        <v>0.4622823800266177</v>
      </c>
      <c r="F46" s="10">
        <f t="shared" si="48"/>
        <v>1.0957576604969597</v>
      </c>
      <c r="G46" s="10">
        <f t="shared" si="48"/>
        <v>1.5118614229605791</v>
      </c>
      <c r="H46" s="10">
        <f t="shared" si="48"/>
        <v>2.7467237123179684</v>
      </c>
      <c r="I46" s="10">
        <f>AVERAGE(I28:I43)</f>
        <v>0.10155621621173325</v>
      </c>
      <c r="J46" s="9">
        <f>AVERAGE(J28:J43)</f>
        <v>7.0557012153105045E-2</v>
      </c>
      <c r="K46" s="9">
        <f>AVERAGE(K28:K43)</f>
        <v>9.1828260250369803E-2</v>
      </c>
      <c r="L46" s="9">
        <f t="shared" ref="L46:M46" si="49">AVERAGE(L28:L43)</f>
        <v>0.10671297944065075</v>
      </c>
      <c r="M46" s="9">
        <f t="shared" si="49"/>
        <v>0.11080655116892796</v>
      </c>
      <c r="N46" s="8" t="s">
        <v>0</v>
      </c>
      <c r="O46" s="10">
        <f>AVERAGE(O28:O43)</f>
        <v>1</v>
      </c>
      <c r="P46" s="10">
        <f>AVERAGE(P28:P43)</f>
        <v>1.7931633728185332</v>
      </c>
      <c r="Q46" s="10">
        <f>AVERAGE(Q28:Q43)</f>
        <v>0.13879662017563141</v>
      </c>
      <c r="R46" s="10">
        <f>AVERAGE(R28:R43)</f>
        <v>0.87841202942321017</v>
      </c>
      <c r="S46" s="10">
        <f t="shared" ref="S46:V46" si="50">AVERAGE(S28:S43)</f>
        <v>0.78187666731504912</v>
      </c>
      <c r="T46" s="10">
        <f t="shared" si="50"/>
        <v>1.010098535643128</v>
      </c>
      <c r="U46" s="10">
        <f t="shared" si="50"/>
        <v>0.8219538285932515</v>
      </c>
      <c r="V46" s="10">
        <f t="shared" si="50"/>
        <v>0.91025557512751076</v>
      </c>
    </row>
    <row r="47" spans="1:22" x14ac:dyDescent="0.35">
      <c r="A47" s="8" t="s">
        <v>1</v>
      </c>
      <c r="B47" s="8">
        <f t="shared" ref="B47:K47" si="51">STDEV(B28:B43)</f>
        <v>4.6025774407080819E-2</v>
      </c>
      <c r="C47" s="8">
        <f t="shared" si="51"/>
        <v>0.10446933189522628</v>
      </c>
      <c r="D47" s="8">
        <f t="shared" si="51"/>
        <v>6.8480459274150002E-2</v>
      </c>
      <c r="E47" s="8">
        <f t="shared" si="51"/>
        <v>0.49550883500348303</v>
      </c>
      <c r="F47" s="8">
        <f t="shared" si="51"/>
        <v>0.61591547628676002</v>
      </c>
      <c r="G47" s="8">
        <f t="shared" si="51"/>
        <v>0.20391684908703886</v>
      </c>
      <c r="H47" s="8">
        <f t="shared" si="51"/>
        <v>0.42363338542626383</v>
      </c>
      <c r="I47" s="8">
        <f>STDEV(I28:I43)</f>
        <v>3.4537603359608871E-2</v>
      </c>
      <c r="J47" s="8">
        <f t="shared" si="51"/>
        <v>4.3348423344569918E-2</v>
      </c>
      <c r="K47" s="8">
        <f t="shared" si="51"/>
        <v>8.4774955793841755E-2</v>
      </c>
      <c r="L47" s="8">
        <f t="shared" ref="L47:M47" si="52">STDEV(L28:L43)</f>
        <v>5.3296831586883642E-2</v>
      </c>
      <c r="M47" s="8">
        <f t="shared" si="52"/>
        <v>7.8385095499711066E-2</v>
      </c>
      <c r="N47" s="8" t="s">
        <v>1</v>
      </c>
      <c r="O47" s="8">
        <f>STDEV(O28:O43)</f>
        <v>0.546783372716102</v>
      </c>
      <c r="P47" s="8">
        <f>STDEV(P28:P43)</f>
        <v>0.44454975840687722</v>
      </c>
      <c r="Q47" s="8">
        <f>STDEV(Q28:Q43)</f>
        <v>7.4104280794790464E-2</v>
      </c>
      <c r="R47" s="8">
        <f>STDEV(R28:R43)</f>
        <v>0.53310659093451063</v>
      </c>
      <c r="S47" s="8">
        <f t="shared" ref="S47:V47" si="53">STDEV(S28:S43)</f>
        <v>0.75243310363237004</v>
      </c>
      <c r="T47" s="8">
        <f t="shared" si="53"/>
        <v>0.45982047334684994</v>
      </c>
      <c r="U47" s="8">
        <f t="shared" si="53"/>
        <v>0.45271966743148095</v>
      </c>
      <c r="V47" s="8">
        <f t="shared" si="53"/>
        <v>0.52528318975968824</v>
      </c>
    </row>
    <row r="48" spans="1:22" x14ac:dyDescent="0.35">
      <c r="A48" s="8" t="s">
        <v>2</v>
      </c>
      <c r="B48" s="8">
        <f t="shared" ref="B48:K48" si="54" xml:space="preserve"> B47/SQRT(COUNT(B28:B43))</f>
        <v>1.6272568596304545E-2</v>
      </c>
      <c r="C48" s="8">
        <f t="shared" si="54"/>
        <v>3.6935486504571284E-2</v>
      </c>
      <c r="D48" s="8">
        <f t="shared" si="54"/>
        <v>2.4211498565760329E-2</v>
      </c>
      <c r="E48" s="8">
        <f t="shared" si="54"/>
        <v>0.17518882868440447</v>
      </c>
      <c r="F48" s="8">
        <f t="shared" si="54"/>
        <v>0.2177590049600551</v>
      </c>
      <c r="G48" s="8">
        <f t="shared" si="54"/>
        <v>7.2095493393819501E-2</v>
      </c>
      <c r="H48" s="8">
        <f t="shared" si="54"/>
        <v>0.14977701978596272</v>
      </c>
      <c r="I48" s="8">
        <f xml:space="preserve"> I47/SQRT(COUNT(I28:I43))</f>
        <v>1.2210886770755358E-2</v>
      </c>
      <c r="J48" s="8">
        <f t="shared" si="54"/>
        <v>1.5325982050345313E-2</v>
      </c>
      <c r="K48" s="8">
        <f t="shared" si="54"/>
        <v>2.997247305830765E-2</v>
      </c>
      <c r="L48" s="8">
        <f t="shared" ref="L48:M48" si="55" xml:space="preserve"> L47/SQRT(COUNT(L28:L43))</f>
        <v>1.8843275515421403E-2</v>
      </c>
      <c r="M48" s="8">
        <f t="shared" si="55"/>
        <v>2.7713316285900409E-2</v>
      </c>
      <c r="N48" s="8" t="s">
        <v>2</v>
      </c>
      <c r="O48" s="8">
        <f xml:space="preserve"> O47/SQRT(COUNT(O28:O43))</f>
        <v>0.1366958431790255</v>
      </c>
      <c r="P48" s="8">
        <f xml:space="preserve"> P47/SQRT(COUNT(P28:P43))</f>
        <v>0.15717207437217215</v>
      </c>
      <c r="Q48" s="8">
        <f xml:space="preserve"> Q47/SQRT(COUNT(Q28:Q43))</f>
        <v>2.6199819732474188E-2</v>
      </c>
      <c r="R48" s="8">
        <f xml:space="preserve"> R47/SQRT(COUNT(R28:R43))</f>
        <v>0.18848164277251764</v>
      </c>
      <c r="S48" s="8">
        <f t="shared" ref="S48:V48" si="56" xml:space="preserve"> S47/SQRT(COUNT(S28:S43))</f>
        <v>0.26602527498384454</v>
      </c>
      <c r="T48" s="8">
        <f t="shared" si="56"/>
        <v>0.16257108741598286</v>
      </c>
      <c r="U48" s="8">
        <f t="shared" si="56"/>
        <v>0.16006057340865937</v>
      </c>
      <c r="V48" s="8">
        <f t="shared" si="56"/>
        <v>0.18571565276118779</v>
      </c>
    </row>
    <row r="49" spans="1:22" s="1" customFormat="1"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8" t="s">
        <v>38</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 thickBot="1" x14ac:dyDescent="0.4">
      <c r="A51"/>
      <c r="B51"/>
      <c r="C51"/>
      <c r="D51"/>
      <c r="E51"/>
      <c r="F51"/>
      <c r="G51"/>
      <c r="H51"/>
      <c r="I51"/>
      <c r="J51"/>
      <c r="K51"/>
      <c r="L51"/>
      <c r="M51"/>
      <c r="S51"/>
      <c r="T51"/>
      <c r="U51"/>
      <c r="V51"/>
    </row>
    <row r="52" spans="1:22" x14ac:dyDescent="0.3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CRO-0.1µg/L</v>
      </c>
      <c r="J52" s="46" t="str">
        <f>J4</f>
        <v>CRO-1µg/L</v>
      </c>
      <c r="K52" s="46" t="str">
        <f>K27</f>
        <v>CRO-10µg/L</v>
      </c>
      <c r="L52" s="46" t="str">
        <f t="shared" ref="L52:M52" si="58">L27</f>
        <v>CRO-100µg/L</v>
      </c>
      <c r="M52" s="46" t="str">
        <f t="shared" si="58"/>
        <v>CRO-1000µg/L</v>
      </c>
      <c r="N52" s="47"/>
      <c r="O52" s="46" t="str">
        <f>O27</f>
        <v>Testo -30µg/L</v>
      </c>
      <c r="P52" s="46" t="str">
        <f>P27</f>
        <v>Testo 30µg/L + EE2 -64ng/L</v>
      </c>
      <c r="Q52" s="46" t="str">
        <f>Q27</f>
        <v>Testo 30µg/L + FAD-10mg/L</v>
      </c>
      <c r="R52" s="46" t="str">
        <f>R27</f>
        <v>CRO-0,1µg/L + Testostérone</v>
      </c>
      <c r="S52" s="46" t="str">
        <f t="shared" ref="S52:V52" si="59">S27</f>
        <v>CRO-1µg/L + Testostérone</v>
      </c>
      <c r="T52" s="46" t="str">
        <f t="shared" si="59"/>
        <v>CRO-10µg/L + Testostérone</v>
      </c>
      <c r="U52" s="46" t="str">
        <f t="shared" si="59"/>
        <v>CRO-100µg/L + Testostérone</v>
      </c>
      <c r="V52" s="46" t="str">
        <f t="shared" si="59"/>
        <v>CRO-1000µg/L + Testostérone</v>
      </c>
    </row>
    <row r="53" spans="1:22" s="3" customFormat="1" x14ac:dyDescent="0.35">
      <c r="A53" s="61" t="s">
        <v>32</v>
      </c>
      <c r="B53" s="142">
        <f t="shared" ref="B53:M53" si="60">B46</f>
        <v>0.12663860338043909</v>
      </c>
      <c r="C53" s="142">
        <f t="shared" si="60"/>
        <v>0.21837829933862951</v>
      </c>
      <c r="D53" s="142">
        <f t="shared" si="60"/>
        <v>0.16142842677982053</v>
      </c>
      <c r="E53" s="142">
        <f t="shared" si="60"/>
        <v>0.4622823800266177</v>
      </c>
      <c r="F53" s="142">
        <f t="shared" si="60"/>
        <v>1.0957576604969597</v>
      </c>
      <c r="G53" s="142">
        <f t="shared" si="60"/>
        <v>1.5118614229605791</v>
      </c>
      <c r="H53" s="142">
        <f t="shared" si="60"/>
        <v>2.7467237123179684</v>
      </c>
      <c r="I53" s="142">
        <f t="shared" si="60"/>
        <v>0.10155621621173325</v>
      </c>
      <c r="J53" s="142">
        <f t="shared" si="60"/>
        <v>7.0557012153105045E-2</v>
      </c>
      <c r="K53" s="142">
        <f t="shared" si="60"/>
        <v>9.1828260250369803E-2</v>
      </c>
      <c r="L53" s="142">
        <f t="shared" si="60"/>
        <v>0.10671297944065075</v>
      </c>
      <c r="M53" s="142">
        <f t="shared" si="60"/>
        <v>0.11080655116892796</v>
      </c>
      <c r="N53" s="142"/>
      <c r="O53" s="142">
        <f t="shared" ref="O53:V53" si="61">O46</f>
        <v>1</v>
      </c>
      <c r="P53" s="142">
        <f t="shared" si="61"/>
        <v>1.7931633728185332</v>
      </c>
      <c r="Q53" s="142">
        <f t="shared" si="61"/>
        <v>0.13879662017563141</v>
      </c>
      <c r="R53" s="142">
        <f t="shared" si="61"/>
        <v>0.87841202942321017</v>
      </c>
      <c r="S53" s="142">
        <f t="shared" si="61"/>
        <v>0.78187666731504912</v>
      </c>
      <c r="T53" s="142">
        <f t="shared" si="61"/>
        <v>1.010098535643128</v>
      </c>
      <c r="U53" s="142">
        <f t="shared" si="61"/>
        <v>0.8219538285932515</v>
      </c>
      <c r="V53" s="142">
        <f t="shared" si="61"/>
        <v>0.91025557512751076</v>
      </c>
    </row>
    <row r="54" spans="1:22" s="3" customFormat="1" x14ac:dyDescent="0.35">
      <c r="A54" s="61" t="s">
        <v>2</v>
      </c>
      <c r="B54" s="142">
        <f t="shared" ref="B54:M54" si="62">B48</f>
        <v>1.6272568596304545E-2</v>
      </c>
      <c r="C54" s="142">
        <f t="shared" si="62"/>
        <v>3.6935486504571284E-2</v>
      </c>
      <c r="D54" s="142">
        <f t="shared" si="62"/>
        <v>2.4211498565760329E-2</v>
      </c>
      <c r="E54" s="142">
        <f t="shared" si="62"/>
        <v>0.17518882868440447</v>
      </c>
      <c r="F54" s="142">
        <f t="shared" si="62"/>
        <v>0.2177590049600551</v>
      </c>
      <c r="G54" s="142">
        <f t="shared" si="62"/>
        <v>7.2095493393819501E-2</v>
      </c>
      <c r="H54" s="142">
        <f t="shared" si="62"/>
        <v>0.14977701978596272</v>
      </c>
      <c r="I54" s="142">
        <f t="shared" si="62"/>
        <v>1.2210886770755358E-2</v>
      </c>
      <c r="J54" s="142">
        <f t="shared" si="62"/>
        <v>1.5325982050345313E-2</v>
      </c>
      <c r="K54" s="142">
        <f t="shared" si="62"/>
        <v>2.997247305830765E-2</v>
      </c>
      <c r="L54" s="142">
        <f t="shared" si="62"/>
        <v>1.8843275515421403E-2</v>
      </c>
      <c r="M54" s="142">
        <f t="shared" si="62"/>
        <v>2.7713316285900409E-2</v>
      </c>
      <c r="N54" s="142"/>
      <c r="O54" s="142">
        <f t="shared" ref="O54:V54" si="63">O48</f>
        <v>0.1366958431790255</v>
      </c>
      <c r="P54" s="142">
        <f t="shared" si="63"/>
        <v>0.15717207437217215</v>
      </c>
      <c r="Q54" s="142">
        <f t="shared" si="63"/>
        <v>2.6199819732474188E-2</v>
      </c>
      <c r="R54" s="142">
        <f t="shared" si="63"/>
        <v>0.18848164277251764</v>
      </c>
      <c r="S54" s="142">
        <f t="shared" si="63"/>
        <v>0.26602527498384454</v>
      </c>
      <c r="T54" s="142">
        <f t="shared" si="63"/>
        <v>0.16257108741598286</v>
      </c>
      <c r="U54" s="142">
        <f t="shared" si="63"/>
        <v>0.16006057340865937</v>
      </c>
      <c r="V54" s="142">
        <f t="shared" si="63"/>
        <v>0.18571565276118779</v>
      </c>
    </row>
    <row r="55" spans="1:22" s="3" customFormat="1" x14ac:dyDescent="0.35">
      <c r="A55" s="61" t="s">
        <v>79</v>
      </c>
      <c r="B55" s="142">
        <f t="shared" ref="B55:M55" si="64">(B53*100/$B$53)-100</f>
        <v>0</v>
      </c>
      <c r="C55" s="142">
        <f t="shared" si="64"/>
        <v>72.442125473061537</v>
      </c>
      <c r="D55" s="142">
        <f t="shared" si="64"/>
        <v>27.47173647743746</v>
      </c>
      <c r="E55" s="142">
        <f t="shared" si="64"/>
        <v>265.04064928595301</v>
      </c>
      <c r="F55" s="142">
        <f t="shared" si="64"/>
        <v>765.26353832658674</v>
      </c>
      <c r="G55" s="142">
        <f t="shared" si="64"/>
        <v>1093.8393053962761</v>
      </c>
      <c r="H55" s="142">
        <f t="shared" si="64"/>
        <v>2068.9466236977105</v>
      </c>
      <c r="I55" s="142">
        <f t="shared" si="64"/>
        <v>-19.806272731352735</v>
      </c>
      <c r="J55" s="142">
        <f t="shared" si="64"/>
        <v>-44.284751829469833</v>
      </c>
      <c r="K55" s="142">
        <f t="shared" si="64"/>
        <v>-27.487939854717453</v>
      </c>
      <c r="L55" s="142">
        <f t="shared" si="64"/>
        <v>-15.734241698741045</v>
      </c>
      <c r="M55" s="142">
        <f t="shared" si="64"/>
        <v>-12.501758380854497</v>
      </c>
      <c r="N55" s="142"/>
      <c r="O55" s="142">
        <f>(O53*100/$O$53)-100</f>
        <v>0</v>
      </c>
      <c r="P55" s="142">
        <f t="shared" ref="P55:V55" si="65">(P53*100/$O$53)-100</f>
        <v>79.316337281853322</v>
      </c>
      <c r="Q55" s="142">
        <f t="shared" si="65"/>
        <v>-86.120337982436865</v>
      </c>
      <c r="R55" s="142">
        <f t="shared" si="65"/>
        <v>-12.158797057678981</v>
      </c>
      <c r="S55" s="142">
        <f t="shared" si="65"/>
        <v>-21.812333268495081</v>
      </c>
      <c r="T55" s="142">
        <f t="shared" si="65"/>
        <v>1.0098535643128059</v>
      </c>
      <c r="U55" s="142">
        <f t="shared" si="65"/>
        <v>-17.80461714067485</v>
      </c>
      <c r="V55" s="142">
        <f t="shared" si="65"/>
        <v>-8.9744424872489219</v>
      </c>
    </row>
    <row r="56" spans="1:22" s="3" customFormat="1" x14ac:dyDescent="0.35">
      <c r="A56" s="61" t="s">
        <v>81</v>
      </c>
      <c r="B56" s="142">
        <f>[1]!SWTEST(B28:B43)</f>
        <v>0.49613902193553028</v>
      </c>
      <c r="C56" s="142">
        <f>[1]!SWTEST(C28:C43)</f>
        <v>7.6196616214963764E-2</v>
      </c>
      <c r="D56" s="142">
        <f>[1]!SWTEST(D28:D43)</f>
        <v>0.57565743526382407</v>
      </c>
      <c r="E56" s="142">
        <f>[1]!SWTEST(E28:E43)</f>
        <v>1.3129769614778297E-2</v>
      </c>
      <c r="F56" s="142">
        <f>[1]!SWTEST(F28:F43)</f>
        <v>0.78219880002005771</v>
      </c>
      <c r="G56" s="142">
        <f>[1]!SWTEST(G28:G43)</f>
        <v>0.93815423517799634</v>
      </c>
      <c r="H56" s="142">
        <f>[1]!SWTEST(H28:H43)</f>
        <v>0.19832424490218648</v>
      </c>
      <c r="I56" s="142">
        <f>[1]!SWTEST(I28:I43)</f>
        <v>0.58660757740274694</v>
      </c>
      <c r="J56" s="142">
        <f>[1]!SWTEST(J28:J43)</f>
        <v>0.48258896154501807</v>
      </c>
      <c r="K56" s="142">
        <f>[1]!SWTEST(K28:K43)</f>
        <v>7.6624942670579732E-2</v>
      </c>
      <c r="L56" s="142">
        <f>[1]!SWTEST(L28:L43)</f>
        <v>0.8878507490864006</v>
      </c>
      <c r="M56" s="142">
        <f>[1]!SWTEST(M28:M43)</f>
        <v>1.3385020914675527E-2</v>
      </c>
      <c r="N56" s="142"/>
      <c r="O56" s="142">
        <f>[1]!SWTEST(O28:O43)</f>
        <v>0.30047561213548069</v>
      </c>
      <c r="P56" s="142">
        <f>[1]!SWTEST(P28:P43)</f>
        <v>0.70972935696322281</v>
      </c>
      <c r="Q56" s="142">
        <f>[1]!SWTEST(Q28:Q43)</f>
        <v>0.22958518485588286</v>
      </c>
      <c r="R56" s="142">
        <f>[1]!SWTEST(R28:R43)</f>
        <v>0.59806009853638542</v>
      </c>
      <c r="S56" s="142">
        <f>[1]!SWTEST(S28:S43)</f>
        <v>0.10015268978153713</v>
      </c>
      <c r="T56" s="142">
        <f>[1]!SWTEST(T28:T43)</f>
        <v>0.6714639060099552</v>
      </c>
      <c r="U56" s="142">
        <f>[1]!SWTEST(U28:U43)</f>
        <v>0.93381432384535401</v>
      </c>
      <c r="V56" s="142">
        <f>[1]!SWTEST(V28:V43)</f>
        <v>0.68650098510422053</v>
      </c>
    </row>
    <row r="57" spans="1:22" s="3" customFormat="1" x14ac:dyDescent="0.35">
      <c r="A57" s="61" t="s">
        <v>85</v>
      </c>
      <c r="B57" s="142" t="str">
        <f t="shared" ref="B57:M57" si="66">IF(B56&gt;0.05,"Oui","Non")</f>
        <v>Oui</v>
      </c>
      <c r="C57" s="142" t="str">
        <f t="shared" si="66"/>
        <v>Oui</v>
      </c>
      <c r="D57" s="142" t="str">
        <f t="shared" si="66"/>
        <v>Oui</v>
      </c>
      <c r="E57" s="142" t="str">
        <f t="shared" si="66"/>
        <v>Non</v>
      </c>
      <c r="F57" s="142" t="str">
        <f t="shared" si="66"/>
        <v>Oui</v>
      </c>
      <c r="G57" s="142" t="str">
        <f t="shared" si="66"/>
        <v>Oui</v>
      </c>
      <c r="H57" s="142" t="str">
        <f t="shared" si="66"/>
        <v>Oui</v>
      </c>
      <c r="I57" s="142" t="str">
        <f t="shared" si="66"/>
        <v>Oui</v>
      </c>
      <c r="J57" s="142" t="str">
        <f t="shared" si="66"/>
        <v>Oui</v>
      </c>
      <c r="K57" s="142" t="str">
        <f t="shared" si="66"/>
        <v>Oui</v>
      </c>
      <c r="L57" s="142" t="str">
        <f t="shared" si="66"/>
        <v>Oui</v>
      </c>
      <c r="M57" s="142" t="str">
        <f t="shared" si="66"/>
        <v>Non</v>
      </c>
      <c r="N57" s="142"/>
      <c r="O57" s="142" t="str">
        <f t="shared" ref="O57:V57" si="67">IF(O56&gt;0.05,"Oui","Non")</f>
        <v>Oui</v>
      </c>
      <c r="P57" s="142" t="str">
        <f t="shared" si="67"/>
        <v>Oui</v>
      </c>
      <c r="Q57" s="142" t="str">
        <f t="shared" si="67"/>
        <v>Oui</v>
      </c>
      <c r="R57" s="142" t="str">
        <f t="shared" si="67"/>
        <v>Oui</v>
      </c>
      <c r="S57" s="142" t="str">
        <f t="shared" si="67"/>
        <v>Oui</v>
      </c>
      <c r="T57" s="142" t="str">
        <f t="shared" si="67"/>
        <v>Oui</v>
      </c>
      <c r="U57" s="142" t="str">
        <f t="shared" si="67"/>
        <v>Oui</v>
      </c>
      <c r="V57" s="142" t="str">
        <f t="shared" si="67"/>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M59" si="68">IF($B57="Non",IF(C$57="Non","Mann Withney",IF(C$57="Oui","Mann Withney","")),IF($B$57="Oui",IF(C$57="Oui","T-Test Welch",IF(C$57="Non","Mann Withney",""))))</f>
        <v>T-Test Welch</v>
      </c>
      <c r="D59" s="151" t="str">
        <f t="shared" si="68"/>
        <v>T-Test Welch</v>
      </c>
      <c r="E59" s="151" t="str">
        <f t="shared" si="68"/>
        <v>Mann Withney</v>
      </c>
      <c r="F59" s="151" t="str">
        <f t="shared" si="68"/>
        <v>T-Test Welch</v>
      </c>
      <c r="G59" s="151" t="str">
        <f t="shared" si="68"/>
        <v>T-Test Welch</v>
      </c>
      <c r="H59" s="151" t="str">
        <f t="shared" si="68"/>
        <v>T-Test Welch</v>
      </c>
      <c r="I59" s="151" t="str">
        <f t="shared" si="68"/>
        <v>T-Test Welch</v>
      </c>
      <c r="J59" s="151" t="str">
        <f t="shared" si="68"/>
        <v>T-Test Welch</v>
      </c>
      <c r="K59" s="151" t="str">
        <f t="shared" si="68"/>
        <v>T-Test Welch</v>
      </c>
      <c r="L59" s="151" t="str">
        <f t="shared" si="68"/>
        <v>T-Test Welch</v>
      </c>
      <c r="M59" s="151" t="str">
        <f t="shared" si="68"/>
        <v>Mann Withney</v>
      </c>
      <c r="N59" s="151"/>
      <c r="O59" s="151" t="str">
        <f>IF($B57="Non",IF(O$57="Non","Mann Withney",IF(O$57="Oui","Mann Withney","")),IF($B$57="Oui",IF(O$57="Oui","T-Test Welch",IF(O$57="Non","Mann Withney",""))))</f>
        <v>T-Test Welch</v>
      </c>
      <c r="P59" s="151" t="str">
        <f>IF($O57="Non",IF(P$57="Non","Mann Withney",IF(P$57="Oui","Mann Withney","")),IF($O$57="Oui",IF(P$57="Oui","T-Test Welch",IF(P$57="Non","Mann Withney",""))))</f>
        <v>T-Test Welch</v>
      </c>
      <c r="Q59" s="151" t="str">
        <f t="shared" ref="Q59:V59" si="69">IF($O57="Non",IF(Q$57="Non","Mann Withney",IF(Q$57="Oui","Mann Withney","")),IF($O$57="Oui",IF(Q$57="Oui","T-Test Welch",IF(Q$57="Non","Mann Withney",""))))</f>
        <v>T-Test Welch</v>
      </c>
      <c r="R59" s="151" t="str">
        <f t="shared" si="69"/>
        <v>T-Test Welch</v>
      </c>
      <c r="S59" s="151" t="str">
        <f t="shared" si="69"/>
        <v>T-Test Welch</v>
      </c>
      <c r="T59" s="151" t="str">
        <f t="shared" si="69"/>
        <v>T-Test Welch</v>
      </c>
      <c r="U59" s="151" t="str">
        <f t="shared" si="69"/>
        <v>T-Test Welch</v>
      </c>
      <c r="V59" s="151" t="str">
        <f t="shared" si="69"/>
        <v>T-Test Welch</v>
      </c>
    </row>
    <row r="60" spans="1:22" s="3" customFormat="1" x14ac:dyDescent="0.35">
      <c r="A60" s="61" t="s">
        <v>83</v>
      </c>
      <c r="B60" s="152"/>
      <c r="C60" s="152">
        <f>IF(C59="Mann Withney",[1]!MTEST($B28:$B43,C28:C43,2), IF(C59="T-Test Welch",_xlfn.T.TEST($B28:$B43,C28:C43,2,3),""))</f>
        <v>4.7327625800299346E-2</v>
      </c>
      <c r="D60" s="152">
        <f>IF(D59="Mann Withney",[1]!MTEST($B28:$B43,D28:D43,2), IF(D59="T-Test Welch",_xlfn.T.TEST($B28:$B43,D28:D43,2,3),""))</f>
        <v>0.25561691398308267</v>
      </c>
      <c r="E60" s="152">
        <f>IF(E59="Mann Withney",[1]!MTEST($B28:$B43,E28:E43,2), IF(E59="T-Test Welch",_xlfn.T.TEST($B28:$B43,E28:E43,2,3),""))</f>
        <v>0.14148212148279327</v>
      </c>
      <c r="F60" s="152">
        <f>IF(F59="Mann Withney",[1]!MTEST($B28:$B43,F28:F43,2), IF(F59="T-Test Welch",_xlfn.T.TEST($B28:$B43,F28:F43,2,3),""))</f>
        <v>2.9340641231554686E-3</v>
      </c>
      <c r="G60" s="152">
        <f>IF(G59="Mann Withney",[1]!MTEST($B28:$B43,G28:G43,2), IF(G59="T-Test Welch",_xlfn.T.TEST($B28:$B43,G28:G43,2,3),""))</f>
        <v>1.0399374257668527E-7</v>
      </c>
      <c r="H60" s="152">
        <f>IF(H59="Mann Withney",[1]!MTEST($B28:$B43,H28:H43,2), IF(H59="T-Test Welch",_xlfn.T.TEST($B28:$B43,H28:H43,2,3),""))</f>
        <v>4.0135040485520942E-7</v>
      </c>
      <c r="I60" s="152">
        <f>IF(I59="Mann Withney",[1]!MTEST($B28:$B43,I28:I43,2), IF(I59="T-Test Welch",_xlfn.T.TEST($B28:$B43,I28:I43,2,3),""))</f>
        <v>0.23947553615752404</v>
      </c>
      <c r="J60" s="152">
        <f>IF(J59="Mann Withney",[1]!MTEST($B28:$B43,J28:J43,2), IF(J59="T-Test Welch",_xlfn.T.TEST($B28:$B43,J28:J43,2,3),""))</f>
        <v>2.5086726357713758E-2</v>
      </c>
      <c r="K60" s="152">
        <f>IF(K59="Mann Withney",[1]!MTEST($B28:$B43,K28:K43,2), IF(K59="T-Test Welch",_xlfn.T.TEST($B28:$B43,K28:K43,2,3),""))</f>
        <v>0.32973052190399954</v>
      </c>
      <c r="L60" s="152">
        <f>IF(L59="Mann Withney",[1]!MTEST($B28:$B43,L28:L43,2), IF(L59="T-Test Welch",_xlfn.T.TEST($B28:$B43,L28:L43,2,3),""))</f>
        <v>0.4371756887221615</v>
      </c>
      <c r="M60" s="152">
        <f>IF(M59="Mann Withney",[1]!MTEST($B28:$B43,M28:M43,2), IF(M59="T-Test Welch",_xlfn.T.TEST($B28:$B43,M28:M43,2,3),""))</f>
        <v>0.29362154392890583</v>
      </c>
      <c r="N60" s="152"/>
      <c r="O60" s="152">
        <f>IF(O59="Mann Withney",[1]!MTEST($B28:$B43,O28:O43,2), IF(O59="T-Test Welch",_xlfn.T.TEST($B28:$B43,O28:O43,2,3),""))</f>
        <v>1.1570546622052289E-5</v>
      </c>
      <c r="P60" s="152">
        <f>IF(P59="Mann Withney",[1]!MTEST($O28:$O43,P28:P43,2), IF(P59="T-Test Welch",_xlfn.T.TEST($O28:$O43,P28:P43,2,3),""))</f>
        <v>1.4012048736136858E-3</v>
      </c>
      <c r="Q60" s="152">
        <f>IF(Q59="Mann Withney",[1]!MTEST($O28:$O43,Q28:Q43,2), IF(Q59="T-Test Welch",_xlfn.T.TEST($O28:$O43,Q28:Q43,2,3),""))</f>
        <v>1.2753568658130743E-5</v>
      </c>
      <c r="R60" s="152">
        <f>IF(R59="Mann Withney",[1]!MTEST($O28:$O43,R28:R43,2), IF(R59="T-Test Welch",_xlfn.T.TEST($O28:$O43,R28:R43,2,3),""))</f>
        <v>0.60944331281609376</v>
      </c>
      <c r="S60" s="152">
        <f>IF(S59="Mann Withney",[1]!MTEST($O28:$O43,S28:S43,2), IF(S59="T-Test Welch",_xlfn.T.TEST($O28:$O43,S28:S43,2,3),""))</f>
        <v>0.48129734370285637</v>
      </c>
      <c r="T60" s="152">
        <f>IF(T59="Mann Withney",[1]!MTEST($O28:$O43,T28:T43,2), IF(T59="T-Test Welch",_xlfn.T.TEST($O28:$O43,T28:T43,2,3),""))</f>
        <v>0.96264890975477369</v>
      </c>
      <c r="U60" s="152">
        <f>IF(U59="Mann Withney",[1]!MTEST($O28:$O43,U28:U43,2), IF(U59="T-Test Welch",_xlfn.T.TEST($O28:$O43,U28:U43,2,3),""))</f>
        <v>0.40952995993683683</v>
      </c>
      <c r="V60" s="152">
        <f>IF(V59="Mann Withney",[1]!MTEST($O28:$O43,V28:V43,2), IF(V59="T-Test Welch",_xlfn.T.TEST($O28:$O43,V28:V43,2,3),""))</f>
        <v>0.70274789293842987</v>
      </c>
    </row>
    <row r="61" spans="1:22" s="3" customFormat="1" ht="15" thickBot="1" x14ac:dyDescent="0.4">
      <c r="A61" s="62" t="s">
        <v>84</v>
      </c>
      <c r="B61" s="143"/>
      <c r="C61" s="143" t="str">
        <f t="shared" ref="C61:M61" si="70">IF(C60&gt;0.05,"NS",IF(C60&gt;0.01,"*",IF(C60&gt;0.001,"**","***")))</f>
        <v>*</v>
      </c>
      <c r="D61" s="143" t="str">
        <f t="shared" si="70"/>
        <v>NS</v>
      </c>
      <c r="E61" s="143" t="str">
        <f t="shared" si="70"/>
        <v>NS</v>
      </c>
      <c r="F61" s="143" t="str">
        <f t="shared" si="70"/>
        <v>**</v>
      </c>
      <c r="G61" s="143" t="str">
        <f t="shared" si="70"/>
        <v>***</v>
      </c>
      <c r="H61" s="143" t="str">
        <f t="shared" si="70"/>
        <v>***</v>
      </c>
      <c r="I61" s="143" t="str">
        <f t="shared" si="70"/>
        <v>NS</v>
      </c>
      <c r="J61" s="143" t="str">
        <f t="shared" si="70"/>
        <v>*</v>
      </c>
      <c r="K61" s="143" t="str">
        <f t="shared" si="70"/>
        <v>NS</v>
      </c>
      <c r="L61" s="143" t="str">
        <f t="shared" si="70"/>
        <v>NS</v>
      </c>
      <c r="M61" s="143" t="str">
        <f t="shared" si="70"/>
        <v>NS</v>
      </c>
      <c r="N61" s="143"/>
      <c r="O61" s="143" t="str">
        <f>IF(O60&gt;0.05,"NS",IF(O60&gt;0.01,"*",IF(O60&gt;0.001,"**","***")))</f>
        <v>***</v>
      </c>
      <c r="P61" s="143" t="str">
        <f>IF(P60&gt;0.05,"NS",IF(P60&gt;0.01,"*",IF(P60&gt;0.001,"**","***")))</f>
        <v>**</v>
      </c>
      <c r="Q61" s="143" t="str">
        <f t="shared" ref="Q61" si="71">IF(Q60&gt;0.05,"NS",IF(Q60&gt;0.01,"*",IF(Q60&gt;0.001,"**","***")))</f>
        <v>***</v>
      </c>
      <c r="R61" s="143" t="str">
        <f t="shared" ref="R61" si="72">IF(R60&gt;0.05,"NS",IF(R60&gt;0.01,"*",IF(R60&gt;0.001,"**","***")))</f>
        <v>NS</v>
      </c>
      <c r="S61" s="143" t="str">
        <f t="shared" ref="S61" si="73">IF(S60&gt;0.05,"NS",IF(S60&gt;0.01,"*",IF(S60&gt;0.001,"**","***")))</f>
        <v>NS</v>
      </c>
      <c r="T61" s="143" t="str">
        <f t="shared" ref="T61" si="74">IF(T60&gt;0.05,"NS",IF(T60&gt;0.01,"*",IF(T60&gt;0.001,"**","***")))</f>
        <v>NS</v>
      </c>
      <c r="U61" s="143" t="str">
        <f t="shared" ref="U61" si="75">IF(U60&gt;0.05,"NS",IF(U60&gt;0.01,"*",IF(U60&gt;0.001,"**","***")))</f>
        <v>NS</v>
      </c>
      <c r="V61" s="143" t="str">
        <f t="shared" ref="V61" si="76">IF(V60&gt;0.05,"NS",IF(V60&gt;0.01,"*",IF(V60&gt;0.001,"**","***")))</f>
        <v>NS</v>
      </c>
    </row>
    <row r="63" spans="1:22" x14ac:dyDescent="0.35">
      <c r="A63" s="2" t="s">
        <v>39</v>
      </c>
    </row>
    <row r="64" spans="1:22" x14ac:dyDescent="0.35">
      <c r="A64" s="1" t="s">
        <v>23</v>
      </c>
      <c r="B64" s="1">
        <f>B46+(3*B47)</f>
        <v>0.26471592660168153</v>
      </c>
    </row>
    <row r="65" spans="1:22" x14ac:dyDescent="0.35">
      <c r="A65" s="1" t="s">
        <v>24</v>
      </c>
      <c r="B65" s="1">
        <f>B46+(10*B47)</f>
        <v>0.5868963474512473</v>
      </c>
    </row>
    <row r="66" spans="1:22" ht="15" thickBot="1" x14ac:dyDescent="0.4"/>
    <row r="67" spans="1:22" s="1" customFormat="1" ht="26.5" thickBot="1" x14ac:dyDescent="0.65">
      <c r="A67" s="218" t="s">
        <v>52</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86045-AF38-48D5-91F5-E0C744EF50D8}">
  <dimension ref="A1:I4"/>
  <sheetViews>
    <sheetView workbookViewId="0">
      <selection sqref="A1:I4"/>
    </sheetView>
  </sheetViews>
  <sheetFormatPr baseColWidth="10" defaultRowHeight="14.5" x14ac:dyDescent="0.35"/>
  <cols>
    <col min="1" max="1" width="13.1796875" customWidth="1"/>
    <col min="2" max="2" width="13" customWidth="1"/>
    <col min="4" max="4" width="11.90625" customWidth="1"/>
    <col min="5" max="5" width="16.1796875" customWidth="1"/>
    <col min="7" max="7" width="18.26953125" customWidth="1"/>
    <col min="9" max="9" width="14.6328125" customWidth="1"/>
  </cols>
  <sheetData>
    <row r="1" spans="1:9" x14ac:dyDescent="0.35">
      <c r="A1" t="s">
        <v>107</v>
      </c>
      <c r="B1" t="s">
        <v>108</v>
      </c>
      <c r="C1" t="s">
        <v>109</v>
      </c>
      <c r="D1" t="s">
        <v>110</v>
      </c>
      <c r="E1" t="s">
        <v>111</v>
      </c>
      <c r="F1" t="s">
        <v>112</v>
      </c>
      <c r="G1" t="s">
        <v>113</v>
      </c>
      <c r="H1" t="s">
        <v>117</v>
      </c>
      <c r="I1" t="s">
        <v>118</v>
      </c>
    </row>
    <row r="2" spans="1:9" x14ac:dyDescent="0.35">
      <c r="A2" t="s">
        <v>1581</v>
      </c>
      <c r="B2" t="s">
        <v>164</v>
      </c>
      <c r="C2" t="s">
        <v>375</v>
      </c>
      <c r="D2" t="s">
        <v>376</v>
      </c>
      <c r="E2" t="s">
        <v>377</v>
      </c>
      <c r="F2" t="s">
        <v>112</v>
      </c>
      <c r="G2">
        <v>3064437</v>
      </c>
    </row>
    <row r="3" spans="1:9" x14ac:dyDescent="0.35">
      <c r="A3" t="s">
        <v>1581</v>
      </c>
      <c r="B3" t="s">
        <v>164</v>
      </c>
      <c r="C3" t="s">
        <v>372</v>
      </c>
      <c r="D3" t="s">
        <v>373</v>
      </c>
      <c r="E3" t="s">
        <v>374</v>
      </c>
      <c r="F3" t="s">
        <v>112</v>
      </c>
      <c r="G3">
        <v>2919603</v>
      </c>
    </row>
    <row r="4" spans="1:9" x14ac:dyDescent="0.35">
      <c r="A4" t="s">
        <v>1581</v>
      </c>
      <c r="B4" t="s">
        <v>164</v>
      </c>
      <c r="C4" t="s">
        <v>369</v>
      </c>
      <c r="D4" t="s">
        <v>370</v>
      </c>
      <c r="E4" t="s">
        <v>371</v>
      </c>
      <c r="F4" t="s">
        <v>112</v>
      </c>
      <c r="G4">
        <v>2778793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V1" zoomScale="80" zoomScaleNormal="80" workbookViewId="0">
      <selection activeCell="Z5" sqref="Z5:AD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 s="153" t="s">
        <v>171</v>
      </c>
      <c r="D2" s="1" t="s">
        <v>110</v>
      </c>
      <c r="E2" s="1" t="s">
        <v>111</v>
      </c>
      <c r="F2" s="1" t="s">
        <v>112</v>
      </c>
      <c r="G2" s="1" t="s">
        <v>113</v>
      </c>
      <c r="K2" s="157" t="s">
        <v>120</v>
      </c>
      <c r="L2" s="157"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172</v>
      </c>
      <c r="D3" s="1" t="s">
        <v>173</v>
      </c>
      <c r="E3" s="1" t="s">
        <v>174</v>
      </c>
      <c r="F3" s="1" t="s">
        <v>112</v>
      </c>
      <c r="G3" s="1">
        <v>32099</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1</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175</v>
      </c>
      <c r="D4" s="1">
        <v>0</v>
      </c>
      <c r="E4" s="1">
        <v>0</v>
      </c>
      <c r="F4" s="1" t="s">
        <v>112</v>
      </c>
      <c r="G4" s="1">
        <v>0</v>
      </c>
      <c r="K4" s="119" t="s">
        <v>100</v>
      </c>
      <c r="L4" s="1" t="s">
        <v>1578</v>
      </c>
      <c r="M4" s="1" t="s">
        <v>1579</v>
      </c>
      <c r="N4" s="1" t="s">
        <v>1580</v>
      </c>
      <c r="O4" s="1" t="s">
        <v>1581</v>
      </c>
      <c r="P4" s="1" t="s">
        <v>1582</v>
      </c>
      <c r="Q4" s="1" t="s">
        <v>1583</v>
      </c>
      <c r="R4" s="1" t="s">
        <v>1584</v>
      </c>
      <c r="S4" s="1" t="s">
        <v>1585</v>
      </c>
      <c r="T4" s="1" t="s">
        <v>1586</v>
      </c>
      <c r="U4" s="1" t="s">
        <v>1587</v>
      </c>
      <c r="V4" s="1" t="s">
        <v>1588</v>
      </c>
      <c r="W4" s="1" t="s">
        <v>1589</v>
      </c>
      <c r="X4" s="1" t="s">
        <v>1590</v>
      </c>
      <c r="Y4" s="1" t="s">
        <v>1591</v>
      </c>
      <c r="Z4" s="1" t="s">
        <v>1592</v>
      </c>
      <c r="AA4" s="1" t="s">
        <v>1593</v>
      </c>
      <c r="AB4" s="1" t="s">
        <v>1594</v>
      </c>
      <c r="AC4" s="1" t="s">
        <v>1595</v>
      </c>
      <c r="AD4" s="1" t="s">
        <v>1596</v>
      </c>
      <c r="AE4" s="1" t="s">
        <v>1597</v>
      </c>
      <c r="AF4" s="1" t="s">
        <v>1598</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1</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 s="1" t="s">
        <v>176</v>
      </c>
      <c r="D5" s="1" t="s">
        <v>177</v>
      </c>
      <c r="E5" s="1" t="s">
        <v>178</v>
      </c>
      <c r="F5" s="1" t="s">
        <v>112</v>
      </c>
      <c r="G5" s="1">
        <v>22257</v>
      </c>
      <c r="K5" s="146" t="s">
        <v>164</v>
      </c>
      <c r="L5" s="44">
        <v>18118.666666666668</v>
      </c>
      <c r="M5" s="44">
        <v>2048668.3333333333</v>
      </c>
      <c r="N5" s="44">
        <v>1995761.6666666667</v>
      </c>
      <c r="O5" s="44">
        <v>2920944.3333333335</v>
      </c>
      <c r="P5" s="44">
        <v>128582.66666666667</v>
      </c>
      <c r="Q5" s="44">
        <v>94472.333333333328</v>
      </c>
      <c r="R5" s="44"/>
      <c r="S5" s="44">
        <v>277785.66666666669</v>
      </c>
      <c r="T5" s="44">
        <v>1405950.3333333333</v>
      </c>
      <c r="U5" s="44">
        <v>3238918</v>
      </c>
      <c r="V5" s="44">
        <v>3124344.3333333335</v>
      </c>
      <c r="W5" s="44">
        <v>0</v>
      </c>
      <c r="X5" s="44"/>
      <c r="Y5" s="44">
        <v>240423.33333333334</v>
      </c>
      <c r="Z5" s="44">
        <v>1421206.6666666667</v>
      </c>
      <c r="AA5" s="44">
        <v>1476413.3333333333</v>
      </c>
      <c r="AB5" s="44">
        <v>82258.666666666672</v>
      </c>
      <c r="AC5" s="44">
        <v>1399678</v>
      </c>
      <c r="AD5" s="44">
        <v>770680.33333333337</v>
      </c>
      <c r="AE5" s="44">
        <v>17455.333333333332</v>
      </c>
      <c r="AF5" s="44">
        <v>172790.5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179</v>
      </c>
      <c r="D6" s="1" t="s">
        <v>180</v>
      </c>
      <c r="E6" s="1">
        <v>30</v>
      </c>
      <c r="F6" s="1" t="s">
        <v>112</v>
      </c>
      <c r="G6" s="1">
        <v>649</v>
      </c>
      <c r="K6" s="146" t="s">
        <v>1599</v>
      </c>
      <c r="L6" s="44">
        <v>8197.6666666666661</v>
      </c>
      <c r="M6" s="44">
        <v>1030664.5</v>
      </c>
      <c r="N6" s="44">
        <v>1461409.6666666667</v>
      </c>
      <c r="O6" s="44">
        <v>5795925</v>
      </c>
      <c r="P6" s="44">
        <v>414940.66666666669</v>
      </c>
      <c r="Q6" s="44">
        <v>125850</v>
      </c>
      <c r="R6" s="44">
        <v>95481.666666666672</v>
      </c>
      <c r="S6" s="44">
        <v>2153807.5</v>
      </c>
      <c r="T6" s="44">
        <v>2301046</v>
      </c>
      <c r="U6" s="44">
        <v>1458518</v>
      </c>
      <c r="V6" s="44">
        <v>4293166.5</v>
      </c>
      <c r="W6" s="44">
        <v>81645.666666666672</v>
      </c>
      <c r="X6" s="44">
        <v>372048.66666666669</v>
      </c>
      <c r="Y6" s="44">
        <v>276451.66666666669</v>
      </c>
      <c r="Z6" s="44">
        <v>949747</v>
      </c>
      <c r="AA6" s="44">
        <v>857798.5</v>
      </c>
      <c r="AB6" s="44">
        <v>838050.33333333337</v>
      </c>
      <c r="AC6" s="44">
        <v>676597.66666666663</v>
      </c>
      <c r="AD6" s="44">
        <v>454574</v>
      </c>
      <c r="AE6" s="44">
        <v>268635.66666666669</v>
      </c>
      <c r="AF6" s="44">
        <v>429944.66666666669</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181</v>
      </c>
      <c r="D7" s="1">
        <v>0</v>
      </c>
      <c r="E7" s="1">
        <v>0</v>
      </c>
      <c r="F7" s="1" t="s">
        <v>112</v>
      </c>
      <c r="G7" s="1">
        <v>0</v>
      </c>
      <c r="K7" s="146" t="s">
        <v>1600</v>
      </c>
      <c r="L7" s="44">
        <v>294974</v>
      </c>
      <c r="M7" s="44">
        <v>29452.666666666668</v>
      </c>
      <c r="N7" s="44">
        <v>1148439</v>
      </c>
      <c r="O7" s="44">
        <v>4201325.666666667</v>
      </c>
      <c r="P7" s="44">
        <v>99187.333333333328</v>
      </c>
      <c r="Q7" s="44">
        <v>755402</v>
      </c>
      <c r="R7" s="44">
        <v>66699.333333333328</v>
      </c>
      <c r="S7" s="44">
        <v>1621716</v>
      </c>
      <c r="T7" s="44">
        <v>1833544.6666666667</v>
      </c>
      <c r="U7" s="44">
        <v>3834764</v>
      </c>
      <c r="V7" s="44">
        <v>5063601.666666667</v>
      </c>
      <c r="W7" s="44">
        <v>484848.33333333331</v>
      </c>
      <c r="X7" s="44">
        <v>2487.6666666666665</v>
      </c>
      <c r="Y7" s="44">
        <v>1060</v>
      </c>
      <c r="Z7" s="44">
        <v>980418</v>
      </c>
      <c r="AA7" s="44">
        <v>1060946.3333333333</v>
      </c>
      <c r="AB7" s="44">
        <v>2164626.3333333335</v>
      </c>
      <c r="AC7" s="44">
        <v>378343</v>
      </c>
      <c r="AD7" s="44">
        <v>1868001</v>
      </c>
      <c r="AE7" s="44">
        <v>388483.5</v>
      </c>
      <c r="AF7" s="44"/>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 s="1" t="s">
        <v>182</v>
      </c>
      <c r="D8" s="1" t="s">
        <v>183</v>
      </c>
      <c r="E8" s="1" t="s">
        <v>184</v>
      </c>
      <c r="F8" s="1" t="s">
        <v>112</v>
      </c>
      <c r="G8" s="1">
        <v>23944</v>
      </c>
      <c r="K8" s="146" t="s">
        <v>1601</v>
      </c>
      <c r="L8" s="44"/>
      <c r="M8" s="44">
        <v>2786961.3333333335</v>
      </c>
      <c r="N8" s="44">
        <v>1702381</v>
      </c>
      <c r="O8" s="44">
        <v>1984304.6666666667</v>
      </c>
      <c r="P8" s="44">
        <v>428488</v>
      </c>
      <c r="Q8" s="44">
        <v>78019</v>
      </c>
      <c r="R8" s="44">
        <v>375084</v>
      </c>
      <c r="S8" s="44">
        <v>1373051.6666666667</v>
      </c>
      <c r="T8" s="44">
        <v>1930973</v>
      </c>
      <c r="U8" s="44">
        <v>3732022</v>
      </c>
      <c r="V8" s="44">
        <v>5149155</v>
      </c>
      <c r="W8" s="44">
        <v>6986.5</v>
      </c>
      <c r="X8" s="44">
        <v>14463</v>
      </c>
      <c r="Y8" s="44">
        <v>521497</v>
      </c>
      <c r="Z8" s="44">
        <v>2940014.3333333335</v>
      </c>
      <c r="AA8" s="44">
        <v>219248</v>
      </c>
      <c r="AB8" s="44">
        <v>725805.66666666663</v>
      </c>
      <c r="AC8" s="44">
        <v>1280187</v>
      </c>
      <c r="AD8" s="44">
        <v>1168303</v>
      </c>
      <c r="AE8" s="44">
        <v>269285</v>
      </c>
      <c r="AF8" s="44">
        <v>186334.33333333334</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185</v>
      </c>
      <c r="D9" s="1" t="s">
        <v>186</v>
      </c>
      <c r="E9" s="1" t="s">
        <v>187</v>
      </c>
      <c r="F9" s="1" t="s">
        <v>112</v>
      </c>
      <c r="G9" s="1">
        <v>287245</v>
      </c>
      <c r="K9" s="146" t="s">
        <v>1602</v>
      </c>
      <c r="L9" s="44">
        <v>238195.66666666666</v>
      </c>
      <c r="M9" s="44">
        <v>331337.5</v>
      </c>
      <c r="N9" s="44">
        <v>689510.66666666663</v>
      </c>
      <c r="O9" s="44">
        <v>1666475.3333333333</v>
      </c>
      <c r="P9" s="44">
        <v>101876.66666666667</v>
      </c>
      <c r="Q9" s="44">
        <v>117616</v>
      </c>
      <c r="R9" s="44"/>
      <c r="S9" s="44"/>
      <c r="T9" s="44">
        <v>1683959.6666666667</v>
      </c>
      <c r="U9" s="44">
        <v>3645026.6666666665</v>
      </c>
      <c r="V9" s="44">
        <v>3529948.6666666665</v>
      </c>
      <c r="W9" s="44">
        <v>273091.66666666669</v>
      </c>
      <c r="X9" s="44">
        <v>279040</v>
      </c>
      <c r="Y9" s="44">
        <v>90607.666666666672</v>
      </c>
      <c r="Z9" s="44">
        <v>2066729</v>
      </c>
      <c r="AA9" s="44">
        <v>1365978.3333333333</v>
      </c>
      <c r="AB9" s="44">
        <v>2105223.3333333335</v>
      </c>
      <c r="AC9" s="44">
        <v>813731</v>
      </c>
      <c r="AD9" s="44">
        <v>1506392</v>
      </c>
      <c r="AE9" s="44">
        <v>53505.333333333336</v>
      </c>
      <c r="AF9" s="44">
        <v>150111.5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188</v>
      </c>
      <c r="D10" s="1" t="s">
        <v>189</v>
      </c>
      <c r="E10" s="1" t="s">
        <v>190</v>
      </c>
      <c r="F10" s="1" t="s">
        <v>112</v>
      </c>
      <c r="G10" s="1">
        <v>273683</v>
      </c>
      <c r="K10" s="146" t="s">
        <v>1603</v>
      </c>
      <c r="L10" s="44">
        <v>197307.66666666666</v>
      </c>
      <c r="M10" s="44">
        <v>362762.33333333331</v>
      </c>
      <c r="N10" s="44">
        <v>1781849.3333333333</v>
      </c>
      <c r="O10" s="44">
        <v>4919063.666666667</v>
      </c>
      <c r="P10" s="44">
        <v>189679.66666666666</v>
      </c>
      <c r="Q10" s="44">
        <v>83376</v>
      </c>
      <c r="R10" s="44">
        <v>21413.666666666668</v>
      </c>
      <c r="S10" s="44">
        <v>1729764.3333333333</v>
      </c>
      <c r="T10" s="44">
        <v>2228073.6666666665</v>
      </c>
      <c r="U10" s="44">
        <v>3275328.6666666665</v>
      </c>
      <c r="V10" s="44">
        <v>5272294.333333333</v>
      </c>
      <c r="W10" s="44">
        <v>263409</v>
      </c>
      <c r="X10" s="44">
        <v>298910.66666666669</v>
      </c>
      <c r="Y10" s="44">
        <v>132126</v>
      </c>
      <c r="Z10" s="44"/>
      <c r="AA10" s="44">
        <v>1137415.3333333333</v>
      </c>
      <c r="AB10" s="44">
        <v>3418150.5</v>
      </c>
      <c r="AC10" s="44">
        <v>1328082.6666666667</v>
      </c>
      <c r="AD10" s="44">
        <v>1957498.3333333333</v>
      </c>
      <c r="AE10" s="44">
        <v>235798.5</v>
      </c>
      <c r="AF10" s="44">
        <v>237453</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 s="1" t="s">
        <v>191</v>
      </c>
      <c r="D11" s="1" t="s">
        <v>192</v>
      </c>
      <c r="E11" s="1" t="s">
        <v>193</v>
      </c>
      <c r="F11" s="1" t="s">
        <v>112</v>
      </c>
      <c r="G11" s="1">
        <v>323994</v>
      </c>
      <c r="K11" s="146" t="s">
        <v>1604</v>
      </c>
      <c r="L11" s="44">
        <v>179182</v>
      </c>
      <c r="M11" s="44">
        <v>378804</v>
      </c>
      <c r="N11" s="44">
        <v>520037</v>
      </c>
      <c r="O11" s="44">
        <v>4585956</v>
      </c>
      <c r="P11" s="44">
        <v>7267.666666666667</v>
      </c>
      <c r="Q11" s="44">
        <v>193451</v>
      </c>
      <c r="R11" s="44">
        <v>198908.5</v>
      </c>
      <c r="S11" s="44">
        <v>490616.33333333331</v>
      </c>
      <c r="T11" s="44">
        <v>2143789.3333333335</v>
      </c>
      <c r="U11" s="44">
        <v>3455606.3333333335</v>
      </c>
      <c r="V11" s="44">
        <v>5044639.333333333</v>
      </c>
      <c r="W11" s="44">
        <v>151827.33333333334</v>
      </c>
      <c r="X11" s="44">
        <v>73902</v>
      </c>
      <c r="Y11" s="44">
        <v>63548.666666666664</v>
      </c>
      <c r="Z11" s="44">
        <v>1240777.3333333333</v>
      </c>
      <c r="AA11" s="44">
        <v>446992.5</v>
      </c>
      <c r="AB11" s="44">
        <v>1153998</v>
      </c>
      <c r="AC11" s="44">
        <v>1015624.3333333334</v>
      </c>
      <c r="AD11" s="44">
        <v>414335</v>
      </c>
      <c r="AE11" s="44">
        <v>151034.33333333334</v>
      </c>
      <c r="AF11" s="44"/>
      <c r="AG11"/>
    </row>
    <row r="12" spans="1:144" x14ac:dyDescent="0.35">
      <c r="A12" s="1" t="str">
        <f t="shared" si="0"/>
        <v>1</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194</v>
      </c>
      <c r="K12" s="146" t="s">
        <v>1605</v>
      </c>
      <c r="L12" s="44">
        <v>115114.66666666667</v>
      </c>
      <c r="M12" s="44">
        <v>1673642</v>
      </c>
      <c r="N12" s="44"/>
      <c r="O12" s="44">
        <v>3608732</v>
      </c>
      <c r="P12" s="44">
        <v>13533</v>
      </c>
      <c r="Q12" s="44">
        <v>120269.33333333333</v>
      </c>
      <c r="R12" s="44">
        <v>50689.5</v>
      </c>
      <c r="S12" s="44"/>
      <c r="T12" s="44">
        <v>700491.66666666663</v>
      </c>
      <c r="U12" s="44">
        <v>2214879.3333333335</v>
      </c>
      <c r="V12" s="44"/>
      <c r="W12" s="44">
        <v>148417.33333333334</v>
      </c>
      <c r="X12" s="44">
        <v>69936.666666666672</v>
      </c>
      <c r="Y12" s="44">
        <v>200783.33333333334</v>
      </c>
      <c r="Z12" s="44">
        <v>1101978</v>
      </c>
      <c r="AA12" s="44">
        <v>198973.33333333334</v>
      </c>
      <c r="AB12" s="44">
        <v>801207.66666666663</v>
      </c>
      <c r="AC12" s="44">
        <v>1136946.6666666667</v>
      </c>
      <c r="AD12" s="44">
        <v>1858340</v>
      </c>
      <c r="AE12" s="44">
        <v>281448.33333333331</v>
      </c>
      <c r="AF12" s="44">
        <v>599732</v>
      </c>
      <c r="AG12"/>
    </row>
    <row r="13" spans="1:144" x14ac:dyDescent="0.35">
      <c r="A13" s="1" t="str">
        <f t="shared" si="0"/>
        <v>1</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195</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 s="1" t="s">
        <v>196</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197</v>
      </c>
      <c r="D15" s="1" t="s">
        <v>198</v>
      </c>
      <c r="E15" s="1" t="s">
        <v>199</v>
      </c>
      <c r="F15" s="1" t="s">
        <v>112</v>
      </c>
      <c r="G15" s="1">
        <v>382633</v>
      </c>
    </row>
    <row r="16" spans="1:144" x14ac:dyDescent="0.35">
      <c r="A16" s="1" t="str">
        <f t="shared" si="0"/>
        <v>1</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200</v>
      </c>
      <c r="D16" s="1" t="s">
        <v>201</v>
      </c>
      <c r="E16" s="1" t="s">
        <v>202</v>
      </c>
      <c r="F16" s="1" t="s">
        <v>112</v>
      </c>
      <c r="G16" s="1">
        <v>155411</v>
      </c>
    </row>
    <row r="17" spans="1:8" x14ac:dyDescent="0.35">
      <c r="A17" s="1" t="str">
        <f t="shared" si="0"/>
        <v>1</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 s="1" t="s">
        <v>203</v>
      </c>
      <c r="D17" s="1" t="s">
        <v>204</v>
      </c>
      <c r="E17" s="1" t="s">
        <v>205</v>
      </c>
      <c r="F17" s="1" t="s">
        <v>112</v>
      </c>
      <c r="G17" s="1">
        <v>176543</v>
      </c>
    </row>
    <row r="18" spans="1:8" x14ac:dyDescent="0.35">
      <c r="A18" s="1" t="str">
        <f t="shared" si="0"/>
        <v>1</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206</v>
      </c>
      <c r="D18" s="1" t="s">
        <v>207</v>
      </c>
      <c r="E18" s="1" t="s">
        <v>208</v>
      </c>
      <c r="F18" s="1" t="s">
        <v>112</v>
      </c>
      <c r="G18" s="1">
        <v>246581</v>
      </c>
    </row>
    <row r="19" spans="1:8" x14ac:dyDescent="0.35">
      <c r="A19" s="1" t="str">
        <f t="shared" si="0"/>
        <v>1</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209</v>
      </c>
      <c r="D19" s="1" t="s">
        <v>210</v>
      </c>
      <c r="E19" s="1" t="s">
        <v>211</v>
      </c>
      <c r="F19" s="1" t="s">
        <v>112</v>
      </c>
      <c r="G19" s="1">
        <v>174661</v>
      </c>
    </row>
    <row r="20" spans="1:8" x14ac:dyDescent="0.35">
      <c r="A20" s="1" t="str">
        <f t="shared" si="0"/>
        <v>1</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0" s="1" t="s">
        <v>212</v>
      </c>
      <c r="D20" s="1" t="s">
        <v>149</v>
      </c>
      <c r="E20" s="1" t="s">
        <v>213</v>
      </c>
      <c r="F20" s="1" t="s">
        <v>112</v>
      </c>
      <c r="G20" s="1">
        <v>170681</v>
      </c>
    </row>
    <row r="21" spans="1:8" x14ac:dyDescent="0.35">
      <c r="A21" s="1" t="str">
        <f t="shared" si="0"/>
        <v>1</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214</v>
      </c>
    </row>
    <row r="22" spans="1:8" x14ac:dyDescent="0.35">
      <c r="A22" s="1" t="str">
        <f t="shared" si="0"/>
        <v>1</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215</v>
      </c>
    </row>
    <row r="23" spans="1:8" x14ac:dyDescent="0.35">
      <c r="A23" s="1" t="str">
        <f t="shared" si="0"/>
        <v>1</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3" s="1" t="s">
        <v>216</v>
      </c>
      <c r="D23" s="1" t="s">
        <v>217</v>
      </c>
      <c r="E23" s="1" t="s">
        <v>218</v>
      </c>
      <c r="F23" s="1" t="s">
        <v>112</v>
      </c>
      <c r="G23" s="1">
        <v>179182</v>
      </c>
    </row>
    <row r="24" spans="1:8" x14ac:dyDescent="0.35">
      <c r="A24" s="1" t="str">
        <f t="shared" si="0"/>
        <v>1</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219</v>
      </c>
      <c r="D24" s="1" t="s">
        <v>201</v>
      </c>
      <c r="E24" s="1" t="s">
        <v>220</v>
      </c>
      <c r="F24" s="1" t="s">
        <v>112</v>
      </c>
      <c r="G24" s="1">
        <v>145072</v>
      </c>
    </row>
    <row r="25" spans="1:8" x14ac:dyDescent="0.35">
      <c r="A25" s="1" t="str">
        <f t="shared" si="0"/>
        <v>1</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221</v>
      </c>
      <c r="D25" s="1" t="s">
        <v>222</v>
      </c>
      <c r="E25" s="1" t="s">
        <v>223</v>
      </c>
      <c r="F25" s="1" t="s">
        <v>112</v>
      </c>
      <c r="G25" s="1">
        <v>4002</v>
      </c>
    </row>
    <row r="26" spans="1:8" x14ac:dyDescent="0.35">
      <c r="A26" s="1" t="str">
        <f t="shared" si="0"/>
        <v>1</v>
      </c>
      <c r="B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6" s="1" t="s">
        <v>224</v>
      </c>
      <c r="D26" s="1" t="s">
        <v>225</v>
      </c>
      <c r="E26" s="1" t="s">
        <v>226</v>
      </c>
      <c r="F26" s="1" t="s">
        <v>112</v>
      </c>
      <c r="G26" s="1">
        <v>196270</v>
      </c>
    </row>
    <row r="27" spans="1:8" x14ac:dyDescent="0.3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112</v>
      </c>
    </row>
    <row r="28" spans="1:8" x14ac:dyDescent="0.35">
      <c r="A28" s="1" t="str">
        <f t="shared" si="0"/>
        <v/>
      </c>
      <c r="B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8" s="1" t="s">
        <v>227</v>
      </c>
      <c r="D28" s="1" t="s">
        <v>112</v>
      </c>
      <c r="E28" s="1" t="s">
        <v>228</v>
      </c>
      <c r="F28" s="1" t="s">
        <v>229</v>
      </c>
      <c r="G28" s="1" t="s">
        <v>230</v>
      </c>
      <c r="H28" s="1" t="s">
        <v>231</v>
      </c>
    </row>
    <row r="29" spans="1:8" x14ac:dyDescent="0.35">
      <c r="A29" s="1" t="str">
        <f t="shared" si="0"/>
        <v>1</v>
      </c>
      <c r="B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 s="1" t="s">
        <v>232</v>
      </c>
      <c r="D29" s="1" t="s">
        <v>112</v>
      </c>
      <c r="E29" s="1" t="s">
        <v>233</v>
      </c>
      <c r="F29" s="1" t="s">
        <v>234</v>
      </c>
      <c r="G29" s="1" t="s">
        <v>235</v>
      </c>
      <c r="H29" s="1" t="s">
        <v>236</v>
      </c>
    </row>
    <row r="30" spans="1:8" x14ac:dyDescent="0.3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8" x14ac:dyDescent="0.3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8" x14ac:dyDescent="0.3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3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3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112</v>
      </c>
    </row>
    <row r="35" spans="1:7" x14ac:dyDescent="0.35">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 s="1" t="s">
        <v>171</v>
      </c>
      <c r="D35" s="1" t="s">
        <v>110</v>
      </c>
      <c r="E35" s="1" t="s">
        <v>111</v>
      </c>
      <c r="F35" s="1" t="s">
        <v>112</v>
      </c>
      <c r="G35" s="1" t="s">
        <v>113</v>
      </c>
    </row>
    <row r="36" spans="1:7" x14ac:dyDescent="0.35">
      <c r="A36" s="1" t="str">
        <f t="shared" si="0"/>
        <v>13</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237</v>
      </c>
      <c r="D36" s="1" t="s">
        <v>238</v>
      </c>
      <c r="E36" s="1" t="s">
        <v>239</v>
      </c>
      <c r="F36" s="1" t="s">
        <v>112</v>
      </c>
      <c r="G36" s="1">
        <v>2109434</v>
      </c>
    </row>
    <row r="37" spans="1:7" x14ac:dyDescent="0.35">
      <c r="A37" s="1" t="str">
        <f t="shared" si="0"/>
        <v>13</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240</v>
      </c>
      <c r="D37" s="1" t="s">
        <v>241</v>
      </c>
      <c r="E37" s="1" t="s">
        <v>242</v>
      </c>
      <c r="F37" s="1" t="s">
        <v>112</v>
      </c>
      <c r="G37" s="1">
        <v>2014911</v>
      </c>
    </row>
    <row r="38" spans="1:7" x14ac:dyDescent="0.35">
      <c r="A38" s="1" t="str">
        <f t="shared" si="0"/>
        <v>13</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8" s="1" t="s">
        <v>243</v>
      </c>
      <c r="D38" s="1" t="s">
        <v>244</v>
      </c>
      <c r="E38" s="1" t="s">
        <v>245</v>
      </c>
      <c r="F38" s="1" t="s">
        <v>112</v>
      </c>
      <c r="G38" s="1">
        <v>2021660</v>
      </c>
    </row>
    <row r="39" spans="1:7" x14ac:dyDescent="0.35">
      <c r="A39" s="1" t="str">
        <f t="shared" si="0"/>
        <v>13</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246</v>
      </c>
      <c r="D39" s="1" t="s">
        <v>247</v>
      </c>
      <c r="E39" s="1" t="s">
        <v>248</v>
      </c>
      <c r="F39" s="1" t="s">
        <v>112</v>
      </c>
      <c r="G39" s="1">
        <v>1011738</v>
      </c>
    </row>
    <row r="40" spans="1:7" x14ac:dyDescent="0.35">
      <c r="A40" s="1" t="str">
        <f t="shared" si="0"/>
        <v>13</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249</v>
      </c>
      <c r="D40" s="1" t="s">
        <v>250</v>
      </c>
      <c r="E40" s="1" t="s">
        <v>251</v>
      </c>
      <c r="F40" s="1" t="s">
        <v>112</v>
      </c>
      <c r="G40" s="1">
        <v>1049591</v>
      </c>
    </row>
    <row r="41" spans="1:7" x14ac:dyDescent="0.35">
      <c r="A41" s="1" t="str">
        <f t="shared" si="0"/>
        <v>13</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1" s="1" t="s">
        <v>252</v>
      </c>
    </row>
    <row r="42" spans="1:7" x14ac:dyDescent="0.35">
      <c r="A42" s="1" t="str">
        <f t="shared" si="0"/>
        <v>13</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253</v>
      </c>
      <c r="D42" s="1" t="s">
        <v>254</v>
      </c>
      <c r="E42" s="1">
        <v>35</v>
      </c>
      <c r="F42" s="1" t="s">
        <v>112</v>
      </c>
      <c r="G42" s="1">
        <v>1514</v>
      </c>
    </row>
    <row r="43" spans="1:7" x14ac:dyDescent="0.35">
      <c r="A43" s="1" t="str">
        <f t="shared" si="0"/>
        <v>13</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255</v>
      </c>
      <c r="D43" s="1" t="s">
        <v>256</v>
      </c>
      <c r="E43" s="1">
        <v>33</v>
      </c>
      <c r="F43" s="1" t="s">
        <v>112</v>
      </c>
      <c r="G43" s="1">
        <v>3569</v>
      </c>
    </row>
    <row r="44" spans="1:7" x14ac:dyDescent="0.35">
      <c r="A44" s="1" t="str">
        <f t="shared" si="0"/>
        <v>13</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4" s="1" t="s">
        <v>257</v>
      </c>
      <c r="D44" s="1" t="s">
        <v>258</v>
      </c>
      <c r="E44" s="1" t="s">
        <v>259</v>
      </c>
      <c r="F44" s="1" t="s">
        <v>112</v>
      </c>
      <c r="G44" s="1">
        <v>83275</v>
      </c>
    </row>
    <row r="45" spans="1:7" x14ac:dyDescent="0.35">
      <c r="A45" s="1" t="str">
        <f t="shared" si="0"/>
        <v>13</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260</v>
      </c>
      <c r="D45" s="1" t="s">
        <v>261</v>
      </c>
      <c r="E45" s="1" t="s">
        <v>262</v>
      </c>
      <c r="F45" s="1" t="s">
        <v>112</v>
      </c>
      <c r="G45" s="1">
        <v>3131403</v>
      </c>
    </row>
    <row r="46" spans="1:7" x14ac:dyDescent="0.35">
      <c r="A46" s="1" t="str">
        <f t="shared" si="0"/>
        <v>13</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263</v>
      </c>
      <c r="D46" s="1" t="s">
        <v>264</v>
      </c>
      <c r="E46" s="1" t="s">
        <v>265</v>
      </c>
      <c r="F46" s="1" t="s">
        <v>112</v>
      </c>
      <c r="G46" s="1">
        <v>2375330</v>
      </c>
    </row>
    <row r="47" spans="1:7" x14ac:dyDescent="0.35">
      <c r="A47" s="1" t="str">
        <f t="shared" si="0"/>
        <v>13</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 s="1" t="s">
        <v>266</v>
      </c>
      <c r="D47" s="1" t="s">
        <v>267</v>
      </c>
      <c r="E47" s="1" t="s">
        <v>268</v>
      </c>
      <c r="F47" s="1" t="s">
        <v>112</v>
      </c>
      <c r="G47" s="1">
        <v>2854151</v>
      </c>
    </row>
    <row r="48" spans="1:7" x14ac:dyDescent="0.35">
      <c r="A48" s="1" t="str">
        <f t="shared" si="0"/>
        <v>13</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269</v>
      </c>
      <c r="D48" s="1" t="s">
        <v>270</v>
      </c>
      <c r="E48" s="1" t="s">
        <v>271</v>
      </c>
      <c r="F48" s="1" t="s">
        <v>112</v>
      </c>
      <c r="G48" s="1">
        <v>228909</v>
      </c>
    </row>
    <row r="49" spans="1:8" x14ac:dyDescent="0.35">
      <c r="A49" s="1" t="str">
        <f t="shared" si="0"/>
        <v>13</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272</v>
      </c>
      <c r="D49" s="1" t="s">
        <v>273</v>
      </c>
      <c r="E49" s="1" t="s">
        <v>274</v>
      </c>
      <c r="F49" s="1" t="s">
        <v>112</v>
      </c>
      <c r="G49" s="1">
        <v>433766</v>
      </c>
    </row>
    <row r="50" spans="1:8" x14ac:dyDescent="0.35">
      <c r="A50" s="1" t="str">
        <f t="shared" si="0"/>
        <v>13</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 s="1" t="s">
        <v>275</v>
      </c>
    </row>
    <row r="51" spans="1:8" x14ac:dyDescent="0.35">
      <c r="A51" s="1" t="str">
        <f t="shared" si="0"/>
        <v>13</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276</v>
      </c>
      <c r="D51" s="1" t="s">
        <v>277</v>
      </c>
      <c r="E51" s="1" t="s">
        <v>278</v>
      </c>
      <c r="F51" s="1" t="s">
        <v>112</v>
      </c>
      <c r="G51" s="1">
        <v>238470</v>
      </c>
    </row>
    <row r="52" spans="1:8" x14ac:dyDescent="0.35">
      <c r="A52" s="1" t="str">
        <f t="shared" si="0"/>
        <v>13</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279</v>
      </c>
      <c r="D52" s="1" t="s">
        <v>280</v>
      </c>
      <c r="E52" s="1" t="s">
        <v>281</v>
      </c>
      <c r="F52" s="1" t="s">
        <v>112</v>
      </c>
      <c r="G52" s="1">
        <v>456218</v>
      </c>
    </row>
    <row r="53" spans="1:8" x14ac:dyDescent="0.35">
      <c r="A53" s="1" t="str">
        <f t="shared" si="0"/>
        <v>13</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3" s="1" t="s">
        <v>282</v>
      </c>
      <c r="D53" s="1" t="s">
        <v>283</v>
      </c>
      <c r="E53" s="1" t="s">
        <v>284</v>
      </c>
      <c r="F53" s="1" t="s">
        <v>112</v>
      </c>
      <c r="G53" s="1">
        <v>393599</v>
      </c>
    </row>
    <row r="54" spans="1:8" x14ac:dyDescent="0.35">
      <c r="A54" s="1" t="str">
        <f t="shared" si="0"/>
        <v>13</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285</v>
      </c>
      <c r="D54" s="1" t="s">
        <v>286</v>
      </c>
      <c r="E54" s="1" t="s">
        <v>287</v>
      </c>
      <c r="F54" s="1" t="s">
        <v>112</v>
      </c>
      <c r="G54" s="1">
        <v>378804</v>
      </c>
    </row>
    <row r="55" spans="1:8" x14ac:dyDescent="0.35">
      <c r="A55" s="1" t="str">
        <f t="shared" si="0"/>
        <v>13</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288</v>
      </c>
    </row>
    <row r="56" spans="1:8" x14ac:dyDescent="0.35">
      <c r="A56" s="1" t="str">
        <f t="shared" si="0"/>
        <v>13</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6" s="1" t="s">
        <v>289</v>
      </c>
    </row>
    <row r="57" spans="1:8" x14ac:dyDescent="0.35">
      <c r="A57" s="1" t="str">
        <f t="shared" si="0"/>
        <v>13</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290</v>
      </c>
      <c r="D57" s="1" t="s">
        <v>291</v>
      </c>
      <c r="E57" s="1" t="s">
        <v>292</v>
      </c>
      <c r="F57" s="1" t="s">
        <v>112</v>
      </c>
      <c r="G57" s="1">
        <v>1748366</v>
      </c>
    </row>
    <row r="58" spans="1:8" x14ac:dyDescent="0.35">
      <c r="A58" s="1" t="str">
        <f t="shared" si="0"/>
        <v>13</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293</v>
      </c>
      <c r="D58" s="1" t="s">
        <v>294</v>
      </c>
      <c r="E58" s="1" t="s">
        <v>295</v>
      </c>
      <c r="F58" s="1" t="s">
        <v>112</v>
      </c>
      <c r="G58" s="1">
        <v>1529450</v>
      </c>
    </row>
    <row r="59" spans="1:8" x14ac:dyDescent="0.35">
      <c r="A59" s="1" t="str">
        <f t="shared" si="0"/>
        <v>13</v>
      </c>
      <c r="B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9" s="1" t="s">
        <v>296</v>
      </c>
      <c r="D59" s="1" t="s">
        <v>297</v>
      </c>
      <c r="E59" s="1" t="s">
        <v>298</v>
      </c>
      <c r="F59" s="1" t="s">
        <v>112</v>
      </c>
      <c r="G59" s="1">
        <v>1743110</v>
      </c>
    </row>
    <row r="60" spans="1:8" x14ac:dyDescent="0.3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112</v>
      </c>
    </row>
    <row r="61" spans="1:8" x14ac:dyDescent="0.35">
      <c r="A61" s="1" t="str">
        <f t="shared" si="0"/>
        <v/>
      </c>
      <c r="B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1" s="1" t="s">
        <v>227</v>
      </c>
      <c r="D61" s="1" t="s">
        <v>112</v>
      </c>
      <c r="E61" s="1" t="s">
        <v>228</v>
      </c>
      <c r="F61" s="1" t="s">
        <v>229</v>
      </c>
      <c r="G61" s="1" t="s">
        <v>230</v>
      </c>
      <c r="H61" s="1" t="s">
        <v>231</v>
      </c>
    </row>
    <row r="62" spans="1:8" x14ac:dyDescent="0.35">
      <c r="A62" s="1" t="str">
        <f t="shared" si="0"/>
        <v>13</v>
      </c>
      <c r="B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 s="1" t="s">
        <v>299</v>
      </c>
      <c r="D62" s="1" t="s">
        <v>112</v>
      </c>
      <c r="E62" s="1" t="s">
        <v>300</v>
      </c>
      <c r="F62" s="1" t="s">
        <v>301</v>
      </c>
      <c r="G62" s="1" t="s">
        <v>302</v>
      </c>
      <c r="H62" s="1" t="s">
        <v>303</v>
      </c>
    </row>
    <row r="63" spans="1:8" x14ac:dyDescent="0.3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8" x14ac:dyDescent="0.3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3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3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3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112</v>
      </c>
    </row>
    <row r="68" spans="1:7" x14ac:dyDescent="0.35">
      <c r="A68" s="1" t="str">
        <f t="shared" si="1"/>
        <v/>
      </c>
      <c r="B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 s="1" t="s">
        <v>171</v>
      </c>
      <c r="D68" s="1" t="s">
        <v>110</v>
      </c>
      <c r="E68" s="1" t="s">
        <v>111</v>
      </c>
      <c r="F68" s="1" t="s">
        <v>112</v>
      </c>
      <c r="G68" s="1" t="s">
        <v>113</v>
      </c>
    </row>
    <row r="69" spans="1:7" x14ac:dyDescent="0.35">
      <c r="A69" s="1" t="str">
        <f t="shared" si="1"/>
        <v>14</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304</v>
      </c>
      <c r="D69" s="1" t="s">
        <v>305</v>
      </c>
      <c r="E69" s="1" t="s">
        <v>306</v>
      </c>
      <c r="F69" s="1" t="s">
        <v>112</v>
      </c>
      <c r="G69" s="1">
        <v>1519781</v>
      </c>
    </row>
    <row r="70" spans="1:7" x14ac:dyDescent="0.35">
      <c r="A70" s="1" t="str">
        <f t="shared" si="1"/>
        <v>14</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307</v>
      </c>
      <c r="D70" s="1" t="s">
        <v>308</v>
      </c>
      <c r="E70" s="1" t="s">
        <v>309</v>
      </c>
      <c r="F70" s="1" t="s">
        <v>112</v>
      </c>
      <c r="G70" s="1">
        <v>2296295</v>
      </c>
    </row>
    <row r="71" spans="1:7" x14ac:dyDescent="0.35">
      <c r="A71" s="1" t="str">
        <f t="shared" si="1"/>
        <v>14</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1" s="1" t="s">
        <v>310</v>
      </c>
      <c r="D71" s="1" t="s">
        <v>311</v>
      </c>
      <c r="E71" s="1" t="s">
        <v>312</v>
      </c>
      <c r="F71" s="1" t="s">
        <v>112</v>
      </c>
      <c r="G71" s="1">
        <v>2171209</v>
      </c>
    </row>
    <row r="72" spans="1:7" x14ac:dyDescent="0.35">
      <c r="A72" s="1" t="str">
        <f t="shared" si="1"/>
        <v>14</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313</v>
      </c>
      <c r="D72" s="1" t="s">
        <v>314</v>
      </c>
      <c r="E72" s="1" t="s">
        <v>315</v>
      </c>
      <c r="F72" s="1" t="s">
        <v>112</v>
      </c>
      <c r="G72" s="1">
        <v>1872760</v>
      </c>
    </row>
    <row r="73" spans="1:7" x14ac:dyDescent="0.35">
      <c r="A73" s="1" t="str">
        <f t="shared" si="1"/>
        <v>14</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316</v>
      </c>
      <c r="D73" s="1" t="s">
        <v>317</v>
      </c>
      <c r="E73" s="1" t="s">
        <v>318</v>
      </c>
      <c r="F73" s="1" t="s">
        <v>112</v>
      </c>
      <c r="G73" s="1">
        <v>1383232</v>
      </c>
    </row>
    <row r="74" spans="1:7" x14ac:dyDescent="0.35">
      <c r="A74" s="1" t="str">
        <f t="shared" si="1"/>
        <v>14</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4" s="1" t="s">
        <v>319</v>
      </c>
      <c r="D74" s="1" t="s">
        <v>320</v>
      </c>
      <c r="E74" s="1" t="s">
        <v>321</v>
      </c>
      <c r="F74" s="1" t="s">
        <v>112</v>
      </c>
      <c r="G74" s="1">
        <v>1128237</v>
      </c>
    </row>
    <row r="75" spans="1:7" x14ac:dyDescent="0.35">
      <c r="A75" s="1" t="str">
        <f t="shared" si="1"/>
        <v>14</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322</v>
      </c>
      <c r="D75" s="1" t="s">
        <v>323</v>
      </c>
      <c r="E75" s="1" t="s">
        <v>324</v>
      </c>
      <c r="F75" s="1" t="s">
        <v>112</v>
      </c>
      <c r="G75" s="1">
        <v>1148439</v>
      </c>
    </row>
    <row r="76" spans="1:7" x14ac:dyDescent="0.35">
      <c r="A76" s="1" t="str">
        <f t="shared" si="1"/>
        <v>14</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325</v>
      </c>
    </row>
    <row r="77" spans="1:7" x14ac:dyDescent="0.35">
      <c r="A77" s="1" t="str">
        <f t="shared" si="1"/>
        <v>14</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7" s="1" t="s">
        <v>326</v>
      </c>
    </row>
    <row r="78" spans="1:7" x14ac:dyDescent="0.35">
      <c r="A78" s="1" t="str">
        <f t="shared" si="1"/>
        <v>14</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327</v>
      </c>
      <c r="D78" s="1" t="s">
        <v>328</v>
      </c>
      <c r="E78" s="1" t="s">
        <v>329</v>
      </c>
      <c r="F78" s="1" t="s">
        <v>112</v>
      </c>
      <c r="G78" s="1">
        <v>1580215</v>
      </c>
    </row>
    <row r="79" spans="1:7" x14ac:dyDescent="0.35">
      <c r="A79" s="1" t="str">
        <f t="shared" si="1"/>
        <v>14</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330</v>
      </c>
      <c r="D79" s="1" t="s">
        <v>331</v>
      </c>
      <c r="E79" s="1" t="s">
        <v>332</v>
      </c>
      <c r="F79" s="1" t="s">
        <v>112</v>
      </c>
      <c r="G79" s="1">
        <v>2053629</v>
      </c>
    </row>
    <row r="80" spans="1:7" x14ac:dyDescent="0.35">
      <c r="A80" s="1" t="str">
        <f t="shared" si="1"/>
        <v>14</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0" s="1" t="s">
        <v>333</v>
      </c>
      <c r="D80" s="1" t="s">
        <v>334</v>
      </c>
      <c r="E80" s="1" t="s">
        <v>335</v>
      </c>
      <c r="F80" s="1" t="s">
        <v>112</v>
      </c>
      <c r="G80" s="1">
        <v>1473299</v>
      </c>
    </row>
    <row r="81" spans="1:8" x14ac:dyDescent="0.35">
      <c r="A81" s="1" t="str">
        <f t="shared" si="1"/>
        <v>14</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336</v>
      </c>
      <c r="D81" s="1" t="s">
        <v>337</v>
      </c>
      <c r="E81" s="1" t="s">
        <v>338</v>
      </c>
      <c r="F81" s="1" t="s">
        <v>112</v>
      </c>
      <c r="G81" s="1">
        <v>483190</v>
      </c>
    </row>
    <row r="82" spans="1:8" x14ac:dyDescent="0.35">
      <c r="A82" s="1" t="str">
        <f t="shared" si="1"/>
        <v>14</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339</v>
      </c>
      <c r="D82" s="1" t="s">
        <v>340</v>
      </c>
      <c r="E82" s="1" t="s">
        <v>341</v>
      </c>
      <c r="F82" s="1" t="s">
        <v>112</v>
      </c>
      <c r="G82" s="1">
        <v>919314</v>
      </c>
    </row>
    <row r="83" spans="1:8" x14ac:dyDescent="0.35">
      <c r="A83" s="1" t="str">
        <f t="shared" si="1"/>
        <v>14</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3" s="1" t="s">
        <v>342</v>
      </c>
      <c r="D83" s="1" t="s">
        <v>343</v>
      </c>
      <c r="E83" s="1" t="s">
        <v>344</v>
      </c>
      <c r="F83" s="1" t="s">
        <v>112</v>
      </c>
      <c r="G83" s="1">
        <v>666028</v>
      </c>
    </row>
    <row r="84" spans="1:8" x14ac:dyDescent="0.35">
      <c r="A84" s="1" t="str">
        <f t="shared" si="1"/>
        <v>14</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345</v>
      </c>
      <c r="D84" s="1" t="s">
        <v>346</v>
      </c>
      <c r="E84" s="1" t="s">
        <v>347</v>
      </c>
      <c r="F84" s="1" t="s">
        <v>112</v>
      </c>
      <c r="G84" s="1">
        <v>1737075</v>
      </c>
    </row>
    <row r="85" spans="1:8" x14ac:dyDescent="0.35">
      <c r="A85" s="1" t="str">
        <f t="shared" si="1"/>
        <v>14</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348</v>
      </c>
      <c r="D85" s="1" t="s">
        <v>349</v>
      </c>
      <c r="E85" s="1" t="s">
        <v>350</v>
      </c>
      <c r="F85" s="1" t="s">
        <v>112</v>
      </c>
      <c r="G85" s="1">
        <v>1977081</v>
      </c>
    </row>
    <row r="86" spans="1:8" x14ac:dyDescent="0.35">
      <c r="A86" s="1" t="str">
        <f t="shared" si="1"/>
        <v>14</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6" s="1" t="s">
        <v>351</v>
      </c>
      <c r="D86" s="1" t="s">
        <v>352</v>
      </c>
      <c r="E86" s="1" t="s">
        <v>353</v>
      </c>
      <c r="F86" s="1" t="s">
        <v>112</v>
      </c>
      <c r="G86" s="1">
        <v>1631392</v>
      </c>
    </row>
    <row r="87" spans="1:8" x14ac:dyDescent="0.35">
      <c r="A87" s="1" t="str">
        <f t="shared" si="1"/>
        <v>14</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354</v>
      </c>
    </row>
    <row r="88" spans="1:8" x14ac:dyDescent="0.35">
      <c r="A88" s="1" t="str">
        <f t="shared" si="1"/>
        <v>14</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355</v>
      </c>
      <c r="D88" s="1" t="s">
        <v>356</v>
      </c>
      <c r="E88" s="1" t="s">
        <v>357</v>
      </c>
      <c r="F88" s="1" t="s">
        <v>112</v>
      </c>
      <c r="G88" s="1">
        <v>374154</v>
      </c>
    </row>
    <row r="89" spans="1:8" x14ac:dyDescent="0.35">
      <c r="A89" s="1" t="str">
        <f t="shared" si="1"/>
        <v>14</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9" s="1" t="s">
        <v>358</v>
      </c>
      <c r="D89" s="1" t="s">
        <v>359</v>
      </c>
      <c r="E89" s="1" t="s">
        <v>360</v>
      </c>
      <c r="F89" s="1" t="s">
        <v>112</v>
      </c>
      <c r="G89" s="1">
        <v>665920</v>
      </c>
    </row>
    <row r="90" spans="1:8" x14ac:dyDescent="0.35">
      <c r="A90" s="1" t="str">
        <f t="shared" si="1"/>
        <v>14</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361</v>
      </c>
    </row>
    <row r="91" spans="1:8" x14ac:dyDescent="0.35">
      <c r="A91" s="1" t="str">
        <f t="shared" si="1"/>
        <v>14</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362</v>
      </c>
    </row>
    <row r="92" spans="1:8" x14ac:dyDescent="0.35">
      <c r="A92" s="1" t="str">
        <f t="shared" si="1"/>
        <v>14</v>
      </c>
      <c r="B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2" s="1" t="s">
        <v>363</v>
      </c>
    </row>
    <row r="93" spans="1:8" x14ac:dyDescent="0.3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112</v>
      </c>
    </row>
    <row r="94" spans="1:8" x14ac:dyDescent="0.35">
      <c r="A94" s="1" t="str">
        <f t="shared" si="1"/>
        <v/>
      </c>
      <c r="B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4" s="1" t="s">
        <v>227</v>
      </c>
      <c r="D94" s="1" t="s">
        <v>112</v>
      </c>
      <c r="E94" s="1" t="s">
        <v>228</v>
      </c>
      <c r="F94" s="1" t="s">
        <v>229</v>
      </c>
      <c r="G94" s="1" t="s">
        <v>230</v>
      </c>
      <c r="H94" s="1" t="s">
        <v>231</v>
      </c>
    </row>
    <row r="95" spans="1:8" x14ac:dyDescent="0.35">
      <c r="A95" s="1" t="str">
        <f t="shared" si="1"/>
        <v>14</v>
      </c>
      <c r="B9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5" s="1" t="s">
        <v>364</v>
      </c>
      <c r="D95" s="1" t="s">
        <v>112</v>
      </c>
      <c r="E95" s="1" t="s">
        <v>365</v>
      </c>
      <c r="F95" s="1" t="s">
        <v>366</v>
      </c>
      <c r="G95" s="1" t="s">
        <v>367</v>
      </c>
      <c r="H95" s="1" t="s">
        <v>368</v>
      </c>
    </row>
    <row r="96" spans="1:8" x14ac:dyDescent="0.3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3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3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3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3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112</v>
      </c>
    </row>
    <row r="101" spans="1:7" x14ac:dyDescent="0.35">
      <c r="A101" s="1" t="str">
        <f t="shared" si="1"/>
        <v/>
      </c>
      <c r="B1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1" s="1" t="s">
        <v>171</v>
      </c>
      <c r="D101" s="1" t="s">
        <v>110</v>
      </c>
      <c r="E101" s="1" t="s">
        <v>111</v>
      </c>
      <c r="F101" s="1" t="s">
        <v>112</v>
      </c>
      <c r="G101" s="1" t="s">
        <v>113</v>
      </c>
    </row>
    <row r="102" spans="1:7" x14ac:dyDescent="0.35">
      <c r="A102" s="1" t="str">
        <f t="shared" si="1"/>
        <v>15</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369</v>
      </c>
      <c r="D102" s="1" t="s">
        <v>370</v>
      </c>
      <c r="E102" s="1" t="s">
        <v>371</v>
      </c>
      <c r="F102" s="1" t="s">
        <v>112</v>
      </c>
      <c r="G102" s="1">
        <v>2778793</v>
      </c>
    </row>
    <row r="103" spans="1:7" x14ac:dyDescent="0.35">
      <c r="A103" s="1" t="str">
        <f t="shared" si="1"/>
        <v>15</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372</v>
      </c>
      <c r="D103" s="1" t="s">
        <v>373</v>
      </c>
      <c r="E103" s="1" t="s">
        <v>374</v>
      </c>
      <c r="F103" s="1" t="s">
        <v>112</v>
      </c>
      <c r="G103" s="1">
        <v>2919603</v>
      </c>
    </row>
    <row r="104" spans="1:7" x14ac:dyDescent="0.35">
      <c r="A104" s="1" t="str">
        <f t="shared" si="1"/>
        <v>15</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4" s="1" t="s">
        <v>375</v>
      </c>
      <c r="D104" s="1" t="s">
        <v>376</v>
      </c>
      <c r="E104" s="1" t="s">
        <v>377</v>
      </c>
      <c r="F104" s="1" t="s">
        <v>112</v>
      </c>
      <c r="G104" s="1">
        <v>3064437</v>
      </c>
    </row>
    <row r="105" spans="1:7" x14ac:dyDescent="0.35">
      <c r="A105" s="1" t="str">
        <f t="shared" si="1"/>
        <v>15</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378</v>
      </c>
      <c r="D105" s="1" t="s">
        <v>379</v>
      </c>
      <c r="E105" s="1" t="s">
        <v>380</v>
      </c>
      <c r="F105" s="1" t="s">
        <v>112</v>
      </c>
      <c r="G105" s="1">
        <v>5349960</v>
      </c>
    </row>
    <row r="106" spans="1:7" x14ac:dyDescent="0.35">
      <c r="A106" s="1" t="str">
        <f t="shared" si="1"/>
        <v>15</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381</v>
      </c>
      <c r="D106" s="1" t="s">
        <v>382</v>
      </c>
      <c r="E106" s="1" t="s">
        <v>383</v>
      </c>
      <c r="F106" s="1" t="s">
        <v>112</v>
      </c>
      <c r="G106" s="1">
        <v>6381360</v>
      </c>
    </row>
    <row r="107" spans="1:7" x14ac:dyDescent="0.35">
      <c r="A107" s="1" t="str">
        <f t="shared" si="1"/>
        <v>15</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7" s="1" t="s">
        <v>384</v>
      </c>
      <c r="D107" s="1" t="s">
        <v>385</v>
      </c>
      <c r="E107" s="1" t="s">
        <v>386</v>
      </c>
      <c r="F107" s="1" t="s">
        <v>112</v>
      </c>
      <c r="G107" s="1">
        <v>5656455</v>
      </c>
    </row>
    <row r="108" spans="1:7" x14ac:dyDescent="0.35">
      <c r="A108" s="1" t="str">
        <f t="shared" si="1"/>
        <v>15</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387</v>
      </c>
      <c r="D108" s="1" t="s">
        <v>388</v>
      </c>
      <c r="E108" s="1" t="s">
        <v>389</v>
      </c>
      <c r="F108" s="1" t="s">
        <v>112</v>
      </c>
      <c r="G108" s="1">
        <v>3985200</v>
      </c>
    </row>
    <row r="109" spans="1:7" x14ac:dyDescent="0.35">
      <c r="A109" s="1" t="str">
        <f t="shared" si="1"/>
        <v>15</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390</v>
      </c>
      <c r="D109" s="1" t="s">
        <v>391</v>
      </c>
      <c r="E109" s="1" t="s">
        <v>392</v>
      </c>
      <c r="F109" s="1" t="s">
        <v>112</v>
      </c>
      <c r="G109" s="1">
        <v>4234549</v>
      </c>
    </row>
    <row r="110" spans="1:7" x14ac:dyDescent="0.35">
      <c r="A110" s="1" t="str">
        <f t="shared" si="1"/>
        <v>15</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0" s="1" t="s">
        <v>393</v>
      </c>
      <c r="D110" s="1" t="s">
        <v>394</v>
      </c>
      <c r="E110" s="1" t="s">
        <v>395</v>
      </c>
      <c r="F110" s="1" t="s">
        <v>112</v>
      </c>
      <c r="G110" s="1">
        <v>4384228</v>
      </c>
    </row>
    <row r="111" spans="1:7" x14ac:dyDescent="0.35">
      <c r="A111" s="1" t="str">
        <f t="shared" si="1"/>
        <v>15</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396</v>
      </c>
      <c r="D111" s="1" t="s">
        <v>397</v>
      </c>
      <c r="E111" s="1" t="s">
        <v>398</v>
      </c>
      <c r="F111" s="1" t="s">
        <v>112</v>
      </c>
      <c r="G111" s="1">
        <v>1947988</v>
      </c>
    </row>
    <row r="112" spans="1:7" x14ac:dyDescent="0.35">
      <c r="A112" s="1" t="str">
        <f t="shared" si="1"/>
        <v>15</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399</v>
      </c>
      <c r="D112" s="1" t="s">
        <v>400</v>
      </c>
      <c r="E112" s="1" t="s">
        <v>401</v>
      </c>
      <c r="F112" s="1" t="s">
        <v>112</v>
      </c>
      <c r="G112" s="1">
        <v>1988220</v>
      </c>
    </row>
    <row r="113" spans="1:8" x14ac:dyDescent="0.35">
      <c r="A113" s="1" t="str">
        <f t="shared" si="1"/>
        <v>15</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3" s="1" t="s">
        <v>402</v>
      </c>
      <c r="D113" s="1" t="s">
        <v>403</v>
      </c>
      <c r="E113" s="1" t="s">
        <v>404</v>
      </c>
      <c r="F113" s="1" t="s">
        <v>112</v>
      </c>
      <c r="G113" s="1">
        <v>2016706</v>
      </c>
    </row>
    <row r="114" spans="1:8" x14ac:dyDescent="0.35">
      <c r="A114" s="1" t="str">
        <f t="shared" si="1"/>
        <v>15</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405</v>
      </c>
      <c r="D114" s="1" t="s">
        <v>406</v>
      </c>
      <c r="E114" s="1" t="s">
        <v>407</v>
      </c>
      <c r="F114" s="1" t="s">
        <v>112</v>
      </c>
      <c r="G114" s="1">
        <v>1706166</v>
      </c>
    </row>
    <row r="115" spans="1:8" x14ac:dyDescent="0.35">
      <c r="A115" s="1" t="str">
        <f t="shared" si="1"/>
        <v>15</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408</v>
      </c>
      <c r="D115" s="1" t="s">
        <v>409</v>
      </c>
      <c r="E115" s="1" t="s">
        <v>410</v>
      </c>
      <c r="F115" s="1" t="s">
        <v>112</v>
      </c>
      <c r="G115" s="1">
        <v>1664507</v>
      </c>
    </row>
    <row r="116" spans="1:8" x14ac:dyDescent="0.35">
      <c r="A116" s="1" t="str">
        <f t="shared" si="1"/>
        <v>15</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6" s="1" t="s">
        <v>411</v>
      </c>
      <c r="D116" s="1" t="s">
        <v>412</v>
      </c>
      <c r="E116" s="1" t="s">
        <v>413</v>
      </c>
      <c r="F116" s="1" t="s">
        <v>112</v>
      </c>
      <c r="G116" s="1">
        <v>1628753</v>
      </c>
    </row>
    <row r="117" spans="1:8" x14ac:dyDescent="0.35">
      <c r="A117" s="1" t="str">
        <f t="shared" si="1"/>
        <v>15</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414</v>
      </c>
      <c r="D117" s="1" t="s">
        <v>415</v>
      </c>
      <c r="E117" s="1" t="s">
        <v>416</v>
      </c>
      <c r="F117" s="1" t="s">
        <v>112</v>
      </c>
      <c r="G117" s="1">
        <v>4830799</v>
      </c>
    </row>
    <row r="118" spans="1:8" x14ac:dyDescent="0.35">
      <c r="A118" s="1" t="str">
        <f t="shared" si="1"/>
        <v>15</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417</v>
      </c>
      <c r="D118" s="1" t="s">
        <v>418</v>
      </c>
      <c r="E118" s="1" t="s">
        <v>419</v>
      </c>
      <c r="F118" s="1" t="s">
        <v>112</v>
      </c>
      <c r="G118" s="1">
        <v>4904579</v>
      </c>
    </row>
    <row r="119" spans="1:8" x14ac:dyDescent="0.35">
      <c r="A119" s="1" t="str">
        <f t="shared" si="1"/>
        <v>15</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9" s="1" t="s">
        <v>420</v>
      </c>
      <c r="D119" s="1" t="s">
        <v>421</v>
      </c>
      <c r="E119" s="1" t="s">
        <v>422</v>
      </c>
      <c r="F119" s="1" t="s">
        <v>112</v>
      </c>
      <c r="G119" s="1">
        <v>5021813</v>
      </c>
    </row>
    <row r="120" spans="1:8" x14ac:dyDescent="0.35">
      <c r="A120" s="1" t="str">
        <f t="shared" si="1"/>
        <v>15</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423</v>
      </c>
      <c r="D120" s="1" t="s">
        <v>424</v>
      </c>
      <c r="E120" s="1" t="s">
        <v>425</v>
      </c>
      <c r="F120" s="1" t="s">
        <v>112</v>
      </c>
      <c r="G120" s="1">
        <v>4404539</v>
      </c>
    </row>
    <row r="121" spans="1:8" x14ac:dyDescent="0.35">
      <c r="A121" s="1" t="str">
        <f t="shared" si="1"/>
        <v>15</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426</v>
      </c>
      <c r="D121" s="1" t="s">
        <v>427</v>
      </c>
      <c r="E121" s="1" t="s">
        <v>428</v>
      </c>
      <c r="F121" s="1" t="s">
        <v>112</v>
      </c>
      <c r="G121" s="1">
        <v>4711013</v>
      </c>
    </row>
    <row r="122" spans="1:8" x14ac:dyDescent="0.35">
      <c r="A122" s="1" t="str">
        <f t="shared" si="1"/>
        <v>15</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2" s="1" t="s">
        <v>429</v>
      </c>
      <c r="D122" s="1" t="s">
        <v>430</v>
      </c>
      <c r="E122" s="1" t="s">
        <v>431</v>
      </c>
      <c r="F122" s="1" t="s">
        <v>112</v>
      </c>
      <c r="G122" s="1">
        <v>4642316</v>
      </c>
    </row>
    <row r="123" spans="1:8" x14ac:dyDescent="0.35">
      <c r="A123" s="1" t="str">
        <f t="shared" si="1"/>
        <v>15</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432</v>
      </c>
      <c r="D123" s="1" t="s">
        <v>433</v>
      </c>
      <c r="E123" s="1" t="s">
        <v>434</v>
      </c>
      <c r="F123" s="1" t="s">
        <v>112</v>
      </c>
      <c r="G123" s="1">
        <v>3449363</v>
      </c>
    </row>
    <row r="124" spans="1:8" x14ac:dyDescent="0.35">
      <c r="A124" s="1" t="str">
        <f t="shared" si="1"/>
        <v>15</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435</v>
      </c>
      <c r="D124" s="1" t="s">
        <v>436</v>
      </c>
      <c r="E124" s="1" t="s">
        <v>437</v>
      </c>
      <c r="F124" s="1" t="s">
        <v>112</v>
      </c>
      <c r="G124" s="1">
        <v>3506747</v>
      </c>
    </row>
    <row r="125" spans="1:8" x14ac:dyDescent="0.35">
      <c r="A125" s="1" t="str">
        <f t="shared" si="1"/>
        <v>15</v>
      </c>
      <c r="B1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5" s="1" t="s">
        <v>438</v>
      </c>
      <c r="D125" s="1" t="s">
        <v>439</v>
      </c>
      <c r="E125" s="1" t="s">
        <v>440</v>
      </c>
      <c r="F125" s="1" t="s">
        <v>112</v>
      </c>
      <c r="G125" s="1">
        <v>3870086</v>
      </c>
    </row>
    <row r="126" spans="1:8" x14ac:dyDescent="0.3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112</v>
      </c>
    </row>
    <row r="127" spans="1:8" x14ac:dyDescent="0.35">
      <c r="A127" s="1" t="str">
        <f t="shared" si="1"/>
        <v/>
      </c>
      <c r="B1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7" s="1" t="s">
        <v>227</v>
      </c>
      <c r="D127" s="1" t="s">
        <v>112</v>
      </c>
      <c r="E127" s="1" t="s">
        <v>228</v>
      </c>
      <c r="F127" s="1" t="s">
        <v>229</v>
      </c>
      <c r="G127" s="1" t="s">
        <v>230</v>
      </c>
      <c r="H127" s="1" t="s">
        <v>231</v>
      </c>
    </row>
    <row r="128" spans="1:8" x14ac:dyDescent="0.35">
      <c r="A128" s="1" t="str">
        <f t="shared" si="1"/>
        <v>15</v>
      </c>
      <c r="B1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8" s="1" t="s">
        <v>441</v>
      </c>
      <c r="D128" s="1" t="s">
        <v>112</v>
      </c>
      <c r="E128" s="1" t="s">
        <v>442</v>
      </c>
      <c r="F128" s="1" t="s">
        <v>443</v>
      </c>
      <c r="G128" s="1" t="s">
        <v>444</v>
      </c>
      <c r="H128" s="1" t="s">
        <v>445</v>
      </c>
    </row>
    <row r="129" spans="1:7" x14ac:dyDescent="0.3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3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3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3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3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112</v>
      </c>
    </row>
    <row r="134" spans="1:7" x14ac:dyDescent="0.35">
      <c r="A134" s="1" t="str">
        <f t="shared" si="2"/>
        <v/>
      </c>
      <c r="B1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4" s="1" t="s">
        <v>171</v>
      </c>
      <c r="D134" s="1" t="s">
        <v>110</v>
      </c>
      <c r="E134" s="1" t="s">
        <v>111</v>
      </c>
      <c r="F134" s="1" t="s">
        <v>112</v>
      </c>
      <c r="G134" s="1" t="s">
        <v>113</v>
      </c>
    </row>
    <row r="135" spans="1:7" x14ac:dyDescent="0.35">
      <c r="A135" s="1" t="str">
        <f t="shared" si="2"/>
        <v>16</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446</v>
      </c>
      <c r="D135" s="1" t="s">
        <v>447</v>
      </c>
      <c r="E135" s="1" t="s">
        <v>448</v>
      </c>
      <c r="F135" s="1" t="s">
        <v>112</v>
      </c>
      <c r="G135" s="1">
        <v>199752</v>
      </c>
    </row>
    <row r="136" spans="1:7" x14ac:dyDescent="0.35">
      <c r="A136" s="1" t="str">
        <f t="shared" si="2"/>
        <v>16</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449</v>
      </c>
      <c r="D136" s="1" t="s">
        <v>450</v>
      </c>
      <c r="E136" s="1" t="s">
        <v>451</v>
      </c>
      <c r="F136" s="1" t="s">
        <v>112</v>
      </c>
      <c r="G136" s="1">
        <v>61494</v>
      </c>
    </row>
    <row r="137" spans="1:7" x14ac:dyDescent="0.35">
      <c r="A137" s="1" t="str">
        <f t="shared" si="2"/>
        <v>16</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7" s="1" t="s">
        <v>452</v>
      </c>
      <c r="D137" s="1" t="s">
        <v>453</v>
      </c>
      <c r="E137" s="1" t="s">
        <v>454</v>
      </c>
      <c r="F137" s="1" t="s">
        <v>112</v>
      </c>
      <c r="G137" s="1">
        <v>124502</v>
      </c>
    </row>
    <row r="138" spans="1:7" x14ac:dyDescent="0.35">
      <c r="A138" s="1" t="str">
        <f t="shared" si="2"/>
        <v>16</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455</v>
      </c>
      <c r="D138" s="1" t="s">
        <v>456</v>
      </c>
      <c r="E138" s="1" t="s">
        <v>457</v>
      </c>
      <c r="F138" s="1" t="s">
        <v>112</v>
      </c>
      <c r="G138" s="1">
        <v>499110</v>
      </c>
    </row>
    <row r="139" spans="1:7" x14ac:dyDescent="0.35">
      <c r="A139" s="1" t="str">
        <f t="shared" si="2"/>
        <v>16</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458</v>
      </c>
      <c r="D139" s="1" t="s">
        <v>459</v>
      </c>
      <c r="E139" s="1" t="s">
        <v>460</v>
      </c>
      <c r="F139" s="1" t="s">
        <v>112</v>
      </c>
      <c r="G139" s="1">
        <v>367427</v>
      </c>
    </row>
    <row r="140" spans="1:7" x14ac:dyDescent="0.35">
      <c r="A140" s="1" t="str">
        <f t="shared" si="2"/>
        <v>16</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40" s="1" t="s">
        <v>461</v>
      </c>
      <c r="D140" s="1" t="s">
        <v>356</v>
      </c>
      <c r="E140" s="1" t="s">
        <v>462</v>
      </c>
      <c r="F140" s="1" t="s">
        <v>112</v>
      </c>
      <c r="G140" s="1">
        <v>378285</v>
      </c>
    </row>
    <row r="141" spans="1:7" x14ac:dyDescent="0.35">
      <c r="A141" s="1" t="str">
        <f t="shared" si="2"/>
        <v>16</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463</v>
      </c>
      <c r="D141" s="1" t="s">
        <v>464</v>
      </c>
      <c r="E141" s="1" t="s">
        <v>465</v>
      </c>
      <c r="F141" s="1" t="s">
        <v>112</v>
      </c>
      <c r="G141" s="1">
        <v>66598</v>
      </c>
    </row>
    <row r="142" spans="1:7" x14ac:dyDescent="0.35">
      <c r="A142" s="1" t="str">
        <f t="shared" si="2"/>
        <v>16</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466</v>
      </c>
      <c r="D142" s="1" t="s">
        <v>467</v>
      </c>
      <c r="E142" s="1" t="s">
        <v>468</v>
      </c>
      <c r="F142" s="1" t="s">
        <v>112</v>
      </c>
      <c r="G142" s="1">
        <v>194431</v>
      </c>
    </row>
    <row r="143" spans="1:7" x14ac:dyDescent="0.35">
      <c r="A143" s="1" t="str">
        <f t="shared" si="2"/>
        <v>16</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3" s="1" t="s">
        <v>469</v>
      </c>
      <c r="D143" s="1" t="s">
        <v>470</v>
      </c>
      <c r="E143" s="1" t="s">
        <v>471</v>
      </c>
      <c r="F143" s="1" t="s">
        <v>112</v>
      </c>
      <c r="G143" s="1">
        <v>36533</v>
      </c>
    </row>
    <row r="144" spans="1:7" x14ac:dyDescent="0.35">
      <c r="A144" s="1" t="str">
        <f t="shared" si="2"/>
        <v>16</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472</v>
      </c>
    </row>
    <row r="145" spans="1:8" x14ac:dyDescent="0.35">
      <c r="A145" s="1" t="str">
        <f t="shared" si="2"/>
        <v>16</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473</v>
      </c>
    </row>
    <row r="146" spans="1:8" x14ac:dyDescent="0.35">
      <c r="A146" s="1" t="str">
        <f t="shared" si="2"/>
        <v>16</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6" s="1" t="s">
        <v>474</v>
      </c>
      <c r="D146" s="1" t="s">
        <v>475</v>
      </c>
      <c r="E146" s="1" t="s">
        <v>476</v>
      </c>
      <c r="F146" s="1" t="s">
        <v>112</v>
      </c>
      <c r="G146" s="1">
        <v>428488</v>
      </c>
    </row>
    <row r="147" spans="1:8" x14ac:dyDescent="0.35">
      <c r="A147" s="1" t="str">
        <f t="shared" si="2"/>
        <v>16</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477</v>
      </c>
      <c r="D147" s="1" t="s">
        <v>478</v>
      </c>
      <c r="E147" s="1" t="s">
        <v>479</v>
      </c>
      <c r="F147" s="1" t="s">
        <v>112</v>
      </c>
      <c r="G147" s="1">
        <v>12913</v>
      </c>
    </row>
    <row r="148" spans="1:8" x14ac:dyDescent="0.35">
      <c r="A148" s="1" t="str">
        <f t="shared" si="2"/>
        <v>16</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480</v>
      </c>
      <c r="D148" s="1" t="s">
        <v>481</v>
      </c>
      <c r="E148" s="1" t="s">
        <v>482</v>
      </c>
      <c r="F148" s="1" t="s">
        <v>112</v>
      </c>
      <c r="G148" s="1">
        <v>184481</v>
      </c>
    </row>
    <row r="149" spans="1:8" x14ac:dyDescent="0.35">
      <c r="A149" s="1" t="str">
        <f t="shared" si="2"/>
        <v>16</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9" s="1" t="s">
        <v>483</v>
      </c>
      <c r="D149" s="1" t="s">
        <v>484</v>
      </c>
      <c r="E149" s="1" t="s">
        <v>485</v>
      </c>
      <c r="F149" s="1" t="s">
        <v>112</v>
      </c>
      <c r="G149" s="1">
        <v>108236</v>
      </c>
    </row>
    <row r="150" spans="1:8" x14ac:dyDescent="0.35">
      <c r="A150" s="1" t="str">
        <f t="shared" si="2"/>
        <v>16</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486</v>
      </c>
      <c r="D150" s="1" t="s">
        <v>487</v>
      </c>
      <c r="E150" s="1" t="s">
        <v>488</v>
      </c>
      <c r="F150" s="1" t="s">
        <v>112</v>
      </c>
      <c r="G150" s="1">
        <v>124004</v>
      </c>
    </row>
    <row r="151" spans="1:8" x14ac:dyDescent="0.35">
      <c r="A151" s="1" t="str">
        <f t="shared" si="2"/>
        <v>16</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489</v>
      </c>
      <c r="D151" s="1" t="s">
        <v>490</v>
      </c>
      <c r="E151" s="1" t="s">
        <v>491</v>
      </c>
      <c r="F151" s="1" t="s">
        <v>112</v>
      </c>
      <c r="G151" s="1">
        <v>296092</v>
      </c>
    </row>
    <row r="152" spans="1:8" x14ac:dyDescent="0.35">
      <c r="A152" s="1" t="str">
        <f t="shared" si="2"/>
        <v>16</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2" s="1" t="s">
        <v>492</v>
      </c>
      <c r="D152" s="1" t="s">
        <v>493</v>
      </c>
      <c r="E152" s="1" t="s">
        <v>494</v>
      </c>
      <c r="F152" s="1" t="s">
        <v>112</v>
      </c>
      <c r="G152" s="1">
        <v>148943</v>
      </c>
    </row>
    <row r="153" spans="1:8" x14ac:dyDescent="0.35">
      <c r="A153" s="1" t="str">
        <f t="shared" si="2"/>
        <v>16</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495</v>
      </c>
      <c r="D153" s="1" t="s">
        <v>496</v>
      </c>
      <c r="E153" s="1" t="s">
        <v>497</v>
      </c>
      <c r="F153" s="1" t="s">
        <v>112</v>
      </c>
      <c r="G153" s="1">
        <v>4802</v>
      </c>
    </row>
    <row r="154" spans="1:8" x14ac:dyDescent="0.35">
      <c r="A154" s="1" t="str">
        <f t="shared" si="2"/>
        <v>16</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498</v>
      </c>
      <c r="D154" s="1" t="s">
        <v>254</v>
      </c>
      <c r="E154" s="1" t="s">
        <v>499</v>
      </c>
      <c r="F154" s="1" t="s">
        <v>112</v>
      </c>
      <c r="G154" s="1">
        <v>1319</v>
      </c>
    </row>
    <row r="155" spans="1:8" x14ac:dyDescent="0.35">
      <c r="A155" s="1" t="str">
        <f t="shared" si="2"/>
        <v>16</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5" s="1" t="s">
        <v>500</v>
      </c>
      <c r="D155" s="1" t="s">
        <v>501</v>
      </c>
      <c r="E155" s="1" t="s">
        <v>502</v>
      </c>
      <c r="F155" s="1" t="s">
        <v>112</v>
      </c>
      <c r="G155" s="1">
        <v>15682</v>
      </c>
    </row>
    <row r="156" spans="1:8" x14ac:dyDescent="0.35">
      <c r="A156" s="1" t="str">
        <f t="shared" si="2"/>
        <v>16</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503</v>
      </c>
      <c r="D156" s="1" t="s">
        <v>504</v>
      </c>
      <c r="E156" s="1" t="s">
        <v>505</v>
      </c>
      <c r="F156" s="1" t="s">
        <v>112</v>
      </c>
      <c r="G156" s="1">
        <v>37960</v>
      </c>
    </row>
    <row r="157" spans="1:8" x14ac:dyDescent="0.35">
      <c r="A157" s="1" t="str">
        <f t="shared" si="2"/>
        <v>16</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506</v>
      </c>
      <c r="D157" s="1" t="s">
        <v>507</v>
      </c>
      <c r="E157" s="1" t="s">
        <v>499</v>
      </c>
      <c r="F157" s="1" t="s">
        <v>112</v>
      </c>
      <c r="G157" s="1">
        <v>2639</v>
      </c>
    </row>
    <row r="158" spans="1:8" x14ac:dyDescent="0.35">
      <c r="A158" s="1" t="str">
        <f t="shared" si="2"/>
        <v>16</v>
      </c>
      <c r="B1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8" s="1" t="s">
        <v>508</v>
      </c>
      <c r="D158" s="1">
        <v>0</v>
      </c>
      <c r="E158" s="1">
        <v>0</v>
      </c>
      <c r="F158" s="1" t="s">
        <v>112</v>
      </c>
      <c r="G158" s="1">
        <v>0</v>
      </c>
    </row>
    <row r="159" spans="1:8" x14ac:dyDescent="0.3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112</v>
      </c>
    </row>
    <row r="160" spans="1:8" x14ac:dyDescent="0.35">
      <c r="A160" s="1" t="str">
        <f t="shared" si="2"/>
        <v/>
      </c>
      <c r="B1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0" s="1" t="s">
        <v>227</v>
      </c>
      <c r="D160" s="1" t="s">
        <v>112</v>
      </c>
      <c r="E160" s="1" t="s">
        <v>228</v>
      </c>
      <c r="F160" s="1" t="s">
        <v>229</v>
      </c>
      <c r="G160" s="1" t="s">
        <v>230</v>
      </c>
      <c r="H160" s="1" t="s">
        <v>231</v>
      </c>
    </row>
    <row r="161" spans="1:8" x14ac:dyDescent="0.35">
      <c r="A161" s="1" t="str">
        <f t="shared" si="2"/>
        <v>16</v>
      </c>
      <c r="B1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1" s="1" t="s">
        <v>509</v>
      </c>
      <c r="D161" s="1" t="s">
        <v>112</v>
      </c>
      <c r="E161" s="1" t="s">
        <v>510</v>
      </c>
      <c r="F161" s="1" t="s">
        <v>511</v>
      </c>
      <c r="G161" s="1" t="s">
        <v>512</v>
      </c>
      <c r="H161" s="1" t="s">
        <v>513</v>
      </c>
    </row>
    <row r="162" spans="1:8" x14ac:dyDescent="0.3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8" x14ac:dyDescent="0.3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8" x14ac:dyDescent="0.3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8" x14ac:dyDescent="0.3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8" x14ac:dyDescent="0.3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112</v>
      </c>
    </row>
    <row r="167" spans="1:8" x14ac:dyDescent="0.35">
      <c r="A167" s="1" t="str">
        <f t="shared" si="2"/>
        <v/>
      </c>
      <c r="B1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7" s="1" t="s">
        <v>171</v>
      </c>
      <c r="D167" s="1" t="s">
        <v>110</v>
      </c>
      <c r="E167" s="1" t="s">
        <v>111</v>
      </c>
      <c r="F167" s="1" t="s">
        <v>112</v>
      </c>
      <c r="G167" s="1" t="s">
        <v>113</v>
      </c>
    </row>
    <row r="168" spans="1:8" x14ac:dyDescent="0.35">
      <c r="A168" s="1" t="str">
        <f t="shared" si="2"/>
        <v>2</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514</v>
      </c>
      <c r="D168" s="1" t="s">
        <v>515</v>
      </c>
      <c r="E168" s="1" t="s">
        <v>516</v>
      </c>
      <c r="F168" s="1" t="s">
        <v>112</v>
      </c>
      <c r="G168" s="1">
        <v>118597</v>
      </c>
    </row>
    <row r="169" spans="1:8" x14ac:dyDescent="0.35">
      <c r="A169" s="1" t="str">
        <f t="shared" si="2"/>
        <v>2</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517</v>
      </c>
      <c r="D169" s="1" t="s">
        <v>518</v>
      </c>
      <c r="E169" s="1" t="s">
        <v>519</v>
      </c>
      <c r="F169" s="1" t="s">
        <v>112</v>
      </c>
      <c r="G169" s="1">
        <v>105662</v>
      </c>
    </row>
    <row r="170" spans="1:8" x14ac:dyDescent="0.35">
      <c r="A170" s="1" t="str">
        <f t="shared" si="2"/>
        <v>2</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70" s="1" t="s">
        <v>520</v>
      </c>
      <c r="D170" s="1" t="s">
        <v>521</v>
      </c>
      <c r="E170" s="1" t="s">
        <v>522</v>
      </c>
      <c r="F170" s="1" t="s">
        <v>112</v>
      </c>
      <c r="G170" s="1">
        <v>59158</v>
      </c>
    </row>
    <row r="171" spans="1:8" x14ac:dyDescent="0.35">
      <c r="A171" s="1" t="str">
        <f t="shared" si="2"/>
        <v>2</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523</v>
      </c>
      <c r="D171" s="1" t="s">
        <v>524</v>
      </c>
      <c r="E171" s="1" t="s">
        <v>525</v>
      </c>
      <c r="F171" s="1" t="s">
        <v>112</v>
      </c>
      <c r="G171" s="1">
        <v>96815</v>
      </c>
    </row>
    <row r="172" spans="1:8" x14ac:dyDescent="0.35">
      <c r="A172" s="1" t="str">
        <f t="shared" si="2"/>
        <v>2</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526</v>
      </c>
      <c r="D172" s="1" t="s">
        <v>180</v>
      </c>
      <c r="E172" s="1">
        <v>30</v>
      </c>
      <c r="F172" s="1" t="s">
        <v>112</v>
      </c>
      <c r="G172" s="1">
        <v>649</v>
      </c>
    </row>
    <row r="173" spans="1:8" x14ac:dyDescent="0.35">
      <c r="A173" s="1" t="str">
        <f t="shared" si="2"/>
        <v>2</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3" s="1" t="s">
        <v>527</v>
      </c>
      <c r="D173" s="1" t="s">
        <v>528</v>
      </c>
      <c r="E173" s="1" t="s">
        <v>529</v>
      </c>
      <c r="F173" s="1" t="s">
        <v>112</v>
      </c>
      <c r="G173" s="1">
        <v>280086</v>
      </c>
    </row>
    <row r="174" spans="1:8" x14ac:dyDescent="0.35">
      <c r="A174" s="1" t="str">
        <f t="shared" si="2"/>
        <v>2</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530</v>
      </c>
      <c r="D174" s="1" t="s">
        <v>531</v>
      </c>
      <c r="E174" s="1" t="s">
        <v>532</v>
      </c>
      <c r="F174" s="1" t="s">
        <v>112</v>
      </c>
      <c r="G174" s="1">
        <v>947735</v>
      </c>
    </row>
    <row r="175" spans="1:8" x14ac:dyDescent="0.35">
      <c r="A175" s="1" t="str">
        <f t="shared" si="2"/>
        <v>2</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533</v>
      </c>
      <c r="D175" s="1" t="s">
        <v>534</v>
      </c>
      <c r="E175" s="1" t="s">
        <v>535</v>
      </c>
      <c r="F175" s="1" t="s">
        <v>112</v>
      </c>
      <c r="G175" s="1">
        <v>600121</v>
      </c>
    </row>
    <row r="176" spans="1:8" x14ac:dyDescent="0.35">
      <c r="A176" s="1" t="str">
        <f t="shared" si="2"/>
        <v>2</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6" s="1" t="s">
        <v>536</v>
      </c>
      <c r="D176" s="1" t="s">
        <v>537</v>
      </c>
      <c r="E176" s="1" t="s">
        <v>538</v>
      </c>
      <c r="F176" s="1" t="s">
        <v>112</v>
      </c>
      <c r="G176" s="1">
        <v>718350</v>
      </c>
    </row>
    <row r="177" spans="1:7" x14ac:dyDescent="0.35">
      <c r="A177" s="1" t="str">
        <f t="shared" si="2"/>
        <v>2</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539</v>
      </c>
      <c r="D177" s="1" t="s">
        <v>540</v>
      </c>
      <c r="E177" s="1" t="s">
        <v>541</v>
      </c>
      <c r="F177" s="1" t="s">
        <v>112</v>
      </c>
      <c r="G177" s="1">
        <v>27643</v>
      </c>
    </row>
    <row r="178" spans="1:7" x14ac:dyDescent="0.35">
      <c r="A178" s="1" t="str">
        <f t="shared" si="2"/>
        <v>2</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542</v>
      </c>
      <c r="D178" s="1" t="s">
        <v>204</v>
      </c>
      <c r="E178" s="1" t="s">
        <v>543</v>
      </c>
      <c r="F178" s="1" t="s">
        <v>112</v>
      </c>
      <c r="G178" s="1">
        <v>163544</v>
      </c>
    </row>
    <row r="179" spans="1:7" x14ac:dyDescent="0.35">
      <c r="A179" s="1" t="str">
        <f t="shared" si="2"/>
        <v>2</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9" s="1" t="s">
        <v>544</v>
      </c>
      <c r="D179" s="1" t="s">
        <v>545</v>
      </c>
      <c r="E179" s="1" t="s">
        <v>546</v>
      </c>
      <c r="F179" s="1" t="s">
        <v>112</v>
      </c>
      <c r="G179" s="1">
        <v>42870</v>
      </c>
    </row>
    <row r="180" spans="1:7" x14ac:dyDescent="0.35">
      <c r="A180" s="1" t="str">
        <f t="shared" si="2"/>
        <v>2</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547</v>
      </c>
      <c r="D180" s="1" t="s">
        <v>548</v>
      </c>
      <c r="E180" s="1" t="s">
        <v>549</v>
      </c>
      <c r="F180" s="1" t="s">
        <v>112</v>
      </c>
      <c r="G180" s="1">
        <v>139340</v>
      </c>
    </row>
    <row r="181" spans="1:7" x14ac:dyDescent="0.35">
      <c r="A181" s="1" t="str">
        <f t="shared" si="2"/>
        <v>2</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550</v>
      </c>
      <c r="D181" s="1" t="s">
        <v>551</v>
      </c>
      <c r="E181" s="1" t="s">
        <v>552</v>
      </c>
      <c r="F181" s="1" t="s">
        <v>112</v>
      </c>
      <c r="G181" s="1">
        <v>110723</v>
      </c>
    </row>
    <row r="182" spans="1:7" x14ac:dyDescent="0.35">
      <c r="A182" s="1" t="str">
        <f t="shared" si="2"/>
        <v>2</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2" s="1" t="s">
        <v>553</v>
      </c>
      <c r="D182" s="1" t="s">
        <v>554</v>
      </c>
      <c r="E182" s="1" t="s">
        <v>555</v>
      </c>
      <c r="F182" s="1" t="s">
        <v>112</v>
      </c>
      <c r="G182" s="1">
        <v>102785</v>
      </c>
    </row>
    <row r="183" spans="1:7" x14ac:dyDescent="0.35">
      <c r="A183" s="1" t="str">
        <f t="shared" si="2"/>
        <v>2</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556</v>
      </c>
      <c r="D183" s="1" t="s">
        <v>554</v>
      </c>
      <c r="E183" s="1" t="s">
        <v>557</v>
      </c>
      <c r="F183" s="1" t="s">
        <v>112</v>
      </c>
      <c r="G183" s="1">
        <v>95885</v>
      </c>
    </row>
    <row r="184" spans="1:7" x14ac:dyDescent="0.35">
      <c r="A184" s="1" t="str">
        <f t="shared" si="2"/>
        <v>2</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558</v>
      </c>
      <c r="D184" s="1" t="s">
        <v>559</v>
      </c>
      <c r="E184" s="1" t="s">
        <v>560</v>
      </c>
      <c r="F184" s="1" t="s">
        <v>112</v>
      </c>
      <c r="G184" s="1">
        <v>106095</v>
      </c>
    </row>
    <row r="185" spans="1:7" x14ac:dyDescent="0.35">
      <c r="A185" s="1" t="str">
        <f t="shared" si="2"/>
        <v>2</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5" s="1" t="s">
        <v>561</v>
      </c>
      <c r="D185" s="1" t="s">
        <v>562</v>
      </c>
      <c r="E185" s="1" t="s">
        <v>563</v>
      </c>
      <c r="F185" s="1" t="s">
        <v>112</v>
      </c>
      <c r="G185" s="1">
        <v>48148</v>
      </c>
    </row>
    <row r="186" spans="1:7" x14ac:dyDescent="0.35">
      <c r="A186" s="1" t="str">
        <f t="shared" si="2"/>
        <v>2</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564</v>
      </c>
      <c r="D186" s="1" t="s">
        <v>490</v>
      </c>
      <c r="E186" s="1" t="s">
        <v>565</v>
      </c>
      <c r="F186" s="1" t="s">
        <v>112</v>
      </c>
      <c r="G186" s="1">
        <v>283936</v>
      </c>
    </row>
    <row r="187" spans="1:7" x14ac:dyDescent="0.35">
      <c r="A187" s="1" t="str">
        <f t="shared" si="2"/>
        <v>2</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566</v>
      </c>
      <c r="D187" s="1" t="s">
        <v>567</v>
      </c>
      <c r="E187" s="1" t="s">
        <v>568</v>
      </c>
      <c r="F187" s="1" t="s">
        <v>112</v>
      </c>
      <c r="G187" s="1">
        <v>201072</v>
      </c>
    </row>
    <row r="188" spans="1:7" x14ac:dyDescent="0.35">
      <c r="A188" s="1" t="str">
        <f t="shared" si="2"/>
        <v>2</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8" s="1" t="s">
        <v>569</v>
      </c>
      <c r="D188" s="1" t="s">
        <v>570</v>
      </c>
      <c r="E188" s="1" t="s">
        <v>571</v>
      </c>
      <c r="F188" s="1" t="s">
        <v>112</v>
      </c>
      <c r="G188" s="1">
        <v>95345</v>
      </c>
    </row>
    <row r="189" spans="1:7" x14ac:dyDescent="0.35">
      <c r="A189" s="1" t="str">
        <f t="shared" si="2"/>
        <v>2</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572</v>
      </c>
      <c r="D189" s="1" t="s">
        <v>149</v>
      </c>
      <c r="E189" s="1" t="s">
        <v>573</v>
      </c>
      <c r="F189" s="1" t="s">
        <v>112</v>
      </c>
      <c r="G189" s="1">
        <v>196010</v>
      </c>
    </row>
    <row r="190" spans="1:7" x14ac:dyDescent="0.35">
      <c r="A190" s="1" t="str">
        <f t="shared" si="2"/>
        <v>2</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574</v>
      </c>
      <c r="D190" s="1" t="s">
        <v>575</v>
      </c>
      <c r="E190" s="1" t="s">
        <v>576</v>
      </c>
      <c r="F190" s="1" t="s">
        <v>112</v>
      </c>
      <c r="G190" s="1">
        <v>124696</v>
      </c>
    </row>
    <row r="191" spans="1:7" x14ac:dyDescent="0.35">
      <c r="A191" s="1" t="str">
        <f t="shared" si="2"/>
        <v>2</v>
      </c>
      <c r="B1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1" s="1" t="s">
        <v>577</v>
      </c>
      <c r="D191" s="1" t="s">
        <v>578</v>
      </c>
      <c r="E191" s="1" t="s">
        <v>579</v>
      </c>
      <c r="F191" s="1" t="s">
        <v>112</v>
      </c>
      <c r="G191" s="1">
        <v>40102</v>
      </c>
    </row>
    <row r="192" spans="1:7" x14ac:dyDescent="0.3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112</v>
      </c>
    </row>
    <row r="193" spans="1:8" x14ac:dyDescent="0.35">
      <c r="A193" s="1" t="str">
        <f t="shared" si="2"/>
        <v/>
      </c>
      <c r="B1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3" s="1" t="s">
        <v>227</v>
      </c>
      <c r="D193" s="1" t="s">
        <v>112</v>
      </c>
      <c r="E193" s="1" t="s">
        <v>228</v>
      </c>
      <c r="F193" s="1" t="s">
        <v>229</v>
      </c>
      <c r="G193" s="1" t="s">
        <v>230</v>
      </c>
      <c r="H193" s="1" t="s">
        <v>231</v>
      </c>
    </row>
    <row r="194" spans="1:8" x14ac:dyDescent="0.35">
      <c r="A194" s="1" t="str">
        <f t="shared" ref="A194:A257" si="3">IFERROR(LEFT(RIGHT(C194,LEN(C194)-SEARCH("@",C194)),SEARCH("/",RIGHT(C194,LEN(C194)-SEARCH("@",C194)-1))),"")</f>
        <v>2</v>
      </c>
      <c r="B1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4" s="1" t="s">
        <v>580</v>
      </c>
      <c r="D194" s="1" t="s">
        <v>112</v>
      </c>
      <c r="E194" s="1" t="s">
        <v>581</v>
      </c>
      <c r="F194" s="1" t="s">
        <v>582</v>
      </c>
      <c r="G194" s="1" t="s">
        <v>583</v>
      </c>
      <c r="H194" s="1" t="s">
        <v>584</v>
      </c>
    </row>
    <row r="195" spans="1:8" x14ac:dyDescent="0.3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8" x14ac:dyDescent="0.3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8" x14ac:dyDescent="0.3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8" x14ac:dyDescent="0.3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8" x14ac:dyDescent="0.3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112</v>
      </c>
    </row>
    <row r="200" spans="1:8" x14ac:dyDescent="0.35">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00" s="1" t="s">
        <v>171</v>
      </c>
      <c r="D200" s="1" t="s">
        <v>110</v>
      </c>
      <c r="E200" s="1" t="s">
        <v>111</v>
      </c>
      <c r="F200" s="1" t="s">
        <v>112</v>
      </c>
      <c r="G200" s="1" t="s">
        <v>113</v>
      </c>
    </row>
    <row r="201" spans="1:8" x14ac:dyDescent="0.35">
      <c r="A201" s="1" t="str">
        <f t="shared" si="3"/>
        <v>3</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585</v>
      </c>
    </row>
    <row r="202" spans="1:8" x14ac:dyDescent="0.35">
      <c r="A202" s="1" t="str">
        <f t="shared" si="3"/>
        <v>3</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586</v>
      </c>
    </row>
    <row r="203" spans="1:8" x14ac:dyDescent="0.35">
      <c r="A203" s="1" t="str">
        <f t="shared" si="3"/>
        <v>3</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3" s="1" t="s">
        <v>587</v>
      </c>
    </row>
    <row r="204" spans="1:8" x14ac:dyDescent="0.35">
      <c r="A204" s="1" t="str">
        <f t="shared" si="3"/>
        <v>3</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588</v>
      </c>
      <c r="D204" s="1" t="s">
        <v>589</v>
      </c>
      <c r="E204" s="1" t="s">
        <v>590</v>
      </c>
      <c r="F204" s="1" t="s">
        <v>112</v>
      </c>
      <c r="G204" s="1">
        <v>47153</v>
      </c>
    </row>
    <row r="205" spans="1:8" x14ac:dyDescent="0.35">
      <c r="A205" s="1" t="str">
        <f t="shared" si="3"/>
        <v>3</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591</v>
      </c>
      <c r="D205" s="1" t="s">
        <v>570</v>
      </c>
      <c r="E205" s="1" t="s">
        <v>592</v>
      </c>
      <c r="F205" s="1" t="s">
        <v>112</v>
      </c>
      <c r="G205" s="1">
        <v>92122</v>
      </c>
    </row>
    <row r="206" spans="1:8" x14ac:dyDescent="0.35">
      <c r="A206" s="1" t="str">
        <f t="shared" si="3"/>
        <v>3</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6" s="1" t="s">
        <v>593</v>
      </c>
      <c r="D206" s="1" t="s">
        <v>594</v>
      </c>
      <c r="E206" s="1" t="s">
        <v>595</v>
      </c>
      <c r="F206" s="1" t="s">
        <v>112</v>
      </c>
      <c r="G206" s="1">
        <v>147170</v>
      </c>
    </row>
    <row r="207" spans="1:8" x14ac:dyDescent="0.35">
      <c r="A207" s="1" t="str">
        <f t="shared" si="3"/>
        <v>3</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596</v>
      </c>
      <c r="D207" s="1" t="s">
        <v>597</v>
      </c>
      <c r="E207" s="1" t="s">
        <v>598</v>
      </c>
      <c r="F207" s="1" t="s">
        <v>112</v>
      </c>
      <c r="G207" s="1">
        <v>46115</v>
      </c>
    </row>
    <row r="208" spans="1:8" x14ac:dyDescent="0.35">
      <c r="A208" s="1" t="str">
        <f t="shared" si="3"/>
        <v>3</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599</v>
      </c>
      <c r="D208" s="1">
        <v>0</v>
      </c>
      <c r="E208" s="1">
        <v>0</v>
      </c>
      <c r="F208" s="1" t="s">
        <v>112</v>
      </c>
      <c r="G208" s="1">
        <v>0</v>
      </c>
    </row>
    <row r="209" spans="1:7" x14ac:dyDescent="0.35">
      <c r="A209" s="1" t="str">
        <f t="shared" si="3"/>
        <v>3</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9" s="1" t="s">
        <v>600</v>
      </c>
      <c r="D209" s="1" t="s">
        <v>601</v>
      </c>
      <c r="E209" s="1" t="s">
        <v>602</v>
      </c>
      <c r="F209" s="1" t="s">
        <v>112</v>
      </c>
      <c r="G209" s="1">
        <v>153983</v>
      </c>
    </row>
    <row r="210" spans="1:7" x14ac:dyDescent="0.35">
      <c r="A210" s="1" t="str">
        <f t="shared" si="3"/>
        <v>3</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603</v>
      </c>
      <c r="D210" s="1" t="s">
        <v>604</v>
      </c>
      <c r="E210" s="1" t="s">
        <v>605</v>
      </c>
      <c r="F210" s="1" t="s">
        <v>112</v>
      </c>
      <c r="G210" s="1">
        <v>238686</v>
      </c>
    </row>
    <row r="211" spans="1:7" x14ac:dyDescent="0.35">
      <c r="A211" s="1" t="str">
        <f t="shared" si="3"/>
        <v>3</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606</v>
      </c>
      <c r="D211" s="1" t="s">
        <v>607</v>
      </c>
      <c r="E211" s="1" t="s">
        <v>608</v>
      </c>
      <c r="F211" s="1" t="s">
        <v>112</v>
      </c>
      <c r="G211" s="1">
        <v>488338</v>
      </c>
    </row>
    <row r="212" spans="1:7" x14ac:dyDescent="0.35">
      <c r="A212" s="1" t="str">
        <f t="shared" si="3"/>
        <v>3</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2" s="1" t="s">
        <v>609</v>
      </c>
      <c r="D212" s="1" t="s">
        <v>610</v>
      </c>
      <c r="E212" s="1" t="s">
        <v>611</v>
      </c>
      <c r="F212" s="1" t="s">
        <v>112</v>
      </c>
      <c r="G212" s="1">
        <v>398228</v>
      </c>
    </row>
    <row r="213" spans="1:7" x14ac:dyDescent="0.35">
      <c r="A213" s="1" t="str">
        <f t="shared" si="3"/>
        <v>3</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612</v>
      </c>
    </row>
    <row r="214" spans="1:7" x14ac:dyDescent="0.35">
      <c r="A214" s="1" t="str">
        <f t="shared" si="3"/>
        <v>3</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613</v>
      </c>
    </row>
    <row r="215" spans="1:7" x14ac:dyDescent="0.35">
      <c r="A215" s="1" t="str">
        <f t="shared" si="3"/>
        <v>3</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5" s="1" t="s">
        <v>614</v>
      </c>
    </row>
    <row r="216" spans="1:7" x14ac:dyDescent="0.35">
      <c r="A216" s="1" t="str">
        <f t="shared" si="3"/>
        <v>3</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615</v>
      </c>
      <c r="D216" s="1" t="s">
        <v>616</v>
      </c>
      <c r="E216" s="1" t="s">
        <v>617</v>
      </c>
      <c r="F216" s="1" t="s">
        <v>112</v>
      </c>
      <c r="G216" s="1">
        <v>30347</v>
      </c>
    </row>
    <row r="217" spans="1:7" x14ac:dyDescent="0.35">
      <c r="A217" s="1" t="str">
        <f t="shared" si="3"/>
        <v>3</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618</v>
      </c>
      <c r="D217" s="1" t="s">
        <v>619</v>
      </c>
      <c r="E217" s="1">
        <v>31</v>
      </c>
      <c r="F217" s="1" t="s">
        <v>112</v>
      </c>
      <c r="G217" s="1">
        <v>6035</v>
      </c>
    </row>
    <row r="218" spans="1:7" x14ac:dyDescent="0.35">
      <c r="A218" s="1" t="str">
        <f t="shared" si="3"/>
        <v>3</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8" s="1" t="s">
        <v>620</v>
      </c>
      <c r="D218" s="1" t="s">
        <v>621</v>
      </c>
      <c r="E218" s="1" t="s">
        <v>622</v>
      </c>
      <c r="F218" s="1" t="s">
        <v>112</v>
      </c>
      <c r="G218" s="1">
        <v>27859</v>
      </c>
    </row>
    <row r="219" spans="1:7" x14ac:dyDescent="0.35">
      <c r="A219" s="1" t="str">
        <f t="shared" si="3"/>
        <v>3</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623</v>
      </c>
      <c r="D219" s="1">
        <v>0</v>
      </c>
      <c r="E219" s="1">
        <v>0</v>
      </c>
      <c r="F219" s="1" t="s">
        <v>112</v>
      </c>
      <c r="G219" s="1">
        <v>0</v>
      </c>
    </row>
    <row r="220" spans="1:7" x14ac:dyDescent="0.35">
      <c r="A220" s="1" t="str">
        <f t="shared" si="3"/>
        <v>3</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624</v>
      </c>
      <c r="D220" s="1" t="s">
        <v>625</v>
      </c>
      <c r="E220" s="1" t="s">
        <v>626</v>
      </c>
      <c r="F220" s="1" t="s">
        <v>112</v>
      </c>
      <c r="G220" s="1">
        <v>397817</v>
      </c>
    </row>
    <row r="221" spans="1:7" x14ac:dyDescent="0.35">
      <c r="A221" s="1" t="str">
        <f t="shared" si="3"/>
        <v>3</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1" s="1" t="s">
        <v>627</v>
      </c>
    </row>
    <row r="222" spans="1:7" x14ac:dyDescent="0.35">
      <c r="A222" s="1" t="str">
        <f t="shared" si="3"/>
        <v>3</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628</v>
      </c>
      <c r="D222" s="1" t="s">
        <v>629</v>
      </c>
      <c r="E222" s="1" t="s">
        <v>630</v>
      </c>
      <c r="F222" s="1" t="s">
        <v>112</v>
      </c>
      <c r="G222" s="1">
        <v>82323</v>
      </c>
    </row>
    <row r="223" spans="1:7" x14ac:dyDescent="0.35">
      <c r="A223" s="1" t="str">
        <f t="shared" si="3"/>
        <v>3</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631</v>
      </c>
    </row>
    <row r="224" spans="1:7" x14ac:dyDescent="0.35">
      <c r="A224" s="1" t="str">
        <f t="shared" si="3"/>
        <v>3</v>
      </c>
      <c r="B2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4" s="1" t="s">
        <v>632</v>
      </c>
      <c r="D224" s="1" t="s">
        <v>633</v>
      </c>
      <c r="E224" s="1" t="s">
        <v>634</v>
      </c>
      <c r="F224" s="1" t="s">
        <v>112</v>
      </c>
      <c r="G224" s="1">
        <v>19056</v>
      </c>
    </row>
    <row r="225" spans="1:8" x14ac:dyDescent="0.3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112</v>
      </c>
    </row>
    <row r="226" spans="1:8" x14ac:dyDescent="0.35">
      <c r="A226" s="1" t="str">
        <f t="shared" si="3"/>
        <v/>
      </c>
      <c r="B2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6" s="1" t="s">
        <v>227</v>
      </c>
      <c r="D226" s="1" t="s">
        <v>112</v>
      </c>
      <c r="E226" s="1" t="s">
        <v>228</v>
      </c>
      <c r="F226" s="1" t="s">
        <v>229</v>
      </c>
      <c r="G226" s="1" t="s">
        <v>230</v>
      </c>
      <c r="H226" s="1" t="s">
        <v>231</v>
      </c>
    </row>
    <row r="227" spans="1:8" x14ac:dyDescent="0.35">
      <c r="A227" s="1" t="str">
        <f t="shared" si="3"/>
        <v>3</v>
      </c>
      <c r="B2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7" s="1" t="s">
        <v>635</v>
      </c>
      <c r="D227" s="1" t="s">
        <v>112</v>
      </c>
      <c r="E227" s="1" t="s">
        <v>636</v>
      </c>
      <c r="F227" s="1" t="s">
        <v>637</v>
      </c>
      <c r="G227" s="1" t="s">
        <v>638</v>
      </c>
      <c r="H227" s="1" t="s">
        <v>639</v>
      </c>
    </row>
    <row r="228" spans="1:8" x14ac:dyDescent="0.3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8" x14ac:dyDescent="0.3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8" x14ac:dyDescent="0.3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8" x14ac:dyDescent="0.3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8" x14ac:dyDescent="0.3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112</v>
      </c>
    </row>
    <row r="233" spans="1:8" x14ac:dyDescent="0.35">
      <c r="A233" s="1" t="str">
        <f t="shared" si="3"/>
        <v/>
      </c>
      <c r="B2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3" s="1" t="s">
        <v>171</v>
      </c>
      <c r="D233" s="1" t="s">
        <v>110</v>
      </c>
      <c r="E233" s="1" t="s">
        <v>111</v>
      </c>
      <c r="F233" s="1" t="s">
        <v>112</v>
      </c>
      <c r="G233" s="1" t="s">
        <v>113</v>
      </c>
    </row>
    <row r="234" spans="1:8" x14ac:dyDescent="0.35">
      <c r="A234" s="1" t="str">
        <f t="shared" si="3"/>
        <v>4</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640</v>
      </c>
      <c r="D234" s="1" t="s">
        <v>641</v>
      </c>
      <c r="E234" s="1" t="s">
        <v>642</v>
      </c>
      <c r="F234" s="1" t="s">
        <v>112</v>
      </c>
      <c r="G234" s="1">
        <v>430976</v>
      </c>
    </row>
    <row r="235" spans="1:8" x14ac:dyDescent="0.35">
      <c r="A235" s="1" t="str">
        <f t="shared" si="3"/>
        <v>4</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643</v>
      </c>
      <c r="D235" s="1" t="s">
        <v>594</v>
      </c>
      <c r="E235" s="1" t="s">
        <v>644</v>
      </c>
      <c r="F235" s="1" t="s">
        <v>112</v>
      </c>
      <c r="G235" s="1">
        <v>131229</v>
      </c>
    </row>
    <row r="236" spans="1:8" x14ac:dyDescent="0.35">
      <c r="A236" s="1" t="str">
        <f t="shared" si="3"/>
        <v>4</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6" s="1" t="s">
        <v>645</v>
      </c>
      <c r="D236" s="1" t="s">
        <v>528</v>
      </c>
      <c r="E236" s="1" t="s">
        <v>646</v>
      </c>
      <c r="F236" s="1" t="s">
        <v>112</v>
      </c>
      <c r="G236" s="1">
        <v>271152</v>
      </c>
    </row>
    <row r="237" spans="1:8" x14ac:dyDescent="0.35">
      <c r="A237" s="1" t="str">
        <f t="shared" si="3"/>
        <v>4</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647</v>
      </c>
      <c r="D237" s="1" t="s">
        <v>648</v>
      </c>
      <c r="E237" s="1" t="s">
        <v>649</v>
      </c>
      <c r="F237" s="1" t="s">
        <v>112</v>
      </c>
      <c r="G237" s="1">
        <v>2469052</v>
      </c>
    </row>
    <row r="238" spans="1:8" x14ac:dyDescent="0.35">
      <c r="A238" s="1" t="str">
        <f t="shared" si="3"/>
        <v>4</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650</v>
      </c>
    </row>
    <row r="239" spans="1:8" x14ac:dyDescent="0.35">
      <c r="A239" s="1" t="str">
        <f t="shared" si="3"/>
        <v>4</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9" s="1" t="s">
        <v>651</v>
      </c>
      <c r="D239" s="1" t="s">
        <v>314</v>
      </c>
      <c r="E239" s="1" t="s">
        <v>652</v>
      </c>
      <c r="F239" s="1" t="s">
        <v>112</v>
      </c>
      <c r="G239" s="1">
        <v>1838563</v>
      </c>
    </row>
    <row r="240" spans="1:8" x14ac:dyDescent="0.35">
      <c r="A240" s="1" t="str">
        <f t="shared" si="3"/>
        <v>4</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653</v>
      </c>
      <c r="D240" s="1" t="s">
        <v>654</v>
      </c>
      <c r="E240" s="1" t="s">
        <v>655</v>
      </c>
      <c r="F240" s="1" t="s">
        <v>112</v>
      </c>
      <c r="G240" s="1">
        <v>1287433</v>
      </c>
    </row>
    <row r="241" spans="1:7" x14ac:dyDescent="0.35">
      <c r="A241" s="1" t="str">
        <f t="shared" si="3"/>
        <v>4</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656</v>
      </c>
      <c r="D241" s="1" t="s">
        <v>657</v>
      </c>
      <c r="E241" s="1" t="s">
        <v>658</v>
      </c>
      <c r="F241" s="1" t="s">
        <v>112</v>
      </c>
      <c r="G241" s="1">
        <v>2005762</v>
      </c>
    </row>
    <row r="242" spans="1:7" x14ac:dyDescent="0.35">
      <c r="A242" s="1" t="str">
        <f t="shared" si="3"/>
        <v>4</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2" s="1" t="s">
        <v>659</v>
      </c>
      <c r="D242" s="1" t="s">
        <v>660</v>
      </c>
      <c r="E242" s="1" t="s">
        <v>661</v>
      </c>
      <c r="F242" s="1" t="s">
        <v>112</v>
      </c>
      <c r="G242" s="1">
        <v>1571953</v>
      </c>
    </row>
    <row r="243" spans="1:7" x14ac:dyDescent="0.35">
      <c r="A243" s="1" t="str">
        <f t="shared" si="3"/>
        <v>4</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662</v>
      </c>
      <c r="D243" s="1" t="s">
        <v>663</v>
      </c>
      <c r="E243" s="1" t="s">
        <v>664</v>
      </c>
      <c r="F243" s="1" t="s">
        <v>112</v>
      </c>
      <c r="G243" s="1">
        <v>1697082</v>
      </c>
    </row>
    <row r="244" spans="1:7" x14ac:dyDescent="0.35">
      <c r="A244" s="1" t="str">
        <f t="shared" si="3"/>
        <v>4</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665</v>
      </c>
      <c r="D244" s="1" t="s">
        <v>666</v>
      </c>
      <c r="E244" s="1" t="s">
        <v>667</v>
      </c>
      <c r="F244" s="1" t="s">
        <v>112</v>
      </c>
      <c r="G244" s="1">
        <v>1310015</v>
      </c>
    </row>
    <row r="245" spans="1:7" x14ac:dyDescent="0.35">
      <c r="A245" s="1" t="str">
        <f t="shared" si="3"/>
        <v>4</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5" s="1" t="s">
        <v>668</v>
      </c>
      <c r="D245" s="1" t="s">
        <v>669</v>
      </c>
      <c r="E245" s="1" t="s">
        <v>670</v>
      </c>
      <c r="F245" s="1" t="s">
        <v>112</v>
      </c>
      <c r="G245" s="1">
        <v>1112058</v>
      </c>
    </row>
    <row r="246" spans="1:7" x14ac:dyDescent="0.35">
      <c r="A246" s="1" t="str">
        <f t="shared" si="3"/>
        <v>4</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671</v>
      </c>
    </row>
    <row r="247" spans="1:7" x14ac:dyDescent="0.35">
      <c r="A247" s="1" t="str">
        <f t="shared" si="3"/>
        <v>4</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672</v>
      </c>
    </row>
    <row r="248" spans="1:7" x14ac:dyDescent="0.35">
      <c r="A248" s="1" t="str">
        <f t="shared" si="3"/>
        <v>4</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8" s="1" t="s">
        <v>673</v>
      </c>
    </row>
    <row r="249" spans="1:7" x14ac:dyDescent="0.35">
      <c r="A249" s="1" t="str">
        <f t="shared" si="3"/>
        <v>4</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674</v>
      </c>
      <c r="D249" s="1" t="s">
        <v>675</v>
      </c>
      <c r="E249" s="1" t="s">
        <v>676</v>
      </c>
      <c r="F249" s="1" t="s">
        <v>112</v>
      </c>
      <c r="G249" s="1">
        <v>1806442</v>
      </c>
    </row>
    <row r="250" spans="1:7" x14ac:dyDescent="0.35">
      <c r="A250" s="1" t="str">
        <f t="shared" si="3"/>
        <v>4</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677</v>
      </c>
      <c r="D250" s="1" t="s">
        <v>678</v>
      </c>
      <c r="E250" s="1" t="s">
        <v>679</v>
      </c>
      <c r="F250" s="1" t="s">
        <v>112</v>
      </c>
      <c r="G250" s="1">
        <v>1745554</v>
      </c>
    </row>
    <row r="251" spans="1:7" x14ac:dyDescent="0.35">
      <c r="A251" s="1" t="str">
        <f t="shared" si="3"/>
        <v>4</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1" s="1" t="s">
        <v>680</v>
      </c>
      <c r="D251" s="1" t="s">
        <v>681</v>
      </c>
      <c r="E251" s="1" t="s">
        <v>682</v>
      </c>
      <c r="F251" s="1" t="s">
        <v>112</v>
      </c>
      <c r="G251" s="1">
        <v>1637297</v>
      </c>
    </row>
    <row r="252" spans="1:7" x14ac:dyDescent="0.35">
      <c r="A252" s="1" t="str">
        <f t="shared" si="3"/>
        <v>4</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683</v>
      </c>
      <c r="D252" s="1" t="s">
        <v>684</v>
      </c>
      <c r="E252" s="1" t="s">
        <v>685</v>
      </c>
      <c r="F252" s="1" t="s">
        <v>112</v>
      </c>
      <c r="G252" s="1">
        <v>353757</v>
      </c>
    </row>
    <row r="253" spans="1:7" x14ac:dyDescent="0.35">
      <c r="A253" s="1" t="str">
        <f t="shared" si="3"/>
        <v>4</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686</v>
      </c>
      <c r="D253" s="1" t="s">
        <v>687</v>
      </c>
      <c r="E253" s="1" t="s">
        <v>688</v>
      </c>
      <c r="F253" s="1" t="s">
        <v>112</v>
      </c>
      <c r="G253" s="1">
        <v>605269</v>
      </c>
    </row>
    <row r="254" spans="1:7" x14ac:dyDescent="0.35">
      <c r="A254" s="1" t="str">
        <f t="shared" si="3"/>
        <v>4</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4" s="1" t="s">
        <v>689</v>
      </c>
      <c r="D254" s="1" t="s">
        <v>690</v>
      </c>
      <c r="E254" s="1" t="s">
        <v>691</v>
      </c>
      <c r="F254" s="1" t="s">
        <v>112</v>
      </c>
      <c r="G254" s="1">
        <v>512823</v>
      </c>
    </row>
    <row r="255" spans="1:7" x14ac:dyDescent="0.35">
      <c r="A255" s="1" t="str">
        <f t="shared" si="3"/>
        <v>4</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692</v>
      </c>
    </row>
    <row r="256" spans="1:7" x14ac:dyDescent="0.35">
      <c r="A256" s="1" t="str">
        <f t="shared" si="3"/>
        <v>4</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693</v>
      </c>
    </row>
    <row r="257" spans="1:8" x14ac:dyDescent="0.35">
      <c r="A257" s="1" t="str">
        <f t="shared" si="3"/>
        <v>4</v>
      </c>
      <c r="B2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7" s="1" t="s">
        <v>694</v>
      </c>
    </row>
    <row r="258" spans="1:8" x14ac:dyDescent="0.3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112</v>
      </c>
    </row>
    <row r="259" spans="1:8" x14ac:dyDescent="0.35">
      <c r="A259" s="1" t="str">
        <f t="shared" si="4"/>
        <v/>
      </c>
      <c r="B2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9" s="1" t="s">
        <v>227</v>
      </c>
      <c r="D259" s="1" t="s">
        <v>112</v>
      </c>
      <c r="E259" s="1" t="s">
        <v>228</v>
      </c>
      <c r="F259" s="1" t="s">
        <v>229</v>
      </c>
      <c r="G259" s="1" t="s">
        <v>230</v>
      </c>
      <c r="H259" s="1" t="s">
        <v>231</v>
      </c>
    </row>
    <row r="260" spans="1:8" x14ac:dyDescent="0.35">
      <c r="A260" s="1" t="str">
        <f t="shared" si="4"/>
        <v>4</v>
      </c>
      <c r="B2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60" s="1" t="s">
        <v>695</v>
      </c>
      <c r="D260" s="1" t="s">
        <v>112</v>
      </c>
      <c r="E260" s="1" t="s">
        <v>696</v>
      </c>
      <c r="F260" s="1" t="s">
        <v>697</v>
      </c>
      <c r="G260" s="1" t="s">
        <v>698</v>
      </c>
      <c r="H260" s="1" t="s">
        <v>699</v>
      </c>
    </row>
    <row r="261" spans="1:8" x14ac:dyDescent="0.3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8" x14ac:dyDescent="0.3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8" x14ac:dyDescent="0.3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8" x14ac:dyDescent="0.3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8" x14ac:dyDescent="0.3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112</v>
      </c>
    </row>
    <row r="266" spans="1:8" x14ac:dyDescent="0.35">
      <c r="A266" s="1" t="str">
        <f t="shared" si="4"/>
        <v/>
      </c>
      <c r="B2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6" s="1" t="s">
        <v>171</v>
      </c>
      <c r="D266" s="1" t="s">
        <v>110</v>
      </c>
      <c r="E266" s="1" t="s">
        <v>111</v>
      </c>
      <c r="F266" s="1" t="s">
        <v>112</v>
      </c>
      <c r="G266" s="1" t="s">
        <v>113</v>
      </c>
    </row>
    <row r="267" spans="1:8" x14ac:dyDescent="0.35">
      <c r="A267" s="1" t="str">
        <f t="shared" si="4"/>
        <v>5</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700</v>
      </c>
      <c r="D267" s="1" t="s">
        <v>701</v>
      </c>
      <c r="E267" s="1" t="s">
        <v>702</v>
      </c>
      <c r="F267" s="1" t="s">
        <v>112</v>
      </c>
      <c r="G267" s="1">
        <v>1461272</v>
      </c>
    </row>
    <row r="268" spans="1:8" x14ac:dyDescent="0.35">
      <c r="A268" s="1" t="str">
        <f t="shared" si="4"/>
        <v>5</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703</v>
      </c>
      <c r="D268" s="1" t="s">
        <v>704</v>
      </c>
      <c r="E268" s="1" t="s">
        <v>705</v>
      </c>
      <c r="F268" s="1" t="s">
        <v>112</v>
      </c>
      <c r="G268" s="1">
        <v>1567778</v>
      </c>
    </row>
    <row r="269" spans="1:8" x14ac:dyDescent="0.35">
      <c r="A269" s="1" t="str">
        <f t="shared" si="4"/>
        <v>5</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9" s="1" t="s">
        <v>706</v>
      </c>
      <c r="D269" s="1" t="s">
        <v>707</v>
      </c>
      <c r="E269" s="1" t="s">
        <v>708</v>
      </c>
      <c r="F269" s="1" t="s">
        <v>112</v>
      </c>
      <c r="G269" s="1">
        <v>1188801</v>
      </c>
    </row>
    <row r="270" spans="1:8" x14ac:dyDescent="0.35">
      <c r="A270" s="1" t="str">
        <f t="shared" si="4"/>
        <v>5</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709</v>
      </c>
      <c r="D270" s="1" t="s">
        <v>710</v>
      </c>
      <c r="E270" s="1" t="s">
        <v>711</v>
      </c>
      <c r="F270" s="1" t="s">
        <v>112</v>
      </c>
      <c r="G270" s="1">
        <v>2492348</v>
      </c>
    </row>
    <row r="271" spans="1:8" x14ac:dyDescent="0.35">
      <c r="A271" s="1" t="str">
        <f t="shared" si="4"/>
        <v>5</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712</v>
      </c>
      <c r="D271" s="1" t="s">
        <v>713</v>
      </c>
      <c r="E271" s="1" t="s">
        <v>714</v>
      </c>
      <c r="F271" s="1" t="s">
        <v>112</v>
      </c>
      <c r="G271" s="1">
        <v>2541902</v>
      </c>
    </row>
    <row r="272" spans="1:8" x14ac:dyDescent="0.35">
      <c r="A272" s="1" t="str">
        <f t="shared" si="4"/>
        <v>5</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2" s="1" t="s">
        <v>715</v>
      </c>
      <c r="D272" s="1" t="s">
        <v>716</v>
      </c>
      <c r="E272" s="1" t="s">
        <v>717</v>
      </c>
      <c r="F272" s="1" t="s">
        <v>112</v>
      </c>
      <c r="G272" s="1">
        <v>1868888</v>
      </c>
    </row>
    <row r="273" spans="1:7" x14ac:dyDescent="0.35">
      <c r="A273" s="1" t="str">
        <f t="shared" si="4"/>
        <v>5</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718</v>
      </c>
      <c r="D273" s="1" t="s">
        <v>719</v>
      </c>
      <c r="E273" s="1" t="s">
        <v>720</v>
      </c>
      <c r="F273" s="1" t="s">
        <v>112</v>
      </c>
      <c r="G273" s="1">
        <v>1815548</v>
      </c>
    </row>
    <row r="274" spans="1:7" x14ac:dyDescent="0.35">
      <c r="A274" s="1" t="str">
        <f t="shared" si="4"/>
        <v>5</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721</v>
      </c>
      <c r="D274" s="1" t="s">
        <v>722</v>
      </c>
      <c r="E274" s="1" t="s">
        <v>723</v>
      </c>
      <c r="F274" s="1" t="s">
        <v>112</v>
      </c>
      <c r="G274" s="1">
        <v>1759203</v>
      </c>
    </row>
    <row r="275" spans="1:7" x14ac:dyDescent="0.35">
      <c r="A275" s="1" t="str">
        <f t="shared" si="4"/>
        <v>5</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5" s="1" t="s">
        <v>724</v>
      </c>
      <c r="D275" s="1" t="s">
        <v>725</v>
      </c>
      <c r="E275" s="1" t="s">
        <v>726</v>
      </c>
      <c r="F275" s="1" t="s">
        <v>112</v>
      </c>
      <c r="G275" s="1">
        <v>1925883</v>
      </c>
    </row>
    <row r="276" spans="1:7" x14ac:dyDescent="0.35">
      <c r="A276" s="1" t="str">
        <f t="shared" si="4"/>
        <v>5</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727</v>
      </c>
      <c r="D276" s="1" t="s">
        <v>728</v>
      </c>
      <c r="E276" s="1" t="s">
        <v>729</v>
      </c>
      <c r="F276" s="1" t="s">
        <v>112</v>
      </c>
      <c r="G276" s="1">
        <v>2048870</v>
      </c>
    </row>
    <row r="277" spans="1:7" x14ac:dyDescent="0.35">
      <c r="A277" s="1" t="str">
        <f t="shared" si="4"/>
        <v>5</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730</v>
      </c>
      <c r="D277" s="1" t="s">
        <v>731</v>
      </c>
      <c r="E277" s="1" t="s">
        <v>732</v>
      </c>
      <c r="F277" s="1" t="s">
        <v>112</v>
      </c>
      <c r="G277" s="1">
        <v>1983678</v>
      </c>
    </row>
    <row r="278" spans="1:7" x14ac:dyDescent="0.35">
      <c r="A278" s="1" t="str">
        <f t="shared" si="4"/>
        <v>5</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8" s="1" t="s">
        <v>733</v>
      </c>
      <c r="D278" s="1" t="s">
        <v>734</v>
      </c>
      <c r="E278" s="1" t="s">
        <v>735</v>
      </c>
      <c r="F278" s="1" t="s">
        <v>112</v>
      </c>
      <c r="G278" s="1">
        <v>1760371</v>
      </c>
    </row>
    <row r="279" spans="1:7" x14ac:dyDescent="0.35">
      <c r="A279" s="1" t="str">
        <f t="shared" si="4"/>
        <v>5</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736</v>
      </c>
      <c r="D279" s="1" t="s">
        <v>737</v>
      </c>
      <c r="E279" s="1" t="s">
        <v>738</v>
      </c>
      <c r="F279" s="1" t="s">
        <v>112</v>
      </c>
      <c r="G279" s="1">
        <v>1861339</v>
      </c>
    </row>
    <row r="280" spans="1:7" x14ac:dyDescent="0.35">
      <c r="A280" s="1" t="str">
        <f t="shared" si="4"/>
        <v>5</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739</v>
      </c>
      <c r="D280" s="1" t="s">
        <v>740</v>
      </c>
      <c r="E280" s="1" t="s">
        <v>741</v>
      </c>
      <c r="F280" s="1" t="s">
        <v>112</v>
      </c>
      <c r="G280" s="1">
        <v>1684688</v>
      </c>
    </row>
    <row r="281" spans="1:7" x14ac:dyDescent="0.35">
      <c r="A281" s="1" t="str">
        <f t="shared" si="4"/>
        <v>5</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1" s="1" t="s">
        <v>742</v>
      </c>
      <c r="D281" s="1" t="s">
        <v>743</v>
      </c>
      <c r="E281" s="1" t="s">
        <v>744</v>
      </c>
      <c r="F281" s="1" t="s">
        <v>112</v>
      </c>
      <c r="G281" s="1">
        <v>1505852</v>
      </c>
    </row>
    <row r="282" spans="1:7" x14ac:dyDescent="0.35">
      <c r="A282" s="1" t="str">
        <f t="shared" si="4"/>
        <v>5</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745</v>
      </c>
      <c r="D282" s="1" t="s">
        <v>746</v>
      </c>
      <c r="E282" s="1" t="s">
        <v>747</v>
      </c>
      <c r="F282" s="1" t="s">
        <v>112</v>
      </c>
      <c r="G282" s="1">
        <v>2565522</v>
      </c>
    </row>
    <row r="283" spans="1:7" x14ac:dyDescent="0.35">
      <c r="A283" s="1" t="str">
        <f t="shared" si="4"/>
        <v>5</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748</v>
      </c>
      <c r="D283" s="1" t="s">
        <v>749</v>
      </c>
      <c r="E283" s="1" t="s">
        <v>750</v>
      </c>
      <c r="F283" s="1" t="s">
        <v>112</v>
      </c>
      <c r="G283" s="1">
        <v>1840336</v>
      </c>
    </row>
    <row r="284" spans="1:7" x14ac:dyDescent="0.35">
      <c r="A284" s="1" t="str">
        <f t="shared" si="4"/>
        <v>5</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4" s="1" t="s">
        <v>751</v>
      </c>
      <c r="D284" s="1" t="s">
        <v>752</v>
      </c>
      <c r="E284" s="1" t="s">
        <v>753</v>
      </c>
      <c r="F284" s="1" t="s">
        <v>112</v>
      </c>
      <c r="G284" s="1">
        <v>2278363</v>
      </c>
    </row>
    <row r="285" spans="1:7" x14ac:dyDescent="0.35">
      <c r="A285" s="1" t="str">
        <f t="shared" si="4"/>
        <v>5</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754</v>
      </c>
      <c r="D285" s="1" t="s">
        <v>755</v>
      </c>
      <c r="E285" s="1" t="s">
        <v>756</v>
      </c>
      <c r="F285" s="1" t="s">
        <v>112</v>
      </c>
      <c r="G285" s="1">
        <v>2076535</v>
      </c>
    </row>
    <row r="286" spans="1:7" x14ac:dyDescent="0.35">
      <c r="A286" s="1" t="str">
        <f t="shared" si="4"/>
        <v>5</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757</v>
      </c>
      <c r="D286" s="1" t="s">
        <v>758</v>
      </c>
      <c r="E286" s="1" t="s">
        <v>759</v>
      </c>
      <c r="F286" s="1" t="s">
        <v>112</v>
      </c>
      <c r="G286" s="1">
        <v>1986576</v>
      </c>
    </row>
    <row r="287" spans="1:7" x14ac:dyDescent="0.35">
      <c r="A287" s="1" t="str">
        <f t="shared" si="4"/>
        <v>5</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7" s="1" t="s">
        <v>760</v>
      </c>
      <c r="D287" s="1" t="s">
        <v>761</v>
      </c>
      <c r="E287" s="1" t="s">
        <v>762</v>
      </c>
      <c r="F287" s="1" t="s">
        <v>112</v>
      </c>
      <c r="G287" s="1">
        <v>2368257</v>
      </c>
    </row>
    <row r="288" spans="1:7" x14ac:dyDescent="0.35">
      <c r="A288" s="1" t="str">
        <f t="shared" si="4"/>
        <v>5</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763</v>
      </c>
      <c r="D288" s="1" t="s">
        <v>764</v>
      </c>
      <c r="E288" s="1" t="s">
        <v>765</v>
      </c>
      <c r="F288" s="1" t="s">
        <v>112</v>
      </c>
      <c r="G288" s="1">
        <v>513213</v>
      </c>
    </row>
    <row r="289" spans="1:8" x14ac:dyDescent="0.35">
      <c r="A289" s="1" t="str">
        <f t="shared" si="4"/>
        <v>5</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766</v>
      </c>
      <c r="D289" s="1" t="s">
        <v>767</v>
      </c>
      <c r="E289" s="1" t="s">
        <v>768</v>
      </c>
      <c r="F289" s="1" t="s">
        <v>112</v>
      </c>
      <c r="G289" s="1">
        <v>819968</v>
      </c>
    </row>
    <row r="290" spans="1:8" x14ac:dyDescent="0.35">
      <c r="A290" s="1" t="str">
        <f t="shared" si="4"/>
        <v>5</v>
      </c>
      <c r="B2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90" s="1" t="s">
        <v>769</v>
      </c>
      <c r="D290" s="1" t="s">
        <v>770</v>
      </c>
      <c r="E290" s="1" t="s">
        <v>771</v>
      </c>
      <c r="F290" s="1" t="s">
        <v>112</v>
      </c>
      <c r="G290" s="1">
        <v>768294</v>
      </c>
    </row>
    <row r="291" spans="1:8" x14ac:dyDescent="0.3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112</v>
      </c>
    </row>
    <row r="292" spans="1:8" x14ac:dyDescent="0.35">
      <c r="A292" s="1" t="str">
        <f t="shared" si="4"/>
        <v/>
      </c>
      <c r="B2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2" s="1" t="s">
        <v>227</v>
      </c>
      <c r="D292" s="1" t="s">
        <v>112</v>
      </c>
      <c r="E292" s="1" t="s">
        <v>228</v>
      </c>
      <c r="F292" s="1" t="s">
        <v>229</v>
      </c>
      <c r="G292" s="1" t="s">
        <v>230</v>
      </c>
      <c r="H292" s="1" t="s">
        <v>231</v>
      </c>
    </row>
    <row r="293" spans="1:8" x14ac:dyDescent="0.35">
      <c r="A293" s="1" t="str">
        <f t="shared" si="4"/>
        <v>5</v>
      </c>
      <c r="B2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3" s="1" t="s">
        <v>772</v>
      </c>
      <c r="D293" s="1" t="s">
        <v>112</v>
      </c>
      <c r="E293" s="1" t="s">
        <v>773</v>
      </c>
      <c r="F293" s="1" t="s">
        <v>774</v>
      </c>
      <c r="G293" s="1" t="s">
        <v>775</v>
      </c>
      <c r="H293" s="1" t="s">
        <v>776</v>
      </c>
    </row>
    <row r="294" spans="1:8" x14ac:dyDescent="0.3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8" x14ac:dyDescent="0.3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8" x14ac:dyDescent="0.3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8" x14ac:dyDescent="0.3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8" x14ac:dyDescent="0.3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112</v>
      </c>
    </row>
    <row r="299" spans="1:8" x14ac:dyDescent="0.35">
      <c r="A299" s="1" t="str">
        <f t="shared" si="4"/>
        <v/>
      </c>
      <c r="B2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9" s="1" t="s">
        <v>171</v>
      </c>
      <c r="D299" s="1" t="s">
        <v>110</v>
      </c>
      <c r="E299" s="1" t="s">
        <v>111</v>
      </c>
      <c r="F299" s="1" t="s">
        <v>112</v>
      </c>
      <c r="G299" s="1" t="s">
        <v>113</v>
      </c>
    </row>
    <row r="300" spans="1:8" x14ac:dyDescent="0.35">
      <c r="A300" s="1" t="str">
        <f t="shared" si="4"/>
        <v>6</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777</v>
      </c>
      <c r="D300" s="1" t="s">
        <v>778</v>
      </c>
      <c r="E300" s="1" t="s">
        <v>779</v>
      </c>
      <c r="F300" s="1" t="s">
        <v>112</v>
      </c>
      <c r="G300" s="1">
        <v>2856682</v>
      </c>
    </row>
    <row r="301" spans="1:8" x14ac:dyDescent="0.35">
      <c r="A301" s="1" t="str">
        <f t="shared" si="4"/>
        <v>6</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780</v>
      </c>
      <c r="D301" s="1" t="s">
        <v>781</v>
      </c>
      <c r="E301" s="1" t="s">
        <v>782</v>
      </c>
      <c r="F301" s="1" t="s">
        <v>112</v>
      </c>
      <c r="G301" s="1">
        <v>3290772</v>
      </c>
    </row>
    <row r="302" spans="1:8" x14ac:dyDescent="0.35">
      <c r="A302" s="1" t="str">
        <f t="shared" si="4"/>
        <v>6</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2" s="1" t="s">
        <v>783</v>
      </c>
      <c r="D302" s="1" t="s">
        <v>784</v>
      </c>
      <c r="E302" s="1" t="s">
        <v>785</v>
      </c>
      <c r="F302" s="1" t="s">
        <v>112</v>
      </c>
      <c r="G302" s="1">
        <v>3569300</v>
      </c>
    </row>
    <row r="303" spans="1:8" x14ac:dyDescent="0.35">
      <c r="A303" s="1" t="str">
        <f t="shared" si="4"/>
        <v>6</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786</v>
      </c>
      <c r="D303" s="1" t="s">
        <v>787</v>
      </c>
      <c r="E303" s="1" t="s">
        <v>788</v>
      </c>
      <c r="F303" s="1" t="s">
        <v>112</v>
      </c>
      <c r="G303" s="1">
        <v>1333461</v>
      </c>
    </row>
    <row r="304" spans="1:8" x14ac:dyDescent="0.35">
      <c r="A304" s="1" t="str">
        <f t="shared" si="4"/>
        <v>6</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789</v>
      </c>
      <c r="D304" s="1" t="s">
        <v>790</v>
      </c>
      <c r="E304" s="1" t="s">
        <v>262</v>
      </c>
      <c r="F304" s="1" t="s">
        <v>112</v>
      </c>
      <c r="G304" s="1">
        <v>1446283</v>
      </c>
    </row>
    <row r="305" spans="1:7" x14ac:dyDescent="0.35">
      <c r="A305" s="1" t="str">
        <f t="shared" si="4"/>
        <v>6</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5" s="1" t="s">
        <v>791</v>
      </c>
      <c r="D305" s="1" t="s">
        <v>792</v>
      </c>
      <c r="E305" s="1" t="s">
        <v>793</v>
      </c>
      <c r="F305" s="1" t="s">
        <v>112</v>
      </c>
      <c r="G305" s="1">
        <v>1595810</v>
      </c>
    </row>
    <row r="306" spans="1:7" x14ac:dyDescent="0.35">
      <c r="A306" s="1" t="str">
        <f t="shared" si="4"/>
        <v>6</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794</v>
      </c>
      <c r="D306" s="1" t="s">
        <v>795</v>
      </c>
      <c r="E306" s="1" t="s">
        <v>796</v>
      </c>
      <c r="F306" s="1" t="s">
        <v>112</v>
      </c>
      <c r="G306" s="1">
        <v>4066355</v>
      </c>
    </row>
    <row r="307" spans="1:7" x14ac:dyDescent="0.35">
      <c r="A307" s="1" t="str">
        <f t="shared" si="4"/>
        <v>6</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797</v>
      </c>
      <c r="D307" s="1" t="s">
        <v>798</v>
      </c>
      <c r="E307" s="1" t="s">
        <v>799</v>
      </c>
      <c r="F307" s="1" t="s">
        <v>112</v>
      </c>
      <c r="G307" s="1">
        <v>4023939</v>
      </c>
    </row>
    <row r="308" spans="1:7" x14ac:dyDescent="0.35">
      <c r="A308" s="1" t="str">
        <f t="shared" si="4"/>
        <v>6</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8" s="1" t="s">
        <v>800</v>
      </c>
      <c r="D308" s="1" t="s">
        <v>801</v>
      </c>
      <c r="E308" s="1" t="s">
        <v>802</v>
      </c>
      <c r="F308" s="1" t="s">
        <v>112</v>
      </c>
      <c r="G308" s="1">
        <v>3413998</v>
      </c>
    </row>
    <row r="309" spans="1:7" x14ac:dyDescent="0.35">
      <c r="A309" s="1" t="str">
        <f t="shared" si="4"/>
        <v>6</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803</v>
      </c>
      <c r="D309" s="1" t="s">
        <v>804</v>
      </c>
      <c r="E309" s="1" t="s">
        <v>805</v>
      </c>
      <c r="F309" s="1" t="s">
        <v>112</v>
      </c>
      <c r="G309" s="1">
        <v>3737429</v>
      </c>
    </row>
    <row r="310" spans="1:7" x14ac:dyDescent="0.35">
      <c r="A310" s="1" t="str">
        <f t="shared" si="4"/>
        <v>6</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806</v>
      </c>
      <c r="D310" s="1" t="s">
        <v>807</v>
      </c>
      <c r="E310" s="1" t="s">
        <v>808</v>
      </c>
      <c r="F310" s="1" t="s">
        <v>112</v>
      </c>
      <c r="G310" s="1">
        <v>3709289</v>
      </c>
    </row>
    <row r="311" spans="1:7" x14ac:dyDescent="0.35">
      <c r="A311" s="1" t="str">
        <f t="shared" si="4"/>
        <v>6</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1" s="1" t="s">
        <v>809</v>
      </c>
      <c r="D311" s="1" t="s">
        <v>810</v>
      </c>
      <c r="E311" s="1" t="s">
        <v>811</v>
      </c>
      <c r="F311" s="1" t="s">
        <v>112</v>
      </c>
      <c r="G311" s="1">
        <v>3749348</v>
      </c>
    </row>
    <row r="312" spans="1:7" x14ac:dyDescent="0.35">
      <c r="A312" s="1" t="str">
        <f t="shared" si="4"/>
        <v>6</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812</v>
      </c>
      <c r="D312" s="1" t="s">
        <v>813</v>
      </c>
      <c r="E312" s="1" t="s">
        <v>814</v>
      </c>
      <c r="F312" s="1" t="s">
        <v>112</v>
      </c>
      <c r="G312" s="1">
        <v>3632200</v>
      </c>
    </row>
    <row r="313" spans="1:7" x14ac:dyDescent="0.35">
      <c r="A313" s="1" t="str">
        <f t="shared" si="4"/>
        <v>6</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815</v>
      </c>
      <c r="D313" s="1" t="s">
        <v>816</v>
      </c>
      <c r="E313" s="1" t="s">
        <v>817</v>
      </c>
      <c r="F313" s="1" t="s">
        <v>112</v>
      </c>
      <c r="G313" s="1">
        <v>3424164</v>
      </c>
    </row>
    <row r="314" spans="1:7" x14ac:dyDescent="0.35">
      <c r="A314" s="1" t="str">
        <f t="shared" si="4"/>
        <v>6</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4" s="1" t="s">
        <v>818</v>
      </c>
      <c r="D314" s="1" t="s">
        <v>819</v>
      </c>
      <c r="E314" s="1" t="s">
        <v>820</v>
      </c>
      <c r="F314" s="1" t="s">
        <v>112</v>
      </c>
      <c r="G314" s="1">
        <v>3878716</v>
      </c>
    </row>
    <row r="315" spans="1:7" x14ac:dyDescent="0.35">
      <c r="A315" s="1" t="str">
        <f t="shared" si="4"/>
        <v>6</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821</v>
      </c>
      <c r="D315" s="1" t="s">
        <v>822</v>
      </c>
      <c r="E315" s="1" t="s">
        <v>823</v>
      </c>
      <c r="F315" s="1" t="s">
        <v>112</v>
      </c>
      <c r="G315" s="1">
        <v>3431107</v>
      </c>
    </row>
    <row r="316" spans="1:7" x14ac:dyDescent="0.35">
      <c r="A316" s="1" t="str">
        <f t="shared" si="4"/>
        <v>6</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824</v>
      </c>
      <c r="D316" s="1" t="s">
        <v>825</v>
      </c>
      <c r="E316" s="1" t="s">
        <v>826</v>
      </c>
      <c r="F316" s="1" t="s">
        <v>112</v>
      </c>
      <c r="G316" s="1">
        <v>3082563</v>
      </c>
    </row>
    <row r="317" spans="1:7" x14ac:dyDescent="0.35">
      <c r="A317" s="1" t="str">
        <f t="shared" si="4"/>
        <v>6</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7" s="1" t="s">
        <v>827</v>
      </c>
      <c r="D317" s="1" t="s">
        <v>828</v>
      </c>
      <c r="E317" s="1" t="s">
        <v>829</v>
      </c>
      <c r="F317" s="1" t="s">
        <v>112</v>
      </c>
      <c r="G317" s="1">
        <v>3312316</v>
      </c>
    </row>
    <row r="318" spans="1:7" x14ac:dyDescent="0.35">
      <c r="A318" s="1" t="str">
        <f t="shared" si="4"/>
        <v>6</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830</v>
      </c>
      <c r="D318" s="1" t="s">
        <v>831</v>
      </c>
      <c r="E318" s="1" t="s">
        <v>832</v>
      </c>
      <c r="F318" s="1" t="s">
        <v>112</v>
      </c>
      <c r="G318" s="1">
        <v>3630253</v>
      </c>
    </row>
    <row r="319" spans="1:7" x14ac:dyDescent="0.35">
      <c r="A319" s="1" t="str">
        <f t="shared" si="4"/>
        <v>6</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833</v>
      </c>
      <c r="D319" s="1" t="s">
        <v>834</v>
      </c>
      <c r="E319" s="1" t="s">
        <v>835</v>
      </c>
      <c r="F319" s="1" t="s">
        <v>112</v>
      </c>
      <c r="G319" s="1">
        <v>3714091</v>
      </c>
    </row>
    <row r="320" spans="1:7" x14ac:dyDescent="0.35">
      <c r="A320" s="1" t="str">
        <f t="shared" si="4"/>
        <v>6</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20" s="1" t="s">
        <v>836</v>
      </c>
      <c r="D320" s="1" t="s">
        <v>433</v>
      </c>
      <c r="E320" s="1" t="s">
        <v>837</v>
      </c>
      <c r="F320" s="1" t="s">
        <v>112</v>
      </c>
      <c r="G320" s="1">
        <v>3022475</v>
      </c>
    </row>
    <row r="321" spans="1:8" x14ac:dyDescent="0.35">
      <c r="A321" s="1" t="str">
        <f t="shared" si="4"/>
        <v>6</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838</v>
      </c>
      <c r="D321" s="1" t="s">
        <v>839</v>
      </c>
      <c r="E321" s="1" t="s">
        <v>840</v>
      </c>
      <c r="F321" s="1" t="s">
        <v>112</v>
      </c>
      <c r="G321" s="1">
        <v>2290173</v>
      </c>
    </row>
    <row r="322" spans="1:8" x14ac:dyDescent="0.35">
      <c r="A322" s="1" t="str">
        <f t="shared" ref="A322:A385" si="5">IFERROR(LEFT(RIGHT(C322,LEN(C322)-SEARCH("@",C322)),SEARCH("/",RIGHT(C322,LEN(C322)-SEARCH("@",C322)-1))),"")</f>
        <v>6</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841</v>
      </c>
      <c r="D322" s="1" t="s">
        <v>842</v>
      </c>
      <c r="E322" s="1" t="s">
        <v>843</v>
      </c>
      <c r="F322" s="1" t="s">
        <v>112</v>
      </c>
      <c r="G322" s="1">
        <v>2141100</v>
      </c>
    </row>
    <row r="323" spans="1:8" x14ac:dyDescent="0.35">
      <c r="A323" s="1" t="str">
        <f t="shared" si="5"/>
        <v>6</v>
      </c>
      <c r="B3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3" s="1" t="s">
        <v>844</v>
      </c>
      <c r="D323" s="1" t="s">
        <v>845</v>
      </c>
      <c r="E323" s="1" t="s">
        <v>846</v>
      </c>
      <c r="F323" s="1" t="s">
        <v>112</v>
      </c>
      <c r="G323" s="1">
        <v>2213365</v>
      </c>
    </row>
    <row r="324" spans="1:8" x14ac:dyDescent="0.3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112</v>
      </c>
    </row>
    <row r="325" spans="1:8" x14ac:dyDescent="0.35">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5" s="1" t="s">
        <v>227</v>
      </c>
      <c r="D325" s="1" t="s">
        <v>112</v>
      </c>
      <c r="E325" s="1" t="s">
        <v>228</v>
      </c>
      <c r="F325" s="1" t="s">
        <v>229</v>
      </c>
      <c r="G325" s="1" t="s">
        <v>230</v>
      </c>
      <c r="H325" s="1" t="s">
        <v>231</v>
      </c>
    </row>
    <row r="326" spans="1:8" x14ac:dyDescent="0.35">
      <c r="A326" s="1" t="str">
        <f t="shared" si="5"/>
        <v>6</v>
      </c>
      <c r="B3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6" s="1" t="s">
        <v>847</v>
      </c>
      <c r="D326" s="1" t="s">
        <v>112</v>
      </c>
      <c r="E326" s="1" t="s">
        <v>848</v>
      </c>
      <c r="F326" s="1" t="s">
        <v>849</v>
      </c>
      <c r="G326" s="1" t="s">
        <v>850</v>
      </c>
      <c r="H326" s="1" t="s">
        <v>851</v>
      </c>
    </row>
    <row r="327" spans="1:8" x14ac:dyDescent="0.3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8" x14ac:dyDescent="0.3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8" x14ac:dyDescent="0.3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8" x14ac:dyDescent="0.3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8" x14ac:dyDescent="0.3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112</v>
      </c>
    </row>
    <row r="332" spans="1:8" x14ac:dyDescent="0.35">
      <c r="A332" s="1" t="str">
        <f t="shared" si="5"/>
        <v/>
      </c>
      <c r="B3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2" s="1" t="s">
        <v>171</v>
      </c>
      <c r="D332" s="1" t="s">
        <v>110</v>
      </c>
      <c r="E332" s="1" t="s">
        <v>111</v>
      </c>
      <c r="F332" s="1" t="s">
        <v>112</v>
      </c>
      <c r="G332" s="1" t="s">
        <v>113</v>
      </c>
    </row>
    <row r="333" spans="1:8" x14ac:dyDescent="0.35">
      <c r="A333" s="1" t="str">
        <f t="shared" si="5"/>
        <v>7</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852</v>
      </c>
      <c r="D333" s="1" t="s">
        <v>853</v>
      </c>
      <c r="E333" s="1" t="s">
        <v>854</v>
      </c>
      <c r="F333" s="1" t="s">
        <v>112</v>
      </c>
      <c r="G333" s="1">
        <v>2734516</v>
      </c>
    </row>
    <row r="334" spans="1:8" x14ac:dyDescent="0.35">
      <c r="A334" s="1" t="str">
        <f t="shared" si="5"/>
        <v>7</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855</v>
      </c>
      <c r="D334" s="1" t="s">
        <v>856</v>
      </c>
      <c r="E334" s="1" t="s">
        <v>857</v>
      </c>
      <c r="F334" s="1" t="s">
        <v>112</v>
      </c>
      <c r="G334" s="1">
        <v>3287246</v>
      </c>
    </row>
    <row r="335" spans="1:8" x14ac:dyDescent="0.35">
      <c r="A335" s="1" t="str">
        <f t="shared" si="5"/>
        <v>7</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5" s="1" t="s">
        <v>858</v>
      </c>
      <c r="D335" s="1" t="s">
        <v>859</v>
      </c>
      <c r="E335" s="1" t="s">
        <v>860</v>
      </c>
      <c r="F335" s="1" t="s">
        <v>112</v>
      </c>
      <c r="G335" s="1">
        <v>3351271</v>
      </c>
    </row>
    <row r="336" spans="1:8" x14ac:dyDescent="0.35">
      <c r="A336" s="1" t="str">
        <f t="shared" si="5"/>
        <v>7</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861</v>
      </c>
      <c r="D336" s="1" t="s">
        <v>862</v>
      </c>
      <c r="E336" s="1" t="s">
        <v>863</v>
      </c>
      <c r="F336" s="1" t="s">
        <v>112</v>
      </c>
      <c r="G336" s="1">
        <v>3211131</v>
      </c>
    </row>
    <row r="337" spans="1:7" x14ac:dyDescent="0.35">
      <c r="A337" s="1" t="str">
        <f t="shared" si="5"/>
        <v>7</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864</v>
      </c>
    </row>
    <row r="338" spans="1:7" x14ac:dyDescent="0.35">
      <c r="A338" s="1" t="str">
        <f t="shared" si="5"/>
        <v>7</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8" s="1" t="s">
        <v>865</v>
      </c>
      <c r="D338" s="1" t="s">
        <v>866</v>
      </c>
      <c r="E338" s="1" t="s">
        <v>867</v>
      </c>
      <c r="F338" s="1" t="s">
        <v>112</v>
      </c>
      <c r="G338" s="1">
        <v>5375202</v>
      </c>
    </row>
    <row r="339" spans="1:7" x14ac:dyDescent="0.35">
      <c r="A339" s="1" t="str">
        <f t="shared" si="5"/>
        <v>7</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868</v>
      </c>
      <c r="D339" s="1" t="s">
        <v>869</v>
      </c>
      <c r="E339" s="1" t="s">
        <v>870</v>
      </c>
      <c r="F339" s="1" t="s">
        <v>112</v>
      </c>
      <c r="G339" s="1">
        <v>5148045</v>
      </c>
    </row>
    <row r="340" spans="1:7" x14ac:dyDescent="0.35">
      <c r="A340" s="1" t="str">
        <f t="shared" si="5"/>
        <v>7</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871</v>
      </c>
      <c r="D340" s="1" t="s">
        <v>872</v>
      </c>
      <c r="E340" s="1" t="s">
        <v>873</v>
      </c>
      <c r="F340" s="1" t="s">
        <v>112</v>
      </c>
      <c r="G340" s="1">
        <v>4785657</v>
      </c>
    </row>
    <row r="341" spans="1:7" x14ac:dyDescent="0.35">
      <c r="A341" s="1" t="str">
        <f t="shared" si="5"/>
        <v>7</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1" s="1" t="s">
        <v>874</v>
      </c>
      <c r="D341" s="1" t="s">
        <v>875</v>
      </c>
      <c r="E341" s="1" t="s">
        <v>876</v>
      </c>
      <c r="F341" s="1" t="s">
        <v>112</v>
      </c>
      <c r="G341" s="1">
        <v>5257103</v>
      </c>
    </row>
    <row r="342" spans="1:7" x14ac:dyDescent="0.35">
      <c r="A342" s="1" t="str">
        <f t="shared" si="5"/>
        <v>7</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877</v>
      </c>
      <c r="D342" s="1" t="s">
        <v>878</v>
      </c>
      <c r="E342" s="1" t="s">
        <v>879</v>
      </c>
      <c r="F342" s="1" t="s">
        <v>112</v>
      </c>
      <c r="G342" s="1">
        <v>5379247</v>
      </c>
    </row>
    <row r="343" spans="1:7" x14ac:dyDescent="0.35">
      <c r="A343" s="1" t="str">
        <f t="shared" si="5"/>
        <v>7</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880</v>
      </c>
      <c r="D343" s="1" t="s">
        <v>881</v>
      </c>
      <c r="E343" s="1" t="s">
        <v>882</v>
      </c>
      <c r="F343" s="1" t="s">
        <v>112</v>
      </c>
      <c r="G343" s="1">
        <v>4760480</v>
      </c>
    </row>
    <row r="344" spans="1:7" x14ac:dyDescent="0.35">
      <c r="A344" s="1" t="str">
        <f t="shared" si="5"/>
        <v>7</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4" s="1" t="s">
        <v>883</v>
      </c>
      <c r="D344" s="1" t="s">
        <v>884</v>
      </c>
      <c r="E344" s="1" t="s">
        <v>885</v>
      </c>
      <c r="F344" s="1" t="s">
        <v>112</v>
      </c>
      <c r="G344" s="1">
        <v>5307738</v>
      </c>
    </row>
    <row r="345" spans="1:7" x14ac:dyDescent="0.35">
      <c r="A345" s="1" t="str">
        <f t="shared" si="5"/>
        <v>7</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886</v>
      </c>
      <c r="D345" s="1" t="s">
        <v>887</v>
      </c>
      <c r="E345" s="1" t="s">
        <v>888</v>
      </c>
      <c r="F345" s="1" t="s">
        <v>112</v>
      </c>
      <c r="G345" s="1">
        <v>3291097</v>
      </c>
    </row>
    <row r="346" spans="1:7" x14ac:dyDescent="0.35">
      <c r="A346" s="1" t="str">
        <f t="shared" si="5"/>
        <v>7</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889</v>
      </c>
      <c r="D346" s="1" t="s">
        <v>890</v>
      </c>
      <c r="E346" s="1" t="s">
        <v>891</v>
      </c>
      <c r="F346" s="1" t="s">
        <v>112</v>
      </c>
      <c r="G346" s="1">
        <v>3845947</v>
      </c>
    </row>
    <row r="347" spans="1:7" x14ac:dyDescent="0.35">
      <c r="A347" s="1" t="str">
        <f t="shared" si="5"/>
        <v>7</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7" s="1" t="s">
        <v>892</v>
      </c>
      <c r="D347" s="1" t="s">
        <v>893</v>
      </c>
      <c r="E347" s="1" t="s">
        <v>894</v>
      </c>
      <c r="F347" s="1" t="s">
        <v>112</v>
      </c>
      <c r="G347" s="1">
        <v>3452802</v>
      </c>
    </row>
    <row r="348" spans="1:7" x14ac:dyDescent="0.35">
      <c r="A348" s="1" t="str">
        <f t="shared" si="5"/>
        <v>7</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895</v>
      </c>
      <c r="D348" s="1" t="s">
        <v>896</v>
      </c>
      <c r="E348" s="1" t="s">
        <v>897</v>
      </c>
      <c r="F348" s="1" t="s">
        <v>112</v>
      </c>
      <c r="G348" s="1">
        <v>5187606</v>
      </c>
    </row>
    <row r="349" spans="1:7" x14ac:dyDescent="0.35">
      <c r="A349" s="1" t="str">
        <f t="shared" si="5"/>
        <v>7</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898</v>
      </c>
      <c r="D349" s="1" t="s">
        <v>899</v>
      </c>
      <c r="E349" s="1" t="s">
        <v>900</v>
      </c>
      <c r="F349" s="1" t="s">
        <v>112</v>
      </c>
      <c r="G349" s="1">
        <v>5176510</v>
      </c>
    </row>
    <row r="350" spans="1:7" x14ac:dyDescent="0.35">
      <c r="A350" s="1" t="str">
        <f t="shared" si="5"/>
        <v>7</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50" s="1" t="s">
        <v>901</v>
      </c>
      <c r="D350" s="1" t="s">
        <v>902</v>
      </c>
      <c r="E350" s="1" t="s">
        <v>903</v>
      </c>
      <c r="F350" s="1" t="s">
        <v>112</v>
      </c>
      <c r="G350" s="1">
        <v>5452767</v>
      </c>
    </row>
    <row r="351" spans="1:7" x14ac:dyDescent="0.35">
      <c r="A351" s="1" t="str">
        <f t="shared" si="5"/>
        <v>7</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904</v>
      </c>
      <c r="D351" s="1" t="s">
        <v>905</v>
      </c>
      <c r="E351" s="1" t="s">
        <v>906</v>
      </c>
      <c r="F351" s="1" t="s">
        <v>112</v>
      </c>
      <c r="G351" s="1">
        <v>4560771</v>
      </c>
    </row>
    <row r="352" spans="1:7" x14ac:dyDescent="0.35">
      <c r="A352" s="1" t="str">
        <f t="shared" si="5"/>
        <v>7</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907</v>
      </c>
      <c r="D352" s="1" t="s">
        <v>908</v>
      </c>
      <c r="E352" s="1" t="s">
        <v>909</v>
      </c>
      <c r="F352" s="1" t="s">
        <v>112</v>
      </c>
      <c r="G352" s="1">
        <v>5899035</v>
      </c>
    </row>
    <row r="353" spans="1:8" x14ac:dyDescent="0.35">
      <c r="A353" s="1" t="str">
        <f t="shared" si="5"/>
        <v>7</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3" s="1" t="s">
        <v>910</v>
      </c>
      <c r="D353" s="1" t="s">
        <v>911</v>
      </c>
      <c r="E353" s="1" t="s">
        <v>912</v>
      </c>
      <c r="F353" s="1" t="s">
        <v>112</v>
      </c>
      <c r="G353" s="1">
        <v>4674112</v>
      </c>
    </row>
    <row r="354" spans="1:8" x14ac:dyDescent="0.35">
      <c r="A354" s="1" t="str">
        <f t="shared" si="5"/>
        <v>7</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913</v>
      </c>
    </row>
    <row r="355" spans="1:8" x14ac:dyDescent="0.35">
      <c r="A355" s="1" t="str">
        <f t="shared" si="5"/>
        <v>7</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914</v>
      </c>
    </row>
    <row r="356" spans="1:8" x14ac:dyDescent="0.35">
      <c r="A356" s="1" t="str">
        <f t="shared" si="5"/>
        <v>7</v>
      </c>
      <c r="B3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6" s="1" t="s">
        <v>915</v>
      </c>
    </row>
    <row r="357" spans="1:8" x14ac:dyDescent="0.3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112</v>
      </c>
    </row>
    <row r="358" spans="1:8" x14ac:dyDescent="0.35">
      <c r="A358" s="1" t="str">
        <f t="shared" si="5"/>
        <v/>
      </c>
      <c r="B3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8" s="1" t="s">
        <v>227</v>
      </c>
      <c r="D358" s="1" t="s">
        <v>112</v>
      </c>
      <c r="E358" s="1" t="s">
        <v>228</v>
      </c>
      <c r="F358" s="1" t="s">
        <v>229</v>
      </c>
      <c r="G358" s="1" t="s">
        <v>230</v>
      </c>
      <c r="H358" s="1" t="s">
        <v>231</v>
      </c>
    </row>
    <row r="359" spans="1:8" x14ac:dyDescent="0.35">
      <c r="A359" s="1" t="str">
        <f t="shared" si="5"/>
        <v>7</v>
      </c>
      <c r="B3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9" s="1" t="s">
        <v>916</v>
      </c>
      <c r="D359" s="1" t="s">
        <v>112</v>
      </c>
      <c r="E359" s="1" t="s">
        <v>917</v>
      </c>
      <c r="F359" s="1" t="s">
        <v>918</v>
      </c>
      <c r="G359" s="1" t="s">
        <v>919</v>
      </c>
      <c r="H359" s="1" t="s">
        <v>920</v>
      </c>
    </row>
    <row r="360" spans="1:8" x14ac:dyDescent="0.3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8" x14ac:dyDescent="0.3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8" x14ac:dyDescent="0.3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8" x14ac:dyDescent="0.3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8" x14ac:dyDescent="0.3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112</v>
      </c>
    </row>
    <row r="365" spans="1:8" x14ac:dyDescent="0.35">
      <c r="A365" s="1" t="str">
        <f t="shared" si="5"/>
        <v/>
      </c>
      <c r="B3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5" s="1" t="s">
        <v>171</v>
      </c>
      <c r="D365" s="1" t="s">
        <v>110</v>
      </c>
      <c r="E365" s="1" t="s">
        <v>111</v>
      </c>
      <c r="F365" s="1" t="s">
        <v>112</v>
      </c>
      <c r="G365" s="1" t="s">
        <v>113</v>
      </c>
    </row>
    <row r="366" spans="1:8" x14ac:dyDescent="0.35">
      <c r="A366" s="1" t="str">
        <f t="shared" si="5"/>
        <v>10</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921</v>
      </c>
      <c r="D366" s="1">
        <v>0</v>
      </c>
      <c r="E366" s="1">
        <v>0</v>
      </c>
      <c r="F366" s="1" t="s">
        <v>112</v>
      </c>
      <c r="G366" s="1">
        <v>0</v>
      </c>
    </row>
    <row r="367" spans="1:8" x14ac:dyDescent="0.35">
      <c r="A367" s="1" t="str">
        <f t="shared" si="5"/>
        <v>10</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922</v>
      </c>
    </row>
    <row r="368" spans="1:8" x14ac:dyDescent="0.35">
      <c r="A368" s="1" t="str">
        <f t="shared" si="5"/>
        <v>10</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8" s="1" t="s">
        <v>923</v>
      </c>
    </row>
    <row r="369" spans="1:7" x14ac:dyDescent="0.35">
      <c r="A369" s="1" t="str">
        <f t="shared" si="5"/>
        <v>10</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924</v>
      </c>
      <c r="D369" s="1" t="s">
        <v>925</v>
      </c>
      <c r="E369" s="1" t="s">
        <v>926</v>
      </c>
      <c r="F369" s="1" t="s">
        <v>112</v>
      </c>
      <c r="G369" s="1">
        <v>10361</v>
      </c>
    </row>
    <row r="370" spans="1:7" x14ac:dyDescent="0.35">
      <c r="A370" s="1" t="str">
        <f t="shared" si="5"/>
        <v>10</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927</v>
      </c>
      <c r="D370" s="1" t="s">
        <v>928</v>
      </c>
      <c r="E370" s="1" t="s">
        <v>929</v>
      </c>
      <c r="F370" s="1" t="s">
        <v>112</v>
      </c>
      <c r="G370" s="1">
        <v>77392</v>
      </c>
    </row>
    <row r="371" spans="1:7" x14ac:dyDescent="0.35">
      <c r="A371" s="1" t="str">
        <f t="shared" si="5"/>
        <v>10</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1" s="1" t="s">
        <v>930</v>
      </c>
      <c r="D371" s="1" t="s">
        <v>931</v>
      </c>
      <c r="E371" s="1" t="s">
        <v>932</v>
      </c>
      <c r="F371" s="1" t="s">
        <v>112</v>
      </c>
      <c r="G371" s="1">
        <v>157184</v>
      </c>
    </row>
    <row r="372" spans="1:7" x14ac:dyDescent="0.35">
      <c r="A372" s="1" t="str">
        <f t="shared" si="5"/>
        <v>10</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933</v>
      </c>
      <c r="D372" s="1" t="s">
        <v>934</v>
      </c>
      <c r="E372" s="1" t="s">
        <v>935</v>
      </c>
      <c r="F372" s="1" t="s">
        <v>112</v>
      </c>
      <c r="G372" s="1">
        <v>509557</v>
      </c>
    </row>
    <row r="373" spans="1:7" x14ac:dyDescent="0.35">
      <c r="A373" s="1" t="str">
        <f t="shared" si="5"/>
        <v>10</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936</v>
      </c>
      <c r="D373" s="1" t="s">
        <v>475</v>
      </c>
      <c r="E373" s="1" t="s">
        <v>937</v>
      </c>
      <c r="F373" s="1" t="s">
        <v>112</v>
      </c>
      <c r="G373" s="1">
        <v>441466</v>
      </c>
    </row>
    <row r="374" spans="1:7" x14ac:dyDescent="0.35">
      <c r="A374" s="1" t="str">
        <f t="shared" si="5"/>
        <v>10</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4" s="1" t="s">
        <v>938</v>
      </c>
      <c r="D374" s="1" t="s">
        <v>939</v>
      </c>
      <c r="E374" s="1" t="s">
        <v>940</v>
      </c>
      <c r="F374" s="1" t="s">
        <v>112</v>
      </c>
      <c r="G374" s="1">
        <v>503522</v>
      </c>
    </row>
    <row r="375" spans="1:7" x14ac:dyDescent="0.35">
      <c r="A375" s="1" t="str">
        <f t="shared" si="5"/>
        <v>10</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941</v>
      </c>
    </row>
    <row r="376" spans="1:7" x14ac:dyDescent="0.35">
      <c r="A376" s="1" t="str">
        <f t="shared" si="5"/>
        <v>10</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942</v>
      </c>
      <c r="D376" s="1" t="s">
        <v>943</v>
      </c>
      <c r="E376" s="1" t="s">
        <v>944</v>
      </c>
      <c r="F376" s="1" t="s">
        <v>112</v>
      </c>
      <c r="G376" s="1">
        <v>5386</v>
      </c>
    </row>
    <row r="377" spans="1:7" x14ac:dyDescent="0.35">
      <c r="A377" s="1" t="str">
        <f t="shared" si="5"/>
        <v>10</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7" s="1" t="s">
        <v>945</v>
      </c>
      <c r="D377" s="1" t="s">
        <v>946</v>
      </c>
      <c r="E377" s="1" t="s">
        <v>947</v>
      </c>
      <c r="F377" s="1" t="s">
        <v>112</v>
      </c>
      <c r="G377" s="1">
        <v>8587</v>
      </c>
    </row>
    <row r="378" spans="1:7" x14ac:dyDescent="0.35">
      <c r="A378" s="1" t="str">
        <f t="shared" si="5"/>
        <v>10</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948</v>
      </c>
      <c r="D378" s="1" t="s">
        <v>949</v>
      </c>
      <c r="E378" s="1" t="s">
        <v>950</v>
      </c>
      <c r="F378" s="1" t="s">
        <v>112</v>
      </c>
      <c r="G378" s="1">
        <v>203040</v>
      </c>
    </row>
    <row r="379" spans="1:7" x14ac:dyDescent="0.35">
      <c r="A379" s="1" t="str">
        <f t="shared" si="5"/>
        <v>10</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951</v>
      </c>
      <c r="D379" s="1" t="s">
        <v>952</v>
      </c>
      <c r="E379" s="1" t="s">
        <v>953</v>
      </c>
      <c r="F379" s="1" t="s">
        <v>112</v>
      </c>
      <c r="G379" s="1">
        <v>337837</v>
      </c>
    </row>
    <row r="380" spans="1:7" x14ac:dyDescent="0.35">
      <c r="A380" s="1" t="str">
        <f t="shared" si="5"/>
        <v>10</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80" s="1" t="s">
        <v>954</v>
      </c>
      <c r="D380" s="1" t="s">
        <v>490</v>
      </c>
      <c r="E380" s="1" t="s">
        <v>955</v>
      </c>
      <c r="F380" s="1" t="s">
        <v>112</v>
      </c>
      <c r="G380" s="1">
        <v>278398</v>
      </c>
    </row>
    <row r="381" spans="1:7" x14ac:dyDescent="0.35">
      <c r="A381" s="1" t="str">
        <f t="shared" si="5"/>
        <v>10</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956</v>
      </c>
      <c r="D381" s="1" t="s">
        <v>957</v>
      </c>
      <c r="E381" s="1" t="s">
        <v>958</v>
      </c>
      <c r="F381" s="1" t="s">
        <v>112</v>
      </c>
      <c r="G381" s="1">
        <v>409476</v>
      </c>
    </row>
    <row r="382" spans="1:7" x14ac:dyDescent="0.35">
      <c r="A382" s="1" t="str">
        <f t="shared" si="5"/>
        <v>10</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959</v>
      </c>
      <c r="D382" s="1" t="s">
        <v>960</v>
      </c>
      <c r="E382" s="1" t="s">
        <v>961</v>
      </c>
      <c r="F382" s="1" t="s">
        <v>112</v>
      </c>
      <c r="G382" s="1">
        <v>268340</v>
      </c>
    </row>
    <row r="383" spans="1:7" x14ac:dyDescent="0.35">
      <c r="A383" s="1" t="str">
        <f t="shared" si="5"/>
        <v>10</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3" s="1" t="s">
        <v>962</v>
      </c>
      <c r="D383" s="1" t="s">
        <v>515</v>
      </c>
      <c r="E383" s="1" t="s">
        <v>963</v>
      </c>
      <c r="F383" s="1" t="s">
        <v>112</v>
      </c>
      <c r="G383" s="1">
        <v>112411</v>
      </c>
    </row>
    <row r="384" spans="1:7" x14ac:dyDescent="0.35">
      <c r="A384" s="1" t="str">
        <f t="shared" si="5"/>
        <v>10</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964</v>
      </c>
      <c r="D384" s="1" t="s">
        <v>545</v>
      </c>
      <c r="E384" s="1" t="s">
        <v>965</v>
      </c>
      <c r="F384" s="1" t="s">
        <v>112</v>
      </c>
      <c r="G384" s="1">
        <v>42005</v>
      </c>
    </row>
    <row r="385" spans="1:8" x14ac:dyDescent="0.35">
      <c r="A385" s="1" t="str">
        <f t="shared" si="5"/>
        <v>10</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966</v>
      </c>
      <c r="D385" s="1" t="s">
        <v>967</v>
      </c>
      <c r="E385" s="1" t="s">
        <v>968</v>
      </c>
      <c r="F385" s="1" t="s">
        <v>112</v>
      </c>
      <c r="G385" s="1">
        <v>265226</v>
      </c>
    </row>
    <row r="386" spans="1:8" x14ac:dyDescent="0.35">
      <c r="A386" s="1" t="str">
        <f t="shared" ref="A386:A449" si="6">IFERROR(LEFT(RIGHT(C386,LEN(C386)-SEARCH("@",C386)),SEARCH("/",RIGHT(C386,LEN(C386)-SEARCH("@",C386)-1))),"")</f>
        <v>10</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6" s="1" t="s">
        <v>969</v>
      </c>
      <c r="D386" s="1" t="s">
        <v>970</v>
      </c>
      <c r="E386" s="1" t="s">
        <v>971</v>
      </c>
      <c r="F386" s="1" t="s">
        <v>112</v>
      </c>
      <c r="G386" s="1">
        <v>148251</v>
      </c>
    </row>
    <row r="387" spans="1:8" x14ac:dyDescent="0.35">
      <c r="A387" s="1" t="str">
        <f t="shared" si="6"/>
        <v>10</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972</v>
      </c>
      <c r="D387" s="1" t="s">
        <v>562</v>
      </c>
      <c r="E387" s="1" t="s">
        <v>973</v>
      </c>
      <c r="F387" s="1" t="s">
        <v>112</v>
      </c>
      <c r="G387" s="1">
        <v>51198</v>
      </c>
    </row>
    <row r="388" spans="1:8" x14ac:dyDescent="0.35">
      <c r="A388" s="1" t="str">
        <f t="shared" si="6"/>
        <v>10</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974</v>
      </c>
      <c r="D388" s="1" t="s">
        <v>975</v>
      </c>
      <c r="E388" s="1" t="s">
        <v>976</v>
      </c>
      <c r="F388" s="1" t="s">
        <v>112</v>
      </c>
      <c r="G388" s="1">
        <v>131337</v>
      </c>
    </row>
    <row r="389" spans="1:8" x14ac:dyDescent="0.35">
      <c r="A389" s="1" t="str">
        <f t="shared" si="6"/>
        <v>10</v>
      </c>
      <c r="B3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9" s="1" t="s">
        <v>977</v>
      </c>
      <c r="D389" s="1" t="s">
        <v>978</v>
      </c>
      <c r="E389" s="1" t="s">
        <v>979</v>
      </c>
      <c r="F389" s="1" t="s">
        <v>112</v>
      </c>
      <c r="G389" s="1">
        <v>262717</v>
      </c>
    </row>
    <row r="390" spans="1:8" x14ac:dyDescent="0.3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112</v>
      </c>
    </row>
    <row r="391" spans="1:8" x14ac:dyDescent="0.35">
      <c r="A391" s="1" t="str">
        <f t="shared" si="6"/>
        <v/>
      </c>
      <c r="B3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1" s="1" t="s">
        <v>227</v>
      </c>
      <c r="D391" s="1" t="s">
        <v>112</v>
      </c>
      <c r="E391" s="1" t="s">
        <v>228</v>
      </c>
      <c r="F391" s="1" t="s">
        <v>229</v>
      </c>
      <c r="G391" s="1" t="s">
        <v>230</v>
      </c>
      <c r="H391" s="1" t="s">
        <v>231</v>
      </c>
    </row>
    <row r="392" spans="1:8" x14ac:dyDescent="0.35">
      <c r="A392" s="1" t="str">
        <f t="shared" si="6"/>
        <v>10</v>
      </c>
      <c r="B3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2" s="1" t="s">
        <v>980</v>
      </c>
      <c r="D392" s="1" t="s">
        <v>112</v>
      </c>
      <c r="E392" s="1" t="s">
        <v>981</v>
      </c>
      <c r="F392" s="1" t="s">
        <v>982</v>
      </c>
      <c r="G392" s="1" t="s">
        <v>983</v>
      </c>
      <c r="H392" s="1" t="s">
        <v>984</v>
      </c>
    </row>
    <row r="393" spans="1:8" x14ac:dyDescent="0.3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8" x14ac:dyDescent="0.3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8" x14ac:dyDescent="0.3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8" x14ac:dyDescent="0.3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8" x14ac:dyDescent="0.3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112</v>
      </c>
    </row>
    <row r="398" spans="1:8" x14ac:dyDescent="0.35">
      <c r="A398" s="1" t="str">
        <f t="shared" si="6"/>
        <v/>
      </c>
      <c r="B3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8" s="1" t="s">
        <v>171</v>
      </c>
      <c r="D398" s="1" t="s">
        <v>110</v>
      </c>
      <c r="E398" s="1" t="s">
        <v>111</v>
      </c>
      <c r="F398" s="1" t="s">
        <v>112</v>
      </c>
      <c r="G398" s="1" t="s">
        <v>113</v>
      </c>
    </row>
    <row r="399" spans="1:8" x14ac:dyDescent="0.35">
      <c r="A399" s="1" t="str">
        <f t="shared" si="6"/>
        <v>11</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985</v>
      </c>
    </row>
    <row r="400" spans="1:8" x14ac:dyDescent="0.35">
      <c r="A400" s="1" t="str">
        <f t="shared" si="6"/>
        <v>11</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986</v>
      </c>
    </row>
    <row r="401" spans="1:7" x14ac:dyDescent="0.35">
      <c r="A401" s="1" t="str">
        <f t="shared" si="6"/>
        <v>11</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1" s="1" t="s">
        <v>987</v>
      </c>
    </row>
    <row r="402" spans="1:7" x14ac:dyDescent="0.35">
      <c r="A402" s="1" t="str">
        <f t="shared" si="6"/>
        <v>11</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988</v>
      </c>
      <c r="D402" s="1" t="s">
        <v>989</v>
      </c>
      <c r="E402" s="1" t="s">
        <v>990</v>
      </c>
      <c r="F402" s="1" t="s">
        <v>112</v>
      </c>
      <c r="G402" s="1">
        <v>245413</v>
      </c>
    </row>
    <row r="403" spans="1:7" x14ac:dyDescent="0.35">
      <c r="A403" s="1" t="str">
        <f t="shared" si="6"/>
        <v>11</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991</v>
      </c>
      <c r="D403" s="1" t="s">
        <v>992</v>
      </c>
      <c r="E403" s="1" t="s">
        <v>993</v>
      </c>
      <c r="F403" s="1" t="s">
        <v>112</v>
      </c>
      <c r="G403" s="1">
        <v>282854</v>
      </c>
    </row>
    <row r="404" spans="1:7" x14ac:dyDescent="0.35">
      <c r="A404" s="1" t="str">
        <f t="shared" si="6"/>
        <v>11</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4" s="1" t="s">
        <v>994</v>
      </c>
      <c r="D404" s="1" t="s">
        <v>995</v>
      </c>
      <c r="E404" s="1" t="s">
        <v>996</v>
      </c>
      <c r="F404" s="1" t="s">
        <v>112</v>
      </c>
      <c r="G404" s="1">
        <v>587879</v>
      </c>
    </row>
    <row r="405" spans="1:7" x14ac:dyDescent="0.35">
      <c r="A405" s="1" t="str">
        <f t="shared" si="6"/>
        <v>11</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997</v>
      </c>
      <c r="D405" s="1" t="s">
        <v>180</v>
      </c>
      <c r="E405" s="1">
        <v>31</v>
      </c>
      <c r="F405" s="1" t="s">
        <v>112</v>
      </c>
      <c r="G405" s="1">
        <v>671</v>
      </c>
    </row>
    <row r="406" spans="1:7" x14ac:dyDescent="0.35">
      <c r="A406" s="1" t="str">
        <f t="shared" si="6"/>
        <v>11</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998</v>
      </c>
      <c r="D406" s="1" t="s">
        <v>999</v>
      </c>
      <c r="E406" s="1" t="s">
        <v>1000</v>
      </c>
      <c r="F406" s="1" t="s">
        <v>112</v>
      </c>
      <c r="G406" s="1">
        <v>6792</v>
      </c>
    </row>
    <row r="407" spans="1:7" x14ac:dyDescent="0.35">
      <c r="A407" s="1" t="str">
        <f t="shared" si="6"/>
        <v>11</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7" s="1" t="s">
        <v>1001</v>
      </c>
      <c r="D407" s="1">
        <v>0</v>
      </c>
      <c r="E407" s="1">
        <v>0</v>
      </c>
      <c r="F407" s="1" t="s">
        <v>112</v>
      </c>
      <c r="G407" s="1">
        <v>0</v>
      </c>
    </row>
    <row r="408" spans="1:7" x14ac:dyDescent="0.35">
      <c r="A408" s="1" t="str">
        <f t="shared" si="6"/>
        <v>11</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1002</v>
      </c>
      <c r="D408" s="1" t="s">
        <v>1003</v>
      </c>
      <c r="E408" s="1" t="s">
        <v>1004</v>
      </c>
      <c r="F408" s="1" t="s">
        <v>112</v>
      </c>
      <c r="G408" s="1">
        <v>27275</v>
      </c>
    </row>
    <row r="409" spans="1:7" x14ac:dyDescent="0.35">
      <c r="A409" s="1" t="str">
        <f t="shared" si="6"/>
        <v>11</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1005</v>
      </c>
      <c r="D409" s="1" t="s">
        <v>501</v>
      </c>
      <c r="E409" s="1" t="s">
        <v>1006</v>
      </c>
      <c r="F409" s="1" t="s">
        <v>112</v>
      </c>
      <c r="G409" s="1">
        <v>16114</v>
      </c>
    </row>
    <row r="410" spans="1:7" x14ac:dyDescent="0.35">
      <c r="A410" s="1" t="str">
        <f t="shared" si="6"/>
        <v>11</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10" s="1" t="s">
        <v>1007</v>
      </c>
      <c r="D410" s="1">
        <v>0</v>
      </c>
      <c r="E410" s="1">
        <v>0</v>
      </c>
      <c r="F410" s="1" t="s">
        <v>112</v>
      </c>
      <c r="G410" s="1">
        <v>0</v>
      </c>
    </row>
    <row r="411" spans="1:7" x14ac:dyDescent="0.35">
      <c r="A411" s="1" t="str">
        <f t="shared" si="6"/>
        <v>11</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1008</v>
      </c>
      <c r="D411" s="1" t="s">
        <v>1009</v>
      </c>
      <c r="E411" s="1" t="s">
        <v>1010</v>
      </c>
      <c r="F411" s="1" t="s">
        <v>112</v>
      </c>
      <c r="G411" s="1">
        <v>285082</v>
      </c>
    </row>
    <row r="412" spans="1:7" x14ac:dyDescent="0.35">
      <c r="A412" s="1" t="str">
        <f t="shared" si="6"/>
        <v>11</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1011</v>
      </c>
      <c r="D412" s="1" t="s">
        <v>1012</v>
      </c>
      <c r="E412" s="1" t="s">
        <v>1013</v>
      </c>
      <c r="F412" s="1" t="s">
        <v>112</v>
      </c>
      <c r="G412" s="1">
        <v>335869</v>
      </c>
    </row>
    <row r="413" spans="1:7" x14ac:dyDescent="0.35">
      <c r="A413" s="1" t="str">
        <f t="shared" si="6"/>
        <v>11</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3" s="1" t="s">
        <v>1014</v>
      </c>
      <c r="D413" s="1" t="s">
        <v>467</v>
      </c>
      <c r="E413" s="1" t="s">
        <v>1015</v>
      </c>
      <c r="F413" s="1" t="s">
        <v>112</v>
      </c>
      <c r="G413" s="1">
        <v>216169</v>
      </c>
    </row>
    <row r="414" spans="1:7" x14ac:dyDescent="0.35">
      <c r="A414" s="1" t="str">
        <f t="shared" si="6"/>
        <v>11</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1016</v>
      </c>
      <c r="D414" s="1" t="s">
        <v>1017</v>
      </c>
      <c r="E414" s="1" t="s">
        <v>1018</v>
      </c>
      <c r="F414" s="1" t="s">
        <v>112</v>
      </c>
      <c r="G414" s="1">
        <v>362928</v>
      </c>
    </row>
    <row r="415" spans="1:7" x14ac:dyDescent="0.35">
      <c r="A415" s="1" t="str">
        <f t="shared" si="6"/>
        <v>11</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1019</v>
      </c>
      <c r="D415" s="1" t="s">
        <v>1020</v>
      </c>
      <c r="E415" s="1" t="s">
        <v>1021</v>
      </c>
      <c r="F415" s="1" t="s">
        <v>112</v>
      </c>
      <c r="G415" s="1">
        <v>214936</v>
      </c>
    </row>
    <row r="416" spans="1:7" x14ac:dyDescent="0.35">
      <c r="A416" s="1" t="str">
        <f t="shared" si="6"/>
        <v>11</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6" s="1" t="s">
        <v>1022</v>
      </c>
      <c r="D416" s="1" t="s">
        <v>528</v>
      </c>
      <c r="E416" s="1" t="s">
        <v>1023</v>
      </c>
      <c r="F416" s="1" t="s">
        <v>112</v>
      </c>
      <c r="G416" s="1">
        <v>318868</v>
      </c>
    </row>
    <row r="417" spans="1:8" x14ac:dyDescent="0.35">
      <c r="A417" s="1" t="str">
        <f t="shared" si="6"/>
        <v>11</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1024</v>
      </c>
      <c r="D417" s="1" t="s">
        <v>524</v>
      </c>
      <c r="E417" s="1" t="s">
        <v>1025</v>
      </c>
      <c r="F417" s="1" t="s">
        <v>112</v>
      </c>
      <c r="G417" s="1">
        <v>93895</v>
      </c>
    </row>
    <row r="418" spans="1:8" x14ac:dyDescent="0.35">
      <c r="A418" s="1" t="str">
        <f t="shared" si="6"/>
        <v>11</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1026</v>
      </c>
      <c r="D418" s="1" t="s">
        <v>1027</v>
      </c>
      <c r="E418" s="1" t="s">
        <v>1028</v>
      </c>
      <c r="F418" s="1" t="s">
        <v>112</v>
      </c>
      <c r="G418" s="1">
        <v>24377</v>
      </c>
    </row>
    <row r="419" spans="1:8" x14ac:dyDescent="0.35">
      <c r="A419" s="1" t="str">
        <f t="shared" si="6"/>
        <v>11</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9" s="1" t="s">
        <v>1029</v>
      </c>
      <c r="D419" s="1" t="s">
        <v>1030</v>
      </c>
      <c r="E419" s="1" t="s">
        <v>1031</v>
      </c>
      <c r="F419" s="1" t="s">
        <v>112</v>
      </c>
      <c r="G419" s="1">
        <v>103434</v>
      </c>
    </row>
    <row r="420" spans="1:8" x14ac:dyDescent="0.35">
      <c r="A420" s="1" t="str">
        <f t="shared" si="6"/>
        <v>11</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1032</v>
      </c>
      <c r="D420" s="1" t="s">
        <v>1033</v>
      </c>
      <c r="E420" s="1" t="s">
        <v>1034</v>
      </c>
      <c r="F420" s="1" t="s">
        <v>112</v>
      </c>
      <c r="G420" s="1">
        <v>91343</v>
      </c>
    </row>
    <row r="421" spans="1:8" x14ac:dyDescent="0.35">
      <c r="A421" s="1" t="str">
        <f t="shared" si="6"/>
        <v>11</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1035</v>
      </c>
      <c r="D421" s="1">
        <v>0</v>
      </c>
      <c r="E421" s="1">
        <v>0</v>
      </c>
      <c r="F421" s="1" t="s">
        <v>112</v>
      </c>
      <c r="G421" s="1">
        <v>0</v>
      </c>
    </row>
    <row r="422" spans="1:8" x14ac:dyDescent="0.35">
      <c r="A422" s="1" t="str">
        <f t="shared" si="6"/>
        <v>11</v>
      </c>
      <c r="B4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2" s="1" t="s">
        <v>1036</v>
      </c>
      <c r="D422" s="1" t="s">
        <v>515</v>
      </c>
      <c r="E422" s="1" t="s">
        <v>1037</v>
      </c>
      <c r="F422" s="1" t="s">
        <v>112</v>
      </c>
      <c r="G422" s="1">
        <v>118467</v>
      </c>
    </row>
    <row r="423" spans="1:8" x14ac:dyDescent="0.3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112</v>
      </c>
    </row>
    <row r="424" spans="1:8" x14ac:dyDescent="0.35">
      <c r="A424" s="1" t="str">
        <f t="shared" si="6"/>
        <v/>
      </c>
      <c r="B4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4" s="1" t="s">
        <v>227</v>
      </c>
      <c r="D424" s="1" t="s">
        <v>112</v>
      </c>
      <c r="E424" s="1" t="s">
        <v>228</v>
      </c>
      <c r="F424" s="1" t="s">
        <v>229</v>
      </c>
      <c r="G424" s="1" t="s">
        <v>230</v>
      </c>
      <c r="H424" s="1" t="s">
        <v>231</v>
      </c>
    </row>
    <row r="425" spans="1:8" x14ac:dyDescent="0.35">
      <c r="A425" s="1" t="str">
        <f t="shared" si="6"/>
        <v>11</v>
      </c>
      <c r="B4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5" s="1" t="s">
        <v>1038</v>
      </c>
      <c r="D425" s="1" t="s">
        <v>112</v>
      </c>
      <c r="E425" s="1" t="s">
        <v>1039</v>
      </c>
      <c r="F425" s="1" t="s">
        <v>1040</v>
      </c>
      <c r="G425" s="1" t="s">
        <v>1041</v>
      </c>
      <c r="H425" s="1" t="s">
        <v>1042</v>
      </c>
    </row>
    <row r="426" spans="1:8" x14ac:dyDescent="0.3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8" x14ac:dyDescent="0.3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8" x14ac:dyDescent="0.3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8" x14ac:dyDescent="0.3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8" x14ac:dyDescent="0.3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112</v>
      </c>
    </row>
    <row r="431" spans="1:8" x14ac:dyDescent="0.35">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1" s="1" t="s">
        <v>171</v>
      </c>
      <c r="D431" s="1" t="s">
        <v>110</v>
      </c>
      <c r="E431" s="1" t="s">
        <v>111</v>
      </c>
      <c r="F431" s="1" t="s">
        <v>112</v>
      </c>
      <c r="G431" s="1" t="s">
        <v>113</v>
      </c>
    </row>
    <row r="432" spans="1:8" x14ac:dyDescent="0.35">
      <c r="A432" s="1" t="str">
        <f t="shared" si="6"/>
        <v>12</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1043</v>
      </c>
      <c r="D432" s="1" t="s">
        <v>1044</v>
      </c>
      <c r="E432" s="1" t="s">
        <v>1045</v>
      </c>
      <c r="F432" s="1" t="s">
        <v>112</v>
      </c>
      <c r="G432" s="1">
        <v>144055</v>
      </c>
    </row>
    <row r="433" spans="1:7" x14ac:dyDescent="0.35">
      <c r="A433" s="1" t="str">
        <f t="shared" si="6"/>
        <v>12</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1046</v>
      </c>
      <c r="D433" s="1" t="s">
        <v>1047</v>
      </c>
      <c r="E433" s="1" t="s">
        <v>1048</v>
      </c>
      <c r="F433" s="1" t="s">
        <v>112</v>
      </c>
      <c r="G433" s="1">
        <v>310043</v>
      </c>
    </row>
    <row r="434" spans="1:7" x14ac:dyDescent="0.35">
      <c r="A434" s="1" t="str">
        <f t="shared" si="6"/>
        <v>12</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4" s="1" t="s">
        <v>1049</v>
      </c>
      <c r="D434" s="1" t="s">
        <v>1050</v>
      </c>
      <c r="E434" s="1" t="s">
        <v>1051</v>
      </c>
      <c r="F434" s="1" t="s">
        <v>112</v>
      </c>
      <c r="G434" s="1">
        <v>267172</v>
      </c>
    </row>
    <row r="435" spans="1:7" x14ac:dyDescent="0.35">
      <c r="A435" s="1" t="str">
        <f t="shared" si="6"/>
        <v>12</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1052</v>
      </c>
      <c r="D435" s="1" t="s">
        <v>1053</v>
      </c>
      <c r="E435" s="1" t="s">
        <v>1054</v>
      </c>
      <c r="F435" s="1" t="s">
        <v>112</v>
      </c>
      <c r="G435" s="1">
        <v>458078</v>
      </c>
    </row>
    <row r="436" spans="1:7" x14ac:dyDescent="0.35">
      <c r="A436" s="1" t="str">
        <f t="shared" si="6"/>
        <v>12</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1055</v>
      </c>
      <c r="D436" s="1" t="s">
        <v>1056</v>
      </c>
      <c r="E436" s="1" t="s">
        <v>1057</v>
      </c>
      <c r="F436" s="1" t="s">
        <v>112</v>
      </c>
      <c r="G436" s="1">
        <v>93722</v>
      </c>
    </row>
    <row r="437" spans="1:7" x14ac:dyDescent="0.35">
      <c r="A437" s="1" t="str">
        <f t="shared" si="6"/>
        <v>12</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7" s="1" t="s">
        <v>1058</v>
      </c>
      <c r="D437" s="1" t="s">
        <v>1059</v>
      </c>
      <c r="E437" s="1" t="s">
        <v>1060</v>
      </c>
      <c r="F437" s="1" t="s">
        <v>112</v>
      </c>
      <c r="G437" s="1">
        <v>277555</v>
      </c>
    </row>
    <row r="438" spans="1:7" x14ac:dyDescent="0.35">
      <c r="A438" s="1" t="str">
        <f t="shared" si="6"/>
        <v>12</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1061</v>
      </c>
      <c r="D438" s="1" t="s">
        <v>1062</v>
      </c>
      <c r="E438" s="1" t="s">
        <v>1063</v>
      </c>
      <c r="F438" s="1" t="s">
        <v>112</v>
      </c>
      <c r="G438" s="1">
        <v>2120</v>
      </c>
    </row>
    <row r="439" spans="1:7" x14ac:dyDescent="0.35">
      <c r="A439" s="1" t="str">
        <f t="shared" si="6"/>
        <v>12</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1064</v>
      </c>
      <c r="D439" s="1">
        <v>0</v>
      </c>
      <c r="E439" s="1">
        <v>0</v>
      </c>
      <c r="F439" s="1" t="s">
        <v>112</v>
      </c>
      <c r="G439" s="1">
        <v>0</v>
      </c>
    </row>
    <row r="440" spans="1:7" x14ac:dyDescent="0.35">
      <c r="A440" s="1" t="str">
        <f t="shared" si="6"/>
        <v>12</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40" s="1" t="s">
        <v>1065</v>
      </c>
    </row>
    <row r="441" spans="1:7" x14ac:dyDescent="0.35">
      <c r="A441" s="1" t="str">
        <f t="shared" si="6"/>
        <v>12</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1066</v>
      </c>
      <c r="D441" s="1" t="s">
        <v>1067</v>
      </c>
      <c r="E441" s="1" t="s">
        <v>1068</v>
      </c>
      <c r="F441" s="1" t="s">
        <v>112</v>
      </c>
      <c r="G441" s="1">
        <v>521497</v>
      </c>
    </row>
    <row r="442" spans="1:7" x14ac:dyDescent="0.35">
      <c r="A442" s="1" t="str">
        <f t="shared" si="6"/>
        <v>12</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1069</v>
      </c>
    </row>
    <row r="443" spans="1:7" x14ac:dyDescent="0.35">
      <c r="A443" s="1" t="str">
        <f t="shared" si="6"/>
        <v>12</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3" s="1" t="s">
        <v>1070</v>
      </c>
    </row>
    <row r="444" spans="1:7" x14ac:dyDescent="0.35">
      <c r="A444" s="1" t="str">
        <f t="shared" si="6"/>
        <v>12</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1071</v>
      </c>
      <c r="D444" s="1" t="s">
        <v>1072</v>
      </c>
      <c r="E444" s="1" t="s">
        <v>1073</v>
      </c>
      <c r="F444" s="1" t="s">
        <v>112</v>
      </c>
      <c r="G444" s="1">
        <v>63700</v>
      </c>
    </row>
    <row r="445" spans="1:7" x14ac:dyDescent="0.35">
      <c r="A445" s="1" t="str">
        <f t="shared" si="6"/>
        <v>12</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1074</v>
      </c>
      <c r="D445" s="1" t="s">
        <v>1075</v>
      </c>
      <c r="E445" s="1" t="s">
        <v>1076</v>
      </c>
      <c r="F445" s="1" t="s">
        <v>112</v>
      </c>
      <c r="G445" s="1">
        <v>206176</v>
      </c>
    </row>
    <row r="446" spans="1:7" x14ac:dyDescent="0.35">
      <c r="A446" s="1" t="str">
        <f t="shared" si="6"/>
        <v>12</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6" s="1" t="s">
        <v>1077</v>
      </c>
      <c r="D446" s="1" t="s">
        <v>1062</v>
      </c>
      <c r="E446" s="1">
        <v>30</v>
      </c>
      <c r="F446" s="1" t="s">
        <v>112</v>
      </c>
      <c r="G446" s="1">
        <v>1947</v>
      </c>
    </row>
    <row r="447" spans="1:7" x14ac:dyDescent="0.35">
      <c r="A447" s="1" t="str">
        <f t="shared" si="6"/>
        <v>12</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1078</v>
      </c>
      <c r="D447" s="1" t="s">
        <v>450</v>
      </c>
      <c r="E447" s="1" t="s">
        <v>1079</v>
      </c>
      <c r="F447" s="1" t="s">
        <v>112</v>
      </c>
      <c r="G447" s="1">
        <v>63094</v>
      </c>
    </row>
    <row r="448" spans="1:7" x14ac:dyDescent="0.35">
      <c r="A448" s="1" t="str">
        <f t="shared" si="6"/>
        <v>12</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1080</v>
      </c>
      <c r="D448" s="1" t="s">
        <v>1081</v>
      </c>
      <c r="E448" s="1" t="s">
        <v>1082</v>
      </c>
      <c r="F448" s="1" t="s">
        <v>112</v>
      </c>
      <c r="G448" s="1">
        <v>201158</v>
      </c>
    </row>
    <row r="449" spans="1:8" x14ac:dyDescent="0.35">
      <c r="A449" s="1" t="str">
        <f t="shared" si="6"/>
        <v>12</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9" s="1" t="s">
        <v>1083</v>
      </c>
    </row>
    <row r="450" spans="1:8" x14ac:dyDescent="0.35">
      <c r="A450" s="1" t="str">
        <f t="shared" ref="A450:A513" si="7">IFERROR(LEFT(RIGHT(C450,LEN(C450)-SEARCH("@",C450)),SEARCH("/",RIGHT(C450,LEN(C450)-SEARCH("@",C450)-1))),"")</f>
        <v>12</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1084</v>
      </c>
      <c r="D450" s="1">
        <v>0</v>
      </c>
      <c r="E450" s="1">
        <v>0</v>
      </c>
      <c r="F450" s="1" t="s">
        <v>112</v>
      </c>
      <c r="G450" s="1">
        <v>0</v>
      </c>
    </row>
    <row r="451" spans="1:8" x14ac:dyDescent="0.35">
      <c r="A451" s="1" t="str">
        <f t="shared" si="7"/>
        <v>12</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1085</v>
      </c>
      <c r="D451" s="1" t="s">
        <v>1086</v>
      </c>
      <c r="E451" s="1" t="s">
        <v>1087</v>
      </c>
      <c r="F451" s="1" t="s">
        <v>112</v>
      </c>
      <c r="G451" s="1">
        <v>13951</v>
      </c>
    </row>
    <row r="452" spans="1:8" x14ac:dyDescent="0.35">
      <c r="A452" s="1" t="str">
        <f t="shared" si="7"/>
        <v>12</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2" s="1" t="s">
        <v>1088</v>
      </c>
      <c r="D452" s="1" t="s">
        <v>1075</v>
      </c>
      <c r="E452" s="1" t="s">
        <v>1089</v>
      </c>
      <c r="F452" s="1" t="s">
        <v>112</v>
      </c>
      <c r="G452" s="1">
        <v>176695</v>
      </c>
    </row>
    <row r="453" spans="1:8" x14ac:dyDescent="0.35">
      <c r="A453" s="1" t="str">
        <f t="shared" si="7"/>
        <v>12</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1090</v>
      </c>
      <c r="D453" s="1">
        <v>0</v>
      </c>
      <c r="E453" s="1">
        <v>0</v>
      </c>
      <c r="F453" s="1" t="s">
        <v>112</v>
      </c>
      <c r="G453" s="1">
        <v>0</v>
      </c>
    </row>
    <row r="454" spans="1:8" x14ac:dyDescent="0.35">
      <c r="A454" s="1" t="str">
        <f t="shared" si="7"/>
        <v>12</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1091</v>
      </c>
      <c r="D454" s="1" t="s">
        <v>1092</v>
      </c>
      <c r="E454" s="1" t="s">
        <v>1093</v>
      </c>
      <c r="F454" s="1" t="s">
        <v>112</v>
      </c>
      <c r="G454" s="1">
        <v>306734</v>
      </c>
    </row>
    <row r="455" spans="1:8" x14ac:dyDescent="0.35">
      <c r="A455" s="1" t="str">
        <f t="shared" si="7"/>
        <v>12</v>
      </c>
      <c r="B4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5" s="1" t="s">
        <v>1094</v>
      </c>
      <c r="D455" s="1" t="s">
        <v>1095</v>
      </c>
      <c r="E455" s="1" t="s">
        <v>1096</v>
      </c>
      <c r="F455" s="1" t="s">
        <v>112</v>
      </c>
      <c r="G455" s="1">
        <v>295616</v>
      </c>
    </row>
    <row r="456" spans="1:8" x14ac:dyDescent="0.3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112</v>
      </c>
    </row>
    <row r="457" spans="1:8" x14ac:dyDescent="0.35">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7" s="1" t="s">
        <v>227</v>
      </c>
      <c r="D457" s="1" t="s">
        <v>112</v>
      </c>
      <c r="E457" s="1" t="s">
        <v>228</v>
      </c>
      <c r="F457" s="1" t="s">
        <v>229</v>
      </c>
      <c r="G457" s="1" t="s">
        <v>230</v>
      </c>
      <c r="H457" s="1" t="s">
        <v>231</v>
      </c>
    </row>
    <row r="458" spans="1:8" x14ac:dyDescent="0.35">
      <c r="A458" s="1" t="str">
        <f t="shared" si="7"/>
        <v>12</v>
      </c>
      <c r="B4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8" s="1" t="s">
        <v>1097</v>
      </c>
      <c r="D458" s="1" t="s">
        <v>112</v>
      </c>
      <c r="E458" s="1" t="s">
        <v>1098</v>
      </c>
      <c r="F458" s="1" t="s">
        <v>1099</v>
      </c>
      <c r="G458" s="1" t="s">
        <v>1100</v>
      </c>
      <c r="H458" s="1" t="s">
        <v>1101</v>
      </c>
    </row>
    <row r="459" spans="1:8" x14ac:dyDescent="0.3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8" x14ac:dyDescent="0.3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8" x14ac:dyDescent="0.3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8" x14ac:dyDescent="0.3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8" x14ac:dyDescent="0.3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112</v>
      </c>
    </row>
    <row r="464" spans="1:8" x14ac:dyDescent="0.35">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4" s="1" t="s">
        <v>171</v>
      </c>
      <c r="D464" s="1" t="s">
        <v>110</v>
      </c>
      <c r="E464" s="1" t="s">
        <v>111</v>
      </c>
      <c r="F464" s="1" t="s">
        <v>112</v>
      </c>
      <c r="G464" s="1" t="s">
        <v>113</v>
      </c>
    </row>
    <row r="465" spans="1:7" x14ac:dyDescent="0.35">
      <c r="A465" s="1" t="str">
        <f t="shared" si="7"/>
        <v>17</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1102</v>
      </c>
      <c r="D465" s="1" t="s">
        <v>1103</v>
      </c>
      <c r="E465" s="1" t="s">
        <v>1104</v>
      </c>
      <c r="F465" s="1" t="s">
        <v>112</v>
      </c>
      <c r="G465" s="1">
        <v>1136716</v>
      </c>
    </row>
    <row r="466" spans="1:7" x14ac:dyDescent="0.35">
      <c r="A466" s="1" t="str">
        <f t="shared" si="7"/>
        <v>17</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1105</v>
      </c>
      <c r="D466" s="1" t="s">
        <v>1106</v>
      </c>
      <c r="E466" s="1" t="s">
        <v>1107</v>
      </c>
      <c r="F466" s="1" t="s">
        <v>112</v>
      </c>
      <c r="G466" s="1">
        <v>1830646</v>
      </c>
    </row>
    <row r="467" spans="1:7" x14ac:dyDescent="0.35">
      <c r="A467" s="1" t="str">
        <f t="shared" si="7"/>
        <v>17</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7" s="1" t="s">
        <v>1108</v>
      </c>
      <c r="D467" s="1" t="s">
        <v>1109</v>
      </c>
      <c r="E467" s="1" t="s">
        <v>1110</v>
      </c>
      <c r="F467" s="1" t="s">
        <v>112</v>
      </c>
      <c r="G467" s="1">
        <v>1296258</v>
      </c>
    </row>
    <row r="468" spans="1:7" x14ac:dyDescent="0.35">
      <c r="A468" s="1" t="str">
        <f t="shared" si="7"/>
        <v>17</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1111</v>
      </c>
      <c r="D468" s="1" t="s">
        <v>1112</v>
      </c>
      <c r="E468" s="1" t="s">
        <v>1113</v>
      </c>
      <c r="F468" s="1" t="s">
        <v>112</v>
      </c>
      <c r="G468" s="1">
        <v>888751</v>
      </c>
    </row>
    <row r="469" spans="1:7" x14ac:dyDescent="0.35">
      <c r="A469" s="1" t="str">
        <f t="shared" si="7"/>
        <v>17</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1114</v>
      </c>
      <c r="D469" s="1" t="s">
        <v>1115</v>
      </c>
      <c r="E469" s="1" t="s">
        <v>1116</v>
      </c>
      <c r="F469" s="1" t="s">
        <v>112</v>
      </c>
      <c r="G469" s="1">
        <v>1135764</v>
      </c>
    </row>
    <row r="470" spans="1:7" x14ac:dyDescent="0.35">
      <c r="A470" s="1" t="str">
        <f t="shared" si="7"/>
        <v>17</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70" s="1" t="s">
        <v>1117</v>
      </c>
      <c r="D470" s="1" t="s">
        <v>1118</v>
      </c>
      <c r="E470" s="1" t="s">
        <v>1119</v>
      </c>
      <c r="F470" s="1" t="s">
        <v>112</v>
      </c>
      <c r="G470" s="1">
        <v>824726</v>
      </c>
    </row>
    <row r="471" spans="1:7" x14ac:dyDescent="0.35">
      <c r="A471" s="1" t="str">
        <f t="shared" si="7"/>
        <v>17</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1120</v>
      </c>
      <c r="D471" s="1" t="s">
        <v>1121</v>
      </c>
      <c r="E471" s="1" t="s">
        <v>1122</v>
      </c>
      <c r="F471" s="1" t="s">
        <v>112</v>
      </c>
      <c r="G471" s="1">
        <v>899998</v>
      </c>
    </row>
    <row r="472" spans="1:7" x14ac:dyDescent="0.35">
      <c r="A472" s="1" t="str">
        <f t="shared" si="7"/>
        <v>17</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1123</v>
      </c>
      <c r="D472" s="1" t="s">
        <v>1124</v>
      </c>
      <c r="E472" s="1" t="s">
        <v>1125</v>
      </c>
      <c r="F472" s="1" t="s">
        <v>112</v>
      </c>
      <c r="G472" s="1">
        <v>1060838</v>
      </c>
    </row>
    <row r="473" spans="1:7" x14ac:dyDescent="0.35">
      <c r="A473" s="1" t="str">
        <f t="shared" si="7"/>
        <v>17</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3" s="1" t="s">
        <v>1126</v>
      </c>
    </row>
    <row r="474" spans="1:7" x14ac:dyDescent="0.35">
      <c r="A474" s="1" t="str">
        <f t="shared" si="7"/>
        <v>17</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1127</v>
      </c>
      <c r="D474" s="1" t="s">
        <v>1128</v>
      </c>
      <c r="E474" s="1" t="s">
        <v>1129</v>
      </c>
      <c r="F474" s="1" t="s">
        <v>112</v>
      </c>
      <c r="G474" s="1">
        <v>2915385</v>
      </c>
    </row>
    <row r="475" spans="1:7" x14ac:dyDescent="0.35">
      <c r="A475" s="1" t="str">
        <f t="shared" si="7"/>
        <v>17</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1130</v>
      </c>
      <c r="D475" s="1" t="s">
        <v>1131</v>
      </c>
      <c r="E475" s="1" t="s">
        <v>1132</v>
      </c>
      <c r="F475" s="1" t="s">
        <v>112</v>
      </c>
      <c r="G475" s="1">
        <v>3167914</v>
      </c>
    </row>
    <row r="476" spans="1:7" x14ac:dyDescent="0.35">
      <c r="A476" s="1" t="str">
        <f t="shared" si="7"/>
        <v>17</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6" s="1" t="s">
        <v>1133</v>
      </c>
      <c r="D476" s="1" t="s">
        <v>1134</v>
      </c>
      <c r="E476" s="1" t="s">
        <v>1135</v>
      </c>
      <c r="F476" s="1" t="s">
        <v>112</v>
      </c>
      <c r="G476" s="1">
        <v>2736744</v>
      </c>
    </row>
    <row r="477" spans="1:7" x14ac:dyDescent="0.35">
      <c r="A477" s="1" t="str">
        <f t="shared" si="7"/>
        <v>17</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1136</v>
      </c>
      <c r="D477" s="1" t="s">
        <v>1137</v>
      </c>
      <c r="E477" s="1" t="s">
        <v>1138</v>
      </c>
      <c r="F477" s="1" t="s">
        <v>112</v>
      </c>
      <c r="G477" s="1">
        <v>2025596</v>
      </c>
    </row>
    <row r="478" spans="1:7" x14ac:dyDescent="0.35">
      <c r="A478" s="1" t="str">
        <f t="shared" si="7"/>
        <v>17</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1139</v>
      </c>
      <c r="D478" s="1" t="s">
        <v>1140</v>
      </c>
      <c r="E478" s="1" t="s">
        <v>1141</v>
      </c>
      <c r="F478" s="1" t="s">
        <v>112</v>
      </c>
      <c r="G478" s="1">
        <v>2146356</v>
      </c>
    </row>
    <row r="479" spans="1:7" x14ac:dyDescent="0.35">
      <c r="A479" s="1" t="str">
        <f t="shared" si="7"/>
        <v>17</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9" s="1" t="s">
        <v>1142</v>
      </c>
      <c r="D479" s="1" t="s">
        <v>1143</v>
      </c>
      <c r="E479" s="1" t="s">
        <v>1144</v>
      </c>
      <c r="F479" s="1" t="s">
        <v>112</v>
      </c>
      <c r="G479" s="1">
        <v>2028235</v>
      </c>
    </row>
    <row r="480" spans="1:7" x14ac:dyDescent="0.35">
      <c r="A480" s="1" t="str">
        <f t="shared" si="7"/>
        <v>17</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1145</v>
      </c>
    </row>
    <row r="481" spans="1:8" x14ac:dyDescent="0.35">
      <c r="A481" s="1" t="str">
        <f t="shared" si="7"/>
        <v>17</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1146</v>
      </c>
    </row>
    <row r="482" spans="1:8" x14ac:dyDescent="0.35">
      <c r="A482" s="1" t="str">
        <f t="shared" si="7"/>
        <v>17</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2" s="1" t="s">
        <v>1147</v>
      </c>
    </row>
    <row r="483" spans="1:8" x14ac:dyDescent="0.35">
      <c r="A483" s="1" t="str">
        <f t="shared" si="7"/>
        <v>17</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1148</v>
      </c>
      <c r="D483" s="1" t="s">
        <v>1149</v>
      </c>
      <c r="E483" s="1" t="s">
        <v>1150</v>
      </c>
      <c r="F483" s="1" t="s">
        <v>112</v>
      </c>
      <c r="G483" s="1">
        <v>1268896</v>
      </c>
    </row>
    <row r="484" spans="1:8" x14ac:dyDescent="0.35">
      <c r="A484" s="1" t="str">
        <f t="shared" si="7"/>
        <v>17</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1151</v>
      </c>
      <c r="D484" s="1" t="s">
        <v>1152</v>
      </c>
      <c r="E484" s="1" t="s">
        <v>1153</v>
      </c>
      <c r="F484" s="1" t="s">
        <v>112</v>
      </c>
      <c r="G484" s="1">
        <v>1332207</v>
      </c>
    </row>
    <row r="485" spans="1:8" x14ac:dyDescent="0.35">
      <c r="A485" s="1" t="str">
        <f t="shared" si="7"/>
        <v>17</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5" s="1" t="s">
        <v>1154</v>
      </c>
      <c r="D485" s="1" t="s">
        <v>1155</v>
      </c>
      <c r="E485" s="1" t="s">
        <v>1156</v>
      </c>
      <c r="F485" s="1" t="s">
        <v>112</v>
      </c>
      <c r="G485" s="1">
        <v>1121229</v>
      </c>
    </row>
    <row r="486" spans="1:8" x14ac:dyDescent="0.35">
      <c r="A486" s="1" t="str">
        <f t="shared" si="7"/>
        <v>17</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1157</v>
      </c>
      <c r="D486" s="1" t="s">
        <v>1158</v>
      </c>
      <c r="E486" s="1" t="s">
        <v>1159</v>
      </c>
      <c r="F486" s="1" t="s">
        <v>112</v>
      </c>
      <c r="G486" s="1">
        <v>1269696</v>
      </c>
    </row>
    <row r="487" spans="1:8" x14ac:dyDescent="0.35">
      <c r="A487" s="1" t="str">
        <f t="shared" si="7"/>
        <v>17</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1160</v>
      </c>
    </row>
    <row r="488" spans="1:8" x14ac:dyDescent="0.35">
      <c r="A488" s="1" t="str">
        <f t="shared" si="7"/>
        <v>17</v>
      </c>
      <c r="B4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8" s="1" t="s">
        <v>1161</v>
      </c>
      <c r="D488" s="1" t="s">
        <v>1162</v>
      </c>
      <c r="E488" s="1" t="s">
        <v>1163</v>
      </c>
      <c r="F488" s="1" t="s">
        <v>112</v>
      </c>
      <c r="G488" s="1">
        <v>934260</v>
      </c>
    </row>
    <row r="489" spans="1:8" x14ac:dyDescent="0.3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112</v>
      </c>
    </row>
    <row r="490" spans="1:8" x14ac:dyDescent="0.35">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0" s="1" t="s">
        <v>227</v>
      </c>
      <c r="D490" s="1" t="s">
        <v>112</v>
      </c>
      <c r="E490" s="1" t="s">
        <v>228</v>
      </c>
      <c r="F490" s="1" t="s">
        <v>229</v>
      </c>
      <c r="G490" s="1" t="s">
        <v>230</v>
      </c>
      <c r="H490" s="1" t="s">
        <v>231</v>
      </c>
    </row>
    <row r="491" spans="1:8" x14ac:dyDescent="0.35">
      <c r="A491" s="1" t="str">
        <f t="shared" si="7"/>
        <v>17</v>
      </c>
      <c r="B4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1" s="1" t="s">
        <v>1164</v>
      </c>
      <c r="D491" s="1" t="s">
        <v>112</v>
      </c>
      <c r="E491" s="1" t="s">
        <v>1165</v>
      </c>
      <c r="F491" s="1" t="s">
        <v>1166</v>
      </c>
      <c r="G491" s="1" t="s">
        <v>1167</v>
      </c>
      <c r="H491" s="1" t="s">
        <v>1168</v>
      </c>
    </row>
    <row r="492" spans="1:8" x14ac:dyDescent="0.3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8" x14ac:dyDescent="0.3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8" x14ac:dyDescent="0.3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8" x14ac:dyDescent="0.3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8" x14ac:dyDescent="0.3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112</v>
      </c>
    </row>
    <row r="497" spans="1:7" x14ac:dyDescent="0.35">
      <c r="A497" s="1" t="str">
        <f t="shared" si="7"/>
        <v/>
      </c>
      <c r="B4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7" s="1" t="s">
        <v>171</v>
      </c>
      <c r="D497" s="1" t="s">
        <v>110</v>
      </c>
      <c r="E497" s="1" t="s">
        <v>111</v>
      </c>
      <c r="F497" s="1" t="s">
        <v>112</v>
      </c>
      <c r="G497" s="1" t="s">
        <v>113</v>
      </c>
    </row>
    <row r="498" spans="1:7" x14ac:dyDescent="0.35">
      <c r="A498" s="1" t="str">
        <f t="shared" si="7"/>
        <v>18</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1169</v>
      </c>
      <c r="D498" s="1" t="s">
        <v>1170</v>
      </c>
      <c r="E498" s="1" t="s">
        <v>1171</v>
      </c>
      <c r="F498" s="1" t="s">
        <v>112</v>
      </c>
      <c r="G498" s="1">
        <v>1321911</v>
      </c>
    </row>
    <row r="499" spans="1:7" x14ac:dyDescent="0.35">
      <c r="A499" s="1" t="str">
        <f t="shared" si="7"/>
        <v>18</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1172</v>
      </c>
      <c r="D499" s="1" t="s">
        <v>1173</v>
      </c>
      <c r="E499" s="1" t="s">
        <v>1174</v>
      </c>
      <c r="F499" s="1" t="s">
        <v>112</v>
      </c>
      <c r="G499" s="1">
        <v>1314665</v>
      </c>
    </row>
    <row r="500" spans="1:7" x14ac:dyDescent="0.35">
      <c r="A500" s="1" t="str">
        <f t="shared" si="7"/>
        <v>18</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00" s="1" t="s">
        <v>1175</v>
      </c>
      <c r="D500" s="1" t="s">
        <v>1176</v>
      </c>
      <c r="E500" s="1" t="s">
        <v>1177</v>
      </c>
      <c r="F500" s="1" t="s">
        <v>112</v>
      </c>
      <c r="G500" s="1">
        <v>1792664</v>
      </c>
    </row>
    <row r="501" spans="1:7" x14ac:dyDescent="0.35">
      <c r="A501" s="1" t="str">
        <f t="shared" si="7"/>
        <v>18</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1178</v>
      </c>
      <c r="D501" s="1" t="s">
        <v>1179</v>
      </c>
      <c r="E501" s="1" t="s">
        <v>1180</v>
      </c>
      <c r="F501" s="1" t="s">
        <v>112</v>
      </c>
      <c r="G501" s="1">
        <v>892017</v>
      </c>
    </row>
    <row r="502" spans="1:7" x14ac:dyDescent="0.35">
      <c r="A502" s="1" t="str">
        <f t="shared" si="7"/>
        <v>18</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1181</v>
      </c>
      <c r="D502" s="1" t="s">
        <v>1182</v>
      </c>
      <c r="E502" s="1" t="s">
        <v>1183</v>
      </c>
      <c r="F502" s="1" t="s">
        <v>112</v>
      </c>
      <c r="G502" s="1">
        <v>823580</v>
      </c>
    </row>
    <row r="503" spans="1:7" x14ac:dyDescent="0.35">
      <c r="A503" s="1" t="str">
        <f t="shared" si="7"/>
        <v>18</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3" s="1" t="s">
        <v>1184</v>
      </c>
    </row>
    <row r="504" spans="1:7" x14ac:dyDescent="0.35">
      <c r="A504" s="1" t="str">
        <f t="shared" si="7"/>
        <v>18</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1185</v>
      </c>
      <c r="D504" s="1" t="s">
        <v>1186</v>
      </c>
      <c r="E504" s="1" t="s">
        <v>1187</v>
      </c>
      <c r="F504" s="1" t="s">
        <v>112</v>
      </c>
      <c r="G504" s="1">
        <v>1060817</v>
      </c>
    </row>
    <row r="505" spans="1:7" x14ac:dyDescent="0.35">
      <c r="A505" s="1" t="str">
        <f t="shared" si="7"/>
        <v>18</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1188</v>
      </c>
      <c r="D505" s="1" t="s">
        <v>1189</v>
      </c>
      <c r="E505" s="1" t="s">
        <v>1190</v>
      </c>
      <c r="F505" s="1" t="s">
        <v>112</v>
      </c>
      <c r="G505" s="1">
        <v>1105785</v>
      </c>
    </row>
    <row r="506" spans="1:7" x14ac:dyDescent="0.35">
      <c r="A506" s="1" t="str">
        <f t="shared" si="7"/>
        <v>18</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6" s="1" t="s">
        <v>1191</v>
      </c>
      <c r="D506" s="1" t="s">
        <v>1186</v>
      </c>
      <c r="E506" s="1" t="s">
        <v>1192</v>
      </c>
      <c r="F506" s="1" t="s">
        <v>112</v>
      </c>
      <c r="G506" s="1">
        <v>1016237</v>
      </c>
    </row>
    <row r="507" spans="1:7" x14ac:dyDescent="0.35">
      <c r="A507" s="1" t="str">
        <f t="shared" si="7"/>
        <v>18</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1193</v>
      </c>
      <c r="D507" s="1" t="s">
        <v>1194</v>
      </c>
      <c r="E507" s="1" t="s">
        <v>1195</v>
      </c>
      <c r="F507" s="1" t="s">
        <v>112</v>
      </c>
      <c r="G507" s="1">
        <v>328753</v>
      </c>
    </row>
    <row r="508" spans="1:7" x14ac:dyDescent="0.35">
      <c r="A508" s="1" t="str">
        <f t="shared" si="7"/>
        <v>18</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1196</v>
      </c>
      <c r="D508" s="1" t="s">
        <v>1197</v>
      </c>
      <c r="E508" s="1" t="s">
        <v>1198</v>
      </c>
      <c r="F508" s="1" t="s">
        <v>112</v>
      </c>
      <c r="G508" s="1">
        <v>56649</v>
      </c>
    </row>
    <row r="509" spans="1:7" x14ac:dyDescent="0.35">
      <c r="A509" s="1" t="str">
        <f t="shared" si="7"/>
        <v>18</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9" s="1" t="s">
        <v>1199</v>
      </c>
      <c r="D509" s="1" t="s">
        <v>1200</v>
      </c>
      <c r="E509" s="1" t="s">
        <v>1201</v>
      </c>
      <c r="F509" s="1" t="s">
        <v>112</v>
      </c>
      <c r="G509" s="1">
        <v>272342</v>
      </c>
    </row>
    <row r="510" spans="1:7" x14ac:dyDescent="0.35">
      <c r="A510" s="1" t="str">
        <f t="shared" si="7"/>
        <v>18</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1202</v>
      </c>
      <c r="D510" s="1" t="s">
        <v>1203</v>
      </c>
      <c r="E510" s="1" t="s">
        <v>1204</v>
      </c>
      <c r="F510" s="1" t="s">
        <v>112</v>
      </c>
      <c r="G510" s="1">
        <v>847308</v>
      </c>
    </row>
    <row r="511" spans="1:7" x14ac:dyDescent="0.35">
      <c r="A511" s="1" t="str">
        <f t="shared" si="7"/>
        <v>18</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1205</v>
      </c>
      <c r="D511" s="1" t="s">
        <v>1206</v>
      </c>
      <c r="E511" s="1" t="s">
        <v>1207</v>
      </c>
      <c r="F511" s="1" t="s">
        <v>112</v>
      </c>
      <c r="G511" s="1">
        <v>1422014</v>
      </c>
    </row>
    <row r="512" spans="1:7" x14ac:dyDescent="0.35">
      <c r="A512" s="1" t="str">
        <f t="shared" si="7"/>
        <v>18</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2" s="1" t="s">
        <v>1208</v>
      </c>
      <c r="D512" s="1" t="s">
        <v>1209</v>
      </c>
      <c r="E512" s="1" t="s">
        <v>1210</v>
      </c>
      <c r="F512" s="1" t="s">
        <v>112</v>
      </c>
      <c r="G512" s="1">
        <v>1828613</v>
      </c>
    </row>
    <row r="513" spans="1:8" x14ac:dyDescent="0.35">
      <c r="A513" s="1" t="str">
        <f t="shared" si="7"/>
        <v>18</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1211</v>
      </c>
      <c r="D513" s="1" t="s">
        <v>1212</v>
      </c>
      <c r="E513" s="1" t="s">
        <v>1213</v>
      </c>
      <c r="F513" s="1" t="s">
        <v>112</v>
      </c>
      <c r="G513" s="1">
        <v>1383599</v>
      </c>
    </row>
    <row r="514" spans="1:8" x14ac:dyDescent="0.35">
      <c r="A514" s="1" t="str">
        <f t="shared" ref="A514:A577" si="8">IFERROR(LEFT(RIGHT(C514,LEN(C514)-SEARCH("@",C514)),SEARCH("/",RIGHT(C514,LEN(C514)-SEARCH("@",C514)-1))),"")</f>
        <v>18</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1214</v>
      </c>
      <c r="D514" s="1" t="s">
        <v>1215</v>
      </c>
      <c r="E514" s="1" t="s">
        <v>1216</v>
      </c>
      <c r="F514" s="1" t="s">
        <v>112</v>
      </c>
      <c r="G514" s="1">
        <v>855852</v>
      </c>
    </row>
    <row r="515" spans="1:8" x14ac:dyDescent="0.35">
      <c r="A515" s="1" t="str">
        <f t="shared" si="8"/>
        <v>18</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5" s="1" t="s">
        <v>1217</v>
      </c>
      <c r="D515" s="1" t="s">
        <v>1218</v>
      </c>
      <c r="E515" s="1" t="s">
        <v>1219</v>
      </c>
      <c r="F515" s="1" t="s">
        <v>112</v>
      </c>
      <c r="G515" s="1">
        <v>1172795</v>
      </c>
    </row>
    <row r="516" spans="1:8" x14ac:dyDescent="0.35">
      <c r="A516" s="1" t="str">
        <f t="shared" si="8"/>
        <v>18</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1220</v>
      </c>
    </row>
    <row r="517" spans="1:8" x14ac:dyDescent="0.35">
      <c r="A517" s="1" t="str">
        <f t="shared" si="8"/>
        <v>18</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1221</v>
      </c>
      <c r="D517" s="1" t="s">
        <v>1222</v>
      </c>
      <c r="E517" s="1" t="s">
        <v>1223</v>
      </c>
      <c r="F517" s="1" t="s">
        <v>112</v>
      </c>
      <c r="G517" s="1">
        <v>538649</v>
      </c>
    </row>
    <row r="518" spans="1:8" x14ac:dyDescent="0.35">
      <c r="A518" s="1" t="str">
        <f t="shared" si="8"/>
        <v>18</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8" s="1" t="s">
        <v>1224</v>
      </c>
      <c r="D518" s="1" t="s">
        <v>1225</v>
      </c>
      <c r="E518" s="1" t="s">
        <v>1226</v>
      </c>
      <c r="F518" s="1" t="s">
        <v>112</v>
      </c>
      <c r="G518" s="1">
        <v>355336</v>
      </c>
    </row>
    <row r="519" spans="1:8" x14ac:dyDescent="0.35">
      <c r="A519" s="1" t="str">
        <f t="shared" si="8"/>
        <v>18</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1227</v>
      </c>
      <c r="D519" s="1" t="s">
        <v>1228</v>
      </c>
      <c r="E519" s="1" t="s">
        <v>1229</v>
      </c>
      <c r="F519" s="1" t="s">
        <v>112</v>
      </c>
      <c r="G519" s="1">
        <v>222009</v>
      </c>
    </row>
    <row r="520" spans="1:8" x14ac:dyDescent="0.35">
      <c r="A520" s="1" t="str">
        <f t="shared" si="8"/>
        <v>18</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1230</v>
      </c>
      <c r="D520" s="1" t="s">
        <v>1231</v>
      </c>
      <c r="E520" s="1" t="s">
        <v>1232</v>
      </c>
      <c r="F520" s="1" t="s">
        <v>112</v>
      </c>
      <c r="G520" s="1">
        <v>236263</v>
      </c>
    </row>
    <row r="521" spans="1:8" x14ac:dyDescent="0.35">
      <c r="A521" s="1" t="str">
        <f t="shared" si="8"/>
        <v>18</v>
      </c>
      <c r="B5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1" s="1" t="s">
        <v>1233</v>
      </c>
      <c r="D521" s="1" t="s">
        <v>1234</v>
      </c>
      <c r="E521" s="1" t="s">
        <v>1235</v>
      </c>
      <c r="F521" s="1" t="s">
        <v>112</v>
      </c>
      <c r="G521" s="1">
        <v>138648</v>
      </c>
    </row>
    <row r="522" spans="1:8" x14ac:dyDescent="0.3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112</v>
      </c>
    </row>
    <row r="523" spans="1:8" x14ac:dyDescent="0.35">
      <c r="A523" s="1" t="str">
        <f t="shared" si="8"/>
        <v/>
      </c>
      <c r="B5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3" s="1" t="s">
        <v>227</v>
      </c>
      <c r="D523" s="1" t="s">
        <v>112</v>
      </c>
      <c r="E523" s="1" t="s">
        <v>228</v>
      </c>
      <c r="F523" s="1" t="s">
        <v>229</v>
      </c>
      <c r="G523" s="1" t="s">
        <v>230</v>
      </c>
      <c r="H523" s="1" t="s">
        <v>231</v>
      </c>
    </row>
    <row r="524" spans="1:8" x14ac:dyDescent="0.35">
      <c r="A524" s="1" t="str">
        <f t="shared" si="8"/>
        <v>18</v>
      </c>
      <c r="B5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4" s="1" t="s">
        <v>1236</v>
      </c>
      <c r="D524" s="1" t="s">
        <v>112</v>
      </c>
      <c r="E524" s="1" t="s">
        <v>1237</v>
      </c>
      <c r="F524" s="1" t="s">
        <v>1238</v>
      </c>
      <c r="G524" s="1">
        <v>840727</v>
      </c>
      <c r="H524" s="1" t="s">
        <v>1239</v>
      </c>
    </row>
    <row r="525" spans="1:8" x14ac:dyDescent="0.3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8" x14ac:dyDescent="0.3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8" x14ac:dyDescent="0.3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8" x14ac:dyDescent="0.3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3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112</v>
      </c>
    </row>
    <row r="530" spans="1:7" x14ac:dyDescent="0.35">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30" s="1" t="s">
        <v>171</v>
      </c>
      <c r="D530" s="1" t="s">
        <v>110</v>
      </c>
      <c r="E530" s="1" t="s">
        <v>111</v>
      </c>
      <c r="F530" s="1" t="s">
        <v>112</v>
      </c>
      <c r="G530" s="1" t="s">
        <v>113</v>
      </c>
    </row>
    <row r="531" spans="1:7" x14ac:dyDescent="0.35">
      <c r="A531" s="1" t="str">
        <f t="shared" si="8"/>
        <v>19</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1240</v>
      </c>
      <c r="D531" s="1" t="s">
        <v>1241</v>
      </c>
      <c r="E531" s="1" t="s">
        <v>1242</v>
      </c>
      <c r="F531" s="1" t="s">
        <v>112</v>
      </c>
      <c r="G531" s="1">
        <v>27081</v>
      </c>
    </row>
    <row r="532" spans="1:7" x14ac:dyDescent="0.35">
      <c r="A532" s="1" t="str">
        <f t="shared" si="8"/>
        <v>19</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1243</v>
      </c>
      <c r="D532" s="1" t="s">
        <v>1244</v>
      </c>
      <c r="E532" s="1" t="s">
        <v>1245</v>
      </c>
      <c r="F532" s="1" t="s">
        <v>112</v>
      </c>
      <c r="G532" s="1">
        <v>55135</v>
      </c>
    </row>
    <row r="533" spans="1:7" x14ac:dyDescent="0.35">
      <c r="A533" s="1" t="str">
        <f t="shared" si="8"/>
        <v>19</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3" s="1" t="s">
        <v>1246</v>
      </c>
      <c r="D533" s="1" t="s">
        <v>1247</v>
      </c>
      <c r="E533" s="1" t="s">
        <v>1248</v>
      </c>
      <c r="F533" s="1" t="s">
        <v>112</v>
      </c>
      <c r="G533" s="1">
        <v>164560</v>
      </c>
    </row>
    <row r="534" spans="1:7" x14ac:dyDescent="0.35">
      <c r="A534" s="1" t="str">
        <f t="shared" si="8"/>
        <v>19</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1249</v>
      </c>
      <c r="D534" s="1" t="s">
        <v>1250</v>
      </c>
      <c r="E534" s="1" t="s">
        <v>1251</v>
      </c>
      <c r="F534" s="1" t="s">
        <v>112</v>
      </c>
      <c r="G534" s="1">
        <v>552168</v>
      </c>
    </row>
    <row r="535" spans="1:7" x14ac:dyDescent="0.35">
      <c r="A535" s="1" t="str">
        <f t="shared" si="8"/>
        <v>19</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1252</v>
      </c>
      <c r="D535" s="1" t="s">
        <v>1253</v>
      </c>
      <c r="E535" s="1" t="s">
        <v>1254</v>
      </c>
      <c r="F535" s="1" t="s">
        <v>112</v>
      </c>
      <c r="G535" s="1">
        <v>1061855</v>
      </c>
    </row>
    <row r="536" spans="1:7" x14ac:dyDescent="0.35">
      <c r="A536" s="1" t="str">
        <f t="shared" si="8"/>
        <v>19</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6" s="1" t="s">
        <v>1255</v>
      </c>
      <c r="D536" s="1" t="s">
        <v>1256</v>
      </c>
      <c r="E536" s="1" t="s">
        <v>1257</v>
      </c>
      <c r="F536" s="1" t="s">
        <v>112</v>
      </c>
      <c r="G536" s="1">
        <v>900128</v>
      </c>
    </row>
    <row r="537" spans="1:7" x14ac:dyDescent="0.35">
      <c r="A537" s="1" t="str">
        <f t="shared" si="8"/>
        <v>19</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1258</v>
      </c>
      <c r="D537" s="1" t="s">
        <v>1259</v>
      </c>
      <c r="E537" s="1" t="s">
        <v>1260</v>
      </c>
      <c r="F537" s="1" t="s">
        <v>112</v>
      </c>
      <c r="G537" s="1">
        <v>2422938</v>
      </c>
    </row>
    <row r="538" spans="1:7" x14ac:dyDescent="0.35">
      <c r="A538" s="1" t="str">
        <f t="shared" si="8"/>
        <v>19</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1261</v>
      </c>
      <c r="D538" s="1" t="s">
        <v>1262</v>
      </c>
      <c r="E538" s="1" t="s">
        <v>1263</v>
      </c>
      <c r="F538" s="1" t="s">
        <v>112</v>
      </c>
      <c r="G538" s="1">
        <v>1967650</v>
      </c>
    </row>
    <row r="539" spans="1:7" x14ac:dyDescent="0.35">
      <c r="A539" s="1" t="str">
        <f t="shared" si="8"/>
        <v>19</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9" s="1" t="s">
        <v>1264</v>
      </c>
      <c r="D539" s="1" t="s">
        <v>1265</v>
      </c>
      <c r="E539" s="1" t="s">
        <v>1266</v>
      </c>
      <c r="F539" s="1" t="s">
        <v>112</v>
      </c>
      <c r="G539" s="1">
        <v>2103291</v>
      </c>
    </row>
    <row r="540" spans="1:7" x14ac:dyDescent="0.35">
      <c r="A540" s="1" t="str">
        <f t="shared" si="8"/>
        <v>19</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1267</v>
      </c>
      <c r="D540" s="1" t="s">
        <v>1268</v>
      </c>
      <c r="E540" s="1" t="s">
        <v>1269</v>
      </c>
      <c r="F540" s="1" t="s">
        <v>112</v>
      </c>
      <c r="G540" s="1">
        <v>552622</v>
      </c>
    </row>
    <row r="541" spans="1:7" x14ac:dyDescent="0.35">
      <c r="A541" s="1" t="str">
        <f t="shared" si="8"/>
        <v>19</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1270</v>
      </c>
      <c r="D541" s="1" t="s">
        <v>1271</v>
      </c>
      <c r="E541" s="1" t="s">
        <v>1272</v>
      </c>
      <c r="F541" s="1" t="s">
        <v>112</v>
      </c>
      <c r="G541" s="1">
        <v>818843</v>
      </c>
    </row>
    <row r="542" spans="1:7" x14ac:dyDescent="0.35">
      <c r="A542" s="1" t="str">
        <f t="shared" si="8"/>
        <v>19</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2" s="1" t="s">
        <v>1273</v>
      </c>
      <c r="D542" s="1" t="s">
        <v>1203</v>
      </c>
      <c r="E542" s="1" t="s">
        <v>1274</v>
      </c>
      <c r="F542" s="1" t="s">
        <v>112</v>
      </c>
      <c r="G542" s="1">
        <v>805952</v>
      </c>
    </row>
    <row r="543" spans="1:7" x14ac:dyDescent="0.35">
      <c r="A543" s="1" t="str">
        <f t="shared" si="8"/>
        <v>19</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1275</v>
      </c>
      <c r="D543" s="1" t="s">
        <v>1276</v>
      </c>
      <c r="E543" s="1" t="s">
        <v>1277</v>
      </c>
      <c r="F543" s="1" t="s">
        <v>112</v>
      </c>
      <c r="G543" s="1">
        <v>1776896</v>
      </c>
    </row>
    <row r="544" spans="1:7" x14ac:dyDescent="0.35">
      <c r="A544" s="1" t="str">
        <f t="shared" si="8"/>
        <v>19</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1278</v>
      </c>
      <c r="D544" s="1" t="s">
        <v>1279</v>
      </c>
      <c r="E544" s="1" t="s">
        <v>1280</v>
      </c>
      <c r="F544" s="1" t="s">
        <v>112</v>
      </c>
      <c r="G544" s="1">
        <v>2200301</v>
      </c>
    </row>
    <row r="545" spans="1:8" x14ac:dyDescent="0.35">
      <c r="A545" s="1" t="str">
        <f t="shared" si="8"/>
        <v>19</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5" s="1" t="s">
        <v>1281</v>
      </c>
      <c r="D545" s="1" t="s">
        <v>1282</v>
      </c>
      <c r="E545" s="1" t="s">
        <v>1283</v>
      </c>
      <c r="F545" s="1" t="s">
        <v>112</v>
      </c>
      <c r="G545" s="1">
        <v>2338473</v>
      </c>
    </row>
    <row r="546" spans="1:8" x14ac:dyDescent="0.35">
      <c r="A546" s="1" t="str">
        <f t="shared" si="8"/>
        <v>19</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1284</v>
      </c>
    </row>
    <row r="547" spans="1:8" x14ac:dyDescent="0.35">
      <c r="A547" s="1" t="str">
        <f t="shared" si="8"/>
        <v>19</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1285</v>
      </c>
      <c r="D547" s="1" t="s">
        <v>1286</v>
      </c>
      <c r="E547" s="1" t="s">
        <v>1287</v>
      </c>
      <c r="F547" s="1" t="s">
        <v>112</v>
      </c>
      <c r="G547" s="1">
        <v>3353715</v>
      </c>
    </row>
    <row r="548" spans="1:8" x14ac:dyDescent="0.35">
      <c r="A548" s="1" t="str">
        <f t="shared" si="8"/>
        <v>19</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8" s="1" t="s">
        <v>1288</v>
      </c>
      <c r="D548" s="1" t="s">
        <v>1289</v>
      </c>
      <c r="E548" s="1" t="s">
        <v>1290</v>
      </c>
      <c r="F548" s="1" t="s">
        <v>112</v>
      </c>
      <c r="G548" s="1">
        <v>3482586</v>
      </c>
    </row>
    <row r="549" spans="1:8" x14ac:dyDescent="0.35">
      <c r="A549" s="1" t="str">
        <f t="shared" si="8"/>
        <v>19</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1291</v>
      </c>
      <c r="D549" s="1" t="s">
        <v>1292</v>
      </c>
      <c r="E549" s="1" t="s">
        <v>1293</v>
      </c>
      <c r="F549" s="1" t="s">
        <v>112</v>
      </c>
      <c r="G549" s="1">
        <v>1379295</v>
      </c>
    </row>
    <row r="550" spans="1:8" x14ac:dyDescent="0.35">
      <c r="A550" s="1" t="str">
        <f t="shared" si="8"/>
        <v>19</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1294</v>
      </c>
      <c r="D550" s="1" t="s">
        <v>1295</v>
      </c>
      <c r="E550" s="1" t="s">
        <v>1296</v>
      </c>
      <c r="F550" s="1" t="s">
        <v>112</v>
      </c>
      <c r="G550" s="1">
        <v>1034017</v>
      </c>
    </row>
    <row r="551" spans="1:8" x14ac:dyDescent="0.35">
      <c r="A551" s="1" t="str">
        <f t="shared" si="8"/>
        <v>19</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1" s="1" t="s">
        <v>1297</v>
      </c>
      <c r="D551" s="1" t="s">
        <v>1298</v>
      </c>
      <c r="E551" s="1" t="s">
        <v>1299</v>
      </c>
      <c r="F551" s="1" t="s">
        <v>112</v>
      </c>
      <c r="G551" s="1">
        <v>1048682</v>
      </c>
    </row>
    <row r="552" spans="1:8" x14ac:dyDescent="0.35">
      <c r="A552" s="1" t="str">
        <f t="shared" si="8"/>
        <v>19</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1300</v>
      </c>
      <c r="D552" s="1" t="s">
        <v>1301</v>
      </c>
      <c r="E552" s="1" t="s">
        <v>1302</v>
      </c>
      <c r="F552" s="1" t="s">
        <v>112</v>
      </c>
      <c r="G552" s="1">
        <v>595558</v>
      </c>
    </row>
    <row r="553" spans="1:8" x14ac:dyDescent="0.35">
      <c r="A553" s="1" t="str">
        <f t="shared" si="8"/>
        <v>19</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1303</v>
      </c>
      <c r="D553" s="1" t="s">
        <v>1304</v>
      </c>
      <c r="E553" s="1" t="s">
        <v>1305</v>
      </c>
      <c r="F553" s="1" t="s">
        <v>112</v>
      </c>
      <c r="G553" s="1">
        <v>747789</v>
      </c>
    </row>
    <row r="554" spans="1:8" x14ac:dyDescent="0.35">
      <c r="A554" s="1" t="str">
        <f t="shared" si="8"/>
        <v>19</v>
      </c>
      <c r="B5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4" s="1" t="s">
        <v>1306</v>
      </c>
      <c r="D554" s="1" t="s">
        <v>1307</v>
      </c>
      <c r="E554" s="1" t="s">
        <v>1308</v>
      </c>
      <c r="F554" s="1" t="s">
        <v>112</v>
      </c>
      <c r="G554" s="1">
        <v>1060276</v>
      </c>
    </row>
    <row r="555" spans="1:8" x14ac:dyDescent="0.3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112</v>
      </c>
    </row>
    <row r="556" spans="1:8" x14ac:dyDescent="0.35">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6" s="1" t="s">
        <v>227</v>
      </c>
      <c r="D556" s="1" t="s">
        <v>112</v>
      </c>
      <c r="E556" s="1" t="s">
        <v>228</v>
      </c>
      <c r="F556" s="1" t="s">
        <v>229</v>
      </c>
      <c r="G556" s="1" t="s">
        <v>230</v>
      </c>
      <c r="H556" s="1" t="s">
        <v>231</v>
      </c>
    </row>
    <row r="557" spans="1:8" x14ac:dyDescent="0.35">
      <c r="A557" s="1" t="str">
        <f t="shared" si="8"/>
        <v>19</v>
      </c>
      <c r="B5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7" s="1" t="s">
        <v>1309</v>
      </c>
      <c r="D557" s="1" t="s">
        <v>112</v>
      </c>
      <c r="E557" s="1" t="s">
        <v>1310</v>
      </c>
      <c r="F557" s="1" t="s">
        <v>1311</v>
      </c>
      <c r="G557" s="1" t="s">
        <v>1312</v>
      </c>
      <c r="H557" s="1" t="s">
        <v>1313</v>
      </c>
    </row>
    <row r="558" spans="1:8" x14ac:dyDescent="0.3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8" x14ac:dyDescent="0.3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8" x14ac:dyDescent="0.3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3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3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112</v>
      </c>
    </row>
    <row r="563" spans="1:7" x14ac:dyDescent="0.35">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3" s="1" t="s">
        <v>171</v>
      </c>
      <c r="D563" s="1" t="s">
        <v>110</v>
      </c>
      <c r="E563" s="1" t="s">
        <v>111</v>
      </c>
      <c r="F563" s="1" t="s">
        <v>112</v>
      </c>
      <c r="G563" s="1" t="s">
        <v>113</v>
      </c>
    </row>
    <row r="564" spans="1:7" x14ac:dyDescent="0.35">
      <c r="A564" s="1" t="str">
        <f t="shared" si="8"/>
        <v>20</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1314</v>
      </c>
      <c r="D564" s="1" t="s">
        <v>1315</v>
      </c>
      <c r="E564" s="1" t="s">
        <v>1316</v>
      </c>
      <c r="F564" s="1" t="s">
        <v>112</v>
      </c>
      <c r="G564" s="1">
        <v>1480437</v>
      </c>
    </row>
    <row r="565" spans="1:7" x14ac:dyDescent="0.35">
      <c r="A565" s="1" t="str">
        <f t="shared" si="8"/>
        <v>20</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1317</v>
      </c>
      <c r="D565" s="1" t="s">
        <v>1318</v>
      </c>
      <c r="E565" s="1" t="s">
        <v>1319</v>
      </c>
      <c r="F565" s="1" t="s">
        <v>112</v>
      </c>
      <c r="G565" s="1">
        <v>1098496</v>
      </c>
    </row>
    <row r="566" spans="1:7" x14ac:dyDescent="0.35">
      <c r="A566" s="1" t="str">
        <f t="shared" si="8"/>
        <v>20</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6" s="1" t="s">
        <v>1320</v>
      </c>
      <c r="D566" s="1" t="s">
        <v>1321</v>
      </c>
      <c r="E566" s="1" t="s">
        <v>1322</v>
      </c>
      <c r="F566" s="1" t="s">
        <v>112</v>
      </c>
      <c r="G566" s="1">
        <v>1620101</v>
      </c>
    </row>
    <row r="567" spans="1:7" x14ac:dyDescent="0.35">
      <c r="A567" s="1" t="str">
        <f t="shared" si="8"/>
        <v>20</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1323</v>
      </c>
      <c r="D567" s="1" t="s">
        <v>1324</v>
      </c>
      <c r="E567" s="1" t="s">
        <v>1325</v>
      </c>
      <c r="F567" s="1" t="s">
        <v>112</v>
      </c>
      <c r="G567" s="1">
        <v>585586</v>
      </c>
    </row>
    <row r="568" spans="1:7" x14ac:dyDescent="0.35">
      <c r="A568" s="1" t="str">
        <f t="shared" si="8"/>
        <v>20</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1326</v>
      </c>
      <c r="D568" s="1" t="s">
        <v>1327</v>
      </c>
      <c r="E568" s="1" t="s">
        <v>1328</v>
      </c>
      <c r="F568" s="1" t="s">
        <v>112</v>
      </c>
      <c r="G568" s="1">
        <v>759296</v>
      </c>
    </row>
    <row r="569" spans="1:7" x14ac:dyDescent="0.35">
      <c r="A569" s="1" t="str">
        <f t="shared" si="8"/>
        <v>20</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9" s="1" t="s">
        <v>1329</v>
      </c>
      <c r="D569" s="1" t="s">
        <v>1330</v>
      </c>
      <c r="E569" s="1" t="s">
        <v>1331</v>
      </c>
      <c r="F569" s="1" t="s">
        <v>112</v>
      </c>
      <c r="G569" s="1">
        <v>684911</v>
      </c>
    </row>
    <row r="570" spans="1:7" x14ac:dyDescent="0.35">
      <c r="A570" s="1" t="str">
        <f t="shared" si="8"/>
        <v>20</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1332</v>
      </c>
      <c r="D570" s="1" t="s">
        <v>1333</v>
      </c>
      <c r="E570" s="1" t="s">
        <v>1334</v>
      </c>
      <c r="F570" s="1" t="s">
        <v>112</v>
      </c>
      <c r="G570" s="1">
        <v>325227</v>
      </c>
    </row>
    <row r="571" spans="1:7" x14ac:dyDescent="0.35">
      <c r="A571" s="1" t="str">
        <f t="shared" si="8"/>
        <v>20</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1335</v>
      </c>
      <c r="D571" s="1" t="s">
        <v>1336</v>
      </c>
      <c r="E571" s="1" t="s">
        <v>1337</v>
      </c>
      <c r="F571" s="1" t="s">
        <v>112</v>
      </c>
      <c r="G571" s="1">
        <v>579876</v>
      </c>
    </row>
    <row r="572" spans="1:7" x14ac:dyDescent="0.35">
      <c r="A572" s="1" t="str">
        <f t="shared" si="8"/>
        <v>20</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2" s="1" t="s">
        <v>1338</v>
      </c>
      <c r="D572" s="1" t="s">
        <v>1339</v>
      </c>
      <c r="E572" s="1" t="s">
        <v>1340</v>
      </c>
      <c r="F572" s="1" t="s">
        <v>112</v>
      </c>
      <c r="G572" s="1">
        <v>229926</v>
      </c>
    </row>
    <row r="573" spans="1:7" x14ac:dyDescent="0.35">
      <c r="A573" s="1" t="str">
        <f t="shared" si="8"/>
        <v>20</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1341</v>
      </c>
      <c r="D573" s="1" t="s">
        <v>1342</v>
      </c>
      <c r="E573" s="1" t="s">
        <v>1343</v>
      </c>
      <c r="F573" s="1" t="s">
        <v>112</v>
      </c>
      <c r="G573" s="1">
        <v>1473515</v>
      </c>
    </row>
    <row r="574" spans="1:7" x14ac:dyDescent="0.35">
      <c r="A574" s="1" t="str">
        <f t="shared" si="8"/>
        <v>20</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1344</v>
      </c>
      <c r="D574" s="1" t="s">
        <v>1345</v>
      </c>
      <c r="E574" s="1" t="s">
        <v>1346</v>
      </c>
      <c r="F574" s="1" t="s">
        <v>112</v>
      </c>
      <c r="G574" s="1">
        <v>1255680</v>
      </c>
    </row>
    <row r="575" spans="1:7" x14ac:dyDescent="0.35">
      <c r="A575" s="1" t="str">
        <f t="shared" si="8"/>
        <v>20</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5" s="1" t="s">
        <v>1347</v>
      </c>
      <c r="D575" s="1" t="s">
        <v>1348</v>
      </c>
      <c r="E575" s="1" t="s">
        <v>1349</v>
      </c>
      <c r="F575" s="1" t="s">
        <v>112</v>
      </c>
      <c r="G575" s="1">
        <v>1111366</v>
      </c>
    </row>
    <row r="576" spans="1:7" x14ac:dyDescent="0.35">
      <c r="A576" s="1" t="str">
        <f t="shared" si="8"/>
        <v>20</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1350</v>
      </c>
      <c r="D576" s="1" t="s">
        <v>1351</v>
      </c>
      <c r="E576" s="1" t="s">
        <v>1352</v>
      </c>
      <c r="F576" s="1" t="s">
        <v>112</v>
      </c>
      <c r="G576" s="1">
        <v>732064</v>
      </c>
    </row>
    <row r="577" spans="1:8" x14ac:dyDescent="0.35">
      <c r="A577" s="1" t="str">
        <f t="shared" si="8"/>
        <v>20</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1353</v>
      </c>
      <c r="D577" s="1" t="s">
        <v>1354</v>
      </c>
      <c r="E577" s="1" t="s">
        <v>1355</v>
      </c>
      <c r="F577" s="1" t="s">
        <v>112</v>
      </c>
      <c r="G577" s="1">
        <v>821763</v>
      </c>
    </row>
    <row r="578" spans="1:8" x14ac:dyDescent="0.35">
      <c r="A578" s="1" t="str">
        <f t="shared" ref="A578:A641" si="9">IFERROR(LEFT(RIGHT(C578,LEN(C578)-SEARCH("@",C578)),SEARCH("/",RIGHT(C578,LEN(C578)-SEARCH("@",C578)-1))),"")</f>
        <v>20</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8" s="1" t="s">
        <v>1356</v>
      </c>
      <c r="D578" s="1" t="s">
        <v>1357</v>
      </c>
      <c r="E578" s="1" t="s">
        <v>1358</v>
      </c>
      <c r="F578" s="1" t="s">
        <v>112</v>
      </c>
      <c r="G578" s="1">
        <v>887366</v>
      </c>
    </row>
    <row r="579" spans="1:8" x14ac:dyDescent="0.35">
      <c r="A579" s="1" t="str">
        <f t="shared" si="9"/>
        <v>20</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1359</v>
      </c>
      <c r="D579" s="1" t="s">
        <v>1360</v>
      </c>
      <c r="E579" s="1" t="s">
        <v>1361</v>
      </c>
      <c r="F579" s="1" t="s">
        <v>112</v>
      </c>
      <c r="G579" s="1">
        <v>1212507</v>
      </c>
    </row>
    <row r="580" spans="1:8" x14ac:dyDescent="0.35">
      <c r="A580" s="1" t="str">
        <f t="shared" si="9"/>
        <v>20</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1362</v>
      </c>
      <c r="D580" s="1" t="s">
        <v>1363</v>
      </c>
      <c r="E580" s="1" t="s">
        <v>1364</v>
      </c>
      <c r="F580" s="1" t="s">
        <v>112</v>
      </c>
      <c r="G580" s="1">
        <v>1206818</v>
      </c>
    </row>
    <row r="581" spans="1:8" x14ac:dyDescent="0.35">
      <c r="A581" s="1" t="str">
        <f t="shared" si="9"/>
        <v>20</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1" s="1" t="s">
        <v>1365</v>
      </c>
      <c r="D581" s="1" t="s">
        <v>1366</v>
      </c>
      <c r="E581" s="1" t="s">
        <v>1367</v>
      </c>
      <c r="F581" s="1" t="s">
        <v>112</v>
      </c>
      <c r="G581" s="1">
        <v>1564923</v>
      </c>
    </row>
    <row r="582" spans="1:8" x14ac:dyDescent="0.35">
      <c r="A582" s="1" t="str">
        <f t="shared" si="9"/>
        <v>20</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1368</v>
      </c>
      <c r="D582" s="1" t="s">
        <v>1369</v>
      </c>
      <c r="E582" s="1" t="s">
        <v>1370</v>
      </c>
      <c r="F582" s="1" t="s">
        <v>112</v>
      </c>
      <c r="G582" s="1">
        <v>1024630</v>
      </c>
    </row>
    <row r="583" spans="1:8" x14ac:dyDescent="0.35">
      <c r="A583" s="1" t="str">
        <f t="shared" si="9"/>
        <v>20</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1371</v>
      </c>
      <c r="D583" s="1" t="s">
        <v>1372</v>
      </c>
      <c r="E583" s="1" t="s">
        <v>1373</v>
      </c>
      <c r="F583" s="1" t="s">
        <v>112</v>
      </c>
      <c r="G583" s="1">
        <v>1216227</v>
      </c>
    </row>
    <row r="584" spans="1:8" x14ac:dyDescent="0.35">
      <c r="A584" s="1" t="str">
        <f t="shared" si="9"/>
        <v>20</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4" s="1" t="s">
        <v>1374</v>
      </c>
      <c r="D584" s="1" t="s">
        <v>1375</v>
      </c>
      <c r="E584" s="1" t="s">
        <v>1376</v>
      </c>
      <c r="F584" s="1" t="s">
        <v>112</v>
      </c>
      <c r="G584" s="1">
        <v>806016</v>
      </c>
    </row>
    <row r="585" spans="1:8" x14ac:dyDescent="0.35">
      <c r="A585" s="1" t="str">
        <f t="shared" si="9"/>
        <v>20</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1377</v>
      </c>
      <c r="D585" s="1" t="s">
        <v>1378</v>
      </c>
      <c r="E585" s="1" t="s">
        <v>1379</v>
      </c>
      <c r="F585" s="1" t="s">
        <v>112</v>
      </c>
      <c r="G585" s="1">
        <v>1207229</v>
      </c>
    </row>
    <row r="586" spans="1:8" x14ac:dyDescent="0.35">
      <c r="A586" s="1" t="str">
        <f t="shared" si="9"/>
        <v>20</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1380</v>
      </c>
      <c r="D586" s="1" t="s">
        <v>1381</v>
      </c>
      <c r="E586" s="1" t="s">
        <v>1382</v>
      </c>
      <c r="F586" s="1" t="s">
        <v>112</v>
      </c>
      <c r="G586" s="1">
        <v>1240410</v>
      </c>
    </row>
    <row r="587" spans="1:8" x14ac:dyDescent="0.35">
      <c r="A587" s="1" t="str">
        <f t="shared" si="9"/>
        <v>20</v>
      </c>
      <c r="B5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7" s="1" t="s">
        <v>1383</v>
      </c>
      <c r="D587" s="1" t="s">
        <v>1256</v>
      </c>
      <c r="E587" s="1" t="s">
        <v>1384</v>
      </c>
      <c r="F587" s="1" t="s">
        <v>112</v>
      </c>
      <c r="G587" s="1">
        <v>963201</v>
      </c>
    </row>
    <row r="588" spans="1:8" x14ac:dyDescent="0.3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112</v>
      </c>
    </row>
    <row r="589" spans="1:8" x14ac:dyDescent="0.35">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9" s="1" t="s">
        <v>227</v>
      </c>
      <c r="D589" s="1" t="s">
        <v>112</v>
      </c>
      <c r="E589" s="1" t="s">
        <v>228</v>
      </c>
      <c r="F589" s="1" t="s">
        <v>229</v>
      </c>
      <c r="G589" s="1" t="s">
        <v>230</v>
      </c>
      <c r="H589" s="1" t="s">
        <v>231</v>
      </c>
    </row>
    <row r="590" spans="1:8" x14ac:dyDescent="0.35">
      <c r="A590" s="1" t="str">
        <f t="shared" si="9"/>
        <v>20</v>
      </c>
      <c r="B5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90" s="1" t="s">
        <v>1385</v>
      </c>
      <c r="D590" s="1" t="s">
        <v>112</v>
      </c>
      <c r="E590" s="1" t="s">
        <v>1386</v>
      </c>
      <c r="F590" s="1" t="s">
        <v>1387</v>
      </c>
      <c r="G590" s="1" t="s">
        <v>1388</v>
      </c>
      <c r="H590" s="1" t="s">
        <v>1389</v>
      </c>
    </row>
    <row r="591" spans="1:8" x14ac:dyDescent="0.3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8" x14ac:dyDescent="0.3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3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3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3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112</v>
      </c>
    </row>
    <row r="596" spans="1:7" x14ac:dyDescent="0.35">
      <c r="A596" s="1" t="str">
        <f t="shared" si="9"/>
        <v/>
      </c>
      <c r="B5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6" s="1" t="s">
        <v>171</v>
      </c>
      <c r="D596" s="1" t="s">
        <v>110</v>
      </c>
      <c r="E596" s="1" t="s">
        <v>111</v>
      </c>
      <c r="F596" s="1" t="s">
        <v>112</v>
      </c>
      <c r="G596" s="1" t="s">
        <v>113</v>
      </c>
    </row>
    <row r="597" spans="1:7" x14ac:dyDescent="0.35">
      <c r="A597" s="1" t="str">
        <f t="shared" si="9"/>
        <v>21</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1390</v>
      </c>
      <c r="D597" s="1" t="s">
        <v>1391</v>
      </c>
      <c r="E597" s="1" t="s">
        <v>1392</v>
      </c>
      <c r="F597" s="1" t="s">
        <v>112</v>
      </c>
      <c r="G597" s="1">
        <v>668083</v>
      </c>
    </row>
    <row r="598" spans="1:7" x14ac:dyDescent="0.35">
      <c r="A598" s="1" t="str">
        <f t="shared" si="9"/>
        <v>21</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1393</v>
      </c>
      <c r="D598" s="1" t="s">
        <v>1394</v>
      </c>
      <c r="E598" s="1" t="s">
        <v>1395</v>
      </c>
      <c r="F598" s="1" t="s">
        <v>112</v>
      </c>
      <c r="G598" s="1">
        <v>858901</v>
      </c>
    </row>
    <row r="599" spans="1:7" x14ac:dyDescent="0.35">
      <c r="A599" s="1" t="str">
        <f t="shared" si="9"/>
        <v>21</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9" s="1" t="s">
        <v>1396</v>
      </c>
      <c r="D599" s="1" t="s">
        <v>1397</v>
      </c>
      <c r="E599" s="1" t="s">
        <v>1398</v>
      </c>
      <c r="F599" s="1" t="s">
        <v>112</v>
      </c>
      <c r="G599" s="1">
        <v>785057</v>
      </c>
    </row>
    <row r="600" spans="1:7" x14ac:dyDescent="0.35">
      <c r="A600" s="1" t="str">
        <f t="shared" si="9"/>
        <v>21</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1399</v>
      </c>
      <c r="D600" s="1" t="s">
        <v>1400</v>
      </c>
      <c r="E600" s="1" t="s">
        <v>1401</v>
      </c>
      <c r="F600" s="1" t="s">
        <v>112</v>
      </c>
      <c r="G600" s="1">
        <v>295746</v>
      </c>
    </row>
    <row r="601" spans="1:7" x14ac:dyDescent="0.35">
      <c r="A601" s="1" t="str">
        <f t="shared" si="9"/>
        <v>21</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1402</v>
      </c>
      <c r="D601" s="1" t="s">
        <v>1403</v>
      </c>
      <c r="E601" s="1" t="s">
        <v>1404</v>
      </c>
      <c r="F601" s="1" t="s">
        <v>112</v>
      </c>
      <c r="G601" s="1">
        <v>429613</v>
      </c>
    </row>
    <row r="602" spans="1:7" x14ac:dyDescent="0.35">
      <c r="A602" s="1" t="str">
        <f t="shared" si="9"/>
        <v>21</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2" s="1" t="s">
        <v>1405</v>
      </c>
      <c r="D602" s="1" t="s">
        <v>1354</v>
      </c>
      <c r="E602" s="1" t="s">
        <v>1406</v>
      </c>
      <c r="F602" s="1" t="s">
        <v>112</v>
      </c>
      <c r="G602" s="1">
        <v>638363</v>
      </c>
    </row>
    <row r="603" spans="1:7" x14ac:dyDescent="0.35">
      <c r="A603" s="1" t="str">
        <f t="shared" si="9"/>
        <v>21</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1407</v>
      </c>
      <c r="D603" s="1" t="s">
        <v>1408</v>
      </c>
      <c r="E603" s="1" t="s">
        <v>1409</v>
      </c>
      <c r="F603" s="1" t="s">
        <v>112</v>
      </c>
      <c r="G603" s="1">
        <v>1578485</v>
      </c>
    </row>
    <row r="604" spans="1:7" x14ac:dyDescent="0.35">
      <c r="A604" s="1" t="str">
        <f t="shared" si="9"/>
        <v>21</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1410</v>
      </c>
      <c r="D604" s="1" t="s">
        <v>346</v>
      </c>
      <c r="E604" s="1" t="s">
        <v>1411</v>
      </c>
      <c r="F604" s="1" t="s">
        <v>112</v>
      </c>
      <c r="G604" s="1">
        <v>1820177</v>
      </c>
    </row>
    <row r="605" spans="1:7" x14ac:dyDescent="0.35">
      <c r="A605" s="1" t="str">
        <f t="shared" si="9"/>
        <v>21</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5" s="1" t="s">
        <v>1412</v>
      </c>
      <c r="D605" s="1" t="s">
        <v>1413</v>
      </c>
      <c r="E605" s="1" t="s">
        <v>1414</v>
      </c>
      <c r="F605" s="1" t="s">
        <v>112</v>
      </c>
      <c r="G605" s="1">
        <v>2205341</v>
      </c>
    </row>
    <row r="606" spans="1:7" x14ac:dyDescent="0.35">
      <c r="A606" s="1" t="str">
        <f t="shared" si="9"/>
        <v>21</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1415</v>
      </c>
      <c r="D606" s="1" t="s">
        <v>1348</v>
      </c>
      <c r="E606" s="1" t="s">
        <v>1416</v>
      </c>
      <c r="F606" s="1" t="s">
        <v>112</v>
      </c>
      <c r="G606" s="1">
        <v>1008624</v>
      </c>
    </row>
    <row r="607" spans="1:7" x14ac:dyDescent="0.35">
      <c r="A607" s="1" t="str">
        <f t="shared" si="9"/>
        <v>21</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1417</v>
      </c>
      <c r="D607" s="1" t="s">
        <v>1418</v>
      </c>
      <c r="E607" s="1" t="s">
        <v>1419</v>
      </c>
      <c r="F607" s="1" t="s">
        <v>112</v>
      </c>
      <c r="G607" s="1">
        <v>1045741</v>
      </c>
    </row>
    <row r="608" spans="1:7" x14ac:dyDescent="0.35">
      <c r="A608" s="1" t="str">
        <f t="shared" si="9"/>
        <v>21</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8" s="1" t="s">
        <v>1420</v>
      </c>
      <c r="D608" s="1" t="s">
        <v>1421</v>
      </c>
      <c r="E608" s="1" t="s">
        <v>1422</v>
      </c>
      <c r="F608" s="1" t="s">
        <v>112</v>
      </c>
      <c r="G608" s="1">
        <v>1450544</v>
      </c>
    </row>
    <row r="609" spans="1:8" x14ac:dyDescent="0.35">
      <c r="A609" s="1" t="str">
        <f t="shared" si="9"/>
        <v>21</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1423</v>
      </c>
      <c r="D609" s="1" t="s">
        <v>1424</v>
      </c>
      <c r="E609" s="1" t="s">
        <v>1425</v>
      </c>
      <c r="F609" s="1" t="s">
        <v>112</v>
      </c>
      <c r="G609" s="1">
        <v>1506392</v>
      </c>
    </row>
    <row r="610" spans="1:8" x14ac:dyDescent="0.35">
      <c r="A610" s="1" t="str">
        <f t="shared" si="9"/>
        <v>21</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1426</v>
      </c>
    </row>
    <row r="611" spans="1:8" x14ac:dyDescent="0.35">
      <c r="A611" s="1" t="str">
        <f t="shared" si="9"/>
        <v>21</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1" s="1" t="s">
        <v>1427</v>
      </c>
    </row>
    <row r="612" spans="1:8" x14ac:dyDescent="0.35">
      <c r="A612" s="1" t="str">
        <f t="shared" si="9"/>
        <v>21</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1428</v>
      </c>
      <c r="D612" s="1" t="s">
        <v>1429</v>
      </c>
      <c r="E612" s="1" t="s">
        <v>1430</v>
      </c>
      <c r="F612" s="1" t="s">
        <v>112</v>
      </c>
      <c r="G612" s="1">
        <v>2105346</v>
      </c>
    </row>
    <row r="613" spans="1:8" x14ac:dyDescent="0.35">
      <c r="A613" s="1" t="str">
        <f t="shared" si="9"/>
        <v>21</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1431</v>
      </c>
      <c r="D613" s="1" t="s">
        <v>1432</v>
      </c>
      <c r="E613" s="1" t="s">
        <v>1433</v>
      </c>
      <c r="F613" s="1" t="s">
        <v>112</v>
      </c>
      <c r="G613" s="1">
        <v>1853812</v>
      </c>
    </row>
    <row r="614" spans="1:8" x14ac:dyDescent="0.35">
      <c r="A614" s="1" t="str">
        <f t="shared" si="9"/>
        <v>21</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4" s="1" t="s">
        <v>1434</v>
      </c>
      <c r="D614" s="1" t="s">
        <v>1435</v>
      </c>
      <c r="E614" s="1" t="s">
        <v>1436</v>
      </c>
      <c r="F614" s="1" t="s">
        <v>112</v>
      </c>
      <c r="G614" s="1">
        <v>1913337</v>
      </c>
    </row>
    <row r="615" spans="1:8" x14ac:dyDescent="0.35">
      <c r="A615" s="1" t="str">
        <f t="shared" si="9"/>
        <v>21</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1437</v>
      </c>
      <c r="D615" s="1" t="s">
        <v>1438</v>
      </c>
      <c r="E615" s="1" t="s">
        <v>1439</v>
      </c>
      <c r="F615" s="1" t="s">
        <v>112</v>
      </c>
      <c r="G615" s="1">
        <v>338940</v>
      </c>
    </row>
    <row r="616" spans="1:8" x14ac:dyDescent="0.35">
      <c r="A616" s="1" t="str">
        <f t="shared" si="9"/>
        <v>21</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1440</v>
      </c>
      <c r="D616" s="1" t="s">
        <v>1441</v>
      </c>
      <c r="E616" s="1" t="s">
        <v>1442</v>
      </c>
      <c r="F616" s="1" t="s">
        <v>112</v>
      </c>
      <c r="G616" s="1">
        <v>467119</v>
      </c>
    </row>
    <row r="617" spans="1:8" x14ac:dyDescent="0.35">
      <c r="A617" s="1" t="str">
        <f t="shared" si="9"/>
        <v>21</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7" s="1" t="s">
        <v>1443</v>
      </c>
      <c r="D617" s="1" t="s">
        <v>1444</v>
      </c>
      <c r="E617" s="1" t="s">
        <v>1445</v>
      </c>
      <c r="F617" s="1" t="s">
        <v>112</v>
      </c>
      <c r="G617" s="1">
        <v>436946</v>
      </c>
    </row>
    <row r="618" spans="1:8" x14ac:dyDescent="0.35">
      <c r="A618" s="1" t="str">
        <f t="shared" si="9"/>
        <v>21</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1446</v>
      </c>
      <c r="D618" s="1" t="s">
        <v>1447</v>
      </c>
      <c r="E618" s="1" t="s">
        <v>1448</v>
      </c>
      <c r="F618" s="1" t="s">
        <v>112</v>
      </c>
      <c r="G618" s="1">
        <v>1932372</v>
      </c>
    </row>
    <row r="619" spans="1:8" x14ac:dyDescent="0.35">
      <c r="A619" s="1" t="str">
        <f t="shared" si="9"/>
        <v>21</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1449</v>
      </c>
      <c r="D619" s="1" t="s">
        <v>1435</v>
      </c>
      <c r="E619" s="1" t="s">
        <v>1450</v>
      </c>
      <c r="F619" s="1" t="s">
        <v>112</v>
      </c>
      <c r="G619" s="1">
        <v>1808346</v>
      </c>
    </row>
    <row r="620" spans="1:8" x14ac:dyDescent="0.35">
      <c r="A620" s="1" t="str">
        <f t="shared" si="9"/>
        <v>21</v>
      </c>
      <c r="B6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20" s="1" t="s">
        <v>1451</v>
      </c>
      <c r="D620" s="1" t="s">
        <v>1452</v>
      </c>
      <c r="E620" s="1" t="s">
        <v>1453</v>
      </c>
      <c r="F620" s="1" t="s">
        <v>112</v>
      </c>
      <c r="G620" s="1">
        <v>1834302</v>
      </c>
    </row>
    <row r="621" spans="1:8" x14ac:dyDescent="0.3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112</v>
      </c>
    </row>
    <row r="622" spans="1:8" x14ac:dyDescent="0.35">
      <c r="A622" s="1" t="str">
        <f t="shared" si="9"/>
        <v/>
      </c>
      <c r="B6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2" s="1" t="s">
        <v>227</v>
      </c>
      <c r="D622" s="1" t="s">
        <v>112</v>
      </c>
      <c r="E622" s="1" t="s">
        <v>228</v>
      </c>
      <c r="F622" s="1" t="s">
        <v>229</v>
      </c>
      <c r="G622" s="1" t="s">
        <v>230</v>
      </c>
      <c r="H622" s="1" t="s">
        <v>231</v>
      </c>
    </row>
    <row r="623" spans="1:8" x14ac:dyDescent="0.35">
      <c r="A623" s="1" t="str">
        <f t="shared" si="9"/>
        <v>21</v>
      </c>
      <c r="B6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3" s="1" t="s">
        <v>1454</v>
      </c>
      <c r="D623" s="1" t="s">
        <v>112</v>
      </c>
      <c r="E623" s="1" t="s">
        <v>1455</v>
      </c>
      <c r="F623" s="1" t="s">
        <v>1456</v>
      </c>
      <c r="G623" s="1" t="s">
        <v>1457</v>
      </c>
      <c r="H623" s="1" t="s">
        <v>1458</v>
      </c>
    </row>
    <row r="624" spans="1:8" x14ac:dyDescent="0.3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3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3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3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3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112</v>
      </c>
    </row>
    <row r="629" spans="1:7" x14ac:dyDescent="0.35">
      <c r="A629" s="1" t="str">
        <f t="shared" si="9"/>
        <v/>
      </c>
      <c r="B6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9" s="1" t="s">
        <v>171</v>
      </c>
      <c r="D629" s="1" t="s">
        <v>110</v>
      </c>
      <c r="E629" s="1" t="s">
        <v>111</v>
      </c>
      <c r="F629" s="1" t="s">
        <v>112</v>
      </c>
      <c r="G629" s="1" t="s">
        <v>113</v>
      </c>
    </row>
    <row r="630" spans="1:7" x14ac:dyDescent="0.35">
      <c r="A630" s="1" t="str">
        <f t="shared" si="9"/>
        <v>8</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1459</v>
      </c>
      <c r="D630" s="1" t="s">
        <v>1062</v>
      </c>
      <c r="E630" s="1" t="s">
        <v>1460</v>
      </c>
      <c r="F630" s="1" t="s">
        <v>112</v>
      </c>
      <c r="G630" s="1">
        <v>1990</v>
      </c>
    </row>
    <row r="631" spans="1:7" x14ac:dyDescent="0.35">
      <c r="A631" s="1" t="str">
        <f t="shared" si="9"/>
        <v>8</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1461</v>
      </c>
      <c r="D631" s="1" t="s">
        <v>1462</v>
      </c>
      <c r="E631" s="1" t="s">
        <v>1463</v>
      </c>
      <c r="F631" s="1" t="s">
        <v>112</v>
      </c>
      <c r="G631" s="1">
        <v>20743</v>
      </c>
    </row>
    <row r="632" spans="1:7" x14ac:dyDescent="0.35">
      <c r="A632" s="1" t="str">
        <f t="shared" si="9"/>
        <v>8</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2" s="1" t="s">
        <v>1464</v>
      </c>
      <c r="D632" s="1" t="s">
        <v>1465</v>
      </c>
      <c r="E632" s="1" t="s">
        <v>1466</v>
      </c>
      <c r="F632" s="1" t="s">
        <v>112</v>
      </c>
      <c r="G632" s="1">
        <v>29633</v>
      </c>
    </row>
    <row r="633" spans="1:7" x14ac:dyDescent="0.35">
      <c r="A633" s="1" t="str">
        <f t="shared" si="9"/>
        <v>8</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1467</v>
      </c>
      <c r="D633" s="1" t="s">
        <v>1468</v>
      </c>
      <c r="E633" s="1" t="s">
        <v>1469</v>
      </c>
      <c r="F633" s="1" t="s">
        <v>112</v>
      </c>
      <c r="G633" s="1">
        <v>228606</v>
      </c>
    </row>
    <row r="634" spans="1:7" x14ac:dyDescent="0.35">
      <c r="A634" s="1" t="str">
        <f t="shared" si="9"/>
        <v>8</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1470</v>
      </c>
      <c r="D634" s="1" t="s">
        <v>1339</v>
      </c>
      <c r="E634" s="1" t="s">
        <v>1471</v>
      </c>
      <c r="F634" s="1" t="s">
        <v>112</v>
      </c>
      <c r="G634" s="1">
        <v>224626</v>
      </c>
    </row>
    <row r="635" spans="1:7" x14ac:dyDescent="0.35">
      <c r="A635" s="1" t="str">
        <f t="shared" si="9"/>
        <v>8</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5" s="1" t="s">
        <v>1472</v>
      </c>
      <c r="D635" s="1" t="s">
        <v>1473</v>
      </c>
      <c r="E635" s="1" t="s">
        <v>1474</v>
      </c>
      <c r="F635" s="1" t="s">
        <v>112</v>
      </c>
      <c r="G635" s="1">
        <v>352675</v>
      </c>
    </row>
    <row r="636" spans="1:7" x14ac:dyDescent="0.35">
      <c r="A636" s="1" t="str">
        <f t="shared" si="9"/>
        <v>8</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1475</v>
      </c>
      <c r="D636" s="1" t="s">
        <v>1476</v>
      </c>
      <c r="E636" s="1" t="s">
        <v>1477</v>
      </c>
      <c r="F636" s="1" t="s">
        <v>112</v>
      </c>
      <c r="G636" s="1">
        <v>386699</v>
      </c>
    </row>
    <row r="637" spans="1:7" x14ac:dyDescent="0.35">
      <c r="A637" s="1" t="str">
        <f t="shared" si="9"/>
        <v>8</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1478</v>
      </c>
    </row>
    <row r="638" spans="1:7" x14ac:dyDescent="0.35">
      <c r="A638" s="1" t="str">
        <f t="shared" si="9"/>
        <v>8</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8" s="1" t="s">
        <v>1479</v>
      </c>
      <c r="D638" s="1" t="s">
        <v>1480</v>
      </c>
      <c r="E638" s="1" t="s">
        <v>1481</v>
      </c>
      <c r="F638" s="1" t="s">
        <v>112</v>
      </c>
      <c r="G638" s="1">
        <v>390268</v>
      </c>
    </row>
    <row r="639" spans="1:7" x14ac:dyDescent="0.35">
      <c r="A639" s="1" t="str">
        <f t="shared" si="9"/>
        <v>8</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1482</v>
      </c>
      <c r="D639" s="1" t="s">
        <v>1483</v>
      </c>
      <c r="E639" s="1" t="s">
        <v>1484</v>
      </c>
      <c r="F639" s="1" t="s">
        <v>112</v>
      </c>
      <c r="G639" s="1">
        <v>381270</v>
      </c>
    </row>
    <row r="640" spans="1:7" x14ac:dyDescent="0.35">
      <c r="A640" s="1" t="str">
        <f t="shared" si="9"/>
        <v>8</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1485</v>
      </c>
      <c r="D640" s="1" t="s">
        <v>1486</v>
      </c>
      <c r="E640" s="1" t="s">
        <v>1487</v>
      </c>
      <c r="F640" s="1" t="s">
        <v>112</v>
      </c>
      <c r="G640" s="1">
        <v>255882</v>
      </c>
    </row>
    <row r="641" spans="1:8" x14ac:dyDescent="0.35">
      <c r="A641" s="1" t="str">
        <f t="shared" si="9"/>
        <v>8</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1" s="1" t="s">
        <v>1488</v>
      </c>
      <c r="D641" s="1" t="s">
        <v>1489</v>
      </c>
      <c r="E641" s="1" t="s">
        <v>1490</v>
      </c>
      <c r="F641" s="1" t="s">
        <v>112</v>
      </c>
      <c r="G641" s="1">
        <v>170703</v>
      </c>
    </row>
    <row r="642" spans="1:8" x14ac:dyDescent="0.35">
      <c r="A642" s="1" t="str">
        <f t="shared" ref="A642:A705" si="10">IFERROR(LEFT(RIGHT(C642,LEN(C642)-SEARCH("@",C642)),SEARCH("/",RIGHT(C642,LEN(C642)-SEARCH("@",C642)-1))),"")</f>
        <v>8</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1491</v>
      </c>
      <c r="D642" s="1" t="s">
        <v>256</v>
      </c>
      <c r="E642" s="1" t="s">
        <v>1492</v>
      </c>
      <c r="F642" s="1" t="s">
        <v>112</v>
      </c>
      <c r="G642" s="1">
        <v>3526</v>
      </c>
    </row>
    <row r="643" spans="1:8" x14ac:dyDescent="0.35">
      <c r="A643" s="1" t="str">
        <f t="shared" si="10"/>
        <v>8</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1493</v>
      </c>
      <c r="D643" s="1">
        <v>0</v>
      </c>
      <c r="E643" s="1">
        <v>0</v>
      </c>
      <c r="F643" s="1" t="s">
        <v>112</v>
      </c>
      <c r="G643" s="1">
        <v>0</v>
      </c>
    </row>
    <row r="644" spans="1:8" x14ac:dyDescent="0.35">
      <c r="A644" s="1" t="str">
        <f t="shared" si="10"/>
        <v>8</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4" s="1" t="s">
        <v>1494</v>
      </c>
      <c r="D644" s="1" t="s">
        <v>1495</v>
      </c>
      <c r="E644" s="1" t="s">
        <v>1496</v>
      </c>
      <c r="F644" s="1" t="s">
        <v>112</v>
      </c>
      <c r="G644" s="1">
        <v>156990</v>
      </c>
    </row>
    <row r="645" spans="1:8" x14ac:dyDescent="0.35">
      <c r="A645" s="1" t="str">
        <f t="shared" si="10"/>
        <v>8</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1497</v>
      </c>
      <c r="D645" s="1" t="s">
        <v>1498</v>
      </c>
      <c r="E645" s="1" t="s">
        <v>1499</v>
      </c>
      <c r="F645" s="1" t="s">
        <v>112</v>
      </c>
      <c r="G645" s="1">
        <v>196551</v>
      </c>
    </row>
    <row r="646" spans="1:8" x14ac:dyDescent="0.35">
      <c r="A646" s="1" t="str">
        <f t="shared" si="10"/>
        <v>8</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1500</v>
      </c>
    </row>
    <row r="647" spans="1:8" x14ac:dyDescent="0.35">
      <c r="A647" s="1" t="str">
        <f t="shared" si="10"/>
        <v>8</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7" s="1" t="s">
        <v>1501</v>
      </c>
      <c r="D647" s="1" t="s">
        <v>1502</v>
      </c>
      <c r="E647" s="1" t="s">
        <v>1503</v>
      </c>
      <c r="F647" s="1" t="s">
        <v>112</v>
      </c>
      <c r="G647" s="1">
        <v>275046</v>
      </c>
    </row>
    <row r="648" spans="1:8" x14ac:dyDescent="0.35">
      <c r="A648" s="1" t="str">
        <f t="shared" si="10"/>
        <v>8</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1504</v>
      </c>
      <c r="D648" s="1" t="s">
        <v>548</v>
      </c>
      <c r="E648" s="1" t="s">
        <v>1505</v>
      </c>
      <c r="F648" s="1" t="s">
        <v>112</v>
      </c>
      <c r="G648" s="1">
        <v>154719</v>
      </c>
    </row>
    <row r="649" spans="1:8" x14ac:dyDescent="0.35">
      <c r="A649" s="1" t="str">
        <f t="shared" si="10"/>
        <v>8</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1506</v>
      </c>
      <c r="D649" s="1" t="s">
        <v>1507</v>
      </c>
      <c r="E649" s="1" t="s">
        <v>1508</v>
      </c>
      <c r="F649" s="1" t="s">
        <v>112</v>
      </c>
      <c r="G649" s="1">
        <v>80528</v>
      </c>
    </row>
    <row r="650" spans="1:8" x14ac:dyDescent="0.35">
      <c r="A650" s="1" t="str">
        <f t="shared" si="10"/>
        <v>8</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50" s="1" t="s">
        <v>1509</v>
      </c>
      <c r="D650" s="1" t="s">
        <v>1510</v>
      </c>
      <c r="E650" s="1" t="s">
        <v>1511</v>
      </c>
      <c r="F650" s="1" t="s">
        <v>112</v>
      </c>
      <c r="G650" s="1">
        <v>217856</v>
      </c>
    </row>
    <row r="651" spans="1:8" x14ac:dyDescent="0.35">
      <c r="A651" s="1" t="str">
        <f t="shared" si="10"/>
        <v>8</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1512</v>
      </c>
      <c r="D651" s="1" t="s">
        <v>1513</v>
      </c>
      <c r="E651" s="1" t="s">
        <v>1514</v>
      </c>
      <c r="F651" s="1" t="s">
        <v>112</v>
      </c>
      <c r="G651" s="1">
        <v>198433</v>
      </c>
    </row>
    <row r="652" spans="1:8" x14ac:dyDescent="0.35">
      <c r="A652" s="1" t="str">
        <f t="shared" si="10"/>
        <v>8</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1515</v>
      </c>
      <c r="D652" s="1" t="s">
        <v>1516</v>
      </c>
      <c r="E652" s="1" t="s">
        <v>1517</v>
      </c>
      <c r="F652" s="1" t="s">
        <v>112</v>
      </c>
      <c r="G652" s="1">
        <v>417392</v>
      </c>
    </row>
    <row r="653" spans="1:8" x14ac:dyDescent="0.35">
      <c r="A653" s="1" t="str">
        <f t="shared" si="10"/>
        <v>8</v>
      </c>
      <c r="B6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3" s="1" t="s">
        <v>1518</v>
      </c>
      <c r="D653" s="1" t="s">
        <v>270</v>
      </c>
      <c r="E653" s="1" t="s">
        <v>1519</v>
      </c>
      <c r="F653" s="1" t="s">
        <v>112</v>
      </c>
      <c r="G653" s="1">
        <v>228520</v>
      </c>
    </row>
    <row r="654" spans="1:8" x14ac:dyDescent="0.3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112</v>
      </c>
    </row>
    <row r="655" spans="1:8" x14ac:dyDescent="0.35">
      <c r="A655" s="1" t="str">
        <f t="shared" si="10"/>
        <v/>
      </c>
      <c r="B6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5" s="1" t="s">
        <v>227</v>
      </c>
      <c r="D655" s="1" t="s">
        <v>112</v>
      </c>
      <c r="E655" s="1" t="s">
        <v>228</v>
      </c>
      <c r="F655" s="1" t="s">
        <v>229</v>
      </c>
      <c r="G655" s="1" t="s">
        <v>230</v>
      </c>
      <c r="H655" s="1" t="s">
        <v>231</v>
      </c>
    </row>
    <row r="656" spans="1:8" x14ac:dyDescent="0.35">
      <c r="A656" s="1" t="str">
        <f t="shared" si="10"/>
        <v>8</v>
      </c>
      <c r="B6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6" s="1" t="s">
        <v>1520</v>
      </c>
      <c r="D656" s="1" t="s">
        <v>112</v>
      </c>
      <c r="E656" s="1" t="s">
        <v>1521</v>
      </c>
      <c r="F656" s="1" t="s">
        <v>1522</v>
      </c>
      <c r="G656" s="1" t="s">
        <v>1523</v>
      </c>
      <c r="H656" s="1" t="s">
        <v>1524</v>
      </c>
    </row>
    <row r="657" spans="1:7" x14ac:dyDescent="0.3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3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3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3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3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112</v>
      </c>
    </row>
    <row r="662" spans="1:7" x14ac:dyDescent="0.35">
      <c r="A662" s="1" t="str">
        <f t="shared" si="10"/>
        <v/>
      </c>
      <c r="B6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2" s="1" t="s">
        <v>171</v>
      </c>
      <c r="D662" s="1" t="s">
        <v>110</v>
      </c>
      <c r="E662" s="1" t="s">
        <v>111</v>
      </c>
      <c r="F662" s="1" t="s">
        <v>112</v>
      </c>
      <c r="G662" s="1" t="s">
        <v>113</v>
      </c>
    </row>
    <row r="663" spans="1:7" x14ac:dyDescent="0.35">
      <c r="A663" s="1" t="str">
        <f t="shared" si="10"/>
        <v>9</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1525</v>
      </c>
      <c r="D663" s="1" t="s">
        <v>1526</v>
      </c>
      <c r="E663" s="1" t="s">
        <v>1527</v>
      </c>
      <c r="F663" s="1" t="s">
        <v>112</v>
      </c>
      <c r="G663" s="1">
        <v>255125</v>
      </c>
    </row>
    <row r="664" spans="1:7" x14ac:dyDescent="0.35">
      <c r="A664" s="1" t="str">
        <f t="shared" si="10"/>
        <v>9</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1528</v>
      </c>
    </row>
    <row r="665" spans="1:7" x14ac:dyDescent="0.35">
      <c r="A665" s="1" t="str">
        <f t="shared" si="10"/>
        <v>9</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5" s="1" t="s">
        <v>1529</v>
      </c>
      <c r="D665" s="1" t="s">
        <v>1033</v>
      </c>
      <c r="E665" s="1">
        <v>34</v>
      </c>
      <c r="F665" s="1" t="s">
        <v>112</v>
      </c>
      <c r="G665" s="1">
        <v>90456</v>
      </c>
    </row>
    <row r="666" spans="1:7" x14ac:dyDescent="0.35">
      <c r="A666" s="1" t="str">
        <f t="shared" si="10"/>
        <v>9</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1530</v>
      </c>
      <c r="D666" s="1" t="s">
        <v>1531</v>
      </c>
      <c r="E666" s="1" t="s">
        <v>1532</v>
      </c>
      <c r="F666" s="1" t="s">
        <v>112</v>
      </c>
      <c r="G666" s="1">
        <v>352070</v>
      </c>
    </row>
    <row r="667" spans="1:7" x14ac:dyDescent="0.35">
      <c r="A667" s="1" t="str">
        <f t="shared" si="10"/>
        <v>9</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1533</v>
      </c>
      <c r="D667" s="1" t="s">
        <v>1534</v>
      </c>
      <c r="E667" s="1" t="s">
        <v>1535</v>
      </c>
      <c r="F667" s="1" t="s">
        <v>112</v>
      </c>
      <c r="G667" s="1">
        <v>390528</v>
      </c>
    </row>
    <row r="668" spans="1:7" x14ac:dyDescent="0.35">
      <c r="A668" s="1" t="str">
        <f t="shared" si="10"/>
        <v>9</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8" s="1" t="s">
        <v>1536</v>
      </c>
      <c r="D668" s="1" t="s">
        <v>1537</v>
      </c>
      <c r="E668" s="1" t="s">
        <v>1538</v>
      </c>
      <c r="F668" s="1" t="s">
        <v>112</v>
      </c>
      <c r="G668" s="1">
        <v>547236</v>
      </c>
    </row>
    <row r="669" spans="1:7" x14ac:dyDescent="0.35">
      <c r="A669" s="1" t="str">
        <f t="shared" si="10"/>
        <v>9</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1539</v>
      </c>
    </row>
    <row r="670" spans="1:7" x14ac:dyDescent="0.35">
      <c r="A670" s="1" t="str">
        <f t="shared" si="10"/>
        <v>9</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1540</v>
      </c>
    </row>
    <row r="671" spans="1:7" x14ac:dyDescent="0.35">
      <c r="A671" s="1" t="str">
        <f t="shared" si="10"/>
        <v>9</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1" s="1" t="s">
        <v>1541</v>
      </c>
    </row>
    <row r="672" spans="1:7" x14ac:dyDescent="0.35">
      <c r="A672" s="1" t="str">
        <f t="shared" si="10"/>
        <v>9</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1542</v>
      </c>
      <c r="D672" s="1" t="s">
        <v>1543</v>
      </c>
      <c r="E672" s="1" t="s">
        <v>1544</v>
      </c>
      <c r="F672" s="1" t="s">
        <v>112</v>
      </c>
      <c r="G672" s="1">
        <v>184546</v>
      </c>
    </row>
    <row r="673" spans="1:8" x14ac:dyDescent="0.35">
      <c r="A673" s="1" t="str">
        <f t="shared" si="10"/>
        <v>9</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1545</v>
      </c>
      <c r="D673" s="1" t="s">
        <v>1030</v>
      </c>
      <c r="E673" s="1" t="s">
        <v>1546</v>
      </c>
      <c r="F673" s="1" t="s">
        <v>112</v>
      </c>
      <c r="G673" s="1">
        <v>107998</v>
      </c>
    </row>
    <row r="674" spans="1:8" x14ac:dyDescent="0.35">
      <c r="A674" s="1" t="str">
        <f t="shared" si="10"/>
        <v>9</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4" s="1" t="s">
        <v>1547</v>
      </c>
      <c r="D674" s="1" t="s">
        <v>1548</v>
      </c>
      <c r="E674" s="1" t="s">
        <v>1549</v>
      </c>
      <c r="F674" s="1" t="s">
        <v>112</v>
      </c>
      <c r="G674" s="1">
        <v>266459</v>
      </c>
    </row>
    <row r="675" spans="1:8" x14ac:dyDescent="0.35">
      <c r="A675" s="1" t="str">
        <f t="shared" si="10"/>
        <v>9</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1550</v>
      </c>
      <c r="D675" s="1" t="s">
        <v>490</v>
      </c>
      <c r="E675" s="1" t="s">
        <v>1551</v>
      </c>
      <c r="F675" s="1" t="s">
        <v>112</v>
      </c>
      <c r="G675" s="1">
        <v>292544</v>
      </c>
    </row>
    <row r="676" spans="1:8" x14ac:dyDescent="0.35">
      <c r="A676" s="1" t="str">
        <f t="shared" si="10"/>
        <v>9</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1552</v>
      </c>
    </row>
    <row r="677" spans="1:8" x14ac:dyDescent="0.35">
      <c r="A677" s="1" t="str">
        <f t="shared" si="10"/>
        <v>9</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7" s="1" t="s">
        <v>1553</v>
      </c>
      <c r="D677" s="1" t="s">
        <v>1554</v>
      </c>
      <c r="E677" s="1" t="s">
        <v>1555</v>
      </c>
      <c r="F677" s="1" t="s">
        <v>112</v>
      </c>
      <c r="G677" s="1">
        <v>7679</v>
      </c>
    </row>
    <row r="678" spans="1:8" x14ac:dyDescent="0.35">
      <c r="A678" s="1" t="str">
        <f t="shared" si="10"/>
        <v>9</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1556</v>
      </c>
      <c r="D678" s="1" t="s">
        <v>1557</v>
      </c>
      <c r="E678" s="1" t="s">
        <v>1558</v>
      </c>
      <c r="F678" s="1" t="s">
        <v>112</v>
      </c>
      <c r="G678" s="1">
        <v>154026</v>
      </c>
    </row>
    <row r="679" spans="1:8" x14ac:dyDescent="0.35">
      <c r="A679" s="1" t="str">
        <f t="shared" si="10"/>
        <v>9</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1559</v>
      </c>
      <c r="D679" s="1" t="s">
        <v>1560</v>
      </c>
      <c r="E679" s="1" t="s">
        <v>1561</v>
      </c>
      <c r="F679" s="1" t="s">
        <v>112</v>
      </c>
      <c r="G679" s="1">
        <v>351616</v>
      </c>
    </row>
    <row r="680" spans="1:8" x14ac:dyDescent="0.35">
      <c r="A680" s="1" t="str">
        <f t="shared" si="10"/>
        <v>9</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80" s="1" t="s">
        <v>1562</v>
      </c>
      <c r="D680" s="1" t="s">
        <v>1563</v>
      </c>
      <c r="E680" s="1" t="s">
        <v>1564</v>
      </c>
      <c r="F680" s="1" t="s">
        <v>112</v>
      </c>
      <c r="G680" s="1">
        <v>206717</v>
      </c>
    </row>
    <row r="681" spans="1:8" x14ac:dyDescent="0.35">
      <c r="A681" s="1" t="str">
        <f t="shared" si="10"/>
        <v>9</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1565</v>
      </c>
    </row>
    <row r="682" spans="1:8" x14ac:dyDescent="0.35">
      <c r="A682" s="1" t="str">
        <f t="shared" si="10"/>
        <v>9</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1566</v>
      </c>
    </row>
    <row r="683" spans="1:8" x14ac:dyDescent="0.35">
      <c r="A683" s="1" t="str">
        <f t="shared" si="10"/>
        <v>9</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3" s="1" t="s">
        <v>1567</v>
      </c>
    </row>
    <row r="684" spans="1:8" x14ac:dyDescent="0.35">
      <c r="A684" s="1" t="str">
        <f t="shared" si="10"/>
        <v>9</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1568</v>
      </c>
      <c r="D684" s="1" t="s">
        <v>1569</v>
      </c>
      <c r="E684" s="1" t="s">
        <v>1570</v>
      </c>
      <c r="F684" s="1" t="s">
        <v>112</v>
      </c>
      <c r="G684" s="1">
        <v>599732</v>
      </c>
    </row>
    <row r="685" spans="1:8" x14ac:dyDescent="0.35">
      <c r="A685" s="1" t="str">
        <f t="shared" si="10"/>
        <v>9</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1571</v>
      </c>
    </row>
    <row r="686" spans="1:8" x14ac:dyDescent="0.35">
      <c r="A686" s="1" t="str">
        <f t="shared" si="10"/>
        <v>9</v>
      </c>
      <c r="B6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6" s="1" t="s">
        <v>1572</v>
      </c>
    </row>
    <row r="687" spans="1:8" x14ac:dyDescent="0.3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112</v>
      </c>
    </row>
    <row r="688" spans="1:8" x14ac:dyDescent="0.35">
      <c r="A688" s="1" t="str">
        <f t="shared" si="10"/>
        <v/>
      </c>
      <c r="B6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8" s="1" t="s">
        <v>227</v>
      </c>
      <c r="D688" s="1" t="s">
        <v>112</v>
      </c>
      <c r="E688" s="1" t="s">
        <v>228</v>
      </c>
      <c r="F688" s="1" t="s">
        <v>229</v>
      </c>
      <c r="G688" s="1" t="s">
        <v>230</v>
      </c>
      <c r="H688" s="1" t="s">
        <v>231</v>
      </c>
    </row>
    <row r="689" spans="1:8" x14ac:dyDescent="0.35">
      <c r="A689" s="1" t="str">
        <f t="shared" si="10"/>
        <v>9</v>
      </c>
      <c r="B6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9" s="1" t="s">
        <v>1573</v>
      </c>
      <c r="D689" s="1" t="s">
        <v>112</v>
      </c>
      <c r="E689" s="1" t="s">
        <v>1574</v>
      </c>
      <c r="F689" s="1" t="s">
        <v>1575</v>
      </c>
      <c r="G689" s="1" t="s">
        <v>1576</v>
      </c>
      <c r="H689" s="1" t="s">
        <v>1577</v>
      </c>
    </row>
    <row r="690" spans="1:8" x14ac:dyDescent="0.3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8" x14ac:dyDescent="0.3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8" x14ac:dyDescent="0.3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8" x14ac:dyDescent="0.3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8" x14ac:dyDescent="0.3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8" x14ac:dyDescent="0.3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8" x14ac:dyDescent="0.3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8" x14ac:dyDescent="0.3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8" x14ac:dyDescent="0.3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8" x14ac:dyDescent="0.3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8" x14ac:dyDescent="0.3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8" x14ac:dyDescent="0.3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8" x14ac:dyDescent="0.3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8" x14ac:dyDescent="0.3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8" x14ac:dyDescent="0.3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M1" zoomScale="70" zoomScaleNormal="70" zoomScaleSheetLayoutView="40" zoomScalePageLayoutView="30" workbookViewId="0">
      <selection activeCell="R5" sqref="R5:V12"/>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6" t="s">
        <v>43</v>
      </c>
      <c r="B1" s="217"/>
      <c r="C1" s="217"/>
      <c r="D1" s="217"/>
      <c r="E1" s="217"/>
      <c r="F1" s="217"/>
      <c r="G1" s="217"/>
      <c r="H1" s="217"/>
      <c r="I1" s="217"/>
      <c r="J1" s="217"/>
      <c r="K1" s="217"/>
      <c r="L1" s="217"/>
      <c r="M1" s="217"/>
      <c r="N1" s="217"/>
      <c r="O1" s="217"/>
      <c r="P1" s="217"/>
      <c r="Q1" s="217"/>
      <c r="R1" s="217"/>
      <c r="S1" s="217"/>
      <c r="T1" s="217"/>
      <c r="U1" s="217"/>
      <c r="V1" s="217"/>
    </row>
    <row r="2" spans="1:22" customFormat="1" ht="15" thickBot="1" x14ac:dyDescent="0.4"/>
    <row r="3" spans="1:22" ht="15" thickBot="1" x14ac:dyDescent="0.4">
      <c r="A3" s="51" t="s">
        <v>18</v>
      </c>
      <c r="B3" s="224" t="s">
        <v>6</v>
      </c>
      <c r="C3" s="225"/>
      <c r="D3" s="225"/>
      <c r="E3" s="225"/>
      <c r="F3" s="225"/>
      <c r="G3" s="225"/>
      <c r="H3" s="225"/>
      <c r="I3" s="225"/>
      <c r="J3" s="225"/>
      <c r="K3" s="225"/>
      <c r="L3" s="225"/>
      <c r="M3" s="225"/>
      <c r="O3" s="224" t="s">
        <v>3</v>
      </c>
      <c r="P3" s="225"/>
      <c r="Q3" s="225"/>
      <c r="R3" s="225"/>
      <c r="S3" s="225"/>
      <c r="T3" s="225"/>
      <c r="U3" s="225"/>
      <c r="V3" s="225"/>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CRO-0.1µg/L</v>
      </c>
      <c r="J4" s="35" t="str">
        <f>'Page de garde'!A16</f>
        <v>CRO-1µg/L</v>
      </c>
      <c r="K4" s="35" t="str">
        <f>'Page de garde'!A17</f>
        <v>CRO-10µg/L</v>
      </c>
      <c r="L4" s="35" t="str">
        <f>'Page de garde'!A18</f>
        <v>CRO-100µg/L</v>
      </c>
      <c r="M4" s="35" t="str">
        <f>'Page de garde'!A19</f>
        <v>CRO-1000µg/L</v>
      </c>
      <c r="N4" s="3"/>
      <c r="O4" s="36" t="str">
        <f>'Page de garde'!A36</f>
        <v>Testo -30µg/L</v>
      </c>
      <c r="P4" s="36" t="str">
        <f>'Page de garde'!A37</f>
        <v>Testo 30µg/L + EE2 -64ng/L</v>
      </c>
      <c r="Q4" s="36" t="str">
        <f>'Page de garde'!A38</f>
        <v>Testo 30µg/L + FAD-10mg/L</v>
      </c>
      <c r="R4" s="36" t="str">
        <f>'Page de garde'!A39</f>
        <v>CRO-0,1µg/L + Testostérone</v>
      </c>
      <c r="S4" s="36" t="str">
        <f>'Page de garde'!A40</f>
        <v>CRO-1µg/L + Testostérone</v>
      </c>
      <c r="T4" s="36" t="str">
        <f>'Page de garde'!A41</f>
        <v>CRO-10µg/L + Testostérone</v>
      </c>
      <c r="U4" s="36" t="str">
        <f>'Page de garde'!A42</f>
        <v>CRO-100µg/L + Testostérone</v>
      </c>
      <c r="V4" s="36" t="str">
        <f>'Page de garde'!A43</f>
        <v>CRO-1000µg/L + Testostérone</v>
      </c>
    </row>
    <row r="5" spans="1:22" x14ac:dyDescent="0.35">
      <c r="A5" s="226" t="s">
        <v>33</v>
      </c>
      <c r="B5" s="32">
        <v>18118.666666666668</v>
      </c>
      <c r="C5" s="32">
        <v>94472.333333333328</v>
      </c>
      <c r="D5" s="32"/>
      <c r="E5" s="32">
        <v>277785.66666666669</v>
      </c>
      <c r="F5" s="32">
        <v>1405950.3333333333</v>
      </c>
      <c r="G5" s="32">
        <v>3238918</v>
      </c>
      <c r="H5" s="32">
        <v>3124344.3333333335</v>
      </c>
      <c r="I5" s="32">
        <v>17455.333333333332</v>
      </c>
      <c r="J5" s="32">
        <v>172790.5</v>
      </c>
      <c r="K5" s="13">
        <v>0</v>
      </c>
      <c r="L5" s="13"/>
      <c r="M5" s="13">
        <v>240423.33333333334</v>
      </c>
      <c r="N5" s="3"/>
      <c r="O5" s="32">
        <v>2048668.3333333333</v>
      </c>
      <c r="P5" s="13">
        <v>2920944.3333333335</v>
      </c>
      <c r="Q5" s="13">
        <v>128582.66666666667</v>
      </c>
      <c r="R5" s="32">
        <v>1421206.6666666667</v>
      </c>
      <c r="S5" s="32">
        <v>1476413.3333333333</v>
      </c>
      <c r="T5" s="32">
        <v>82258.666666666672</v>
      </c>
      <c r="U5" s="32">
        <v>1399678</v>
      </c>
      <c r="V5" s="32">
        <v>770680.33333333337</v>
      </c>
    </row>
    <row r="6" spans="1:22" ht="16.5" x14ac:dyDescent="0.35">
      <c r="A6" s="226"/>
      <c r="B6" s="14">
        <v>8197.6666666666661</v>
      </c>
      <c r="C6" s="13">
        <v>125850</v>
      </c>
      <c r="D6" s="32">
        <v>95481.666666666672</v>
      </c>
      <c r="E6" s="32">
        <v>2153807.5</v>
      </c>
      <c r="F6" s="32">
        <v>2301046</v>
      </c>
      <c r="G6" s="32">
        <v>1458518</v>
      </c>
      <c r="H6" s="32">
        <v>4293166.5</v>
      </c>
      <c r="I6" s="32">
        <v>268635.66666666669</v>
      </c>
      <c r="J6" s="32">
        <v>429944.66666666669</v>
      </c>
      <c r="K6" s="13">
        <v>81645.666666666672</v>
      </c>
      <c r="L6" s="13">
        <v>372048.66666666669</v>
      </c>
      <c r="M6" s="13">
        <v>276451.66666666669</v>
      </c>
      <c r="N6" s="3"/>
      <c r="O6" s="32">
        <v>1030664.5</v>
      </c>
      <c r="P6" s="13">
        <v>5795925</v>
      </c>
      <c r="Q6" s="13">
        <v>414940.66666666669</v>
      </c>
      <c r="R6" s="32">
        <v>949747</v>
      </c>
      <c r="S6" s="32">
        <v>857798.5</v>
      </c>
      <c r="T6" s="32">
        <v>838050.33333333337</v>
      </c>
      <c r="U6" s="32">
        <v>676597.66666666663</v>
      </c>
      <c r="V6" s="32">
        <v>454574</v>
      </c>
    </row>
    <row r="7" spans="1:22" ht="16.5" x14ac:dyDescent="0.35">
      <c r="A7" s="226"/>
      <c r="B7" s="14">
        <v>294974</v>
      </c>
      <c r="C7" s="13">
        <v>755402</v>
      </c>
      <c r="D7" s="32">
        <v>66699.333333333328</v>
      </c>
      <c r="E7" s="32">
        <v>1621716</v>
      </c>
      <c r="F7" s="32">
        <v>1833544.6666666667</v>
      </c>
      <c r="G7" s="32">
        <v>3834764</v>
      </c>
      <c r="H7" s="32">
        <v>5063601.666666667</v>
      </c>
      <c r="I7" s="32">
        <v>388483.5</v>
      </c>
      <c r="J7" s="32"/>
      <c r="K7" s="13">
        <v>484848.33333333331</v>
      </c>
      <c r="L7" s="13">
        <v>2487.6666666666665</v>
      </c>
      <c r="M7" s="13">
        <v>1060</v>
      </c>
      <c r="N7" s="3"/>
      <c r="O7" s="32">
        <v>29452.666666666668</v>
      </c>
      <c r="P7" s="13">
        <v>4201325.666666667</v>
      </c>
      <c r="Q7" s="13">
        <v>99187.333333333328</v>
      </c>
      <c r="R7" s="32">
        <v>980418</v>
      </c>
      <c r="S7" s="32">
        <v>1060946.3333333333</v>
      </c>
      <c r="T7" s="32">
        <v>2164626.3333333335</v>
      </c>
      <c r="U7" s="32">
        <v>378343</v>
      </c>
      <c r="V7" s="32">
        <v>1868001</v>
      </c>
    </row>
    <row r="8" spans="1:22" ht="16.5" x14ac:dyDescent="0.35">
      <c r="A8" s="226"/>
      <c r="B8" s="14"/>
      <c r="C8" s="13">
        <v>78019</v>
      </c>
      <c r="D8" s="32">
        <v>375084</v>
      </c>
      <c r="E8" s="32">
        <v>1373051.6666666667</v>
      </c>
      <c r="F8" s="32">
        <v>1930973</v>
      </c>
      <c r="G8" s="32">
        <v>3732022</v>
      </c>
      <c r="H8" s="32">
        <v>5149155</v>
      </c>
      <c r="I8" s="32">
        <v>269285</v>
      </c>
      <c r="J8" s="32">
        <v>186334.33333333334</v>
      </c>
      <c r="K8" s="13">
        <v>6986.5</v>
      </c>
      <c r="L8" s="13">
        <v>14463</v>
      </c>
      <c r="M8" s="13">
        <v>521497</v>
      </c>
      <c r="N8" s="3"/>
      <c r="O8" s="32">
        <v>2786961.3333333335</v>
      </c>
      <c r="P8" s="13">
        <v>1984304.6666666667</v>
      </c>
      <c r="Q8" s="13">
        <v>428488</v>
      </c>
      <c r="R8" s="32">
        <v>2940014.3333333335</v>
      </c>
      <c r="S8" s="32">
        <v>219248</v>
      </c>
      <c r="T8" s="32">
        <v>725805.66666666663</v>
      </c>
      <c r="U8" s="32">
        <v>1280187</v>
      </c>
      <c r="V8" s="32">
        <v>1168303</v>
      </c>
    </row>
    <row r="9" spans="1:22" ht="16.5" x14ac:dyDescent="0.35">
      <c r="A9" s="226"/>
      <c r="B9" s="14">
        <v>238195.66666666666</v>
      </c>
      <c r="C9" s="13">
        <v>117616</v>
      </c>
      <c r="D9" s="32"/>
      <c r="E9" s="32"/>
      <c r="F9" s="32">
        <v>1683959.6666666667</v>
      </c>
      <c r="G9" s="32">
        <v>3645026.6666666665</v>
      </c>
      <c r="H9" s="32">
        <v>3529948.6666666665</v>
      </c>
      <c r="I9" s="32">
        <v>53505.333333333336</v>
      </c>
      <c r="J9" s="32">
        <v>150111.5</v>
      </c>
      <c r="K9" s="13">
        <v>273091.66666666669</v>
      </c>
      <c r="L9" s="13">
        <v>279040</v>
      </c>
      <c r="M9" s="13">
        <v>90607.666666666672</v>
      </c>
      <c r="N9" s="3"/>
      <c r="O9" s="32">
        <v>331337.5</v>
      </c>
      <c r="P9" s="13">
        <v>1666475.3333333333</v>
      </c>
      <c r="Q9" s="13">
        <v>101876.66666666667</v>
      </c>
      <c r="R9" s="32">
        <v>2066729</v>
      </c>
      <c r="S9" s="32">
        <v>1365978.3333333333</v>
      </c>
      <c r="T9" s="32">
        <v>2105223.3333333335</v>
      </c>
      <c r="U9" s="32">
        <v>813731</v>
      </c>
      <c r="V9" s="32">
        <v>1506392</v>
      </c>
    </row>
    <row r="10" spans="1:22" ht="16.5" x14ac:dyDescent="0.35">
      <c r="A10" s="226"/>
      <c r="B10" s="14">
        <v>197307.66666666666</v>
      </c>
      <c r="C10" s="13">
        <v>83376</v>
      </c>
      <c r="D10" s="32">
        <v>21413.666666666668</v>
      </c>
      <c r="E10" s="32">
        <v>1729764.3333333333</v>
      </c>
      <c r="F10" s="32">
        <v>2228073.6666666665</v>
      </c>
      <c r="G10" s="32">
        <v>3275328.6666666665</v>
      </c>
      <c r="H10" s="32">
        <v>5272294.333333333</v>
      </c>
      <c r="I10" s="32">
        <v>235798.5</v>
      </c>
      <c r="J10" s="32">
        <v>237453</v>
      </c>
      <c r="K10" s="13">
        <v>263409</v>
      </c>
      <c r="L10" s="13">
        <v>298910.66666666669</v>
      </c>
      <c r="M10" s="13">
        <v>132126</v>
      </c>
      <c r="N10" s="3"/>
      <c r="O10" s="32">
        <v>362762.33333333331</v>
      </c>
      <c r="P10" s="13">
        <v>4919063.666666667</v>
      </c>
      <c r="Q10" s="13">
        <v>189679.66666666666</v>
      </c>
      <c r="R10" s="32"/>
      <c r="S10" s="32">
        <v>1137415.3333333333</v>
      </c>
      <c r="T10" s="32">
        <v>3418150.5</v>
      </c>
      <c r="U10" s="32">
        <v>1328082.6666666667</v>
      </c>
      <c r="V10" s="32">
        <v>1957498.3333333333</v>
      </c>
    </row>
    <row r="11" spans="1:22" ht="16.5" x14ac:dyDescent="0.35">
      <c r="A11" s="226"/>
      <c r="B11" s="14">
        <v>179182</v>
      </c>
      <c r="C11" s="13">
        <v>193451</v>
      </c>
      <c r="D11" s="32">
        <v>198908.5</v>
      </c>
      <c r="E11" s="32">
        <v>490616.33333333331</v>
      </c>
      <c r="F11" s="32">
        <v>2143789.3333333335</v>
      </c>
      <c r="G11" s="32">
        <v>3455606.3333333335</v>
      </c>
      <c r="H11" s="32">
        <v>5044639.333333333</v>
      </c>
      <c r="I11" s="32">
        <v>151034.33333333334</v>
      </c>
      <c r="J11" s="32"/>
      <c r="K11" s="13">
        <v>151827.33333333334</v>
      </c>
      <c r="L11" s="13">
        <v>73902</v>
      </c>
      <c r="M11" s="13">
        <v>63548.666666666664</v>
      </c>
      <c r="N11" s="3"/>
      <c r="O11" s="32">
        <v>378804</v>
      </c>
      <c r="P11" s="13">
        <v>4585956</v>
      </c>
      <c r="Q11" s="13">
        <v>7267.666666666667</v>
      </c>
      <c r="R11" s="32">
        <v>1240777.3333333333</v>
      </c>
      <c r="S11" s="32">
        <v>446992.5</v>
      </c>
      <c r="T11" s="32">
        <v>1153998</v>
      </c>
      <c r="U11" s="32">
        <v>1015624.3333333334</v>
      </c>
      <c r="V11" s="32">
        <v>414335</v>
      </c>
    </row>
    <row r="12" spans="1:22" ht="16.5" x14ac:dyDescent="0.35">
      <c r="A12" s="226"/>
      <c r="B12" s="14">
        <v>115114.66666666667</v>
      </c>
      <c r="C12" s="13">
        <v>120269.33333333333</v>
      </c>
      <c r="D12" s="32">
        <v>50689.5</v>
      </c>
      <c r="E12" s="32"/>
      <c r="F12" s="32">
        <v>700491.66666666663</v>
      </c>
      <c r="G12" s="32">
        <v>2214879.3333333335</v>
      </c>
      <c r="H12" s="32"/>
      <c r="I12" s="32">
        <v>281448.33333333331</v>
      </c>
      <c r="J12" s="32">
        <v>599732</v>
      </c>
      <c r="K12" s="13">
        <v>148417.33333333334</v>
      </c>
      <c r="L12" s="13">
        <v>69936.666666666672</v>
      </c>
      <c r="M12" s="13">
        <v>200783.33333333334</v>
      </c>
      <c r="N12" s="3"/>
      <c r="O12" s="32">
        <v>1673642</v>
      </c>
      <c r="P12" s="13">
        <v>3608732</v>
      </c>
      <c r="Q12" s="13">
        <v>13533</v>
      </c>
      <c r="R12" s="32">
        <v>1101978</v>
      </c>
      <c r="S12" s="32">
        <v>198973.33333333334</v>
      </c>
      <c r="T12" s="32">
        <v>801207.66666666663</v>
      </c>
      <c r="U12" s="32">
        <v>1136946.6666666667</v>
      </c>
      <c r="V12" s="32">
        <v>1858340</v>
      </c>
    </row>
    <row r="13" spans="1:22" ht="16.5" x14ac:dyDescent="0.35">
      <c r="A13" s="226"/>
      <c r="B13" s="14"/>
      <c r="C13" s="13"/>
      <c r="D13" s="32"/>
      <c r="E13" s="32"/>
      <c r="F13" s="32"/>
      <c r="G13" s="32"/>
      <c r="H13" s="32"/>
      <c r="I13" s="32"/>
      <c r="J13" s="32"/>
      <c r="K13" s="13"/>
      <c r="L13" s="13"/>
      <c r="M13" s="13"/>
      <c r="N13" s="3"/>
      <c r="O13" s="32">
        <v>1995761.6666666667</v>
      </c>
      <c r="P13" s="13"/>
      <c r="Q13" s="13"/>
      <c r="R13" s="32"/>
      <c r="S13" s="32"/>
      <c r="T13" s="32"/>
      <c r="U13" s="32"/>
      <c r="V13" s="32"/>
    </row>
    <row r="14" spans="1:22" ht="16.5" x14ac:dyDescent="0.35">
      <c r="A14" s="226"/>
      <c r="B14" s="14"/>
      <c r="C14" s="32"/>
      <c r="D14" s="32"/>
      <c r="E14" s="32"/>
      <c r="F14" s="32"/>
      <c r="G14" s="32"/>
      <c r="H14" s="32"/>
      <c r="I14" s="32"/>
      <c r="J14" s="32"/>
      <c r="K14" s="13"/>
      <c r="L14" s="13"/>
      <c r="M14" s="13"/>
      <c r="N14" s="3"/>
      <c r="O14" s="32">
        <v>1461409.6666666667</v>
      </c>
      <c r="P14" s="13"/>
      <c r="Q14" s="13"/>
      <c r="R14" s="32"/>
      <c r="S14" s="32"/>
      <c r="T14" s="32"/>
      <c r="U14" s="32"/>
      <c r="V14" s="32"/>
    </row>
    <row r="15" spans="1:22" ht="16.5" x14ac:dyDescent="0.35">
      <c r="A15" s="226"/>
      <c r="B15" s="14"/>
      <c r="C15" s="32"/>
      <c r="D15" s="32"/>
      <c r="E15" s="32"/>
      <c r="F15" s="32"/>
      <c r="G15" s="32"/>
      <c r="H15" s="32"/>
      <c r="I15" s="32"/>
      <c r="J15" s="32"/>
      <c r="K15" s="13"/>
      <c r="L15" s="13"/>
      <c r="M15" s="13"/>
      <c r="N15" s="3"/>
      <c r="O15" s="32">
        <v>1148439</v>
      </c>
      <c r="P15" s="13"/>
      <c r="Q15" s="13"/>
      <c r="R15" s="32"/>
      <c r="S15" s="32"/>
      <c r="T15" s="32"/>
      <c r="U15" s="32"/>
      <c r="V15" s="32"/>
    </row>
    <row r="16" spans="1:22" ht="16.5" x14ac:dyDescent="0.35">
      <c r="A16" s="226"/>
      <c r="B16" s="14"/>
      <c r="C16" s="32"/>
      <c r="D16" s="32"/>
      <c r="E16" s="32"/>
      <c r="F16" s="32"/>
      <c r="G16" s="32"/>
      <c r="H16" s="32"/>
      <c r="I16" s="32"/>
      <c r="J16" s="32"/>
      <c r="K16" s="13"/>
      <c r="L16" s="13"/>
      <c r="M16" s="13"/>
      <c r="N16" s="3"/>
      <c r="O16" s="32">
        <v>1702381</v>
      </c>
      <c r="P16" s="13"/>
      <c r="Q16" s="13"/>
      <c r="R16" s="32"/>
      <c r="S16" s="32"/>
      <c r="T16" s="32"/>
      <c r="U16" s="32"/>
      <c r="V16" s="32"/>
    </row>
    <row r="17" spans="1:22" ht="16.5" x14ac:dyDescent="0.35">
      <c r="A17" s="226"/>
      <c r="B17" s="14"/>
      <c r="C17" s="32"/>
      <c r="D17" s="32"/>
      <c r="E17" s="32"/>
      <c r="F17" s="32"/>
      <c r="G17" s="32"/>
      <c r="H17" s="32"/>
      <c r="I17" s="32"/>
      <c r="J17" s="32"/>
      <c r="K17" s="13"/>
      <c r="L17" s="13"/>
      <c r="M17" s="13"/>
      <c r="N17" s="3"/>
      <c r="O17" s="32">
        <v>689510.66666666663</v>
      </c>
      <c r="P17" s="13"/>
      <c r="Q17" s="13"/>
      <c r="R17" s="32"/>
      <c r="S17" s="32"/>
      <c r="T17" s="32"/>
      <c r="U17" s="32"/>
      <c r="V17" s="32"/>
    </row>
    <row r="18" spans="1:22" ht="16.5" x14ac:dyDescent="0.35">
      <c r="A18" s="226"/>
      <c r="B18" s="14"/>
      <c r="C18" s="32"/>
      <c r="D18" s="32"/>
      <c r="E18" s="32"/>
      <c r="F18" s="32"/>
      <c r="G18" s="32"/>
      <c r="H18" s="32"/>
      <c r="I18" s="32"/>
      <c r="J18" s="32"/>
      <c r="K18" s="13"/>
      <c r="L18" s="13"/>
      <c r="M18" s="13"/>
      <c r="N18" s="3"/>
      <c r="O18" s="32">
        <v>1781849.3333333333</v>
      </c>
      <c r="P18" s="13"/>
      <c r="Q18" s="13"/>
      <c r="R18" s="32"/>
      <c r="S18" s="32"/>
      <c r="T18" s="32"/>
      <c r="U18" s="32"/>
      <c r="V18" s="32"/>
    </row>
    <row r="19" spans="1:22" ht="16.5" x14ac:dyDescent="0.35">
      <c r="A19" s="226"/>
      <c r="B19" s="14"/>
      <c r="C19" s="32"/>
      <c r="D19" s="32"/>
      <c r="E19" s="32"/>
      <c r="F19" s="32"/>
      <c r="G19" s="32"/>
      <c r="H19" s="32"/>
      <c r="I19" s="32"/>
      <c r="J19" s="32"/>
      <c r="K19" s="13"/>
      <c r="L19" s="13"/>
      <c r="M19" s="13"/>
      <c r="N19" s="3"/>
      <c r="O19" s="32">
        <v>520037</v>
      </c>
      <c r="P19" s="13"/>
      <c r="Q19" s="13"/>
      <c r="R19" s="32"/>
      <c r="S19" s="32"/>
      <c r="T19" s="32"/>
      <c r="U19" s="32"/>
      <c r="V19" s="32"/>
    </row>
    <row r="20" spans="1:22" ht="16.5" x14ac:dyDescent="0.35">
      <c r="A20" s="226"/>
      <c r="B20" s="14"/>
      <c r="C20" s="32"/>
      <c r="D20" s="32"/>
      <c r="E20" s="32"/>
      <c r="F20" s="32"/>
      <c r="G20" s="32"/>
      <c r="H20" s="32"/>
      <c r="I20" s="32"/>
      <c r="J20" s="32"/>
      <c r="K20" s="13"/>
      <c r="L20" s="13"/>
      <c r="M20" s="13"/>
      <c r="N20" s="3"/>
      <c r="O20" s="32"/>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CRO-0.1µg/L</v>
      </c>
      <c r="J22" s="3" t="str">
        <f t="shared" si="0"/>
        <v>CRO-1µg/L</v>
      </c>
      <c r="K22" s="3" t="str">
        <f t="shared" si="0"/>
        <v>CRO-10µg/L</v>
      </c>
      <c r="L22" s="3" t="str">
        <f t="shared" si="0"/>
        <v>CRO-100µg/L</v>
      </c>
      <c r="M22" s="3" t="str">
        <f t="shared" si="0"/>
        <v>CRO-1000µg/L</v>
      </c>
      <c r="N22" s="3" t="s">
        <v>41</v>
      </c>
      <c r="O22" s="3" t="str">
        <f t="shared" si="0"/>
        <v>Testo -30µg/L</v>
      </c>
      <c r="P22" s="3" t="str">
        <f t="shared" si="0"/>
        <v>Testo 30µg/L + EE2 -64ng/L</v>
      </c>
      <c r="Q22" s="3" t="str">
        <f t="shared" si="0"/>
        <v>Testo 30µg/L + FAD-10mg/L</v>
      </c>
      <c r="R22" s="3" t="str">
        <f t="shared" si="0"/>
        <v>CRO-0,1µg/L + Testostérone</v>
      </c>
      <c r="S22" s="3" t="str">
        <f t="shared" si="0"/>
        <v>CRO-1µg/L + Testostérone</v>
      </c>
      <c r="T22" s="3" t="str">
        <f t="shared" si="0"/>
        <v>CRO-10µg/L + Testostérone</v>
      </c>
      <c r="U22" s="3" t="str">
        <f t="shared" si="0"/>
        <v>CRO-100µg/L + Testostérone</v>
      </c>
      <c r="V22" s="3" t="str">
        <f t="shared" si="0"/>
        <v>CRO-1000µg/L + Testostérone</v>
      </c>
    </row>
    <row r="23" spans="1:22" x14ac:dyDescent="0.35">
      <c r="A23" s="5" t="s">
        <v>0</v>
      </c>
      <c r="B23" s="5">
        <f t="shared" ref="B23:J23" si="1">AVERAGE(B5:B20)</f>
        <v>150155.76190476189</v>
      </c>
      <c r="C23" s="5">
        <f t="shared" si="1"/>
        <v>196056.95833333331</v>
      </c>
      <c r="D23" s="5">
        <f t="shared" si="1"/>
        <v>134712.77777777778</v>
      </c>
      <c r="E23" s="5">
        <f t="shared" si="1"/>
        <v>1274456.9166666665</v>
      </c>
      <c r="F23" s="5">
        <f t="shared" si="1"/>
        <v>1778478.5416666665</v>
      </c>
      <c r="G23" s="5">
        <f t="shared" si="1"/>
        <v>3106882.8749999995</v>
      </c>
      <c r="H23" s="5">
        <f t="shared" si="1"/>
        <v>4496735.6904761903</v>
      </c>
      <c r="I23" s="5">
        <f t="shared" si="1"/>
        <v>208205.75</v>
      </c>
      <c r="J23" s="5">
        <f t="shared" si="1"/>
        <v>296061</v>
      </c>
      <c r="K23" s="5"/>
      <c r="L23" s="5">
        <f>AVERAGE(L5:L20)</f>
        <v>158684.09523809524</v>
      </c>
      <c r="M23" s="5"/>
      <c r="N23" s="5" t="s">
        <v>0</v>
      </c>
      <c r="O23" s="5">
        <f>AVERAGE(O5:O20)</f>
        <v>1196112.0666666664</v>
      </c>
      <c r="P23" s="5">
        <f>AVERAGE(P5:P20)</f>
        <v>3710340.8333333335</v>
      </c>
      <c r="Q23" s="5">
        <f>AVERAGE(Q5:Q20)</f>
        <v>172944.45833333337</v>
      </c>
      <c r="R23" s="5">
        <f>AVERAGE(R5:R20)</f>
        <v>1528695.7619047619</v>
      </c>
      <c r="S23" s="5">
        <f>AVERAGE(S5:S20)</f>
        <v>845470.70833333314</v>
      </c>
      <c r="T23" s="5">
        <f t="shared" ref="T23:V23" si="2">AVERAGE(T5:T20)</f>
        <v>1411165.0625</v>
      </c>
      <c r="U23" s="5">
        <f t="shared" si="2"/>
        <v>1003648.7916666666</v>
      </c>
      <c r="V23" s="5">
        <f t="shared" si="2"/>
        <v>1249765.4583333335</v>
      </c>
    </row>
    <row r="24" spans="1:22" x14ac:dyDescent="0.35">
      <c r="A24" s="3" t="s">
        <v>1</v>
      </c>
      <c r="B24" s="3">
        <f t="shared" ref="B24:J24" si="3">STDEV(B5:B20)</f>
        <v>108476.52988408656</v>
      </c>
      <c r="C24" s="3">
        <f t="shared" si="3"/>
        <v>228863.28598923786</v>
      </c>
      <c r="D24" s="3">
        <f t="shared" si="3"/>
        <v>132635.53348596825</v>
      </c>
      <c r="E24" s="3">
        <f t="shared" si="3"/>
        <v>737378.02088512538</v>
      </c>
      <c r="F24" s="3">
        <f t="shared" si="3"/>
        <v>527083.3661078841</v>
      </c>
      <c r="G24" s="3">
        <f t="shared" si="3"/>
        <v>835840.12373197649</v>
      </c>
      <c r="H24" s="3">
        <f t="shared" si="3"/>
        <v>866819.20477941458</v>
      </c>
      <c r="I24" s="3">
        <f t="shared" si="3"/>
        <v>125125.57342747945</v>
      </c>
      <c r="J24" s="3">
        <f t="shared" si="3"/>
        <v>180062.55813099453</v>
      </c>
      <c r="K24" s="3"/>
      <c r="L24" s="3">
        <f>STDEV(L5:L20)</f>
        <v>152716.85884216925</v>
      </c>
      <c r="M24" s="3"/>
      <c r="N24" s="3" t="s">
        <v>1</v>
      </c>
      <c r="O24" s="3">
        <f>STDEV(O5:O20)</f>
        <v>802214.28583555087</v>
      </c>
      <c r="P24" s="3">
        <f>STDEV(P5:P20)</f>
        <v>1444620.4865286211</v>
      </c>
      <c r="Q24" s="3">
        <f>STDEV(Q5:Q20)</f>
        <v>164518.45712288099</v>
      </c>
      <c r="R24" s="3">
        <f>STDEV(R5:R20)</f>
        <v>729569.39627608832</v>
      </c>
      <c r="S24" s="3">
        <f>STDEV(S5:S20)</f>
        <v>502810.49910033698</v>
      </c>
      <c r="T24" s="3">
        <f t="shared" ref="T24:V24" si="4">STDEV(T5:T20)</f>
        <v>1074361.2349533371</v>
      </c>
      <c r="U24" s="3">
        <f t="shared" si="4"/>
        <v>356675.14829799271</v>
      </c>
      <c r="V24" s="3">
        <f t="shared" si="4"/>
        <v>642067.34818303213</v>
      </c>
    </row>
    <row r="25" spans="1:22" ht="15" thickBot="1" x14ac:dyDescent="0.4"/>
    <row r="26" spans="1:22" ht="15" thickBot="1" x14ac:dyDescent="0.4">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CRO-0.1µg/L</v>
      </c>
      <c r="J27" s="35" t="str">
        <f t="shared" si="5"/>
        <v>CRO-1µg/L</v>
      </c>
      <c r="K27" s="35" t="str">
        <f t="shared" si="5"/>
        <v>CRO-10µg/L</v>
      </c>
      <c r="L27" s="35" t="str">
        <f t="shared" si="5"/>
        <v>CRO-100µg/L</v>
      </c>
      <c r="M27" s="35" t="str">
        <f t="shared" si="5"/>
        <v>CRO-1000µg/L</v>
      </c>
      <c r="N27" s="3"/>
      <c r="O27" s="36" t="str">
        <f>O4</f>
        <v>Testo -30µg/L</v>
      </c>
      <c r="P27" s="36" t="str">
        <f t="shared" ref="P27:R27" si="6">P4</f>
        <v>Testo 30µg/L + EE2 -64ng/L</v>
      </c>
      <c r="Q27" s="36" t="str">
        <f t="shared" si="6"/>
        <v>Testo 30µg/L + FAD-10mg/L</v>
      </c>
      <c r="R27" s="36" t="str">
        <f t="shared" si="6"/>
        <v>CRO-0,1µg/L + Testostérone</v>
      </c>
      <c r="S27" s="36" t="str">
        <f t="shared" ref="S27:V27" si="7">S4</f>
        <v>CRO-1µg/L + Testostérone</v>
      </c>
      <c r="T27" s="36" t="str">
        <f t="shared" si="7"/>
        <v>CRO-10µg/L + Testostérone</v>
      </c>
      <c r="U27" s="36" t="str">
        <f t="shared" si="7"/>
        <v>CRO-100µg/L + Testostérone</v>
      </c>
      <c r="V27" s="36" t="str">
        <f t="shared" si="7"/>
        <v>CRO-1000µg/L + Testostérone</v>
      </c>
    </row>
    <row r="28" spans="1:22" x14ac:dyDescent="0.35">
      <c r="A28" s="227" t="s">
        <v>34</v>
      </c>
      <c r="B28" s="11">
        <f t="shared" ref="B28:M28" si="8">IF(B5="","",(B5/$O$23))</f>
        <v>1.514796746191174E-2</v>
      </c>
      <c r="C28" s="11">
        <f t="shared" si="8"/>
        <v>7.8982844472599872E-2</v>
      </c>
      <c r="D28" s="11" t="str">
        <f t="shared" si="8"/>
        <v/>
      </c>
      <c r="E28" s="11">
        <f t="shared" si="8"/>
        <v>0.23224050187939477</v>
      </c>
      <c r="F28" s="11">
        <f t="shared" si="8"/>
        <v>1.1754336173962743</v>
      </c>
      <c r="G28" s="11">
        <f t="shared" si="8"/>
        <v>2.7078716871624242</v>
      </c>
      <c r="H28" s="11">
        <f t="shared" si="8"/>
        <v>2.6120832824973319</v>
      </c>
      <c r="I28" s="11">
        <f t="shared" si="8"/>
        <v>1.4593392893341489E-2</v>
      </c>
      <c r="J28" s="11">
        <f t="shared" si="8"/>
        <v>0.14446012611638789</v>
      </c>
      <c r="K28" s="11">
        <f t="shared" si="8"/>
        <v>0</v>
      </c>
      <c r="L28" s="11" t="str">
        <f t="shared" si="8"/>
        <v/>
      </c>
      <c r="M28" s="11">
        <f t="shared" si="8"/>
        <v>0.20100401963450365</v>
      </c>
      <c r="N28" s="6"/>
      <c r="O28" s="11">
        <f t="shared" ref="O28:S37" si="9">IF(O5="","",(O5/$O$23))</f>
        <v>1.712772900153559</v>
      </c>
      <c r="P28" s="11">
        <f t="shared" si="9"/>
        <v>2.4420323268483042</v>
      </c>
      <c r="Q28" s="11">
        <f t="shared" si="9"/>
        <v>0.10750051792805816</v>
      </c>
      <c r="R28" s="11">
        <f t="shared" si="9"/>
        <v>1.1881885537927024</v>
      </c>
      <c r="S28" s="11">
        <f t="shared" si="9"/>
        <v>1.2343436492935085</v>
      </c>
      <c r="T28" s="11">
        <f t="shared" ref="T28:V28" si="10">IF(T5="","",(T5/$O$23))</f>
        <v>6.8771705393714244E-2</v>
      </c>
      <c r="U28" s="11">
        <f t="shared" si="10"/>
        <v>1.1701896828953766</v>
      </c>
      <c r="V28" s="11">
        <f t="shared" si="10"/>
        <v>0.64432117592548899</v>
      </c>
    </row>
    <row r="29" spans="1:22" x14ac:dyDescent="0.35">
      <c r="A29" s="227"/>
      <c r="B29" s="11">
        <f t="shared" ref="B29:M29" si="11">IF(B6="","",(B6/$O$23))</f>
        <v>6.8535941531899947E-3</v>
      </c>
      <c r="C29" s="11">
        <f t="shared" si="11"/>
        <v>0.10521589365009892</v>
      </c>
      <c r="D29" s="11">
        <f t="shared" si="11"/>
        <v>7.9826689595027381E-2</v>
      </c>
      <c r="E29" s="11">
        <f t="shared" si="11"/>
        <v>1.8006736659736624</v>
      </c>
      <c r="F29" s="11">
        <f t="shared" si="11"/>
        <v>1.9237712452918991</v>
      </c>
      <c r="G29" s="11">
        <f t="shared" si="11"/>
        <v>1.2193823978923717</v>
      </c>
      <c r="H29" s="11">
        <f t="shared" si="11"/>
        <v>3.5892677781975957</v>
      </c>
      <c r="I29" s="11">
        <f t="shared" si="11"/>
        <v>0.22459071700137803</v>
      </c>
      <c r="J29" s="11">
        <f t="shared" si="11"/>
        <v>0.35945182616946547</v>
      </c>
      <c r="K29" s="11">
        <f t="shared" si="11"/>
        <v>6.8259211608990275E-2</v>
      </c>
      <c r="L29" s="11">
        <f t="shared" si="11"/>
        <v>0.31104833488010414</v>
      </c>
      <c r="M29" s="11">
        <f t="shared" si="11"/>
        <v>0.23112522176712433</v>
      </c>
      <c r="N29" s="6"/>
      <c r="O29" s="11">
        <f t="shared" si="9"/>
        <v>0.86167887501734108</v>
      </c>
      <c r="P29" s="11">
        <f t="shared" si="9"/>
        <v>4.8456370949856939</v>
      </c>
      <c r="Q29" s="11">
        <f t="shared" si="9"/>
        <v>0.34690785105364441</v>
      </c>
      <c r="R29" s="11">
        <f t="shared" si="9"/>
        <v>0.79402844137068329</v>
      </c>
      <c r="S29" s="11">
        <f t="shared" si="9"/>
        <v>0.71715562772518371</v>
      </c>
      <c r="T29" s="11">
        <f t="shared" ref="T29:V29" si="12">IF(T6="","",(T6/$O$23))</f>
        <v>0.70064532972133453</v>
      </c>
      <c r="U29" s="11">
        <f t="shared" si="12"/>
        <v>0.56566410917683807</v>
      </c>
      <c r="V29" s="11">
        <f t="shared" si="12"/>
        <v>0.38004298482399734</v>
      </c>
    </row>
    <row r="30" spans="1:22" x14ac:dyDescent="0.35">
      <c r="A30" s="227"/>
      <c r="B30" s="11">
        <f t="shared" ref="B30:M30" si="13">IF(B7="","",(B7/$O$23))</f>
        <v>0.24661067154186952</v>
      </c>
      <c r="C30" s="11">
        <f t="shared" si="13"/>
        <v>0.63154784660367125</v>
      </c>
      <c r="D30" s="11">
        <f t="shared" si="13"/>
        <v>5.5763448252145388E-2</v>
      </c>
      <c r="E30" s="11">
        <f t="shared" si="13"/>
        <v>1.3558227905177895</v>
      </c>
      <c r="F30" s="11">
        <f t="shared" si="13"/>
        <v>1.5329204660365998</v>
      </c>
      <c r="G30" s="11">
        <f t="shared" si="13"/>
        <v>3.2060240063347472</v>
      </c>
      <c r="H30" s="11">
        <f t="shared" si="13"/>
        <v>4.2333839844772641</v>
      </c>
      <c r="I30" s="11">
        <f t="shared" si="13"/>
        <v>0.32478854684797936</v>
      </c>
      <c r="J30" s="11" t="str">
        <f t="shared" si="13"/>
        <v/>
      </c>
      <c r="K30" s="11">
        <f t="shared" si="13"/>
        <v>0.40535360092513079</v>
      </c>
      <c r="L30" s="11">
        <f t="shared" si="13"/>
        <v>2.0797939724822891E-3</v>
      </c>
      <c r="M30" s="11">
        <f t="shared" si="13"/>
        <v>8.8620458696150059E-4</v>
      </c>
      <c r="N30" s="6"/>
      <c r="O30" s="11">
        <f t="shared" si="9"/>
        <v>2.4623668205894424E-2</v>
      </c>
      <c r="P30" s="11">
        <f t="shared" si="9"/>
        <v>3.5124849784142311</v>
      </c>
      <c r="Q30" s="11">
        <f t="shared" si="9"/>
        <v>8.2924782800452207E-2</v>
      </c>
      <c r="R30" s="11">
        <f t="shared" si="9"/>
        <v>0.81967068749020799</v>
      </c>
      <c r="S30" s="11">
        <f t="shared" si="9"/>
        <v>0.8869957614339482</v>
      </c>
      <c r="T30" s="11">
        <f t="shared" ref="T30:V30" si="14">IF(T7="","",(T7/$O$23))</f>
        <v>1.8097186657147684</v>
      </c>
      <c r="U30" s="11">
        <f t="shared" si="14"/>
        <v>0.31631066230639154</v>
      </c>
      <c r="V30" s="11">
        <f t="shared" si="14"/>
        <v>1.5617274100459151</v>
      </c>
    </row>
    <row r="31" spans="1:22" x14ac:dyDescent="0.35">
      <c r="A31" s="227"/>
      <c r="B31" s="11" t="str">
        <f t="shared" ref="B31:M31" si="15">IF(B8="","",(B8/$O$23))</f>
        <v/>
      </c>
      <c r="C31" s="11">
        <f t="shared" si="15"/>
        <v>6.5227165726555958E-2</v>
      </c>
      <c r="D31" s="11">
        <f t="shared" si="15"/>
        <v>0.31358600122251651</v>
      </c>
      <c r="E31" s="11">
        <f t="shared" si="15"/>
        <v>1.1479289482406918</v>
      </c>
      <c r="F31" s="11">
        <f t="shared" si="15"/>
        <v>1.6143746508479337</v>
      </c>
      <c r="G31" s="11">
        <f t="shared" si="15"/>
        <v>3.1201273726804089</v>
      </c>
      <c r="H31" s="11">
        <f t="shared" si="15"/>
        <v>4.3049101697884398</v>
      </c>
      <c r="I31" s="11">
        <f t="shared" si="15"/>
        <v>0.22513358698106387</v>
      </c>
      <c r="J31" s="11">
        <f t="shared" si="15"/>
        <v>0.15578334047963513</v>
      </c>
      <c r="K31" s="11">
        <f t="shared" si="15"/>
        <v>5.8410078743457777E-3</v>
      </c>
      <c r="L31" s="11">
        <f t="shared" si="15"/>
        <v>1.2091676359645457E-2</v>
      </c>
      <c r="M31" s="11">
        <f t="shared" si="15"/>
        <v>0.43599342781760536</v>
      </c>
      <c r="N31" s="6"/>
      <c r="O31" s="11">
        <f t="shared" si="9"/>
        <v>2.3300169030984339</v>
      </c>
      <c r="P31" s="11">
        <f t="shared" si="9"/>
        <v>1.6589621674802939</v>
      </c>
      <c r="Q31" s="11">
        <f t="shared" si="9"/>
        <v>0.35823399156411273</v>
      </c>
      <c r="R31" s="11">
        <f t="shared" si="9"/>
        <v>2.4579756489929796</v>
      </c>
      <c r="S31" s="11">
        <f t="shared" si="9"/>
        <v>0.18330055026616518</v>
      </c>
      <c r="T31" s="11">
        <f t="shared" ref="T31:V31" si="16">IF(T8="","",(T8/$O$23))</f>
        <v>0.6068040670213678</v>
      </c>
      <c r="U31" s="11">
        <f t="shared" si="16"/>
        <v>1.0702901807249836</v>
      </c>
      <c r="V31" s="11">
        <f t="shared" si="16"/>
        <v>0.97675045052913401</v>
      </c>
    </row>
    <row r="32" spans="1:22" x14ac:dyDescent="0.35">
      <c r="A32" s="227"/>
      <c r="B32" s="11">
        <f t="shared" ref="B32:M32" si="17">IF(B9="","",(B9/$O$23))</f>
        <v>0.19914159659844585</v>
      </c>
      <c r="C32" s="11">
        <f t="shared" si="17"/>
        <v>9.8331923301947038E-2</v>
      </c>
      <c r="D32" s="11" t="str">
        <f t="shared" si="17"/>
        <v/>
      </c>
      <c r="E32" s="11" t="str">
        <f t="shared" si="17"/>
        <v/>
      </c>
      <c r="F32" s="11">
        <f t="shared" si="17"/>
        <v>1.4078611140171318</v>
      </c>
      <c r="G32" s="11">
        <f t="shared" si="17"/>
        <v>3.0473956147141403</v>
      </c>
      <c r="H32" s="11">
        <f t="shared" si="17"/>
        <v>2.9511855661685216</v>
      </c>
      <c r="I32" s="11">
        <f t="shared" si="17"/>
        <v>4.4732709270664223E-2</v>
      </c>
      <c r="J32" s="11">
        <f t="shared" si="17"/>
        <v>0.12549952816572765</v>
      </c>
      <c r="K32" s="11">
        <f t="shared" si="17"/>
        <v>0.22831612043486901</v>
      </c>
      <c r="L32" s="11">
        <f t="shared" si="17"/>
        <v>0.23328917730729917</v>
      </c>
      <c r="M32" s="11">
        <f t="shared" si="17"/>
        <v>7.575182057913081E-2</v>
      </c>
      <c r="N32" s="6"/>
      <c r="O32" s="11">
        <f t="shared" si="9"/>
        <v>0.27701208710599645</v>
      </c>
      <c r="P32" s="11">
        <f t="shared" si="9"/>
        <v>1.3932434759039583</v>
      </c>
      <c r="Q32" s="11">
        <f t="shared" si="9"/>
        <v>8.5173178589007373E-2</v>
      </c>
      <c r="R32" s="11">
        <f t="shared" si="9"/>
        <v>1.7278723771758069</v>
      </c>
      <c r="S32" s="11">
        <f t="shared" si="9"/>
        <v>1.1420153440471941</v>
      </c>
      <c r="T32" s="11">
        <f t="shared" ref="T32:V32" si="18">IF(T9="","",(T9/$O$23))</f>
        <v>1.760055259036208</v>
      </c>
      <c r="U32" s="11">
        <f t="shared" si="18"/>
        <v>0.68031334410638566</v>
      </c>
      <c r="V32" s="11">
        <f t="shared" si="18"/>
        <v>1.2594070756246309</v>
      </c>
    </row>
    <row r="33" spans="1:22" x14ac:dyDescent="0.35">
      <c r="A33" s="227"/>
      <c r="B33" s="11">
        <f t="shared" ref="B33:M33" si="19">IF(B10="","",(B10/$O$23))</f>
        <v>0.16495750871950071</v>
      </c>
      <c r="C33" s="11">
        <f t="shared" si="19"/>
        <v>6.9705843058964226E-2</v>
      </c>
      <c r="D33" s="11">
        <f t="shared" si="19"/>
        <v>1.7902726060060933E-2</v>
      </c>
      <c r="E33" s="11">
        <f t="shared" si="19"/>
        <v>1.446155742040002</v>
      </c>
      <c r="F33" s="11">
        <f t="shared" si="19"/>
        <v>1.8627633051774806</v>
      </c>
      <c r="G33" s="11">
        <f t="shared" si="19"/>
        <v>2.738312536043864</v>
      </c>
      <c r="H33" s="11">
        <f t="shared" si="19"/>
        <v>4.4078598320859683</v>
      </c>
      <c r="I33" s="11">
        <f t="shared" si="19"/>
        <v>0.19713746443268057</v>
      </c>
      <c r="J33" s="11">
        <f t="shared" si="19"/>
        <v>0.19852069602619737</v>
      </c>
      <c r="K33" s="11">
        <f t="shared" si="19"/>
        <v>0.22022100381786974</v>
      </c>
      <c r="L33" s="11">
        <f t="shared" si="19"/>
        <v>0.24990189046388692</v>
      </c>
      <c r="M33" s="11">
        <f t="shared" si="19"/>
        <v>0.11046289363856154</v>
      </c>
      <c r="N33" s="6"/>
      <c r="O33" s="11">
        <f t="shared" si="9"/>
        <v>0.30328456960080835</v>
      </c>
      <c r="P33" s="11">
        <f t="shared" si="9"/>
        <v>4.1125441367506212</v>
      </c>
      <c r="Q33" s="11">
        <f t="shared" si="9"/>
        <v>0.15858017986163062</v>
      </c>
      <c r="R33" s="11" t="str">
        <f t="shared" si="9"/>
        <v/>
      </c>
      <c r="S33" s="11">
        <f t="shared" si="9"/>
        <v>0.9509270619625888</v>
      </c>
      <c r="T33" s="11">
        <f t="shared" ref="T33:V33" si="20">IF(T10="","",(T10/$O$23))</f>
        <v>2.8577175962497612</v>
      </c>
      <c r="U33" s="11">
        <f t="shared" si="20"/>
        <v>1.1103329727019451</v>
      </c>
      <c r="V33" s="11">
        <f t="shared" si="20"/>
        <v>1.6365509452542382</v>
      </c>
    </row>
    <row r="34" spans="1:22" x14ac:dyDescent="0.35">
      <c r="A34" s="227"/>
      <c r="B34" s="11">
        <f t="shared" ref="B34:M34" si="21">IF(B11="","",(B11/$O$23))</f>
        <v>0.1498036889631468</v>
      </c>
      <c r="C34" s="11">
        <f t="shared" si="21"/>
        <v>0.16173317316253702</v>
      </c>
      <c r="D34" s="11">
        <f t="shared" si="21"/>
        <v>0.16629587272229401</v>
      </c>
      <c r="E34" s="11">
        <f t="shared" si="21"/>
        <v>0.41017589154550244</v>
      </c>
      <c r="F34" s="11">
        <f t="shared" si="21"/>
        <v>1.7922980572444693</v>
      </c>
      <c r="G34" s="11">
        <f t="shared" si="21"/>
        <v>2.8890322484275588</v>
      </c>
      <c r="H34" s="11">
        <f t="shared" si="21"/>
        <v>4.2175306761947224</v>
      </c>
      <c r="I34" s="11">
        <f t="shared" si="21"/>
        <v>0.12627105564969082</v>
      </c>
      <c r="J34" s="11" t="str">
        <f t="shared" si="21"/>
        <v/>
      </c>
      <c r="K34" s="11">
        <f t="shared" si="21"/>
        <v>0.12693403700578562</v>
      </c>
      <c r="L34" s="11">
        <f t="shared" si="21"/>
        <v>6.1785180552480015E-2</v>
      </c>
      <c r="M34" s="11">
        <f t="shared" si="21"/>
        <v>5.3129358391780582E-2</v>
      </c>
      <c r="N34" s="6"/>
      <c r="O34" s="11">
        <f t="shared" si="9"/>
        <v>0.31669607769751346</v>
      </c>
      <c r="P34" s="11">
        <f t="shared" si="9"/>
        <v>3.8340521158524674</v>
      </c>
      <c r="Q34" s="11">
        <f t="shared" si="9"/>
        <v>6.0760750344407543E-3</v>
      </c>
      <c r="R34" s="11">
        <f t="shared" si="9"/>
        <v>1.0373420416960932</v>
      </c>
      <c r="S34" s="11">
        <f t="shared" si="9"/>
        <v>0.37370453192206471</v>
      </c>
      <c r="T34" s="11">
        <f t="shared" ref="T34:V34" si="22">IF(T11="","",(T11/$O$23))</f>
        <v>0.9647908688154696</v>
      </c>
      <c r="U34" s="11">
        <f t="shared" si="22"/>
        <v>0.84910466304690202</v>
      </c>
      <c r="V34" s="11">
        <f t="shared" si="22"/>
        <v>0.34640148824405032</v>
      </c>
    </row>
    <row r="35" spans="1:22" x14ac:dyDescent="0.35">
      <c r="A35" s="227"/>
      <c r="B35" s="11">
        <f t="shared" ref="B35:M35" si="23">IF(B12="","",(B12/$O$23))</f>
        <v>9.6240703421268073E-2</v>
      </c>
      <c r="C35" s="11">
        <f t="shared" si="23"/>
        <v>0.10055022157622802</v>
      </c>
      <c r="D35" s="11">
        <f t="shared" si="23"/>
        <v>4.237855416111791E-2</v>
      </c>
      <c r="E35" s="11" t="str">
        <f t="shared" si="23"/>
        <v/>
      </c>
      <c r="F35" s="11">
        <f t="shared" si="23"/>
        <v>0.58564049823425135</v>
      </c>
      <c r="G35" s="11">
        <f t="shared" si="23"/>
        <v>1.8517322875153119</v>
      </c>
      <c r="H35" s="11" t="str">
        <f t="shared" si="23"/>
        <v/>
      </c>
      <c r="I35" s="11">
        <f t="shared" si="23"/>
        <v>0.2353026452761032</v>
      </c>
      <c r="J35" s="11">
        <f t="shared" si="23"/>
        <v>0.50140117862980627</v>
      </c>
      <c r="K35" s="11">
        <f t="shared" si="23"/>
        <v>0.12408313357037173</v>
      </c>
      <c r="L35" s="11">
        <f t="shared" si="23"/>
        <v>5.846999509131838E-2</v>
      </c>
      <c r="M35" s="11">
        <f t="shared" si="23"/>
        <v>0.16786331225039619</v>
      </c>
      <c r="N35" s="6"/>
      <c r="O35" s="11">
        <f t="shared" si="9"/>
        <v>1.3992351106900187</v>
      </c>
      <c r="P35" s="11">
        <f t="shared" si="9"/>
        <v>3.0170517467120281</v>
      </c>
      <c r="Q35" s="11">
        <f t="shared" si="9"/>
        <v>1.1314157240896214E-2</v>
      </c>
      <c r="R35" s="11">
        <f t="shared" si="9"/>
        <v>0.92129996068930242</v>
      </c>
      <c r="S35" s="11">
        <f t="shared" si="9"/>
        <v>0.16635007611605629</v>
      </c>
      <c r="T35" s="11">
        <f t="shared" ref="T35:V35" si="24">IF(T12="","",(T12/$O$23))</f>
        <v>0.6698433106686047</v>
      </c>
      <c r="U35" s="11">
        <f t="shared" si="24"/>
        <v>0.95053523691564934</v>
      </c>
      <c r="V35" s="11">
        <f t="shared" si="24"/>
        <v>1.553650407673618</v>
      </c>
    </row>
    <row r="36" spans="1:22" x14ac:dyDescent="0.35">
      <c r="A36" s="227"/>
      <c r="B36" s="11" t="str">
        <f t="shared" ref="B36:M36" si="25">IF(B13="","",(B13/$O$23))</f>
        <v/>
      </c>
      <c r="C36" s="11" t="str">
        <f t="shared" si="25"/>
        <v/>
      </c>
      <c r="D36" s="11" t="str">
        <f t="shared" si="25"/>
        <v/>
      </c>
      <c r="E36" s="11" t="str">
        <f t="shared" si="25"/>
        <v/>
      </c>
      <c r="F36" s="11" t="str">
        <f t="shared" si="25"/>
        <v/>
      </c>
      <c r="G36" s="11" t="str">
        <f t="shared" si="25"/>
        <v/>
      </c>
      <c r="H36" s="11" t="str">
        <f t="shared" si="25"/>
        <v/>
      </c>
      <c r="I36" s="11" t="str">
        <f t="shared" si="25"/>
        <v/>
      </c>
      <c r="J36" s="11" t="str">
        <f t="shared" si="25"/>
        <v/>
      </c>
      <c r="K36" s="11" t="str">
        <f t="shared" si="25"/>
        <v/>
      </c>
      <c r="L36" s="11" t="str">
        <f t="shared" si="25"/>
        <v/>
      </c>
      <c r="M36" s="11" t="str">
        <f t="shared" si="25"/>
        <v/>
      </c>
      <c r="N36" s="6"/>
      <c r="O36" s="11">
        <f t="shared" si="9"/>
        <v>1.6685407013980467</v>
      </c>
      <c r="P36" s="11" t="str">
        <f t="shared" si="9"/>
        <v/>
      </c>
      <c r="Q36" s="11" t="str">
        <f t="shared" si="9"/>
        <v/>
      </c>
      <c r="R36" s="11" t="str">
        <f t="shared" si="9"/>
        <v/>
      </c>
      <c r="S36" s="11" t="str">
        <f t="shared" si="9"/>
        <v/>
      </c>
      <c r="T36" s="11" t="str">
        <f t="shared" ref="T36:V36" si="26">IF(T13="","",(T13/$O$23))</f>
        <v/>
      </c>
      <c r="U36" s="11" t="str">
        <f t="shared" si="26"/>
        <v/>
      </c>
      <c r="V36" s="11" t="str">
        <f t="shared" si="26"/>
        <v/>
      </c>
    </row>
    <row r="37" spans="1:22" x14ac:dyDescent="0.35">
      <c r="A37" s="227"/>
      <c r="B37" s="11" t="str">
        <f t="shared" ref="B37:M37" si="27">IF(B14="","",(B14/$O$23))</f>
        <v/>
      </c>
      <c r="C37" s="11" t="str">
        <f t="shared" si="27"/>
        <v/>
      </c>
      <c r="D37" s="11" t="str">
        <f t="shared" si="27"/>
        <v/>
      </c>
      <c r="E37" s="11" t="str">
        <f t="shared" si="27"/>
        <v/>
      </c>
      <c r="F37" s="11" t="str">
        <f t="shared" si="27"/>
        <v/>
      </c>
      <c r="G37" s="11" t="str">
        <f t="shared" si="27"/>
        <v/>
      </c>
      <c r="H37" s="11" t="str">
        <f t="shared" si="27"/>
        <v/>
      </c>
      <c r="I37" s="11" t="str">
        <f t="shared" si="27"/>
        <v/>
      </c>
      <c r="J37" s="11" t="str">
        <f t="shared" si="27"/>
        <v/>
      </c>
      <c r="K37" s="11" t="str">
        <f t="shared" si="27"/>
        <v/>
      </c>
      <c r="L37" s="11" t="str">
        <f t="shared" si="27"/>
        <v/>
      </c>
      <c r="M37" s="11" t="str">
        <f t="shared" si="27"/>
        <v/>
      </c>
      <c r="N37" s="6"/>
      <c r="O37" s="11">
        <f t="shared" si="9"/>
        <v>1.2217999528583752</v>
      </c>
      <c r="P37" s="11" t="str">
        <f t="shared" si="9"/>
        <v/>
      </c>
      <c r="Q37" s="11" t="str">
        <f t="shared" si="9"/>
        <v/>
      </c>
      <c r="R37" s="11" t="str">
        <f t="shared" si="9"/>
        <v/>
      </c>
      <c r="S37" s="11" t="str">
        <f t="shared" si="9"/>
        <v/>
      </c>
      <c r="T37" s="11" t="str">
        <f t="shared" ref="T37:V37" si="28">IF(T14="","",(T14/$O$23))</f>
        <v/>
      </c>
      <c r="U37" s="11" t="str">
        <f t="shared" si="28"/>
        <v/>
      </c>
      <c r="V37" s="11" t="str">
        <f t="shared" si="28"/>
        <v/>
      </c>
    </row>
    <row r="38" spans="1:22" x14ac:dyDescent="0.35">
      <c r="A38" s="227"/>
      <c r="B38" s="11" t="str">
        <f t="shared" ref="B38:M38" si="29">IF(B15="","",(B15/$O$23))</f>
        <v/>
      </c>
      <c r="C38" s="11" t="str">
        <f t="shared" si="29"/>
        <v/>
      </c>
      <c r="D38" s="11" t="str">
        <f t="shared" si="29"/>
        <v/>
      </c>
      <c r="E38" s="11" t="str">
        <f t="shared" si="29"/>
        <v/>
      </c>
      <c r="F38" s="11" t="str">
        <f t="shared" si="29"/>
        <v/>
      </c>
      <c r="G38" s="11" t="str">
        <f t="shared" si="29"/>
        <v/>
      </c>
      <c r="H38" s="11" t="str">
        <f t="shared" si="29"/>
        <v/>
      </c>
      <c r="I38" s="11" t="str">
        <f t="shared" si="29"/>
        <v/>
      </c>
      <c r="J38" s="11" t="str">
        <f t="shared" si="29"/>
        <v/>
      </c>
      <c r="K38" s="11" t="str">
        <f t="shared" si="29"/>
        <v/>
      </c>
      <c r="L38" s="11" t="str">
        <f t="shared" si="29"/>
        <v/>
      </c>
      <c r="M38" s="11" t="str">
        <f t="shared" si="29"/>
        <v/>
      </c>
      <c r="N38" s="6"/>
      <c r="O38" s="11">
        <f t="shared" ref="O38:V38" si="30">IF(O15="","",(O15/$O$23))</f>
        <v>0.96014331098630079</v>
      </c>
      <c r="P38" s="11" t="str">
        <f t="shared" si="30"/>
        <v/>
      </c>
      <c r="Q38" s="11" t="str">
        <f t="shared" si="30"/>
        <v/>
      </c>
      <c r="R38" s="11" t="str">
        <f t="shared" si="30"/>
        <v/>
      </c>
      <c r="S38" s="11" t="str">
        <f t="shared" si="30"/>
        <v/>
      </c>
      <c r="T38" s="11" t="str">
        <f t="shared" si="30"/>
        <v/>
      </c>
      <c r="U38" s="11" t="str">
        <f t="shared" si="30"/>
        <v/>
      </c>
      <c r="V38" s="11" t="str">
        <f t="shared" si="30"/>
        <v/>
      </c>
    </row>
    <row r="39" spans="1:22" x14ac:dyDescent="0.35">
      <c r="A39" s="227"/>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V39" si="32">IF(O16="","",(O16/$O$23))</f>
        <v>1.4232621235434966</v>
      </c>
      <c r="P39" s="11" t="str">
        <f t="shared" si="32"/>
        <v/>
      </c>
      <c r="Q39" s="11" t="str">
        <f t="shared" si="32"/>
        <v/>
      </c>
      <c r="R39" s="11" t="str">
        <f t="shared" si="32"/>
        <v/>
      </c>
      <c r="S39" s="11" t="str">
        <f t="shared" si="32"/>
        <v/>
      </c>
      <c r="T39" s="11" t="str">
        <f t="shared" si="32"/>
        <v/>
      </c>
      <c r="U39" s="11" t="str">
        <f t="shared" si="32"/>
        <v/>
      </c>
      <c r="V39" s="11" t="str">
        <f t="shared" si="32"/>
        <v/>
      </c>
    </row>
    <row r="40" spans="1:22" x14ac:dyDescent="0.35">
      <c r="A40" s="227"/>
      <c r="B40" s="11" t="str">
        <f t="shared" ref="B40:M40" si="33">IF(B17="","",(B17/$O$23))</f>
        <v/>
      </c>
      <c r="C40" s="11" t="str">
        <f t="shared" si="33"/>
        <v/>
      </c>
      <c r="D40" s="11" t="str">
        <f t="shared" si="33"/>
        <v/>
      </c>
      <c r="E40" s="11" t="str">
        <f t="shared" si="33"/>
        <v/>
      </c>
      <c r="F40" s="11" t="str">
        <f t="shared" si="33"/>
        <v/>
      </c>
      <c r="G40" s="11" t="str">
        <f t="shared" si="33"/>
        <v/>
      </c>
      <c r="H40" s="11" t="str">
        <f t="shared" si="33"/>
        <v/>
      </c>
      <c r="I40" s="11" t="str">
        <f t="shared" si="33"/>
        <v/>
      </c>
      <c r="J40" s="11" t="str">
        <f t="shared" si="33"/>
        <v/>
      </c>
      <c r="K40" s="11" t="str">
        <f t="shared" si="33"/>
        <v/>
      </c>
      <c r="L40" s="11" t="str">
        <f t="shared" si="33"/>
        <v/>
      </c>
      <c r="M40" s="11" t="str">
        <f t="shared" si="33"/>
        <v/>
      </c>
      <c r="N40" s="6"/>
      <c r="O40" s="11">
        <f t="shared" ref="O40:V40" si="34">IF(O17="","",(O17/$O$23))</f>
        <v>0.57645992033856819</v>
      </c>
      <c r="P40" s="11" t="str">
        <f t="shared" si="34"/>
        <v/>
      </c>
      <c r="Q40" s="11" t="str">
        <f t="shared" si="34"/>
        <v/>
      </c>
      <c r="R40" s="11" t="str">
        <f t="shared" si="34"/>
        <v/>
      </c>
      <c r="S40" s="11" t="str">
        <f t="shared" si="34"/>
        <v/>
      </c>
      <c r="T40" s="11" t="str">
        <f t="shared" si="34"/>
        <v/>
      </c>
      <c r="U40" s="11" t="str">
        <f t="shared" si="34"/>
        <v/>
      </c>
      <c r="V40" s="11" t="str">
        <f t="shared" si="34"/>
        <v/>
      </c>
    </row>
    <row r="41" spans="1:22" x14ac:dyDescent="0.35">
      <c r="A41" s="227"/>
      <c r="B41" s="11" t="str">
        <f t="shared" ref="B41:M41" si="35">IF(B18="","",(B18/$O$23))</f>
        <v/>
      </c>
      <c r="C41" s="11" t="str">
        <f t="shared" si="35"/>
        <v/>
      </c>
      <c r="D41" s="11" t="str">
        <f t="shared" si="35"/>
        <v/>
      </c>
      <c r="E41" s="11" t="str">
        <f t="shared" si="35"/>
        <v/>
      </c>
      <c r="F41" s="11" t="str">
        <f t="shared" si="35"/>
        <v/>
      </c>
      <c r="G41" s="11" t="str">
        <f t="shared" si="35"/>
        <v/>
      </c>
      <c r="H41" s="11" t="str">
        <f t="shared" si="35"/>
        <v/>
      </c>
      <c r="I41" s="11" t="str">
        <f t="shared" si="35"/>
        <v/>
      </c>
      <c r="J41" s="11" t="str">
        <f t="shared" si="35"/>
        <v/>
      </c>
      <c r="K41" s="11" t="str">
        <f t="shared" si="35"/>
        <v/>
      </c>
      <c r="L41" s="11" t="str">
        <f t="shared" si="35"/>
        <v/>
      </c>
      <c r="M41" s="11" t="str">
        <f t="shared" si="35"/>
        <v/>
      </c>
      <c r="N41" s="6"/>
      <c r="O41" s="11">
        <f t="shared" ref="O41:V41" si="36">IF(O18="","",(O18/$O$23))</f>
        <v>1.4897009929002754</v>
      </c>
      <c r="P41" s="11" t="str">
        <f t="shared" si="36"/>
        <v/>
      </c>
      <c r="Q41" s="11" t="str">
        <f t="shared" si="36"/>
        <v/>
      </c>
      <c r="R41" s="11" t="str">
        <f t="shared" si="36"/>
        <v/>
      </c>
      <c r="S41" s="11" t="str">
        <f t="shared" si="36"/>
        <v/>
      </c>
      <c r="T41" s="11" t="str">
        <f t="shared" si="36"/>
        <v/>
      </c>
      <c r="U41" s="11" t="str">
        <f t="shared" si="36"/>
        <v/>
      </c>
      <c r="V41" s="11" t="str">
        <f t="shared" si="36"/>
        <v/>
      </c>
    </row>
    <row r="42" spans="1:22" x14ac:dyDescent="0.35">
      <c r="A42" s="227"/>
      <c r="B42" s="11" t="str">
        <f t="shared" ref="B42:M42" si="37">IF(B19="","",(B19/$O$23))</f>
        <v/>
      </c>
      <c r="C42" s="11" t="str">
        <f t="shared" si="37"/>
        <v/>
      </c>
      <c r="D42" s="11" t="str">
        <f t="shared" si="37"/>
        <v/>
      </c>
      <c r="E42" s="11" t="str">
        <f t="shared" si="37"/>
        <v/>
      </c>
      <c r="F42" s="11" t="str">
        <f t="shared" si="37"/>
        <v/>
      </c>
      <c r="G42" s="11" t="str">
        <f t="shared" si="37"/>
        <v/>
      </c>
      <c r="H42" s="11" t="str">
        <f t="shared" si="37"/>
        <v/>
      </c>
      <c r="I42" s="11" t="str">
        <f t="shared" si="37"/>
        <v/>
      </c>
      <c r="J42" s="11" t="str">
        <f t="shared" si="37"/>
        <v/>
      </c>
      <c r="K42" s="11" t="str">
        <f t="shared" si="37"/>
        <v/>
      </c>
      <c r="L42" s="11" t="str">
        <f t="shared" si="37"/>
        <v/>
      </c>
      <c r="M42" s="11" t="str">
        <f t="shared" si="37"/>
        <v/>
      </c>
      <c r="N42" s="6"/>
      <c r="O42" s="11">
        <f t="shared" ref="O42:V42" si="38">IF(O19="","",(O19/$O$23))</f>
        <v>0.43477280640537536</v>
      </c>
      <c r="P42" s="11" t="str">
        <f t="shared" si="38"/>
        <v/>
      </c>
      <c r="Q42" s="11" t="str">
        <f t="shared" si="38"/>
        <v/>
      </c>
      <c r="R42" s="11" t="str">
        <f t="shared" si="38"/>
        <v/>
      </c>
      <c r="S42" s="11" t="str">
        <f t="shared" si="38"/>
        <v/>
      </c>
      <c r="T42" s="11" t="str">
        <f t="shared" si="38"/>
        <v/>
      </c>
      <c r="U42" s="11" t="str">
        <f t="shared" si="38"/>
        <v/>
      </c>
      <c r="V42" s="11" t="str">
        <f t="shared" si="38"/>
        <v/>
      </c>
    </row>
    <row r="43" spans="1:22" x14ac:dyDescent="0.35">
      <c r="A43" s="227"/>
      <c r="B43" s="11" t="str">
        <f t="shared" ref="B43:M43" si="39">IF(B20="","",(B20/$O$23))</f>
        <v/>
      </c>
      <c r="C43" s="11" t="str">
        <f t="shared" si="39"/>
        <v/>
      </c>
      <c r="D43" s="11" t="str">
        <f t="shared" si="39"/>
        <v/>
      </c>
      <c r="E43" s="11" t="str">
        <f t="shared" si="39"/>
        <v/>
      </c>
      <c r="F43" s="11" t="str">
        <f t="shared" si="39"/>
        <v/>
      </c>
      <c r="G43" s="11" t="str">
        <f t="shared" si="39"/>
        <v/>
      </c>
      <c r="H43" s="11" t="str">
        <f t="shared" si="39"/>
        <v/>
      </c>
      <c r="I43" s="11" t="str">
        <f t="shared" si="39"/>
        <v/>
      </c>
      <c r="J43" s="11" t="str">
        <f t="shared" si="39"/>
        <v/>
      </c>
      <c r="K43" s="11" t="str">
        <f t="shared" si="39"/>
        <v/>
      </c>
      <c r="L43" s="11" t="str">
        <f t="shared" si="39"/>
        <v/>
      </c>
      <c r="M43" s="11" t="str">
        <f t="shared" si="39"/>
        <v/>
      </c>
      <c r="N43" s="6"/>
      <c r="O43" s="11" t="str">
        <f t="shared" ref="O43:V43" si="40">IF(O20="","",(O20/$O$23))</f>
        <v/>
      </c>
      <c r="P43" s="11" t="str">
        <f t="shared" si="40"/>
        <v/>
      </c>
      <c r="Q43" s="11" t="str">
        <f t="shared" si="40"/>
        <v/>
      </c>
      <c r="R43" s="11" t="str">
        <f t="shared" si="40"/>
        <v/>
      </c>
      <c r="S43" s="11" t="str">
        <f t="shared" si="40"/>
        <v/>
      </c>
      <c r="T43" s="11" t="str">
        <f t="shared" si="40"/>
        <v/>
      </c>
      <c r="U43" s="11" t="str">
        <f t="shared" si="40"/>
        <v/>
      </c>
      <c r="V43" s="11" t="str">
        <f t="shared" si="40"/>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R45" si="41">B4</f>
        <v>Témoin solvant</v>
      </c>
      <c r="C45" s="7" t="str">
        <f t="shared" si="41"/>
        <v>EE2-33,8ng/L</v>
      </c>
      <c r="D45" s="7" t="str">
        <f t="shared" si="41"/>
        <v>EE2-50,6ng/L</v>
      </c>
      <c r="E45" s="7" t="str">
        <f t="shared" si="41"/>
        <v>EE2-76ng/L</v>
      </c>
      <c r="F45" s="7" t="str">
        <f t="shared" si="41"/>
        <v>EE2-114ng/L</v>
      </c>
      <c r="G45" s="7" t="str">
        <f t="shared" si="41"/>
        <v>EE2-170,9ng/L</v>
      </c>
      <c r="H45" s="7" t="str">
        <f t="shared" si="41"/>
        <v>EE2-488ng/L</v>
      </c>
      <c r="I45" s="7" t="str">
        <f t="shared" si="41"/>
        <v>CRO-0.1µg/L</v>
      </c>
      <c r="J45" s="7" t="str">
        <f t="shared" si="41"/>
        <v>CRO-1µg/L</v>
      </c>
      <c r="K45" s="7" t="str">
        <f t="shared" ref="K45:M45" si="42">K4</f>
        <v>CRO-10µg/L</v>
      </c>
      <c r="L45" s="7" t="str">
        <f t="shared" si="42"/>
        <v>CRO-100µg/L</v>
      </c>
      <c r="M45" s="7" t="str">
        <f t="shared" si="42"/>
        <v>CRO-1000µg/L</v>
      </c>
      <c r="N45" s="7"/>
      <c r="O45" s="7" t="str">
        <f t="shared" si="41"/>
        <v>Testo -30µg/L</v>
      </c>
      <c r="P45" s="7" t="str">
        <f t="shared" si="41"/>
        <v>Testo 30µg/L + EE2 -64ng/L</v>
      </c>
      <c r="Q45" s="7" t="str">
        <f t="shared" si="41"/>
        <v>Testo 30µg/L + FAD-10mg/L</v>
      </c>
      <c r="R45" s="7" t="str">
        <f t="shared" si="41"/>
        <v>CRO-0,1µg/L + Testostérone</v>
      </c>
      <c r="S45" s="7" t="str">
        <f t="shared" ref="S45:V45" si="43">S4</f>
        <v>CRO-1µg/L + Testostérone</v>
      </c>
      <c r="T45" s="7" t="str">
        <f t="shared" si="43"/>
        <v>CRO-10µg/L + Testostérone</v>
      </c>
      <c r="U45" s="7" t="str">
        <f t="shared" si="43"/>
        <v>CRO-100µg/L + Testostérone</v>
      </c>
      <c r="V45" s="7" t="str">
        <f t="shared" si="43"/>
        <v>CRO-1000µg/L + Testostérone</v>
      </c>
    </row>
    <row r="46" spans="1:22" x14ac:dyDescent="0.35">
      <c r="A46" s="8" t="s">
        <v>0</v>
      </c>
      <c r="B46" s="10">
        <f t="shared" ref="B46:H46" si="44">AVERAGE(B28:B43)</f>
        <v>0.12553653297990469</v>
      </c>
      <c r="C46" s="10">
        <f t="shared" si="44"/>
        <v>0.16391186394407531</v>
      </c>
      <c r="D46" s="10">
        <f t="shared" si="44"/>
        <v>0.11262554866886036</v>
      </c>
      <c r="E46" s="10">
        <f t="shared" si="44"/>
        <v>1.0654995900328403</v>
      </c>
      <c r="F46" s="10">
        <f t="shared" si="44"/>
        <v>1.4868828692807552</v>
      </c>
      <c r="G46" s="10">
        <f t="shared" si="44"/>
        <v>2.5974847688463529</v>
      </c>
      <c r="H46" s="10">
        <f t="shared" si="44"/>
        <v>3.7594601842014064</v>
      </c>
      <c r="I46" s="10">
        <f>AVERAGE(I28:I43)</f>
        <v>0.17406876479411271</v>
      </c>
      <c r="J46" s="9">
        <f>AVERAGE(J28:J43)</f>
        <v>0.24751944926453665</v>
      </c>
      <c r="K46" s="9">
        <f t="shared" ref="K46:M46" si="45">AVERAGE(K28:K43)</f>
        <v>0.14737601440467038</v>
      </c>
      <c r="L46" s="9">
        <f t="shared" si="45"/>
        <v>0.13266657837531662</v>
      </c>
      <c r="M46" s="9">
        <f t="shared" si="45"/>
        <v>0.15952703233325799</v>
      </c>
      <c r="N46" s="8" t="s">
        <v>0</v>
      </c>
      <c r="O46" s="10">
        <f t="shared" ref="O46:R46" si="46">AVERAGE(O28:O43)</f>
        <v>1</v>
      </c>
      <c r="P46" s="10">
        <f t="shared" si="46"/>
        <v>3.1020010053684497</v>
      </c>
      <c r="Q46" s="10">
        <f t="shared" si="46"/>
        <v>0.14458884175903031</v>
      </c>
      <c r="R46" s="10">
        <f t="shared" si="46"/>
        <v>1.2780539587439679</v>
      </c>
      <c r="S46" s="10">
        <f t="shared" ref="S46:V46" si="47">AVERAGE(S28:S43)</f>
        <v>0.70684907534583863</v>
      </c>
      <c r="T46" s="10">
        <f t="shared" si="47"/>
        <v>1.1797933503276536</v>
      </c>
      <c r="U46" s="10">
        <f t="shared" si="47"/>
        <v>0.83909260648430894</v>
      </c>
      <c r="V46" s="10">
        <f t="shared" si="47"/>
        <v>1.0448564922651342</v>
      </c>
    </row>
    <row r="47" spans="1:22" x14ac:dyDescent="0.35">
      <c r="A47" s="8" t="s">
        <v>1</v>
      </c>
      <c r="B47" s="8">
        <f t="shared" ref="B47:J47" si="48">STDEV(B28:B43)</f>
        <v>9.0690941849946957E-2</v>
      </c>
      <c r="C47" s="8">
        <f t="shared" si="48"/>
        <v>0.19133933380258897</v>
      </c>
      <c r="D47" s="8">
        <f t="shared" si="48"/>
        <v>0.11088888506542528</v>
      </c>
      <c r="E47" s="8">
        <f t="shared" si="48"/>
        <v>0.61647904191791625</v>
      </c>
      <c r="F47" s="8">
        <f t="shared" si="48"/>
        <v>0.44066386486406939</v>
      </c>
      <c r="G47" s="8">
        <f t="shared" si="48"/>
        <v>0.69879750152617615</v>
      </c>
      <c r="H47" s="8">
        <f t="shared" si="48"/>
        <v>0.72469731636021917</v>
      </c>
      <c r="I47" s="8">
        <f t="shared" si="48"/>
        <v>0.10461024256379275</v>
      </c>
      <c r="J47" s="8">
        <f t="shared" si="48"/>
        <v>0.15053987259972557</v>
      </c>
      <c r="K47" s="8">
        <f t="shared" ref="K47:M47" si="49">STDEV(K28:K43)</f>
        <v>0.13489777998342886</v>
      </c>
      <c r="L47" s="8">
        <f t="shared" si="49"/>
        <v>0.12767771774743625</v>
      </c>
      <c r="M47" s="8">
        <f t="shared" si="49"/>
        <v>0.13589005832407752</v>
      </c>
      <c r="N47" s="8" t="s">
        <v>1</v>
      </c>
      <c r="O47" s="8">
        <f t="shared" ref="O47:R47" si="50">STDEV(O28:O43)</f>
        <v>0.67068488663538617</v>
      </c>
      <c r="P47" s="8">
        <f t="shared" si="50"/>
        <v>1.2077634920568101</v>
      </c>
      <c r="Q47" s="8">
        <f t="shared" si="50"/>
        <v>0.13754435032276052</v>
      </c>
      <c r="R47" s="8">
        <f t="shared" si="50"/>
        <v>0.60995070328924805</v>
      </c>
      <c r="S47" s="8">
        <f t="shared" ref="S47:V47" si="51">STDEV(S28:S43)</f>
        <v>0.42037072705199996</v>
      </c>
      <c r="T47" s="8">
        <f t="shared" si="51"/>
        <v>0.89821118346157514</v>
      </c>
      <c r="U47" s="8">
        <f t="shared" si="51"/>
        <v>0.29819542686495715</v>
      </c>
      <c r="V47" s="8">
        <f t="shared" si="51"/>
        <v>0.53679531046982087</v>
      </c>
    </row>
    <row r="48" spans="1:22" x14ac:dyDescent="0.35">
      <c r="A48" s="8" t="s">
        <v>2</v>
      </c>
      <c r="B48" s="8">
        <f t="shared" ref="B48:J48" si="52" xml:space="preserve"> B47/SQRT(COUNT(B28:B43))</f>
        <v>3.4277954043025673E-2</v>
      </c>
      <c r="C48" s="8">
        <f t="shared" si="52"/>
        <v>6.7648670219763521E-2</v>
      </c>
      <c r="D48" s="8">
        <f t="shared" si="52"/>
        <v>4.5270197759403663E-2</v>
      </c>
      <c r="E48" s="8">
        <f t="shared" si="52"/>
        <v>0.25167651496978949</v>
      </c>
      <c r="F48" s="8">
        <f t="shared" si="52"/>
        <v>0.15579820353462792</v>
      </c>
      <c r="G48" s="8">
        <f t="shared" si="52"/>
        <v>0.24706222600268796</v>
      </c>
      <c r="H48" s="8">
        <f t="shared" si="52"/>
        <v>0.27390983926929147</v>
      </c>
      <c r="I48" s="8">
        <f t="shared" si="52"/>
        <v>3.6985305949213731E-2</v>
      </c>
      <c r="J48" s="8">
        <f t="shared" si="52"/>
        <v>6.1457645635485704E-2</v>
      </c>
      <c r="K48" s="8">
        <f t="shared" ref="K48:M48" si="53" xml:space="preserve"> K47/SQRT(COUNT(K28:K43))</f>
        <v>4.769356749664673E-2</v>
      </c>
      <c r="L48" s="8">
        <f t="shared" si="53"/>
        <v>4.8257641303430597E-2</v>
      </c>
      <c r="M48" s="8">
        <f t="shared" si="53"/>
        <v>4.8044390868395327E-2</v>
      </c>
      <c r="N48" s="8" t="s">
        <v>2</v>
      </c>
      <c r="O48" s="8">
        <f t="shared" ref="O48:R48" si="54" xml:space="preserve"> O47/SQRT(COUNT(O28:O43))</f>
        <v>0.17317009309945733</v>
      </c>
      <c r="P48" s="8">
        <f t="shared" si="54"/>
        <v>0.42700887765145767</v>
      </c>
      <c r="Q48" s="8">
        <f t="shared" si="54"/>
        <v>4.8629271413561027E-2</v>
      </c>
      <c r="R48" s="8">
        <f t="shared" si="54"/>
        <v>0.23053969613032815</v>
      </c>
      <c r="S48" s="8">
        <f t="shared" ref="S48:V48" si="55" xml:space="preserve"> S47/SQRT(COUNT(S28:S43))</f>
        <v>0.14862349585539419</v>
      </c>
      <c r="T48" s="8">
        <f t="shared" si="55"/>
        <v>0.31756560938163692</v>
      </c>
      <c r="U48" s="8">
        <f t="shared" si="55"/>
        <v>0.10542800422751419</v>
      </c>
      <c r="V48" s="8">
        <f t="shared" si="55"/>
        <v>0.18978580207117424</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customFormat="1" ht="15" thickBot="1" x14ac:dyDescent="0.4"/>
    <row r="52" spans="1:22" x14ac:dyDescent="0.35">
      <c r="A52" s="45" t="str">
        <f t="shared" ref="A52:H52" si="56">A27</f>
        <v>Noms des groupes</v>
      </c>
      <c r="B52" s="46" t="str">
        <f t="shared" si="56"/>
        <v>Témoin solvant</v>
      </c>
      <c r="C52" s="46" t="str">
        <f t="shared" si="56"/>
        <v>EE2-33,8ng/L</v>
      </c>
      <c r="D52" s="46" t="str">
        <f t="shared" si="56"/>
        <v>EE2-50,6ng/L</v>
      </c>
      <c r="E52" s="46" t="str">
        <f t="shared" si="56"/>
        <v>EE2-76ng/L</v>
      </c>
      <c r="F52" s="46" t="str">
        <f t="shared" si="56"/>
        <v>EE2-114ng/L</v>
      </c>
      <c r="G52" s="46" t="str">
        <f t="shared" si="56"/>
        <v>EE2-170,9ng/L</v>
      </c>
      <c r="H52" s="46" t="str">
        <f t="shared" si="56"/>
        <v>EE2-488ng/L</v>
      </c>
      <c r="I52" s="46" t="str">
        <f>I4</f>
        <v>CRO-0.1µg/L</v>
      </c>
      <c r="J52" s="46" t="str">
        <f>J4</f>
        <v>CRO-1µg/L</v>
      </c>
      <c r="K52" s="46" t="str">
        <f t="shared" ref="K52:M52" si="57">K4</f>
        <v>CRO-10µg/L</v>
      </c>
      <c r="L52" s="46" t="str">
        <f t="shared" si="57"/>
        <v>CRO-100µg/L</v>
      </c>
      <c r="M52" s="46" t="str">
        <f t="shared" si="57"/>
        <v>CRO-1000µg/L</v>
      </c>
      <c r="N52" s="47"/>
      <c r="O52" s="46" t="str">
        <f>O27</f>
        <v>Testo -30µg/L</v>
      </c>
      <c r="P52" s="46" t="str">
        <f>P27</f>
        <v>Testo 30µg/L + EE2 -64ng/L</v>
      </c>
      <c r="Q52" s="46" t="str">
        <f>Q27</f>
        <v>Testo 30µg/L + FAD-10mg/L</v>
      </c>
      <c r="R52" s="46" t="str">
        <f>R27</f>
        <v>CRO-0,1µg/L + Testostérone</v>
      </c>
      <c r="S52" s="46" t="str">
        <f t="shared" ref="S52:V52" si="58">S27</f>
        <v>CRO-1µg/L + Testostérone</v>
      </c>
      <c r="T52" s="46" t="str">
        <f t="shared" si="58"/>
        <v>CRO-10µg/L + Testostérone</v>
      </c>
      <c r="U52" s="46" t="str">
        <f t="shared" si="58"/>
        <v>CRO-100µg/L + Testostérone</v>
      </c>
      <c r="V52" s="46" t="str">
        <f t="shared" si="58"/>
        <v>CRO-1000µg/L + Testostérone</v>
      </c>
    </row>
    <row r="53" spans="1:22" s="3" customFormat="1" x14ac:dyDescent="0.35">
      <c r="A53" s="61" t="s">
        <v>32</v>
      </c>
      <c r="B53" s="142">
        <f t="shared" ref="B53" si="59">B46</f>
        <v>0.12553653297990469</v>
      </c>
      <c r="C53" s="142">
        <f t="shared" ref="C53:V53" si="60">C46</f>
        <v>0.16391186394407531</v>
      </c>
      <c r="D53" s="142">
        <f t="shared" si="60"/>
        <v>0.11262554866886036</v>
      </c>
      <c r="E53" s="142">
        <f t="shared" si="60"/>
        <v>1.0654995900328403</v>
      </c>
      <c r="F53" s="142">
        <f t="shared" si="60"/>
        <v>1.4868828692807552</v>
      </c>
      <c r="G53" s="142">
        <f t="shared" si="60"/>
        <v>2.5974847688463529</v>
      </c>
      <c r="H53" s="142">
        <f t="shared" si="60"/>
        <v>3.7594601842014064</v>
      </c>
      <c r="I53" s="142">
        <f t="shared" si="60"/>
        <v>0.17406876479411271</v>
      </c>
      <c r="J53" s="142">
        <f t="shared" si="60"/>
        <v>0.24751944926453665</v>
      </c>
      <c r="K53" s="142">
        <f t="shared" si="60"/>
        <v>0.14737601440467038</v>
      </c>
      <c r="L53" s="142">
        <f t="shared" si="60"/>
        <v>0.13266657837531662</v>
      </c>
      <c r="M53" s="142">
        <f t="shared" si="60"/>
        <v>0.15952703233325799</v>
      </c>
      <c r="N53" s="142"/>
      <c r="O53" s="142">
        <f t="shared" si="60"/>
        <v>1</v>
      </c>
      <c r="P53" s="142">
        <f t="shared" si="60"/>
        <v>3.1020010053684497</v>
      </c>
      <c r="Q53" s="142">
        <f t="shared" si="60"/>
        <v>0.14458884175903031</v>
      </c>
      <c r="R53" s="142">
        <f t="shared" si="60"/>
        <v>1.2780539587439679</v>
      </c>
      <c r="S53" s="142">
        <f t="shared" si="60"/>
        <v>0.70684907534583863</v>
      </c>
      <c r="T53" s="142">
        <f t="shared" si="60"/>
        <v>1.1797933503276536</v>
      </c>
      <c r="U53" s="142">
        <f t="shared" si="60"/>
        <v>0.83909260648430894</v>
      </c>
      <c r="V53" s="142">
        <f t="shared" si="60"/>
        <v>1.0448564922651342</v>
      </c>
    </row>
    <row r="54" spans="1:22" s="3" customFormat="1" x14ac:dyDescent="0.35">
      <c r="A54" s="61" t="s">
        <v>2</v>
      </c>
      <c r="B54" s="142">
        <f t="shared" ref="B54" si="61">B48</f>
        <v>3.4277954043025673E-2</v>
      </c>
      <c r="C54" s="142">
        <f t="shared" ref="C54:V54" si="62">C48</f>
        <v>6.7648670219763521E-2</v>
      </c>
      <c r="D54" s="142">
        <f t="shared" si="62"/>
        <v>4.5270197759403663E-2</v>
      </c>
      <c r="E54" s="142">
        <f t="shared" si="62"/>
        <v>0.25167651496978949</v>
      </c>
      <c r="F54" s="142">
        <f t="shared" si="62"/>
        <v>0.15579820353462792</v>
      </c>
      <c r="G54" s="142">
        <f t="shared" si="62"/>
        <v>0.24706222600268796</v>
      </c>
      <c r="H54" s="142">
        <f t="shared" si="62"/>
        <v>0.27390983926929147</v>
      </c>
      <c r="I54" s="142">
        <f t="shared" si="62"/>
        <v>3.6985305949213731E-2</v>
      </c>
      <c r="J54" s="142">
        <f t="shared" si="62"/>
        <v>6.1457645635485704E-2</v>
      </c>
      <c r="K54" s="142">
        <f t="shared" si="62"/>
        <v>4.769356749664673E-2</v>
      </c>
      <c r="L54" s="142">
        <f t="shared" si="62"/>
        <v>4.8257641303430597E-2</v>
      </c>
      <c r="M54" s="142">
        <f t="shared" si="62"/>
        <v>4.8044390868395327E-2</v>
      </c>
      <c r="N54" s="142"/>
      <c r="O54" s="142">
        <f t="shared" si="62"/>
        <v>0.17317009309945733</v>
      </c>
      <c r="P54" s="142">
        <f t="shared" si="62"/>
        <v>0.42700887765145767</v>
      </c>
      <c r="Q54" s="142">
        <f t="shared" si="62"/>
        <v>4.8629271413561027E-2</v>
      </c>
      <c r="R54" s="142">
        <f t="shared" si="62"/>
        <v>0.23053969613032815</v>
      </c>
      <c r="S54" s="142">
        <f t="shared" si="62"/>
        <v>0.14862349585539419</v>
      </c>
      <c r="T54" s="142">
        <f t="shared" si="62"/>
        <v>0.31756560938163692</v>
      </c>
      <c r="U54" s="142">
        <f t="shared" si="62"/>
        <v>0.10542800422751419</v>
      </c>
      <c r="V54" s="142">
        <f t="shared" si="62"/>
        <v>0.18978580207117424</v>
      </c>
    </row>
    <row r="55" spans="1:22" s="3" customFormat="1" x14ac:dyDescent="0.35">
      <c r="A55" s="61" t="s">
        <v>79</v>
      </c>
      <c r="B55" s="142">
        <f>(B53*100/$B53)-100</f>
        <v>0</v>
      </c>
      <c r="C55" s="142">
        <f t="shared" ref="C55:M55" si="63">(C53*100/$B53)-100</f>
        <v>30.5690543248582</v>
      </c>
      <c r="D55" s="142">
        <f t="shared" si="63"/>
        <v>-10.28464304738371</v>
      </c>
      <c r="E55" s="142">
        <f t="shared" si="63"/>
        <v>748.75658482889639</v>
      </c>
      <c r="F55" s="142">
        <f t="shared" si="63"/>
        <v>1084.4224418072533</v>
      </c>
      <c r="G55" s="142">
        <f t="shared" si="63"/>
        <v>1969.1066633663895</v>
      </c>
      <c r="H55" s="142">
        <f t="shared" si="63"/>
        <v>2894.7140445588088</v>
      </c>
      <c r="I55" s="142">
        <f t="shared" si="63"/>
        <v>38.659847187254115</v>
      </c>
      <c r="J55" s="142">
        <f t="shared" si="63"/>
        <v>97.169256939857036</v>
      </c>
      <c r="K55" s="142">
        <f t="shared" si="63"/>
        <v>17.396912999231589</v>
      </c>
      <c r="L55" s="142">
        <f t="shared" si="63"/>
        <v>5.6796577268493422</v>
      </c>
      <c r="M55" s="142">
        <f t="shared" si="63"/>
        <v>27.07618136849004</v>
      </c>
      <c r="N55" s="142"/>
      <c r="O55" s="142">
        <f>(O53*100/$O53)-100</f>
        <v>0</v>
      </c>
      <c r="P55" s="142">
        <f t="shared" ref="P55:V55" si="64">(P53*100/$O53)-100</f>
        <v>210.20010053684496</v>
      </c>
      <c r="Q55" s="142">
        <f t="shared" si="64"/>
        <v>-85.541115824096977</v>
      </c>
      <c r="R55" s="142">
        <f t="shared" si="64"/>
        <v>27.805395874396794</v>
      </c>
      <c r="S55" s="142">
        <f t="shared" si="64"/>
        <v>-29.315092465416143</v>
      </c>
      <c r="T55" s="142">
        <f t="shared" si="64"/>
        <v>17.979335032765363</v>
      </c>
      <c r="U55" s="142">
        <f t="shared" si="64"/>
        <v>-16.090739351569113</v>
      </c>
      <c r="V55" s="142">
        <f t="shared" si="64"/>
        <v>4.4856492265134165</v>
      </c>
    </row>
    <row r="56" spans="1:22" s="3" customFormat="1" x14ac:dyDescent="0.35">
      <c r="A56" s="61" t="s">
        <v>81</v>
      </c>
      <c r="B56" s="142">
        <f>[1]!SWTEST(B28:B43)</f>
        <v>0.5972795063646732</v>
      </c>
      <c r="C56" s="142">
        <f>[1]!SWTEST(C28:C43)</f>
        <v>4.4535184872573907E-5</v>
      </c>
      <c r="D56" s="142">
        <f>[1]!SWTEST(D28:D43)</f>
        <v>0.12619901225750696</v>
      </c>
      <c r="E56" s="142">
        <f>[1]!SWTEST(E28:E43)</f>
        <v>0.46072476857638822</v>
      </c>
      <c r="F56" s="142">
        <f>[1]!SWTEST(F28:F43)</f>
        <v>0.22666021367392586</v>
      </c>
      <c r="G56" s="142">
        <f>[1]!SWTEST(G28:G43)</f>
        <v>4.3461581735517951E-2</v>
      </c>
      <c r="H56" s="142">
        <f>[1]!SWTEST(H28:H43)</f>
        <v>8.5269755143118742E-2</v>
      </c>
      <c r="I56" s="142">
        <f>[1]!SWTEST(I28:I43)</f>
        <v>0.51084570724035494</v>
      </c>
      <c r="J56" s="142">
        <f>[1]!SWTEST(J28:J43)</f>
        <v>9.8161450091493352E-2</v>
      </c>
      <c r="K56" s="142">
        <f>[1]!SWTEST(K28:K43)</f>
        <v>0.43300840602176338</v>
      </c>
      <c r="L56" s="142">
        <f>[1]!SWTEST(L28:L43)</f>
        <v>0.13765783727832048</v>
      </c>
      <c r="M56" s="142">
        <f>[1]!SWTEST(M28:M43)</f>
        <v>0.42519451425982691</v>
      </c>
      <c r="N56" s="142"/>
      <c r="O56" s="142">
        <f>[1]!SWTEST(O28:O43)</f>
        <v>0.50989287145811124</v>
      </c>
      <c r="P56" s="142">
        <f>[1]!SWTEST(P28:P43)</f>
        <v>0.84348686449871424</v>
      </c>
      <c r="Q56" s="142">
        <f>[1]!SWTEST(Q28:Q43)</f>
        <v>7.7211621624838522E-2</v>
      </c>
      <c r="R56" s="142">
        <f>[1]!SWTEST(R28:R43)</f>
        <v>5.8838006811583243E-2</v>
      </c>
      <c r="S56" s="142">
        <f>[1]!SWTEST(S28:S43)</f>
        <v>0.34389200603353454</v>
      </c>
      <c r="T56" s="142">
        <f>[1]!SWTEST(T28:T43)</f>
        <v>0.39424609110920006</v>
      </c>
      <c r="U56" s="142">
        <f>[1]!SWTEST(U28:U43)</f>
        <v>0.56423188653958378</v>
      </c>
      <c r="V56" s="142">
        <f>[1]!SWTEST(V28:V43)</f>
        <v>0.17404376945190225</v>
      </c>
    </row>
    <row r="57" spans="1:22" s="3" customFormat="1" x14ac:dyDescent="0.35">
      <c r="A57" s="61" t="s">
        <v>85</v>
      </c>
      <c r="B57" s="142" t="str">
        <f>IF(B56&gt;0.05,"Oui","Non")</f>
        <v>Oui</v>
      </c>
      <c r="C57" s="142" t="str">
        <f t="shared" ref="C57:V57" si="65">IF(C56&gt;0.05,"Oui","Non")</f>
        <v>Non</v>
      </c>
      <c r="D57" s="142" t="str">
        <f t="shared" si="65"/>
        <v>Oui</v>
      </c>
      <c r="E57" s="142" t="str">
        <f t="shared" si="65"/>
        <v>Oui</v>
      </c>
      <c r="F57" s="142" t="str">
        <f t="shared" si="65"/>
        <v>Oui</v>
      </c>
      <c r="G57" s="142" t="str">
        <f t="shared" si="65"/>
        <v>Non</v>
      </c>
      <c r="H57" s="142" t="str">
        <f t="shared" si="65"/>
        <v>Oui</v>
      </c>
      <c r="I57" s="142" t="str">
        <f t="shared" si="65"/>
        <v>Oui</v>
      </c>
      <c r="J57" s="142" t="str">
        <f t="shared" si="65"/>
        <v>Oui</v>
      </c>
      <c r="K57" s="142" t="str">
        <f t="shared" si="65"/>
        <v>Oui</v>
      </c>
      <c r="L57" s="142" t="str">
        <f t="shared" si="65"/>
        <v>Oui</v>
      </c>
      <c r="M57" s="142" t="str">
        <f t="shared" si="65"/>
        <v>Oui</v>
      </c>
      <c r="N57" s="142"/>
      <c r="O57" s="142" t="str">
        <f t="shared" si="65"/>
        <v>Oui</v>
      </c>
      <c r="P57" s="142" t="str">
        <f t="shared" si="65"/>
        <v>Oui</v>
      </c>
      <c r="Q57" s="142" t="str">
        <f t="shared" si="65"/>
        <v>Oui</v>
      </c>
      <c r="R57" s="142" t="str">
        <f t="shared" si="65"/>
        <v>Oui</v>
      </c>
      <c r="S57" s="142" t="str">
        <f t="shared" si="65"/>
        <v>Oui</v>
      </c>
      <c r="T57" s="142" t="str">
        <f t="shared" si="65"/>
        <v>Oui</v>
      </c>
      <c r="U57" s="142" t="str">
        <f t="shared" si="65"/>
        <v>Oui</v>
      </c>
      <c r="V57" s="142" t="str">
        <f t="shared" si="65"/>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O59" si="66">IF($B57="Non",IF(C57="Non","MW",IF(C57="Oui","MW","")),IF($B57="Oui",IF(C57="Oui","T-Test Welch",IF(C57="Non","MW",""))))</f>
        <v>MW</v>
      </c>
      <c r="D59" s="151" t="str">
        <f t="shared" si="66"/>
        <v>T-Test Welch</v>
      </c>
      <c r="E59" s="151" t="str">
        <f t="shared" si="66"/>
        <v>T-Test Welch</v>
      </c>
      <c r="F59" s="151" t="str">
        <f t="shared" si="66"/>
        <v>T-Test Welch</v>
      </c>
      <c r="G59" s="151" t="str">
        <f t="shared" si="66"/>
        <v>MW</v>
      </c>
      <c r="H59" s="151" t="str">
        <f t="shared" si="66"/>
        <v>T-Test Welch</v>
      </c>
      <c r="I59" s="151" t="str">
        <f t="shared" si="66"/>
        <v>T-Test Welch</v>
      </c>
      <c r="J59" s="151" t="str">
        <f t="shared" si="66"/>
        <v>T-Test Welch</v>
      </c>
      <c r="K59" s="151" t="str">
        <f t="shared" si="66"/>
        <v>T-Test Welch</v>
      </c>
      <c r="L59" s="151" t="str">
        <f t="shared" si="66"/>
        <v>T-Test Welch</v>
      </c>
      <c r="M59" s="151" t="str">
        <f t="shared" si="66"/>
        <v>T-Test Welch</v>
      </c>
      <c r="N59" s="151"/>
      <c r="O59" s="151" t="str">
        <f t="shared" si="66"/>
        <v>T-Test Welch</v>
      </c>
      <c r="P59" s="151" t="str">
        <f>IF($O57="Non",IF(P57="Non","MW",IF(P57="Oui","MW","")),IF($O57="Oui",IF(P57="Oui","T-Test Welch",IF(P57="Non","MW",""))))</f>
        <v>T-Test Welch</v>
      </c>
      <c r="Q59" s="151" t="str">
        <f t="shared" ref="Q59:V59" si="67">IF($O57="Non",IF(Q57="Non","MW",IF(Q57="Oui","MW","")),IF($O57="Oui",IF(Q57="Oui","T-Test Welch",IF(Q57="Non","MW",""))))</f>
        <v>T-Test Welch</v>
      </c>
      <c r="R59" s="151" t="str">
        <f t="shared" si="67"/>
        <v>T-Test Welch</v>
      </c>
      <c r="S59" s="151" t="str">
        <f t="shared" si="67"/>
        <v>T-Test Welch</v>
      </c>
      <c r="T59" s="151" t="str">
        <f t="shared" si="67"/>
        <v>T-Test Welch</v>
      </c>
      <c r="U59" s="151" t="str">
        <f t="shared" si="67"/>
        <v>T-Test Welch</v>
      </c>
      <c r="V59" s="151" t="str">
        <f t="shared" si="67"/>
        <v>T-Test Welch</v>
      </c>
    </row>
    <row r="60" spans="1:22" s="3" customFormat="1" x14ac:dyDescent="0.35">
      <c r="A60" s="61" t="s">
        <v>83</v>
      </c>
      <c r="B60" s="152"/>
      <c r="C60" s="152">
        <f>IF(C59="MW",[1]!MTEST($B28:$B43,C28:C43,2), IF(C59="T-Test Welch",_xlfn.T.TEST($B28:$B43,C28:C43,2,3),""))</f>
        <v>0.81696132171539126</v>
      </c>
      <c r="D60" s="152">
        <f>IF(D59="MW",[1]!MTEST($B28:$B43,D28:D43,2), IF(D59="T-Test Welch",_xlfn.T.TEST($B28:$B43,D28:D43,2,3),""))</f>
        <v>0.82484753555533796</v>
      </c>
      <c r="E60" s="152">
        <f>IF(E59="MW",[1]!MTEST($B28:$B43,E28:E43,2), IF(E59="T-Test Welch",_xlfn.T.TEST($B28:$B43,E28:E43,2,3),""))</f>
        <v>1.3103123942316577E-2</v>
      </c>
      <c r="F60" s="152">
        <f>IF(F59="MW",[1]!MTEST($B28:$B43,F28:F43,2), IF(F59="T-Test Welch",_xlfn.T.TEST($B28:$B43,F28:F43,2,3),""))</f>
        <v>3.515961310947763E-5</v>
      </c>
      <c r="G60" s="152">
        <f>IF(G59="MW",[1]!MTEST($B28:$B43,G28:G43,2), IF(G59="T-Test Welch",_xlfn.T.TEST($B28:$B43,G28:G43,2,3),""))</f>
        <v>1.1937454448720519E-3</v>
      </c>
      <c r="H60" s="152">
        <f>IF(H59="MW",[1]!MTEST($B28:$B43,H28:H43,2), IF(H59="T-Test Welch",_xlfn.T.TEST($B28:$B43,H28:H43,2,3),""))</f>
        <v>9.3239817320367327E-6</v>
      </c>
      <c r="I60" s="152">
        <f>IF(I59="MW",[1]!MTEST($B28:$B43,I28:I43,2), IF(I59="T-Test Welch",_xlfn.T.TEST($B28:$B43,I28:I43,2,3),""))</f>
        <v>0.3533978874917838</v>
      </c>
      <c r="J60" s="152">
        <f>IF(J59="MW",[1]!MTEST($B28:$B43,J28:J43,2), IF(J59="T-Test Welch",_xlfn.T.TEST($B28:$B43,J28:J43,2,3),""))</f>
        <v>0.12146871592232721</v>
      </c>
      <c r="K60" s="152">
        <f>IF(K59="MW",[1]!MTEST($B28:$B43,K28:K43,2), IF(K59="T-Test Welch",_xlfn.T.TEST($B28:$B43,K28:K43,2,3),""))</f>
        <v>0.71635136206014005</v>
      </c>
      <c r="L60" s="152">
        <f>IF(L59="MW",[1]!MTEST($B28:$B43,L28:L43,2), IF(L59="T-Test Welch",_xlfn.T.TEST($B28:$B43,L28:L43,2,3),""))</f>
        <v>0.90632932681557454</v>
      </c>
      <c r="M60" s="152">
        <f>IF(M59="MW",[1]!MTEST($B28:$B43,M28:M43,2), IF(M59="T-Test Welch",_xlfn.T.TEST($B28:$B43,M28:M43,2,3),""))</f>
        <v>0.57510271701865967</v>
      </c>
      <c r="N60" s="152"/>
      <c r="O60" s="152">
        <f>IF(O59="MW",[1]!MTEST($B28:$B43,O28:O43,2), IF(O59="T-Test Welch",_xlfn.T.TEST($B28:$B43,O28:O43,2,3),""))</f>
        <v>1.7112781181678329E-4</v>
      </c>
      <c r="P60" s="152">
        <f>IF(P59="MW",[1]!MTEST($O28:$O43,P28:P43,2), IF(P59="T-Test Welch",_xlfn.T.TEST($O28:$O43,P28:P43,2,3),""))</f>
        <v>1.230189445016557E-3</v>
      </c>
      <c r="Q60" s="152">
        <f>IF(Q59="MW",[1]!MTEST($O28:$O43,Q28:Q43,2), IF(Q59="T-Test Welch",_xlfn.T.TEST($O28:$O43,Q28:Q43,2,3),""))</f>
        <v>2.1154736471061577E-4</v>
      </c>
      <c r="R60" s="152">
        <f>IF(R59="MW",[1]!MTEST($O28:$O43,R28:R43,2), IF(R59="T-Test Welch",_xlfn.T.TEST($O28:$O43,R28:R43,2,3),""))</f>
        <v>0.35257799776349019</v>
      </c>
      <c r="S60" s="152">
        <f>IF(S59="MW",[1]!MTEST($O28:$O43,S28:S43,2), IF(S59="T-Test Welch",_xlfn.T.TEST($O28:$O43,S28:S43,2,3),""))</f>
        <v>0.21343364308545795</v>
      </c>
      <c r="T60" s="152">
        <f>IF(T59="MW",[1]!MTEST($O28:$O43,T28:T43,2), IF(T59="T-Test Welch",_xlfn.T.TEST($O28:$O43,T28:T43,2,3),""))</f>
        <v>0.6286888352099379</v>
      </c>
      <c r="U60" s="152">
        <f>IF(U59="MW",[1]!MTEST($O28:$O43,U28:U43,2), IF(U59="T-Test Welch",_xlfn.T.TEST($O28:$O43,U28:U43,2,3),""))</f>
        <v>0.43642128163789062</v>
      </c>
      <c r="V60" s="152">
        <f>IF(V59="MW",[1]!MTEST($O28:$O43,V28:V43,2), IF(V59="T-Test Welch",_xlfn.T.TEST($O28:$O43,V28:V43,2,3),""))</f>
        <v>0.86340670364924688</v>
      </c>
    </row>
    <row r="61" spans="1:22" s="3" customFormat="1" ht="15" thickBot="1" x14ac:dyDescent="0.4">
      <c r="A61" s="62" t="s">
        <v>84</v>
      </c>
      <c r="B61" s="143"/>
      <c r="C61" s="143" t="str">
        <f t="shared" ref="C61:O61" si="68">IF(C60&gt;0.05,"NS",IF(C60&gt;0.01,"*",IF(C60&gt;0.001,"**","***")))</f>
        <v>NS</v>
      </c>
      <c r="D61" s="143" t="str">
        <f t="shared" si="68"/>
        <v>NS</v>
      </c>
      <c r="E61" s="143" t="str">
        <f t="shared" si="68"/>
        <v>*</v>
      </c>
      <c r="F61" s="143" t="str">
        <f t="shared" si="68"/>
        <v>***</v>
      </c>
      <c r="G61" s="143" t="str">
        <f t="shared" si="68"/>
        <v>**</v>
      </c>
      <c r="H61" s="143" t="str">
        <f t="shared" si="68"/>
        <v>***</v>
      </c>
      <c r="I61" s="143" t="str">
        <f t="shared" si="68"/>
        <v>NS</v>
      </c>
      <c r="J61" s="143" t="str">
        <f t="shared" si="68"/>
        <v>NS</v>
      </c>
      <c r="K61" s="143" t="str">
        <f t="shared" si="68"/>
        <v>NS</v>
      </c>
      <c r="L61" s="143" t="str">
        <f t="shared" si="68"/>
        <v>NS</v>
      </c>
      <c r="M61" s="143" t="str">
        <f t="shared" si="68"/>
        <v>NS</v>
      </c>
      <c r="N61" s="143"/>
      <c r="O61" s="143" t="str">
        <f t="shared" si="68"/>
        <v>***</v>
      </c>
      <c r="P61" s="143" t="str">
        <f>IF(P60&gt;0.05,"NS",IF(P60&gt;0.01,"*",IF(P60&gt;0.001,"**","***")))</f>
        <v>**</v>
      </c>
      <c r="Q61" s="143" t="str">
        <f t="shared" ref="Q61:V61" si="69">IF(Q60&gt;0.05,"NS",IF(Q60&gt;0.01,"*",IF(Q60&gt;0.001,"**","***")))</f>
        <v>***</v>
      </c>
      <c r="R61" s="143" t="str">
        <f t="shared" si="69"/>
        <v>NS</v>
      </c>
      <c r="S61" s="143" t="str">
        <f t="shared" si="69"/>
        <v>NS</v>
      </c>
      <c r="T61" s="143" t="str">
        <f t="shared" si="69"/>
        <v>NS</v>
      </c>
      <c r="U61" s="143" t="str">
        <f t="shared" si="69"/>
        <v>NS</v>
      </c>
      <c r="V61" s="143" t="str">
        <f t="shared" si="69"/>
        <v>NS</v>
      </c>
    </row>
    <row r="63" spans="1:22" x14ac:dyDescent="0.35">
      <c r="A63" s="2" t="s">
        <v>39</v>
      </c>
    </row>
    <row r="64" spans="1:22" x14ac:dyDescent="0.35">
      <c r="A64" s="1" t="s">
        <v>23</v>
      </c>
      <c r="B64" s="1">
        <f>B46+(3*B47)</f>
        <v>0.39760935852974555</v>
      </c>
    </row>
    <row r="65" spans="1:22" x14ac:dyDescent="0.35">
      <c r="A65" s="1" t="s">
        <v>24</v>
      </c>
      <c r="B65" s="1">
        <f>B46+(10*B47)</f>
        <v>1.0324459514793742</v>
      </c>
    </row>
    <row r="66" spans="1:22" ht="15" thickBot="1" x14ac:dyDescent="0.4"/>
    <row r="67" spans="1:22" ht="26.5" thickBot="1" x14ac:dyDescent="0.6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W1" zoomScale="80" zoomScaleNormal="80" workbookViewId="0">
      <selection activeCell="Z5" sqref="Z5:AD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 s="153" t="s">
        <v>171</v>
      </c>
      <c r="D2" s="1" t="s">
        <v>110</v>
      </c>
      <c r="E2" s="1" t="s">
        <v>111</v>
      </c>
      <c r="F2" s="1" t="s">
        <v>112</v>
      </c>
      <c r="G2" s="1" t="s">
        <v>113</v>
      </c>
      <c r="K2" s="157" t="s">
        <v>120</v>
      </c>
      <c r="L2" s="157"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1</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1606</v>
      </c>
      <c r="D3" s="1" t="s">
        <v>1607</v>
      </c>
      <c r="E3" s="1" t="s">
        <v>1608</v>
      </c>
      <c r="F3" s="1" t="s">
        <v>112</v>
      </c>
      <c r="G3" s="1">
        <v>56108</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1</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1609</v>
      </c>
      <c r="D4" s="1" t="s">
        <v>1610</v>
      </c>
      <c r="E4" s="1" t="s">
        <v>1611</v>
      </c>
      <c r="F4" s="1" t="s">
        <v>112</v>
      </c>
      <c r="G4" s="1">
        <v>241930</v>
      </c>
      <c r="K4" s="119" t="s">
        <v>100</v>
      </c>
      <c r="L4" s="1" t="s">
        <v>1578</v>
      </c>
      <c r="M4" s="1" t="s">
        <v>1579</v>
      </c>
      <c r="N4" s="1" t="s">
        <v>1580</v>
      </c>
      <c r="O4" s="1" t="s">
        <v>1581</v>
      </c>
      <c r="P4" s="1" t="s">
        <v>1582</v>
      </c>
      <c r="Q4" s="1" t="s">
        <v>1583</v>
      </c>
      <c r="R4" s="1" t="s">
        <v>1584</v>
      </c>
      <c r="S4" s="1" t="s">
        <v>1585</v>
      </c>
      <c r="T4" s="1" t="s">
        <v>1586</v>
      </c>
      <c r="U4" s="1" t="s">
        <v>1587</v>
      </c>
      <c r="V4" s="1" t="s">
        <v>1588</v>
      </c>
      <c r="W4" s="1" t="s">
        <v>1589</v>
      </c>
      <c r="X4" s="1" t="s">
        <v>1590</v>
      </c>
      <c r="Y4" s="1" t="s">
        <v>1591</v>
      </c>
      <c r="Z4" s="1" t="s">
        <v>1592</v>
      </c>
      <c r="AA4" s="1" t="s">
        <v>1593</v>
      </c>
      <c r="AB4" s="1" t="s">
        <v>1594</v>
      </c>
      <c r="AC4" s="1" t="s">
        <v>1595</v>
      </c>
      <c r="AD4" s="1" t="s">
        <v>1596</v>
      </c>
      <c r="AE4" s="1" t="s">
        <v>1597</v>
      </c>
      <c r="AF4" s="1" t="s">
        <v>1598</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1</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 s="1" t="s">
        <v>1612</v>
      </c>
      <c r="D5" s="1" t="s">
        <v>1613</v>
      </c>
      <c r="E5" s="1" t="s">
        <v>1614</v>
      </c>
      <c r="F5" s="1" t="s">
        <v>112</v>
      </c>
      <c r="G5" s="1">
        <v>308313</v>
      </c>
      <c r="K5" s="146" t="s">
        <v>164</v>
      </c>
      <c r="L5" s="44">
        <v>202117</v>
      </c>
      <c r="M5" s="44">
        <v>524525</v>
      </c>
      <c r="N5" s="44">
        <v>1774401.3333333333</v>
      </c>
      <c r="O5" s="44">
        <v>3242126.6666666665</v>
      </c>
      <c r="P5" s="44">
        <v>15789.666666666666</v>
      </c>
      <c r="Q5" s="44">
        <v>465994.5</v>
      </c>
      <c r="R5" s="44">
        <v>3439</v>
      </c>
      <c r="S5" s="44">
        <v>514784</v>
      </c>
      <c r="T5" s="44">
        <v>2150602.6666666665</v>
      </c>
      <c r="U5" s="44"/>
      <c r="V5" s="44">
        <v>3438504.3333333335</v>
      </c>
      <c r="W5" s="44">
        <v>270626</v>
      </c>
      <c r="X5" s="44">
        <v>419512</v>
      </c>
      <c r="Y5" s="44">
        <v>265694.33333333331</v>
      </c>
      <c r="Z5" s="44">
        <v>2364032</v>
      </c>
      <c r="AA5" s="44">
        <v>2345322.6666666665</v>
      </c>
      <c r="AB5" s="44"/>
      <c r="AC5" s="44">
        <v>1990822.6666666667</v>
      </c>
      <c r="AD5" s="44">
        <v>1762238</v>
      </c>
      <c r="AE5" s="44">
        <v>382287</v>
      </c>
      <c r="AF5" s="44">
        <v>1081.6666666666667</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1</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1615</v>
      </c>
      <c r="D6" s="1" t="s">
        <v>180</v>
      </c>
      <c r="E6" s="1">
        <v>30</v>
      </c>
      <c r="F6" s="1" t="s">
        <v>112</v>
      </c>
      <c r="G6" s="1">
        <v>649</v>
      </c>
      <c r="K6" s="146" t="s">
        <v>1599</v>
      </c>
      <c r="L6" s="44">
        <v>25512.5</v>
      </c>
      <c r="M6" s="44">
        <v>3299395.3333333335</v>
      </c>
      <c r="N6" s="44">
        <v>3298984.3333333335</v>
      </c>
      <c r="O6" s="44">
        <v>3166840</v>
      </c>
      <c r="P6" s="44">
        <v>92568.666666666672</v>
      </c>
      <c r="Q6" s="44">
        <v>229623</v>
      </c>
      <c r="R6" s="44">
        <v>36933</v>
      </c>
      <c r="S6" s="44">
        <v>202917.66666666666</v>
      </c>
      <c r="T6" s="44">
        <v>423131.33333333331</v>
      </c>
      <c r="U6" s="44">
        <v>2129787.3333333335</v>
      </c>
      <c r="V6" s="44">
        <v>3492795.3333333335</v>
      </c>
      <c r="W6" s="44">
        <v>609217</v>
      </c>
      <c r="X6" s="44">
        <v>443975</v>
      </c>
      <c r="Y6" s="44"/>
      <c r="Z6" s="44">
        <v>1238225</v>
      </c>
      <c r="AA6" s="44"/>
      <c r="AB6" s="44">
        <v>993497</v>
      </c>
      <c r="AC6" s="44">
        <v>75452.333333333328</v>
      </c>
      <c r="AD6" s="44">
        <v>2140004.3333333335</v>
      </c>
      <c r="AE6" s="44">
        <v>166312.33333333334</v>
      </c>
      <c r="AF6" s="44">
        <v>16979.333333333332</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1</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1616</v>
      </c>
      <c r="K7" s="146" t="s">
        <v>1600</v>
      </c>
      <c r="L7" s="44">
        <v>325443.33333333331</v>
      </c>
      <c r="M7" s="44">
        <v>2875939.6666666665</v>
      </c>
      <c r="N7" s="44"/>
      <c r="O7" s="44">
        <v>3025459.6666666665</v>
      </c>
      <c r="P7" s="44">
        <v>145688</v>
      </c>
      <c r="Q7" s="44">
        <v>45596</v>
      </c>
      <c r="R7" s="44">
        <v>75452.333333333328</v>
      </c>
      <c r="S7" s="44">
        <v>258592.66666666666</v>
      </c>
      <c r="T7" s="44">
        <v>1446549.3333333333</v>
      </c>
      <c r="U7" s="44">
        <v>2603583</v>
      </c>
      <c r="V7" s="44"/>
      <c r="W7" s="44">
        <v>480400</v>
      </c>
      <c r="X7" s="44">
        <v>31594</v>
      </c>
      <c r="Y7" s="44">
        <v>127486.33333333333</v>
      </c>
      <c r="Z7" s="44">
        <v>3774633</v>
      </c>
      <c r="AA7" s="44">
        <v>2237641.3333333335</v>
      </c>
      <c r="AB7" s="44">
        <v>3273425.3333333335</v>
      </c>
      <c r="AC7" s="44">
        <v>1118150.3333333333</v>
      </c>
      <c r="AD7" s="44">
        <v>1348681.6666666667</v>
      </c>
      <c r="AE7" s="44">
        <v>77435</v>
      </c>
      <c r="AF7" s="44">
        <v>173320.33333333334</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1</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8" s="1" t="s">
        <v>1617</v>
      </c>
      <c r="D8" s="1" t="s">
        <v>1618</v>
      </c>
      <c r="E8" s="1" t="s">
        <v>1619</v>
      </c>
      <c r="F8" s="1" t="s">
        <v>112</v>
      </c>
      <c r="G8" s="1">
        <v>50376</v>
      </c>
      <c r="K8" s="146" t="s">
        <v>1601</v>
      </c>
      <c r="L8" s="44">
        <v>247457</v>
      </c>
      <c r="M8" s="44">
        <v>1160458.3333333333</v>
      </c>
      <c r="N8" s="44">
        <v>2138043</v>
      </c>
      <c r="O8" s="44">
        <v>2778958.3333333335</v>
      </c>
      <c r="P8" s="44">
        <v>59237</v>
      </c>
      <c r="Q8" s="44">
        <v>348025</v>
      </c>
      <c r="R8" s="44">
        <v>394010</v>
      </c>
      <c r="S8" s="44">
        <v>203306.66666666666</v>
      </c>
      <c r="T8" s="44">
        <v>3231455.6666666665</v>
      </c>
      <c r="U8" s="44">
        <v>1676014</v>
      </c>
      <c r="V8" s="44">
        <v>5294731.333333333</v>
      </c>
      <c r="W8" s="44">
        <v>294751</v>
      </c>
      <c r="X8" s="44">
        <v>147314</v>
      </c>
      <c r="Y8" s="44">
        <v>181582.66666666666</v>
      </c>
      <c r="Z8" s="44">
        <v>3339057</v>
      </c>
      <c r="AA8" s="44">
        <v>377679.66666666669</v>
      </c>
      <c r="AB8" s="44">
        <v>194207.66666666666</v>
      </c>
      <c r="AC8" s="44">
        <v>477941.33333333331</v>
      </c>
      <c r="AD8" s="44">
        <v>1898246.6666666667</v>
      </c>
      <c r="AE8" s="44">
        <v>260157.33333333334</v>
      </c>
      <c r="AF8" s="44">
        <v>84479.333333333328</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1</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1620</v>
      </c>
      <c r="D9" s="1" t="s">
        <v>1621</v>
      </c>
      <c r="E9" s="1" t="s">
        <v>1622</v>
      </c>
      <c r="F9" s="1" t="s">
        <v>112</v>
      </c>
      <c r="G9" s="1">
        <v>338183</v>
      </c>
      <c r="K9" s="146" t="s">
        <v>1602</v>
      </c>
      <c r="L9" s="44">
        <v>212326.33333333334</v>
      </c>
      <c r="M9" s="44">
        <v>2282913</v>
      </c>
      <c r="N9" s="44">
        <v>2464546.3333333335</v>
      </c>
      <c r="O9" s="44">
        <v>3404422.6666666665</v>
      </c>
      <c r="P9" s="44">
        <v>71876</v>
      </c>
      <c r="Q9" s="44"/>
      <c r="R9" s="44">
        <v>146009</v>
      </c>
      <c r="S9" s="44">
        <v>172556</v>
      </c>
      <c r="T9" s="44">
        <v>1304152.6666666667</v>
      </c>
      <c r="U9" s="44">
        <v>2607534.6666666665</v>
      </c>
      <c r="V9" s="44">
        <v>3681322</v>
      </c>
      <c r="W9" s="44">
        <v>64349</v>
      </c>
      <c r="X9" s="44">
        <v>151178.33333333334</v>
      </c>
      <c r="Y9" s="44">
        <v>81206</v>
      </c>
      <c r="Z9" s="44">
        <v>1088351.3333333333</v>
      </c>
      <c r="AA9" s="44">
        <v>1023923</v>
      </c>
      <c r="AB9" s="44"/>
      <c r="AC9" s="44">
        <v>1868174</v>
      </c>
      <c r="AD9" s="44">
        <v>701573</v>
      </c>
      <c r="AE9" s="44">
        <v>111278.66666666667</v>
      </c>
      <c r="AF9" s="44">
        <v>444992</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1</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1623</v>
      </c>
      <c r="D10" s="1" t="s">
        <v>1624</v>
      </c>
      <c r="E10" s="1" t="s">
        <v>1625</v>
      </c>
      <c r="F10" s="1" t="s">
        <v>112</v>
      </c>
      <c r="G10" s="1">
        <v>113665</v>
      </c>
      <c r="K10" s="146" t="s">
        <v>1603</v>
      </c>
      <c r="L10" s="44">
        <v>50664.666666666664</v>
      </c>
      <c r="M10" s="44">
        <v>33879.666666666664</v>
      </c>
      <c r="N10" s="44">
        <v>2365265</v>
      </c>
      <c r="O10" s="44">
        <v>4690514.666666667</v>
      </c>
      <c r="P10" s="44">
        <v>85481.333333333328</v>
      </c>
      <c r="Q10" s="44">
        <v>145547.33333333334</v>
      </c>
      <c r="R10" s="44">
        <v>109223.66666666667</v>
      </c>
      <c r="S10" s="44">
        <v>1756044.6666666667</v>
      </c>
      <c r="T10" s="44">
        <v>1905492.6666666667</v>
      </c>
      <c r="U10" s="44">
        <v>1963324</v>
      </c>
      <c r="V10" s="44">
        <v>5186661.333333333</v>
      </c>
      <c r="W10" s="44"/>
      <c r="X10" s="44">
        <v>488814</v>
      </c>
      <c r="Y10" s="44">
        <v>287569.5</v>
      </c>
      <c r="Z10" s="44">
        <v>895034</v>
      </c>
      <c r="AA10" s="44">
        <v>215693.33333333334</v>
      </c>
      <c r="AB10" s="44">
        <v>1820703.6666666667</v>
      </c>
      <c r="AC10" s="44">
        <v>1319888.5</v>
      </c>
      <c r="AD10" s="44">
        <v>2516371.3333333335</v>
      </c>
      <c r="AE10" s="44">
        <v>446498.66666666669</v>
      </c>
      <c r="AF10" s="44">
        <v>33771.333333333336</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1</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1" s="1" t="s">
        <v>1626</v>
      </c>
      <c r="D11" s="1" t="s">
        <v>1627</v>
      </c>
      <c r="E11" s="1" t="s">
        <v>1628</v>
      </c>
      <c r="F11" s="1" t="s">
        <v>112</v>
      </c>
      <c r="G11" s="1">
        <v>524482</v>
      </c>
      <c r="K11" s="146" t="s">
        <v>1604</v>
      </c>
      <c r="L11" s="44">
        <v>189067</v>
      </c>
      <c r="M11" s="44">
        <v>3531419.3333333335</v>
      </c>
      <c r="N11" s="44">
        <v>548181</v>
      </c>
      <c r="O11" s="44"/>
      <c r="P11" s="44">
        <v>333107.33333333331</v>
      </c>
      <c r="Q11" s="44">
        <v>118467</v>
      </c>
      <c r="R11" s="44">
        <v>501518</v>
      </c>
      <c r="S11" s="44">
        <v>149203</v>
      </c>
      <c r="T11" s="44">
        <v>242737.66666666666</v>
      </c>
      <c r="U11" s="44">
        <v>2628457.6666666665</v>
      </c>
      <c r="V11" s="44">
        <v>4722772.333333333</v>
      </c>
      <c r="W11" s="44">
        <v>90874.333333333328</v>
      </c>
      <c r="X11" s="44">
        <v>264339</v>
      </c>
      <c r="Y11" s="44">
        <v>251036.33333333334</v>
      </c>
      <c r="Z11" s="44">
        <v>3237807.6666666665</v>
      </c>
      <c r="AA11" s="44">
        <v>2581102.6666666665</v>
      </c>
      <c r="AB11" s="44">
        <v>1622905.3333333333</v>
      </c>
      <c r="AC11" s="44">
        <v>792108</v>
      </c>
      <c r="AD11" s="44">
        <v>1732785.3333333333</v>
      </c>
      <c r="AE11" s="44">
        <v>229774.33333333334</v>
      </c>
      <c r="AF11" s="44">
        <v>244937</v>
      </c>
      <c r="AG11"/>
    </row>
    <row r="12" spans="1:144" x14ac:dyDescent="0.35">
      <c r="A12" s="1" t="str">
        <f t="shared" si="0"/>
        <v>1</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1629</v>
      </c>
      <c r="K12" s="146" t="s">
        <v>1605</v>
      </c>
      <c r="L12" s="44">
        <v>282313.33333333331</v>
      </c>
      <c r="M12" s="44">
        <v>2310484</v>
      </c>
      <c r="N12" s="44">
        <v>1722691.5</v>
      </c>
      <c r="O12" s="44">
        <v>1241433.3333333333</v>
      </c>
      <c r="P12" s="44"/>
      <c r="Q12" s="44">
        <v>257900.33333333334</v>
      </c>
      <c r="R12" s="44">
        <v>415135.33333333331</v>
      </c>
      <c r="S12" s="44">
        <v>439887</v>
      </c>
      <c r="T12" s="44">
        <v>1141654.6666666667</v>
      </c>
      <c r="U12" s="44">
        <v>3498765.3333333335</v>
      </c>
      <c r="V12" s="44">
        <v>4839357.333333333</v>
      </c>
      <c r="W12" s="44">
        <v>5054</v>
      </c>
      <c r="X12" s="44">
        <v>297962.5</v>
      </c>
      <c r="Y12" s="44">
        <v>136643.33333333334</v>
      </c>
      <c r="Z12" s="44">
        <v>1071703.6666666667</v>
      </c>
      <c r="AA12" s="44">
        <v>2085085.6666666667</v>
      </c>
      <c r="AB12" s="44">
        <v>363382.33333333331</v>
      </c>
      <c r="AC12" s="44">
        <v>2020066.3333333333</v>
      </c>
      <c r="AD12" s="44">
        <v>2221455.3333333335</v>
      </c>
      <c r="AE12" s="44">
        <v>106786.66666666667</v>
      </c>
      <c r="AF12" s="44">
        <v>506529</v>
      </c>
      <c r="AG12"/>
    </row>
    <row r="13" spans="1:144" x14ac:dyDescent="0.35">
      <c r="A13" s="1" t="str">
        <f t="shared" si="0"/>
        <v>1</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1630</v>
      </c>
      <c r="D13" s="1" t="s">
        <v>1631</v>
      </c>
      <c r="E13" s="1" t="s">
        <v>1632</v>
      </c>
      <c r="F13" s="1" t="s">
        <v>112</v>
      </c>
      <c r="G13" s="1">
        <v>98849</v>
      </c>
      <c r="K13"/>
      <c r="L13"/>
      <c r="M13"/>
      <c r="N13"/>
      <c r="O13"/>
      <c r="P13"/>
      <c r="Q13"/>
      <c r="R13"/>
      <c r="S13"/>
      <c r="T13"/>
      <c r="U13"/>
      <c r="V13"/>
      <c r="W13"/>
      <c r="X13"/>
      <c r="Y13"/>
      <c r="Z13"/>
      <c r="AA13"/>
      <c r="AB13"/>
      <c r="AC13"/>
      <c r="AD13"/>
      <c r="AE13"/>
      <c r="AF13"/>
      <c r="AG13"/>
    </row>
    <row r="14" spans="1:144" x14ac:dyDescent="0.35">
      <c r="A14" s="1" t="str">
        <f t="shared" si="0"/>
        <v>1</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 s="1" t="s">
        <v>1633</v>
      </c>
      <c r="D14" s="1" t="s">
        <v>1634</v>
      </c>
      <c r="E14" s="1" t="s">
        <v>1635</v>
      </c>
      <c r="F14" s="1" t="s">
        <v>112</v>
      </c>
      <c r="G14" s="1">
        <v>396065</v>
      </c>
      <c r="K14"/>
      <c r="L14"/>
      <c r="M14"/>
      <c r="N14"/>
      <c r="O14"/>
      <c r="P14"/>
      <c r="Q14"/>
      <c r="R14"/>
      <c r="S14"/>
      <c r="T14"/>
      <c r="U14"/>
      <c r="V14"/>
      <c r="W14"/>
      <c r="X14"/>
      <c r="Y14"/>
      <c r="Z14"/>
      <c r="AA14"/>
      <c r="AB14"/>
      <c r="AC14"/>
      <c r="AD14"/>
      <c r="AE14"/>
      <c r="AF14"/>
      <c r="AG14"/>
    </row>
    <row r="15" spans="1:144" x14ac:dyDescent="0.35">
      <c r="A15" s="1" t="str">
        <f t="shared" si="0"/>
        <v>1</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1636</v>
      </c>
      <c r="D15" s="1" t="s">
        <v>1513</v>
      </c>
      <c r="E15" s="1" t="s">
        <v>1637</v>
      </c>
      <c r="F15" s="1" t="s">
        <v>112</v>
      </c>
      <c r="G15" s="1">
        <v>183443</v>
      </c>
    </row>
    <row r="16" spans="1:144" x14ac:dyDescent="0.35">
      <c r="A16" s="1" t="str">
        <f t="shared" si="0"/>
        <v>1</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1638</v>
      </c>
      <c r="D16" s="1" t="s">
        <v>1639</v>
      </c>
      <c r="E16" s="1" t="s">
        <v>1640</v>
      </c>
      <c r="F16" s="1" t="s">
        <v>112</v>
      </c>
      <c r="G16" s="1">
        <v>207150</v>
      </c>
    </row>
    <row r="17" spans="1:8" x14ac:dyDescent="0.35">
      <c r="A17" s="1" t="str">
        <f t="shared" si="0"/>
        <v>1</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 s="1" t="s">
        <v>1641</v>
      </c>
      <c r="D17" s="1" t="s">
        <v>992</v>
      </c>
      <c r="E17" s="1" t="s">
        <v>1642</v>
      </c>
      <c r="F17" s="1" t="s">
        <v>112</v>
      </c>
      <c r="G17" s="1">
        <v>246386</v>
      </c>
    </row>
    <row r="18" spans="1:8" x14ac:dyDescent="0.35">
      <c r="A18" s="1" t="str">
        <f t="shared" si="0"/>
        <v>1</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1643</v>
      </c>
      <c r="D18" s="1" t="s">
        <v>1644</v>
      </c>
      <c r="E18" s="1" t="s">
        <v>1645</v>
      </c>
      <c r="F18" s="1" t="s">
        <v>112</v>
      </c>
      <c r="G18" s="1">
        <v>72439</v>
      </c>
    </row>
    <row r="19" spans="1:8" x14ac:dyDescent="0.35">
      <c r="A19" s="1" t="str">
        <f t="shared" si="0"/>
        <v>1</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1646</v>
      </c>
      <c r="D19" s="1" t="s">
        <v>928</v>
      </c>
      <c r="E19" s="1" t="s">
        <v>1647</v>
      </c>
      <c r="F19" s="1" t="s">
        <v>112</v>
      </c>
      <c r="G19" s="1">
        <v>66880</v>
      </c>
    </row>
    <row r="20" spans="1:8" x14ac:dyDescent="0.35">
      <c r="A20" s="1" t="str">
        <f t="shared" si="0"/>
        <v>1</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0" s="1" t="s">
        <v>1648</v>
      </c>
      <c r="D20" s="1" t="s">
        <v>478</v>
      </c>
      <c r="E20" s="1" t="s">
        <v>1649</v>
      </c>
      <c r="F20" s="1" t="s">
        <v>112</v>
      </c>
      <c r="G20" s="1">
        <v>12675</v>
      </c>
    </row>
    <row r="21" spans="1:8" x14ac:dyDescent="0.35">
      <c r="A21" s="1" t="str">
        <f t="shared" si="0"/>
        <v>1</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1650</v>
      </c>
      <c r="D21" s="1">
        <v>0</v>
      </c>
      <c r="E21" s="1">
        <v>0</v>
      </c>
      <c r="F21" s="1" t="s">
        <v>112</v>
      </c>
      <c r="G21" s="1">
        <v>0</v>
      </c>
    </row>
    <row r="22" spans="1:8" x14ac:dyDescent="0.35">
      <c r="A22" s="1" t="str">
        <f t="shared" si="0"/>
        <v>1</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1651</v>
      </c>
      <c r="D22" s="1" t="s">
        <v>1092</v>
      </c>
      <c r="E22" s="1" t="s">
        <v>1652</v>
      </c>
      <c r="F22" s="1" t="s">
        <v>112</v>
      </c>
      <c r="G22" s="1">
        <v>274462</v>
      </c>
    </row>
    <row r="23" spans="1:8" x14ac:dyDescent="0.35">
      <c r="A23" s="1" t="str">
        <f t="shared" si="0"/>
        <v>1</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3" s="1" t="s">
        <v>1653</v>
      </c>
      <c r="D23" s="1" t="s">
        <v>1654</v>
      </c>
      <c r="E23" s="1" t="s">
        <v>1655</v>
      </c>
      <c r="F23" s="1" t="s">
        <v>112</v>
      </c>
      <c r="G23" s="1">
        <v>292739</v>
      </c>
    </row>
    <row r="24" spans="1:8" x14ac:dyDescent="0.35">
      <c r="A24" s="1" t="str">
        <f t="shared" si="0"/>
        <v>1</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1656</v>
      </c>
      <c r="D24" s="1">
        <v>0</v>
      </c>
      <c r="E24" s="1">
        <v>0</v>
      </c>
      <c r="F24" s="1" t="s">
        <v>112</v>
      </c>
      <c r="G24" s="1">
        <v>0</v>
      </c>
    </row>
    <row r="25" spans="1:8" x14ac:dyDescent="0.35">
      <c r="A25" s="1" t="str">
        <f t="shared" si="0"/>
        <v>1</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1657</v>
      </c>
      <c r="D25" s="1" t="s">
        <v>1658</v>
      </c>
      <c r="E25" s="1" t="s">
        <v>1659</v>
      </c>
      <c r="F25" s="1" t="s">
        <v>112</v>
      </c>
      <c r="G25" s="1">
        <v>472829</v>
      </c>
    </row>
    <row r="26" spans="1:8" x14ac:dyDescent="0.35">
      <c r="A26" s="1" t="str">
        <f t="shared" si="0"/>
        <v>1</v>
      </c>
      <c r="B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6" s="1" t="s">
        <v>1660</v>
      </c>
      <c r="D26" s="1" t="s">
        <v>1661</v>
      </c>
      <c r="E26" s="1" t="s">
        <v>1662</v>
      </c>
      <c r="F26" s="1" t="s">
        <v>112</v>
      </c>
      <c r="G26" s="1">
        <v>374111</v>
      </c>
    </row>
    <row r="27" spans="1:8" x14ac:dyDescent="0.3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112</v>
      </c>
    </row>
    <row r="28" spans="1:8" x14ac:dyDescent="0.35">
      <c r="A28" s="1" t="str">
        <f t="shared" si="0"/>
        <v/>
      </c>
      <c r="B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8" s="1" t="s">
        <v>227</v>
      </c>
      <c r="D28" s="1" t="s">
        <v>112</v>
      </c>
      <c r="E28" s="1" t="s">
        <v>228</v>
      </c>
      <c r="F28" s="1" t="s">
        <v>229</v>
      </c>
      <c r="G28" s="1" t="s">
        <v>230</v>
      </c>
      <c r="H28" s="1" t="s">
        <v>231</v>
      </c>
    </row>
    <row r="29" spans="1:8" x14ac:dyDescent="0.35">
      <c r="A29" s="1" t="str">
        <f t="shared" si="0"/>
        <v>1</v>
      </c>
      <c r="B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 s="1" t="s">
        <v>1663</v>
      </c>
      <c r="D29" s="1" t="s">
        <v>112</v>
      </c>
      <c r="E29" s="1" t="s">
        <v>1664</v>
      </c>
      <c r="F29" s="1" t="s">
        <v>1665</v>
      </c>
      <c r="G29" s="1" t="s">
        <v>1666</v>
      </c>
      <c r="H29" s="1" t="s">
        <v>1667</v>
      </c>
    </row>
    <row r="30" spans="1:8" x14ac:dyDescent="0.3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8" x14ac:dyDescent="0.3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8" x14ac:dyDescent="0.3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3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3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112</v>
      </c>
    </row>
    <row r="35" spans="1:7" x14ac:dyDescent="0.35">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 s="1" t="s">
        <v>171</v>
      </c>
      <c r="D35" s="1" t="s">
        <v>110</v>
      </c>
      <c r="E35" s="1" t="s">
        <v>111</v>
      </c>
      <c r="F35" s="1" t="s">
        <v>112</v>
      </c>
      <c r="G35" s="1" t="s">
        <v>113</v>
      </c>
    </row>
    <row r="36" spans="1:7" x14ac:dyDescent="0.35">
      <c r="A36" s="1" t="str">
        <f t="shared" si="0"/>
        <v>13</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1668</v>
      </c>
    </row>
    <row r="37" spans="1:7" x14ac:dyDescent="0.35">
      <c r="A37" s="1" t="str">
        <f t="shared" si="0"/>
        <v>13</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1669</v>
      </c>
    </row>
    <row r="38" spans="1:7" x14ac:dyDescent="0.35">
      <c r="A38" s="1" t="str">
        <f t="shared" si="0"/>
        <v>13</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8" s="1" t="s">
        <v>1670</v>
      </c>
      <c r="D38" s="1" t="s">
        <v>1671</v>
      </c>
      <c r="E38" s="1" t="s">
        <v>1672</v>
      </c>
      <c r="F38" s="1" t="s">
        <v>112</v>
      </c>
      <c r="G38" s="1">
        <v>524525</v>
      </c>
    </row>
    <row r="39" spans="1:7" x14ac:dyDescent="0.35">
      <c r="A39" s="1" t="str">
        <f t="shared" si="0"/>
        <v>13</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1673</v>
      </c>
      <c r="D39" s="1" t="s">
        <v>1674</v>
      </c>
      <c r="E39" s="1" t="s">
        <v>1675</v>
      </c>
      <c r="F39" s="1" t="s">
        <v>112</v>
      </c>
      <c r="G39" s="1">
        <v>3679440</v>
      </c>
    </row>
    <row r="40" spans="1:7" x14ac:dyDescent="0.35">
      <c r="A40" s="1" t="str">
        <f t="shared" si="0"/>
        <v>13</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1676</v>
      </c>
      <c r="D40" s="1" t="s">
        <v>1677</v>
      </c>
      <c r="E40" s="1" t="s">
        <v>1678</v>
      </c>
      <c r="F40" s="1" t="s">
        <v>112</v>
      </c>
      <c r="G40" s="1">
        <v>3119809</v>
      </c>
    </row>
    <row r="41" spans="1:7" x14ac:dyDescent="0.35">
      <c r="A41" s="1" t="str">
        <f t="shared" si="0"/>
        <v>13</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1" s="1" t="s">
        <v>1679</v>
      </c>
      <c r="D41" s="1" t="s">
        <v>859</v>
      </c>
      <c r="E41" s="1" t="s">
        <v>1680</v>
      </c>
      <c r="F41" s="1" t="s">
        <v>112</v>
      </c>
      <c r="G41" s="1">
        <v>3098937</v>
      </c>
    </row>
    <row r="42" spans="1:7" x14ac:dyDescent="0.35">
      <c r="A42" s="1" t="str">
        <f t="shared" si="0"/>
        <v>13</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1681</v>
      </c>
      <c r="D42" s="1" t="s">
        <v>1682</v>
      </c>
      <c r="E42" s="1" t="s">
        <v>1683</v>
      </c>
      <c r="F42" s="1" t="s">
        <v>112</v>
      </c>
      <c r="G42" s="1">
        <v>2437300</v>
      </c>
    </row>
    <row r="43" spans="1:7" x14ac:dyDescent="0.35">
      <c r="A43" s="1" t="str">
        <f t="shared" si="0"/>
        <v>13</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1684</v>
      </c>
      <c r="D43" s="1" t="s">
        <v>1685</v>
      </c>
      <c r="E43" s="1" t="s">
        <v>1686</v>
      </c>
      <c r="F43" s="1" t="s">
        <v>112</v>
      </c>
      <c r="G43" s="1">
        <v>3014472</v>
      </c>
    </row>
    <row r="44" spans="1:7" x14ac:dyDescent="0.35">
      <c r="A44" s="1" t="str">
        <f t="shared" si="0"/>
        <v>13</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4" s="1" t="s">
        <v>1687</v>
      </c>
      <c r="D44" s="1" t="s">
        <v>1688</v>
      </c>
      <c r="E44" s="1" t="s">
        <v>1689</v>
      </c>
      <c r="F44" s="1" t="s">
        <v>112</v>
      </c>
      <c r="G44" s="1">
        <v>3176047</v>
      </c>
    </row>
    <row r="45" spans="1:7" x14ac:dyDescent="0.35">
      <c r="A45" s="1" t="str">
        <f t="shared" si="0"/>
        <v>13</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1690</v>
      </c>
      <c r="D45" s="1" t="s">
        <v>1691</v>
      </c>
      <c r="E45" s="1" t="s">
        <v>1692</v>
      </c>
      <c r="F45" s="1" t="s">
        <v>112</v>
      </c>
      <c r="G45" s="1">
        <v>1257108</v>
      </c>
    </row>
    <row r="46" spans="1:7" x14ac:dyDescent="0.35">
      <c r="A46" s="1" t="str">
        <f t="shared" si="0"/>
        <v>13</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1693</v>
      </c>
      <c r="D46" s="1" t="s">
        <v>1295</v>
      </c>
      <c r="E46" s="1" t="s">
        <v>1694</v>
      </c>
      <c r="F46" s="1" t="s">
        <v>112</v>
      </c>
      <c r="G46" s="1">
        <v>1081646</v>
      </c>
    </row>
    <row r="47" spans="1:7" x14ac:dyDescent="0.35">
      <c r="A47" s="1" t="str">
        <f t="shared" si="0"/>
        <v>13</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 s="1" t="s">
        <v>1695</v>
      </c>
      <c r="D47" s="1" t="s">
        <v>1696</v>
      </c>
      <c r="E47" s="1" t="s">
        <v>1697</v>
      </c>
      <c r="F47" s="1" t="s">
        <v>112</v>
      </c>
      <c r="G47" s="1">
        <v>1142621</v>
      </c>
    </row>
    <row r="48" spans="1:7" x14ac:dyDescent="0.35">
      <c r="A48" s="1" t="str">
        <f t="shared" si="0"/>
        <v>13</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1698</v>
      </c>
      <c r="D48" s="1" t="s">
        <v>1699</v>
      </c>
      <c r="E48" s="1" t="s">
        <v>1700</v>
      </c>
      <c r="F48" s="1" t="s">
        <v>112</v>
      </c>
      <c r="G48" s="1">
        <v>2200301</v>
      </c>
    </row>
    <row r="49" spans="1:8" x14ac:dyDescent="0.35">
      <c r="A49" s="1" t="str">
        <f t="shared" si="0"/>
        <v>13</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1701</v>
      </c>
      <c r="D49" s="1" t="s">
        <v>1702</v>
      </c>
      <c r="E49" s="1" t="s">
        <v>1703</v>
      </c>
      <c r="F49" s="1" t="s">
        <v>112</v>
      </c>
      <c r="G49" s="1">
        <v>2464835</v>
      </c>
    </row>
    <row r="50" spans="1:8" x14ac:dyDescent="0.35">
      <c r="A50" s="1" t="str">
        <f t="shared" si="0"/>
        <v>13</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 s="1" t="s">
        <v>1704</v>
      </c>
      <c r="D50" s="1" t="s">
        <v>1705</v>
      </c>
      <c r="E50" s="1" t="s">
        <v>1706</v>
      </c>
      <c r="F50" s="1" t="s">
        <v>112</v>
      </c>
      <c r="G50" s="1">
        <v>2183603</v>
      </c>
    </row>
    <row r="51" spans="1:8" x14ac:dyDescent="0.35">
      <c r="A51" s="1" t="str">
        <f t="shared" si="0"/>
        <v>13</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1707</v>
      </c>
      <c r="D51" s="1" t="s">
        <v>1708</v>
      </c>
      <c r="E51" s="1" t="s">
        <v>1709</v>
      </c>
      <c r="F51" s="1" t="s">
        <v>112</v>
      </c>
      <c r="G51" s="1">
        <v>44839</v>
      </c>
    </row>
    <row r="52" spans="1:8" x14ac:dyDescent="0.35">
      <c r="A52" s="1" t="str">
        <f t="shared" si="0"/>
        <v>13</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1710</v>
      </c>
      <c r="D52" s="1" t="s">
        <v>1711</v>
      </c>
      <c r="E52" s="1" t="s">
        <v>1712</v>
      </c>
      <c r="F52" s="1" t="s">
        <v>112</v>
      </c>
      <c r="G52" s="1">
        <v>50744</v>
      </c>
    </row>
    <row r="53" spans="1:8" x14ac:dyDescent="0.35">
      <c r="A53" s="1" t="str">
        <f t="shared" si="0"/>
        <v>13</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3" s="1" t="s">
        <v>1713</v>
      </c>
      <c r="D53" s="1" t="s">
        <v>619</v>
      </c>
      <c r="E53" s="1" t="s">
        <v>1714</v>
      </c>
      <c r="F53" s="1" t="s">
        <v>112</v>
      </c>
      <c r="G53" s="1">
        <v>6056</v>
      </c>
    </row>
    <row r="54" spans="1:8" x14ac:dyDescent="0.35">
      <c r="A54" s="1" t="str">
        <f t="shared" si="0"/>
        <v>13</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1715</v>
      </c>
      <c r="D54" s="1" t="s">
        <v>1716</v>
      </c>
      <c r="E54" s="1" t="s">
        <v>1717</v>
      </c>
      <c r="F54" s="1" t="s">
        <v>112</v>
      </c>
      <c r="G54" s="1">
        <v>3094027</v>
      </c>
    </row>
    <row r="55" spans="1:8" x14ac:dyDescent="0.35">
      <c r="A55" s="1" t="str">
        <f t="shared" si="0"/>
        <v>13</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1718</v>
      </c>
      <c r="D55" s="1" t="s">
        <v>1719</v>
      </c>
      <c r="E55" s="1" t="s">
        <v>1720</v>
      </c>
      <c r="F55" s="1" t="s">
        <v>112</v>
      </c>
      <c r="G55" s="1">
        <v>3309244</v>
      </c>
    </row>
    <row r="56" spans="1:8" x14ac:dyDescent="0.35">
      <c r="A56" s="1" t="str">
        <f t="shared" si="0"/>
        <v>13</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6" s="1" t="s">
        <v>1721</v>
      </c>
      <c r="D56" s="1" t="s">
        <v>1722</v>
      </c>
      <c r="E56" s="1" t="s">
        <v>1723</v>
      </c>
      <c r="F56" s="1" t="s">
        <v>112</v>
      </c>
      <c r="G56" s="1">
        <v>4190987</v>
      </c>
    </row>
    <row r="57" spans="1:8" x14ac:dyDescent="0.35">
      <c r="A57" s="1" t="str">
        <f t="shared" si="0"/>
        <v>13</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1724</v>
      </c>
      <c r="D57" s="1" t="s">
        <v>1725</v>
      </c>
      <c r="E57" s="1" t="s">
        <v>1726</v>
      </c>
      <c r="F57" s="1" t="s">
        <v>112</v>
      </c>
      <c r="G57" s="1">
        <v>2567815</v>
      </c>
    </row>
    <row r="58" spans="1:8" x14ac:dyDescent="0.35">
      <c r="A58" s="1" t="str">
        <f t="shared" si="0"/>
        <v>13</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1727</v>
      </c>
      <c r="D58" s="1" t="s">
        <v>1728</v>
      </c>
      <c r="E58" s="1" t="s">
        <v>1729</v>
      </c>
      <c r="F58" s="1" t="s">
        <v>112</v>
      </c>
      <c r="G58" s="1">
        <v>1842067</v>
      </c>
    </row>
    <row r="59" spans="1:8" x14ac:dyDescent="0.35">
      <c r="A59" s="1" t="str">
        <f t="shared" si="0"/>
        <v>13</v>
      </c>
      <c r="B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9" s="1" t="s">
        <v>1730</v>
      </c>
      <c r="D59" s="1" t="s">
        <v>1731</v>
      </c>
      <c r="E59" s="1" t="s">
        <v>1732</v>
      </c>
      <c r="F59" s="1" t="s">
        <v>112</v>
      </c>
      <c r="G59" s="1">
        <v>2521570</v>
      </c>
    </row>
    <row r="60" spans="1:8" x14ac:dyDescent="0.3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112</v>
      </c>
    </row>
    <row r="61" spans="1:8" x14ac:dyDescent="0.35">
      <c r="A61" s="1" t="str">
        <f t="shared" si="0"/>
        <v/>
      </c>
      <c r="B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1" s="1" t="s">
        <v>227</v>
      </c>
      <c r="D61" s="1" t="s">
        <v>112</v>
      </c>
      <c r="E61" s="1" t="s">
        <v>228</v>
      </c>
      <c r="F61" s="1" t="s">
        <v>229</v>
      </c>
      <c r="G61" s="1" t="s">
        <v>230</v>
      </c>
      <c r="H61" s="1" t="s">
        <v>231</v>
      </c>
    </row>
    <row r="62" spans="1:8" x14ac:dyDescent="0.35">
      <c r="A62" s="1" t="str">
        <f t="shared" si="0"/>
        <v>13</v>
      </c>
      <c r="B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 s="1" t="s">
        <v>1733</v>
      </c>
      <c r="D62" s="1" t="s">
        <v>112</v>
      </c>
      <c r="E62" s="1" t="s">
        <v>1734</v>
      </c>
      <c r="F62" s="1" t="s">
        <v>1735</v>
      </c>
      <c r="G62" s="1" t="s">
        <v>1736</v>
      </c>
      <c r="H62" s="1" t="s">
        <v>1737</v>
      </c>
    </row>
    <row r="63" spans="1:8" x14ac:dyDescent="0.3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8" x14ac:dyDescent="0.3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3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3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3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112</v>
      </c>
    </row>
    <row r="68" spans="1:7" x14ac:dyDescent="0.35">
      <c r="A68" s="1" t="str">
        <f t="shared" si="1"/>
        <v/>
      </c>
      <c r="B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 s="1" t="s">
        <v>171</v>
      </c>
      <c r="D68" s="1" t="s">
        <v>110</v>
      </c>
      <c r="E68" s="1" t="s">
        <v>111</v>
      </c>
      <c r="F68" s="1" t="s">
        <v>112</v>
      </c>
      <c r="G68" s="1" t="s">
        <v>113</v>
      </c>
    </row>
    <row r="69" spans="1:7" x14ac:dyDescent="0.35">
      <c r="A69" s="1" t="str">
        <f t="shared" si="1"/>
        <v>14</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1738</v>
      </c>
      <c r="D69" s="1" t="s">
        <v>678</v>
      </c>
      <c r="E69" s="1" t="s">
        <v>1739</v>
      </c>
      <c r="F69" s="1" t="s">
        <v>112</v>
      </c>
      <c r="G69" s="1">
        <v>2061783</v>
      </c>
    </row>
    <row r="70" spans="1:7" x14ac:dyDescent="0.35">
      <c r="A70" s="1" t="str">
        <f t="shared" si="1"/>
        <v>14</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1740</v>
      </c>
      <c r="D70" s="1" t="s">
        <v>701</v>
      </c>
      <c r="E70" s="1" t="s">
        <v>1741</v>
      </c>
      <c r="F70" s="1" t="s">
        <v>112</v>
      </c>
      <c r="G70" s="1">
        <v>1636064</v>
      </c>
    </row>
    <row r="71" spans="1:7" x14ac:dyDescent="0.35">
      <c r="A71" s="1" t="str">
        <f t="shared" si="1"/>
        <v>14</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1" s="1" t="s">
        <v>1742</v>
      </c>
      <c r="D71" s="1" t="s">
        <v>1743</v>
      </c>
      <c r="E71" s="1" t="s">
        <v>1744</v>
      </c>
      <c r="F71" s="1" t="s">
        <v>112</v>
      </c>
      <c r="G71" s="1">
        <v>1625357</v>
      </c>
    </row>
    <row r="72" spans="1:7" x14ac:dyDescent="0.35">
      <c r="A72" s="1" t="str">
        <f t="shared" si="1"/>
        <v>14</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1745</v>
      </c>
      <c r="D72" s="1" t="s">
        <v>1746</v>
      </c>
      <c r="E72" s="1" t="s">
        <v>1747</v>
      </c>
      <c r="F72" s="1" t="s">
        <v>112</v>
      </c>
      <c r="G72" s="1">
        <v>3150394</v>
      </c>
    </row>
    <row r="73" spans="1:7" x14ac:dyDescent="0.35">
      <c r="A73" s="1" t="str">
        <f t="shared" si="1"/>
        <v>14</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1748</v>
      </c>
      <c r="D73" s="1" t="s">
        <v>1749</v>
      </c>
      <c r="E73" s="1" t="s">
        <v>1750</v>
      </c>
      <c r="F73" s="1" t="s">
        <v>112</v>
      </c>
      <c r="G73" s="1">
        <v>3171267</v>
      </c>
    </row>
    <row r="74" spans="1:7" x14ac:dyDescent="0.35">
      <c r="A74" s="1" t="str">
        <f t="shared" si="1"/>
        <v>14</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4" s="1" t="s">
        <v>1751</v>
      </c>
      <c r="D74" s="1" t="s">
        <v>1752</v>
      </c>
      <c r="E74" s="1" t="s">
        <v>1753</v>
      </c>
      <c r="F74" s="1" t="s">
        <v>112</v>
      </c>
      <c r="G74" s="1">
        <v>3575292</v>
      </c>
    </row>
    <row r="75" spans="1:7" x14ac:dyDescent="0.35">
      <c r="A75" s="1" t="str">
        <f t="shared" si="1"/>
        <v>14</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1754</v>
      </c>
    </row>
    <row r="76" spans="1:7" x14ac:dyDescent="0.35">
      <c r="A76" s="1" t="str">
        <f t="shared" si="1"/>
        <v>14</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1755</v>
      </c>
    </row>
    <row r="77" spans="1:7" x14ac:dyDescent="0.35">
      <c r="A77" s="1" t="str">
        <f t="shared" si="1"/>
        <v>14</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7" s="1" t="s">
        <v>1756</v>
      </c>
    </row>
    <row r="78" spans="1:7" x14ac:dyDescent="0.35">
      <c r="A78" s="1" t="str">
        <f t="shared" si="1"/>
        <v>14</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1757</v>
      </c>
      <c r="D78" s="1" t="s">
        <v>1758</v>
      </c>
      <c r="E78" s="1" t="s">
        <v>1759</v>
      </c>
      <c r="F78" s="1" t="s">
        <v>112</v>
      </c>
      <c r="G78" s="1">
        <v>2341674</v>
      </c>
    </row>
    <row r="79" spans="1:7" x14ac:dyDescent="0.35">
      <c r="A79" s="1" t="str">
        <f t="shared" si="1"/>
        <v>14</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1760</v>
      </c>
      <c r="D79" s="1" t="s">
        <v>1761</v>
      </c>
      <c r="E79" s="1" t="s">
        <v>1762</v>
      </c>
      <c r="F79" s="1" t="s">
        <v>112</v>
      </c>
      <c r="G79" s="1">
        <v>1965054</v>
      </c>
    </row>
    <row r="80" spans="1:7" x14ac:dyDescent="0.35">
      <c r="A80" s="1" t="str">
        <f t="shared" si="1"/>
        <v>14</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80" s="1" t="s">
        <v>1763</v>
      </c>
      <c r="D80" s="1" t="s">
        <v>1764</v>
      </c>
      <c r="E80" s="1" t="s">
        <v>1765</v>
      </c>
      <c r="F80" s="1" t="s">
        <v>112</v>
      </c>
      <c r="G80" s="1">
        <v>2107401</v>
      </c>
    </row>
    <row r="81" spans="1:8" x14ac:dyDescent="0.35">
      <c r="A81" s="1" t="str">
        <f t="shared" si="1"/>
        <v>14</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1766</v>
      </c>
      <c r="D81" s="1" t="s">
        <v>1767</v>
      </c>
      <c r="E81" s="1" t="s">
        <v>1768</v>
      </c>
      <c r="F81" s="1" t="s">
        <v>112</v>
      </c>
      <c r="G81" s="1">
        <v>2313231</v>
      </c>
    </row>
    <row r="82" spans="1:8" x14ac:dyDescent="0.35">
      <c r="A82" s="1" t="str">
        <f t="shared" si="1"/>
        <v>14</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1769</v>
      </c>
      <c r="D82" s="1" t="s">
        <v>1770</v>
      </c>
      <c r="E82" s="1" t="s">
        <v>1771</v>
      </c>
      <c r="F82" s="1" t="s">
        <v>112</v>
      </c>
      <c r="G82" s="1">
        <v>2900893</v>
      </c>
    </row>
    <row r="83" spans="1:8" x14ac:dyDescent="0.35">
      <c r="A83" s="1" t="str">
        <f t="shared" si="1"/>
        <v>14</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3" s="1" t="s">
        <v>1772</v>
      </c>
      <c r="D83" s="1" t="s">
        <v>1773</v>
      </c>
      <c r="E83" s="1" t="s">
        <v>1774</v>
      </c>
      <c r="F83" s="1" t="s">
        <v>112</v>
      </c>
      <c r="G83" s="1">
        <v>2179515</v>
      </c>
    </row>
    <row r="84" spans="1:8" x14ac:dyDescent="0.35">
      <c r="A84" s="1" t="str">
        <f t="shared" si="1"/>
        <v>14</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1775</v>
      </c>
      <c r="D84" s="1" t="s">
        <v>1776</v>
      </c>
      <c r="E84" s="1" t="s">
        <v>1777</v>
      </c>
      <c r="F84" s="1" t="s">
        <v>112</v>
      </c>
      <c r="G84" s="1">
        <v>2387832</v>
      </c>
    </row>
    <row r="85" spans="1:8" x14ac:dyDescent="0.35">
      <c r="A85" s="1" t="str">
        <f t="shared" si="1"/>
        <v>14</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1778</v>
      </c>
      <c r="D85" s="1" t="s">
        <v>1779</v>
      </c>
      <c r="E85" s="1" t="s">
        <v>1780</v>
      </c>
      <c r="F85" s="1" t="s">
        <v>112</v>
      </c>
      <c r="G85" s="1">
        <v>2252126</v>
      </c>
    </row>
    <row r="86" spans="1:8" x14ac:dyDescent="0.35">
      <c r="A86" s="1" t="str">
        <f t="shared" si="1"/>
        <v>14</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6" s="1" t="s">
        <v>1781</v>
      </c>
      <c r="D86" s="1" t="s">
        <v>1782</v>
      </c>
      <c r="E86" s="1" t="s">
        <v>1783</v>
      </c>
      <c r="F86" s="1" t="s">
        <v>112</v>
      </c>
      <c r="G86" s="1">
        <v>2455837</v>
      </c>
    </row>
    <row r="87" spans="1:8" x14ac:dyDescent="0.35">
      <c r="A87" s="1" t="str">
        <f t="shared" si="1"/>
        <v>14</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1784</v>
      </c>
      <c r="D87" s="1" t="s">
        <v>1785</v>
      </c>
      <c r="E87" s="1" t="s">
        <v>1786</v>
      </c>
      <c r="F87" s="1" t="s">
        <v>112</v>
      </c>
      <c r="G87" s="1">
        <v>586451</v>
      </c>
    </row>
    <row r="88" spans="1:8" x14ac:dyDescent="0.35">
      <c r="A88" s="1" t="str">
        <f t="shared" si="1"/>
        <v>14</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1787</v>
      </c>
      <c r="D88" s="1" t="s">
        <v>1788</v>
      </c>
      <c r="E88" s="1" t="s">
        <v>1789</v>
      </c>
      <c r="F88" s="1" t="s">
        <v>112</v>
      </c>
      <c r="G88" s="1">
        <v>431452</v>
      </c>
    </row>
    <row r="89" spans="1:8" x14ac:dyDescent="0.35">
      <c r="A89" s="1" t="str">
        <f t="shared" si="1"/>
        <v>14</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9" s="1" t="s">
        <v>1790</v>
      </c>
      <c r="D89" s="1" t="s">
        <v>1791</v>
      </c>
      <c r="E89" s="1" t="s">
        <v>1792</v>
      </c>
      <c r="F89" s="1" t="s">
        <v>112</v>
      </c>
      <c r="G89" s="1">
        <v>626640</v>
      </c>
    </row>
    <row r="90" spans="1:8" x14ac:dyDescent="0.35">
      <c r="A90" s="1" t="str">
        <f t="shared" si="1"/>
        <v>14</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1793</v>
      </c>
      <c r="D90" s="1" t="s">
        <v>1794</v>
      </c>
      <c r="E90" s="1" t="s">
        <v>1795</v>
      </c>
      <c r="F90" s="1" t="s">
        <v>112</v>
      </c>
      <c r="G90" s="1">
        <v>1777242</v>
      </c>
    </row>
    <row r="91" spans="1:8" x14ac:dyDescent="0.35">
      <c r="A91" s="1" t="str">
        <f t="shared" si="1"/>
        <v>14</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1796</v>
      </c>
      <c r="D91" s="1" t="s">
        <v>1797</v>
      </c>
      <c r="E91" s="1" t="s">
        <v>1798</v>
      </c>
      <c r="F91" s="1" t="s">
        <v>112</v>
      </c>
      <c r="G91" s="1">
        <v>1668141</v>
      </c>
    </row>
    <row r="92" spans="1:8" x14ac:dyDescent="0.35">
      <c r="A92" s="1" t="str">
        <f t="shared" si="1"/>
        <v>14</v>
      </c>
      <c r="B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2" s="1" t="s">
        <v>1799</v>
      </c>
    </row>
    <row r="93" spans="1:8" x14ac:dyDescent="0.3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112</v>
      </c>
    </row>
    <row r="94" spans="1:8" x14ac:dyDescent="0.35">
      <c r="A94" s="1" t="str">
        <f t="shared" si="1"/>
        <v/>
      </c>
      <c r="B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4" s="1" t="s">
        <v>227</v>
      </c>
      <c r="D94" s="1" t="s">
        <v>112</v>
      </c>
      <c r="E94" s="1" t="s">
        <v>228</v>
      </c>
      <c r="F94" s="1" t="s">
        <v>229</v>
      </c>
      <c r="G94" s="1" t="s">
        <v>230</v>
      </c>
      <c r="H94" s="1" t="s">
        <v>231</v>
      </c>
    </row>
    <row r="95" spans="1:8" x14ac:dyDescent="0.35">
      <c r="A95" s="1" t="str">
        <f t="shared" si="1"/>
        <v>14</v>
      </c>
      <c r="B9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5" s="1" t="s">
        <v>1800</v>
      </c>
      <c r="D95" s="1" t="s">
        <v>112</v>
      </c>
      <c r="E95" s="1" t="s">
        <v>1801</v>
      </c>
      <c r="F95" s="1" t="s">
        <v>1802</v>
      </c>
      <c r="G95" s="1">
        <v>1809475</v>
      </c>
      <c r="H95" s="1" t="s">
        <v>1803</v>
      </c>
    </row>
    <row r="96" spans="1:8" x14ac:dyDescent="0.3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3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3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3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3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112</v>
      </c>
    </row>
    <row r="101" spans="1:7" x14ac:dyDescent="0.35">
      <c r="A101" s="1" t="str">
        <f t="shared" si="1"/>
        <v/>
      </c>
      <c r="B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1" s="1" t="s">
        <v>171</v>
      </c>
      <c r="D101" s="1" t="s">
        <v>110</v>
      </c>
      <c r="E101" s="1" t="s">
        <v>111</v>
      </c>
      <c r="F101" s="1" t="s">
        <v>112</v>
      </c>
      <c r="G101" s="1" t="s">
        <v>113</v>
      </c>
    </row>
    <row r="102" spans="1:7" x14ac:dyDescent="0.35">
      <c r="A102" s="1" t="str">
        <f t="shared" si="1"/>
        <v>15</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1804</v>
      </c>
      <c r="D102" s="1" t="s">
        <v>911</v>
      </c>
      <c r="E102" s="1" t="s">
        <v>1805</v>
      </c>
      <c r="F102" s="1" t="s">
        <v>112</v>
      </c>
      <c r="G102" s="1">
        <v>3454446</v>
      </c>
    </row>
    <row r="103" spans="1:7" x14ac:dyDescent="0.35">
      <c r="A103" s="1" t="str">
        <f t="shared" si="1"/>
        <v>15</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1806</v>
      </c>
      <c r="D103" s="1" t="s">
        <v>1807</v>
      </c>
      <c r="E103" s="1" t="s">
        <v>1808</v>
      </c>
      <c r="F103" s="1" t="s">
        <v>112</v>
      </c>
      <c r="G103" s="1">
        <v>3069217</v>
      </c>
    </row>
    <row r="104" spans="1:7" x14ac:dyDescent="0.35">
      <c r="A104" s="1" t="str">
        <f t="shared" si="1"/>
        <v>15</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4" s="1" t="s">
        <v>1809</v>
      </c>
      <c r="D104" s="1" t="s">
        <v>1810</v>
      </c>
      <c r="E104" s="1" t="s">
        <v>1811</v>
      </c>
      <c r="F104" s="1" t="s">
        <v>112</v>
      </c>
      <c r="G104" s="1">
        <v>3202717</v>
      </c>
    </row>
    <row r="105" spans="1:7" x14ac:dyDescent="0.35">
      <c r="A105" s="1" t="str">
        <f t="shared" si="1"/>
        <v>15</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1812</v>
      </c>
      <c r="D105" s="1" t="s">
        <v>1813</v>
      </c>
      <c r="E105" s="1" t="s">
        <v>1814</v>
      </c>
      <c r="F105" s="1" t="s">
        <v>112</v>
      </c>
      <c r="G105" s="1">
        <v>2975127</v>
      </c>
    </row>
    <row r="106" spans="1:7" x14ac:dyDescent="0.35">
      <c r="A106" s="1" t="str">
        <f t="shared" si="1"/>
        <v>15</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1815</v>
      </c>
      <c r="D106" s="1" t="s">
        <v>1816</v>
      </c>
      <c r="E106" s="1" t="s">
        <v>1817</v>
      </c>
      <c r="F106" s="1" t="s">
        <v>112</v>
      </c>
      <c r="G106" s="1">
        <v>2994334</v>
      </c>
    </row>
    <row r="107" spans="1:7" x14ac:dyDescent="0.35">
      <c r="A107" s="1" t="str">
        <f t="shared" si="1"/>
        <v>15</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7" s="1" t="s">
        <v>1818</v>
      </c>
      <c r="D107" s="1" t="s">
        <v>1819</v>
      </c>
      <c r="E107" s="1" t="s">
        <v>1820</v>
      </c>
      <c r="F107" s="1" t="s">
        <v>112</v>
      </c>
      <c r="G107" s="1">
        <v>3531059</v>
      </c>
    </row>
    <row r="108" spans="1:7" x14ac:dyDescent="0.35">
      <c r="A108" s="1" t="str">
        <f t="shared" si="1"/>
        <v>15</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1821</v>
      </c>
      <c r="D108" s="1" t="s">
        <v>1822</v>
      </c>
      <c r="E108" s="1" t="s">
        <v>1823</v>
      </c>
      <c r="F108" s="1" t="s">
        <v>112</v>
      </c>
      <c r="G108" s="1">
        <v>3106875</v>
      </c>
    </row>
    <row r="109" spans="1:7" x14ac:dyDescent="0.35">
      <c r="A109" s="1" t="str">
        <f t="shared" si="1"/>
        <v>15</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1824</v>
      </c>
      <c r="D109" s="1" t="s">
        <v>1825</v>
      </c>
      <c r="E109" s="1" t="s">
        <v>1826</v>
      </c>
      <c r="F109" s="1" t="s">
        <v>112</v>
      </c>
      <c r="G109" s="1">
        <v>2828887</v>
      </c>
    </row>
    <row r="110" spans="1:7" x14ac:dyDescent="0.35">
      <c r="A110" s="1" t="str">
        <f t="shared" si="1"/>
        <v>15</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10" s="1" t="s">
        <v>1827</v>
      </c>
      <c r="D110" s="1" t="s">
        <v>1828</v>
      </c>
      <c r="E110" s="1" t="s">
        <v>1829</v>
      </c>
      <c r="F110" s="1" t="s">
        <v>112</v>
      </c>
      <c r="G110" s="1">
        <v>3140617</v>
      </c>
    </row>
    <row r="111" spans="1:7" x14ac:dyDescent="0.35">
      <c r="A111" s="1" t="str">
        <f t="shared" si="1"/>
        <v>15</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1830</v>
      </c>
      <c r="D111" s="1" t="s">
        <v>1831</v>
      </c>
      <c r="E111" s="1" t="s">
        <v>1832</v>
      </c>
      <c r="F111" s="1" t="s">
        <v>112</v>
      </c>
      <c r="G111" s="1">
        <v>2645725</v>
      </c>
    </row>
    <row r="112" spans="1:7" x14ac:dyDescent="0.35">
      <c r="A112" s="1" t="str">
        <f t="shared" si="1"/>
        <v>15</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1833</v>
      </c>
      <c r="D112" s="1" t="s">
        <v>1834</v>
      </c>
      <c r="E112" s="1" t="s">
        <v>1835</v>
      </c>
      <c r="F112" s="1" t="s">
        <v>112</v>
      </c>
      <c r="G112" s="1">
        <v>2668675</v>
      </c>
    </row>
    <row r="113" spans="1:8" x14ac:dyDescent="0.35">
      <c r="A113" s="1" t="str">
        <f t="shared" si="1"/>
        <v>15</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3" s="1" t="s">
        <v>1836</v>
      </c>
      <c r="D113" s="1" t="s">
        <v>1837</v>
      </c>
      <c r="E113" s="1" t="s">
        <v>1838</v>
      </c>
      <c r="F113" s="1" t="s">
        <v>112</v>
      </c>
      <c r="G113" s="1">
        <v>3022475</v>
      </c>
    </row>
    <row r="114" spans="1:8" x14ac:dyDescent="0.35">
      <c r="A114" s="1" t="str">
        <f t="shared" si="1"/>
        <v>15</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1839</v>
      </c>
      <c r="D114" s="1" t="s">
        <v>1840</v>
      </c>
      <c r="E114" s="1" t="s">
        <v>1841</v>
      </c>
      <c r="F114" s="1" t="s">
        <v>112</v>
      </c>
      <c r="G114" s="1">
        <v>3213791</v>
      </c>
    </row>
    <row r="115" spans="1:8" x14ac:dyDescent="0.35">
      <c r="A115" s="1" t="str">
        <f t="shared" si="1"/>
        <v>15</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1842</v>
      </c>
      <c r="D115" s="1" t="s">
        <v>1843</v>
      </c>
      <c r="E115" s="1" t="s">
        <v>1844</v>
      </c>
      <c r="F115" s="1" t="s">
        <v>112</v>
      </c>
      <c r="G115" s="1">
        <v>3783133</v>
      </c>
    </row>
    <row r="116" spans="1:8" x14ac:dyDescent="0.35">
      <c r="A116" s="1" t="str">
        <f t="shared" si="1"/>
        <v>15</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6" s="1" t="s">
        <v>1845</v>
      </c>
      <c r="D116" s="1" t="s">
        <v>1846</v>
      </c>
      <c r="E116" s="1" t="s">
        <v>1847</v>
      </c>
      <c r="F116" s="1" t="s">
        <v>112</v>
      </c>
      <c r="G116" s="1">
        <v>3216344</v>
      </c>
    </row>
    <row r="117" spans="1:8" x14ac:dyDescent="0.35">
      <c r="A117" s="1" t="str">
        <f t="shared" si="1"/>
        <v>15</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1848</v>
      </c>
      <c r="D117" s="1" t="s">
        <v>1849</v>
      </c>
      <c r="E117" s="1" t="s">
        <v>1850</v>
      </c>
      <c r="F117" s="1" t="s">
        <v>112</v>
      </c>
      <c r="G117" s="1">
        <v>4712094</v>
      </c>
    </row>
    <row r="118" spans="1:8" x14ac:dyDescent="0.35">
      <c r="A118" s="1" t="str">
        <f t="shared" si="1"/>
        <v>15</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1851</v>
      </c>
      <c r="D118" s="1" t="s">
        <v>1852</v>
      </c>
      <c r="E118" s="1" t="s">
        <v>1853</v>
      </c>
      <c r="F118" s="1" t="s">
        <v>112</v>
      </c>
      <c r="G118" s="1">
        <v>4764460</v>
      </c>
    </row>
    <row r="119" spans="1:8" x14ac:dyDescent="0.35">
      <c r="A119" s="1" t="str">
        <f t="shared" si="1"/>
        <v>15</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9" s="1" t="s">
        <v>1854</v>
      </c>
      <c r="D119" s="1" t="s">
        <v>1855</v>
      </c>
      <c r="E119" s="1" t="s">
        <v>1856</v>
      </c>
      <c r="F119" s="1" t="s">
        <v>112</v>
      </c>
      <c r="G119" s="1">
        <v>4594990</v>
      </c>
    </row>
    <row r="120" spans="1:8" x14ac:dyDescent="0.35">
      <c r="A120" s="1" t="str">
        <f t="shared" si="1"/>
        <v>15</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1857</v>
      </c>
    </row>
    <row r="121" spans="1:8" x14ac:dyDescent="0.35">
      <c r="A121" s="1" t="str">
        <f t="shared" si="1"/>
        <v>15</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1858</v>
      </c>
    </row>
    <row r="122" spans="1:8" x14ac:dyDescent="0.35">
      <c r="A122" s="1" t="str">
        <f t="shared" si="1"/>
        <v>15</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2" s="1" t="s">
        <v>1859</v>
      </c>
    </row>
    <row r="123" spans="1:8" x14ac:dyDescent="0.35">
      <c r="A123" s="1" t="str">
        <f t="shared" si="1"/>
        <v>15</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1860</v>
      </c>
      <c r="D123" s="1" t="s">
        <v>1861</v>
      </c>
      <c r="E123" s="1" t="s">
        <v>1862</v>
      </c>
      <c r="F123" s="1" t="s">
        <v>112</v>
      </c>
      <c r="G123" s="1">
        <v>1294030</v>
      </c>
    </row>
    <row r="124" spans="1:8" x14ac:dyDescent="0.35">
      <c r="A124" s="1" t="str">
        <f t="shared" si="1"/>
        <v>15</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1863</v>
      </c>
      <c r="D124" s="1" t="s">
        <v>1864</v>
      </c>
      <c r="E124" s="1" t="s">
        <v>1865</v>
      </c>
      <c r="F124" s="1" t="s">
        <v>112</v>
      </c>
      <c r="G124" s="1">
        <v>1507971</v>
      </c>
    </row>
    <row r="125" spans="1:8" x14ac:dyDescent="0.35">
      <c r="A125" s="1" t="str">
        <f t="shared" si="1"/>
        <v>15</v>
      </c>
      <c r="B1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5" s="1" t="s">
        <v>1866</v>
      </c>
      <c r="D125" s="1" t="s">
        <v>1867</v>
      </c>
      <c r="E125" s="1" t="s">
        <v>1868</v>
      </c>
      <c r="F125" s="1" t="s">
        <v>112</v>
      </c>
      <c r="G125" s="1">
        <v>922299</v>
      </c>
    </row>
    <row r="126" spans="1:8" x14ac:dyDescent="0.3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112</v>
      </c>
    </row>
    <row r="127" spans="1:8" x14ac:dyDescent="0.35">
      <c r="A127" s="1" t="str">
        <f t="shared" si="1"/>
        <v/>
      </c>
      <c r="B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7" s="1" t="s">
        <v>227</v>
      </c>
      <c r="D127" s="1" t="s">
        <v>112</v>
      </c>
      <c r="E127" s="1" t="s">
        <v>228</v>
      </c>
      <c r="F127" s="1" t="s">
        <v>229</v>
      </c>
      <c r="G127" s="1" t="s">
        <v>230</v>
      </c>
      <c r="H127" s="1" t="s">
        <v>231</v>
      </c>
    </row>
    <row r="128" spans="1:8" x14ac:dyDescent="0.35">
      <c r="A128" s="1" t="str">
        <f t="shared" si="1"/>
        <v>15</v>
      </c>
      <c r="B1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8" s="1" t="s">
        <v>1869</v>
      </c>
      <c r="D128" s="1" t="s">
        <v>112</v>
      </c>
      <c r="E128" s="1" t="s">
        <v>1870</v>
      </c>
      <c r="F128" s="1" t="s">
        <v>1871</v>
      </c>
      <c r="G128" s="1" t="s">
        <v>1872</v>
      </c>
      <c r="H128" s="1" t="s">
        <v>1873</v>
      </c>
    </row>
    <row r="129" spans="1:7" x14ac:dyDescent="0.3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3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3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3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3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112</v>
      </c>
    </row>
    <row r="134" spans="1:7" x14ac:dyDescent="0.35">
      <c r="A134" s="1" t="str">
        <f t="shared" si="2"/>
        <v/>
      </c>
      <c r="B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4" s="1" t="s">
        <v>171</v>
      </c>
      <c r="D134" s="1" t="s">
        <v>110</v>
      </c>
      <c r="E134" s="1" t="s">
        <v>111</v>
      </c>
      <c r="F134" s="1" t="s">
        <v>112</v>
      </c>
      <c r="G134" s="1" t="s">
        <v>113</v>
      </c>
    </row>
    <row r="135" spans="1:7" x14ac:dyDescent="0.35">
      <c r="A135" s="1" t="str">
        <f t="shared" si="2"/>
        <v>16</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1874</v>
      </c>
      <c r="D135" s="1">
        <v>0</v>
      </c>
      <c r="E135" s="1">
        <v>0</v>
      </c>
      <c r="F135" s="1" t="s">
        <v>112</v>
      </c>
      <c r="G135" s="1">
        <v>0</v>
      </c>
    </row>
    <row r="136" spans="1:7" x14ac:dyDescent="0.35">
      <c r="A136" s="1" t="str">
        <f t="shared" si="2"/>
        <v>16</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1875</v>
      </c>
      <c r="D136" s="1" t="s">
        <v>1554</v>
      </c>
      <c r="E136" s="1" t="s">
        <v>1876</v>
      </c>
      <c r="F136" s="1" t="s">
        <v>112</v>
      </c>
      <c r="G136" s="1">
        <v>7527</v>
      </c>
    </row>
    <row r="137" spans="1:7" x14ac:dyDescent="0.35">
      <c r="A137" s="1" t="str">
        <f t="shared" si="2"/>
        <v>16</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7" s="1" t="s">
        <v>1877</v>
      </c>
      <c r="D137" s="1" t="s">
        <v>578</v>
      </c>
      <c r="E137" s="1" t="s">
        <v>1878</v>
      </c>
      <c r="F137" s="1" t="s">
        <v>112</v>
      </c>
      <c r="G137" s="1">
        <v>39842</v>
      </c>
    </row>
    <row r="138" spans="1:7" x14ac:dyDescent="0.35">
      <c r="A138" s="1" t="str">
        <f t="shared" si="2"/>
        <v>16</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1879</v>
      </c>
      <c r="D138" s="1" t="s">
        <v>1880</v>
      </c>
      <c r="E138" s="1" t="s">
        <v>1881</v>
      </c>
      <c r="F138" s="1" t="s">
        <v>112</v>
      </c>
      <c r="G138" s="1">
        <v>153226</v>
      </c>
    </row>
    <row r="139" spans="1:7" x14ac:dyDescent="0.35">
      <c r="A139" s="1" t="str">
        <f t="shared" si="2"/>
        <v>16</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1882</v>
      </c>
      <c r="D139" s="1" t="s">
        <v>1883</v>
      </c>
      <c r="E139" s="1" t="s">
        <v>1884</v>
      </c>
      <c r="F139" s="1" t="s">
        <v>112</v>
      </c>
      <c r="G139" s="1">
        <v>48732</v>
      </c>
    </row>
    <row r="140" spans="1:7" x14ac:dyDescent="0.35">
      <c r="A140" s="1" t="str">
        <f t="shared" si="2"/>
        <v>16</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40" s="1" t="s">
        <v>1885</v>
      </c>
      <c r="D140" s="1" t="s">
        <v>1886</v>
      </c>
      <c r="E140" s="1" t="s">
        <v>1887</v>
      </c>
      <c r="F140" s="1" t="s">
        <v>112</v>
      </c>
      <c r="G140" s="1">
        <v>75748</v>
      </c>
    </row>
    <row r="141" spans="1:7" x14ac:dyDescent="0.35">
      <c r="A141" s="1" t="str">
        <f t="shared" si="2"/>
        <v>16</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1888</v>
      </c>
      <c r="D141" s="1" t="s">
        <v>978</v>
      </c>
      <c r="E141" s="1" t="s">
        <v>1889</v>
      </c>
      <c r="F141" s="1" t="s">
        <v>112</v>
      </c>
      <c r="G141" s="1">
        <v>291376</v>
      </c>
    </row>
    <row r="142" spans="1:7" x14ac:dyDescent="0.35">
      <c r="A142" s="1" t="str">
        <f t="shared" si="2"/>
        <v>16</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1890</v>
      </c>
    </row>
    <row r="143" spans="1:7" x14ac:dyDescent="0.35">
      <c r="A143" s="1" t="str">
        <f t="shared" si="2"/>
        <v>16</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3" s="1" t="s">
        <v>1891</v>
      </c>
      <c r="D143" s="1">
        <v>0</v>
      </c>
      <c r="E143" s="1">
        <v>0</v>
      </c>
      <c r="F143" s="1" t="s">
        <v>112</v>
      </c>
      <c r="G143" s="1">
        <v>0</v>
      </c>
    </row>
    <row r="144" spans="1:7" x14ac:dyDescent="0.35">
      <c r="A144" s="1" t="str">
        <f t="shared" si="2"/>
        <v>16</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1892</v>
      </c>
      <c r="D144" s="1">
        <v>0</v>
      </c>
      <c r="E144" s="1">
        <v>0</v>
      </c>
      <c r="F144" s="1" t="s">
        <v>112</v>
      </c>
      <c r="G144" s="1">
        <v>0</v>
      </c>
    </row>
    <row r="145" spans="1:8" x14ac:dyDescent="0.35">
      <c r="A145" s="1" t="str">
        <f t="shared" si="2"/>
        <v>16</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1893</v>
      </c>
      <c r="D145" s="1" t="s">
        <v>1894</v>
      </c>
      <c r="E145" s="1" t="s">
        <v>1895</v>
      </c>
      <c r="F145" s="1" t="s">
        <v>112</v>
      </c>
      <c r="G145" s="1">
        <v>138258</v>
      </c>
    </row>
    <row r="146" spans="1:8" x14ac:dyDescent="0.35">
      <c r="A146" s="1" t="str">
        <f t="shared" si="2"/>
        <v>16</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6" s="1" t="s">
        <v>1896</v>
      </c>
      <c r="D146" s="1" t="s">
        <v>1897</v>
      </c>
      <c r="E146" s="1" t="s">
        <v>1898</v>
      </c>
      <c r="F146" s="1" t="s">
        <v>112</v>
      </c>
      <c r="G146" s="1">
        <v>39453</v>
      </c>
    </row>
    <row r="147" spans="1:8" x14ac:dyDescent="0.35">
      <c r="A147" s="1" t="str">
        <f t="shared" si="2"/>
        <v>16</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1899</v>
      </c>
      <c r="D147" s="1" t="s">
        <v>1900</v>
      </c>
      <c r="E147" s="1" t="s">
        <v>1901</v>
      </c>
      <c r="F147" s="1" t="s">
        <v>112</v>
      </c>
      <c r="G147" s="1">
        <v>101379</v>
      </c>
    </row>
    <row r="148" spans="1:8" x14ac:dyDescent="0.35">
      <c r="A148" s="1" t="str">
        <f t="shared" si="2"/>
        <v>16</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1902</v>
      </c>
      <c r="D148" s="1" t="s">
        <v>1607</v>
      </c>
      <c r="E148" s="1" t="s">
        <v>1903</v>
      </c>
      <c r="F148" s="1" t="s">
        <v>112</v>
      </c>
      <c r="G148" s="1">
        <v>54810</v>
      </c>
    </row>
    <row r="149" spans="1:8" x14ac:dyDescent="0.35">
      <c r="A149" s="1" t="str">
        <f t="shared" si="2"/>
        <v>16</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9" s="1" t="s">
        <v>1904</v>
      </c>
      <c r="D149" s="1" t="s">
        <v>450</v>
      </c>
      <c r="E149" s="1" t="s">
        <v>1905</v>
      </c>
      <c r="F149" s="1" t="s">
        <v>112</v>
      </c>
      <c r="G149" s="1">
        <v>59439</v>
      </c>
    </row>
    <row r="150" spans="1:8" x14ac:dyDescent="0.35">
      <c r="A150" s="1" t="str">
        <f t="shared" si="2"/>
        <v>16</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1906</v>
      </c>
      <c r="D150" s="1" t="s">
        <v>1907</v>
      </c>
      <c r="E150" s="1" t="s">
        <v>1908</v>
      </c>
      <c r="F150" s="1" t="s">
        <v>112</v>
      </c>
      <c r="G150" s="1">
        <v>91040</v>
      </c>
    </row>
    <row r="151" spans="1:8" x14ac:dyDescent="0.35">
      <c r="A151" s="1" t="str">
        <f t="shared" si="2"/>
        <v>16</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1909</v>
      </c>
      <c r="D151" s="1" t="s">
        <v>1910</v>
      </c>
      <c r="E151" s="1" t="s">
        <v>1492</v>
      </c>
      <c r="F151" s="1" t="s">
        <v>112</v>
      </c>
      <c r="G151" s="1">
        <v>14103</v>
      </c>
    </row>
    <row r="152" spans="1:8" x14ac:dyDescent="0.35">
      <c r="A152" s="1" t="str">
        <f t="shared" si="2"/>
        <v>16</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2" s="1" t="s">
        <v>1911</v>
      </c>
      <c r="D152" s="1" t="s">
        <v>1912</v>
      </c>
      <c r="E152" s="1" t="s">
        <v>1913</v>
      </c>
      <c r="F152" s="1" t="s">
        <v>112</v>
      </c>
      <c r="G152" s="1">
        <v>151301</v>
      </c>
    </row>
    <row r="153" spans="1:8" x14ac:dyDescent="0.35">
      <c r="A153" s="1" t="str">
        <f t="shared" si="2"/>
        <v>16</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1914</v>
      </c>
      <c r="D153" s="1" t="s">
        <v>1915</v>
      </c>
      <c r="E153" s="1" t="s">
        <v>1916</v>
      </c>
      <c r="F153" s="1" t="s">
        <v>112</v>
      </c>
      <c r="G153" s="1">
        <v>390268</v>
      </c>
    </row>
    <row r="154" spans="1:8" x14ac:dyDescent="0.35">
      <c r="A154" s="1" t="str">
        <f t="shared" si="2"/>
        <v>16</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1917</v>
      </c>
      <c r="D154" s="1" t="s">
        <v>1918</v>
      </c>
      <c r="E154" s="1" t="s">
        <v>1919</v>
      </c>
      <c r="F154" s="1" t="s">
        <v>112</v>
      </c>
      <c r="G154" s="1">
        <v>380794</v>
      </c>
    </row>
    <row r="155" spans="1:8" x14ac:dyDescent="0.35">
      <c r="A155" s="1" t="str">
        <f t="shared" si="2"/>
        <v>16</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5" s="1" t="s">
        <v>1920</v>
      </c>
      <c r="D155" s="1" t="s">
        <v>567</v>
      </c>
      <c r="E155" s="1" t="s">
        <v>1921</v>
      </c>
      <c r="F155" s="1" t="s">
        <v>112</v>
      </c>
      <c r="G155" s="1">
        <v>228260</v>
      </c>
    </row>
    <row r="156" spans="1:8" x14ac:dyDescent="0.35">
      <c r="A156" s="1" t="str">
        <f t="shared" si="2"/>
        <v>16</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1922</v>
      </c>
    </row>
    <row r="157" spans="1:8" x14ac:dyDescent="0.35">
      <c r="A157" s="1" t="str">
        <f t="shared" si="2"/>
        <v>16</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1923</v>
      </c>
    </row>
    <row r="158" spans="1:8" x14ac:dyDescent="0.35">
      <c r="A158" s="1" t="str">
        <f t="shared" si="2"/>
        <v>16</v>
      </c>
      <c r="B1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8" s="1" t="s">
        <v>1924</v>
      </c>
    </row>
    <row r="159" spans="1:8" x14ac:dyDescent="0.3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112</v>
      </c>
    </row>
    <row r="160" spans="1:8" x14ac:dyDescent="0.35">
      <c r="A160" s="1" t="str">
        <f t="shared" si="2"/>
        <v/>
      </c>
      <c r="B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0" s="1" t="s">
        <v>227</v>
      </c>
      <c r="D160" s="1" t="s">
        <v>112</v>
      </c>
      <c r="E160" s="1" t="s">
        <v>228</v>
      </c>
      <c r="F160" s="1" t="s">
        <v>229</v>
      </c>
      <c r="G160" s="1" t="s">
        <v>230</v>
      </c>
      <c r="H160" s="1" t="s">
        <v>231</v>
      </c>
    </row>
    <row r="161" spans="1:8" x14ac:dyDescent="0.35">
      <c r="A161" s="1" t="str">
        <f t="shared" si="2"/>
        <v>16</v>
      </c>
      <c r="B1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1" s="1" t="s">
        <v>1925</v>
      </c>
      <c r="D161" s="1" t="s">
        <v>112</v>
      </c>
      <c r="E161" s="1" t="s">
        <v>1926</v>
      </c>
      <c r="F161" s="1" t="s">
        <v>1927</v>
      </c>
      <c r="G161" s="1" t="s">
        <v>1928</v>
      </c>
      <c r="H161" s="1" t="s">
        <v>1929</v>
      </c>
    </row>
    <row r="162" spans="1:8" x14ac:dyDescent="0.3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8" x14ac:dyDescent="0.3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8" x14ac:dyDescent="0.3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8" x14ac:dyDescent="0.3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8" x14ac:dyDescent="0.3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112</v>
      </c>
    </row>
    <row r="167" spans="1:8" x14ac:dyDescent="0.35">
      <c r="A167" s="1" t="str">
        <f t="shared" si="2"/>
        <v/>
      </c>
      <c r="B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7" s="1" t="s">
        <v>171</v>
      </c>
      <c r="D167" s="1" t="s">
        <v>110</v>
      </c>
      <c r="E167" s="1" t="s">
        <v>111</v>
      </c>
      <c r="F167" s="1" t="s">
        <v>112</v>
      </c>
      <c r="G167" s="1" t="s">
        <v>113</v>
      </c>
    </row>
    <row r="168" spans="1:8" x14ac:dyDescent="0.35">
      <c r="A168" s="1" t="str">
        <f t="shared" si="2"/>
        <v>2</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1930</v>
      </c>
      <c r="D168" s="1" t="s">
        <v>1400</v>
      </c>
      <c r="E168" s="1" t="s">
        <v>1931</v>
      </c>
      <c r="F168" s="1" t="s">
        <v>112</v>
      </c>
      <c r="G168" s="1">
        <v>386159</v>
      </c>
    </row>
    <row r="169" spans="1:8" x14ac:dyDescent="0.35">
      <c r="A169" s="1" t="str">
        <f t="shared" si="2"/>
        <v>2</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1932</v>
      </c>
      <c r="D169" s="1" t="s">
        <v>1933</v>
      </c>
      <c r="E169" s="1" t="s">
        <v>1934</v>
      </c>
      <c r="F169" s="1" t="s">
        <v>112</v>
      </c>
      <c r="G169" s="1">
        <v>545830</v>
      </c>
    </row>
    <row r="170" spans="1:8" x14ac:dyDescent="0.35">
      <c r="A170" s="1" t="str">
        <f t="shared" si="2"/>
        <v>2</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70" s="1" t="s">
        <v>1935</v>
      </c>
    </row>
    <row r="171" spans="1:8" x14ac:dyDescent="0.35">
      <c r="A171" s="1" t="str">
        <f t="shared" si="2"/>
        <v>2</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1936</v>
      </c>
      <c r="D171" s="1" t="s">
        <v>1937</v>
      </c>
      <c r="E171" s="1" t="s">
        <v>1938</v>
      </c>
      <c r="F171" s="1" t="s">
        <v>112</v>
      </c>
      <c r="G171" s="1">
        <v>229623</v>
      </c>
    </row>
    <row r="172" spans="1:8" x14ac:dyDescent="0.35">
      <c r="A172" s="1" t="str">
        <f t="shared" si="2"/>
        <v>2</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1939</v>
      </c>
    </row>
    <row r="173" spans="1:8" x14ac:dyDescent="0.35">
      <c r="A173" s="1" t="str">
        <f t="shared" si="2"/>
        <v>2</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3" s="1" t="s">
        <v>1940</v>
      </c>
    </row>
    <row r="174" spans="1:8" x14ac:dyDescent="0.35">
      <c r="A174" s="1" t="str">
        <f t="shared" si="2"/>
        <v>2</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1941</v>
      </c>
      <c r="D174" s="1">
        <v>0</v>
      </c>
      <c r="E174" s="1">
        <v>0</v>
      </c>
      <c r="F174" s="1" t="s">
        <v>112</v>
      </c>
      <c r="G174" s="1">
        <v>0</v>
      </c>
    </row>
    <row r="175" spans="1:8" x14ac:dyDescent="0.35">
      <c r="A175" s="1" t="str">
        <f t="shared" si="2"/>
        <v>2</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1942</v>
      </c>
      <c r="D175" s="1" t="s">
        <v>575</v>
      </c>
      <c r="E175" s="1" t="s">
        <v>1943</v>
      </c>
      <c r="F175" s="1" t="s">
        <v>112</v>
      </c>
      <c r="G175" s="1">
        <v>118835</v>
      </c>
    </row>
    <row r="176" spans="1:8" x14ac:dyDescent="0.35">
      <c r="A176" s="1" t="str">
        <f t="shared" si="2"/>
        <v>2</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6" s="1" t="s">
        <v>1944</v>
      </c>
      <c r="D176" s="1" t="s">
        <v>1945</v>
      </c>
      <c r="E176" s="1" t="s">
        <v>1946</v>
      </c>
      <c r="F176" s="1" t="s">
        <v>112</v>
      </c>
      <c r="G176" s="1">
        <v>17953</v>
      </c>
    </row>
    <row r="177" spans="1:7" x14ac:dyDescent="0.35">
      <c r="A177" s="1" t="str">
        <f t="shared" si="2"/>
        <v>2</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1947</v>
      </c>
      <c r="D177" s="1" t="s">
        <v>1948</v>
      </c>
      <c r="E177" s="1" t="s">
        <v>1949</v>
      </c>
      <c r="F177" s="1" t="s">
        <v>112</v>
      </c>
      <c r="G177" s="1">
        <v>426823</v>
      </c>
    </row>
    <row r="178" spans="1:7" x14ac:dyDescent="0.35">
      <c r="A178" s="1" t="str">
        <f t="shared" si="2"/>
        <v>2</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1950</v>
      </c>
      <c r="D178" s="1" t="s">
        <v>1951</v>
      </c>
      <c r="E178" s="1" t="s">
        <v>1952</v>
      </c>
      <c r="F178" s="1" t="s">
        <v>112</v>
      </c>
      <c r="G178" s="1">
        <v>311146</v>
      </c>
    </row>
    <row r="179" spans="1:7" x14ac:dyDescent="0.35">
      <c r="A179" s="1" t="str">
        <f t="shared" si="2"/>
        <v>2</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9" s="1" t="s">
        <v>1953</v>
      </c>
      <c r="D179" s="1" t="s">
        <v>1954</v>
      </c>
      <c r="E179" s="1" t="s">
        <v>1955</v>
      </c>
      <c r="F179" s="1" t="s">
        <v>112</v>
      </c>
      <c r="G179" s="1">
        <v>306106</v>
      </c>
    </row>
    <row r="180" spans="1:7" x14ac:dyDescent="0.35">
      <c r="A180" s="1" t="str">
        <f t="shared" si="2"/>
        <v>2</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1956</v>
      </c>
    </row>
    <row r="181" spans="1:7" x14ac:dyDescent="0.35">
      <c r="A181" s="1" t="str">
        <f t="shared" si="2"/>
        <v>2</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1957</v>
      </c>
    </row>
    <row r="182" spans="1:7" x14ac:dyDescent="0.35">
      <c r="A182" s="1" t="str">
        <f t="shared" si="2"/>
        <v>2</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2" s="1" t="s">
        <v>1958</v>
      </c>
    </row>
    <row r="183" spans="1:7" x14ac:dyDescent="0.35">
      <c r="A183" s="1" t="str">
        <f t="shared" si="2"/>
        <v>2</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1959</v>
      </c>
      <c r="D183" s="1" t="s">
        <v>1044</v>
      </c>
      <c r="E183" s="1" t="s">
        <v>1960</v>
      </c>
      <c r="F183" s="1" t="s">
        <v>112</v>
      </c>
      <c r="G183" s="1">
        <v>146607</v>
      </c>
    </row>
    <row r="184" spans="1:7" x14ac:dyDescent="0.35">
      <c r="A184" s="1" t="str">
        <f t="shared" si="2"/>
        <v>2</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1961</v>
      </c>
      <c r="D184" s="1" t="s">
        <v>949</v>
      </c>
      <c r="E184" s="1" t="s">
        <v>1962</v>
      </c>
      <c r="F184" s="1" t="s">
        <v>112</v>
      </c>
      <c r="G184" s="1">
        <v>222874</v>
      </c>
    </row>
    <row r="185" spans="1:7" x14ac:dyDescent="0.35">
      <c r="A185" s="1" t="str">
        <f t="shared" si="2"/>
        <v>2</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5" s="1" t="s">
        <v>1963</v>
      </c>
      <c r="D185" s="1" t="s">
        <v>1964</v>
      </c>
      <c r="E185" s="1" t="s">
        <v>1965</v>
      </c>
      <c r="F185" s="1" t="s">
        <v>112</v>
      </c>
      <c r="G185" s="1">
        <v>67161</v>
      </c>
    </row>
    <row r="186" spans="1:7" x14ac:dyDescent="0.35">
      <c r="A186" s="1" t="str">
        <f t="shared" si="2"/>
        <v>2</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1966</v>
      </c>
      <c r="D186" s="1" t="s">
        <v>1967</v>
      </c>
      <c r="E186" s="1" t="s">
        <v>1968</v>
      </c>
      <c r="F186" s="1" t="s">
        <v>112</v>
      </c>
      <c r="G186" s="1">
        <v>16439</v>
      </c>
    </row>
    <row r="187" spans="1:7" x14ac:dyDescent="0.35">
      <c r="A187" s="1" t="str">
        <f t="shared" si="2"/>
        <v>2</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1969</v>
      </c>
      <c r="D187" s="1" t="s">
        <v>1062</v>
      </c>
      <c r="E187" s="1" t="s">
        <v>1198</v>
      </c>
      <c r="F187" s="1" t="s">
        <v>112</v>
      </c>
      <c r="G187" s="1">
        <v>2098</v>
      </c>
    </row>
    <row r="188" spans="1:7" x14ac:dyDescent="0.35">
      <c r="A188" s="1" t="str">
        <f t="shared" si="2"/>
        <v>2</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8" s="1" t="s">
        <v>1970</v>
      </c>
      <c r="D188" s="1" t="s">
        <v>1971</v>
      </c>
      <c r="E188" s="1" t="s">
        <v>1972</v>
      </c>
      <c r="F188" s="1" t="s">
        <v>112</v>
      </c>
      <c r="G188" s="1">
        <v>336864</v>
      </c>
    </row>
    <row r="189" spans="1:7" x14ac:dyDescent="0.35">
      <c r="A189" s="1" t="str">
        <f t="shared" si="2"/>
        <v>2</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1973</v>
      </c>
      <c r="D189" s="1" t="s">
        <v>1974</v>
      </c>
      <c r="E189" s="1" t="s">
        <v>1975</v>
      </c>
      <c r="F189" s="1" t="s">
        <v>112</v>
      </c>
      <c r="G189" s="1">
        <v>328666</v>
      </c>
    </row>
    <row r="190" spans="1:7" x14ac:dyDescent="0.35">
      <c r="A190" s="1" t="str">
        <f t="shared" si="2"/>
        <v>2</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1976</v>
      </c>
      <c r="D190" s="1" t="s">
        <v>1977</v>
      </c>
      <c r="E190" s="1" t="s">
        <v>1978</v>
      </c>
      <c r="F190" s="1" t="s">
        <v>112</v>
      </c>
      <c r="G190" s="1">
        <v>145418</v>
      </c>
    </row>
    <row r="191" spans="1:7" x14ac:dyDescent="0.35">
      <c r="A191" s="1" t="str">
        <f t="shared" si="2"/>
        <v>2</v>
      </c>
      <c r="B1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1" s="1" t="s">
        <v>1979</v>
      </c>
      <c r="D191" s="1" t="s">
        <v>1200</v>
      </c>
      <c r="E191" s="1" t="s">
        <v>1980</v>
      </c>
      <c r="F191" s="1" t="s">
        <v>112</v>
      </c>
      <c r="G191" s="1">
        <v>299617</v>
      </c>
    </row>
    <row r="192" spans="1:7" x14ac:dyDescent="0.3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112</v>
      </c>
    </row>
    <row r="193" spans="1:8" x14ac:dyDescent="0.35">
      <c r="A193" s="1" t="str">
        <f t="shared" si="2"/>
        <v/>
      </c>
      <c r="B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3" s="1" t="s">
        <v>227</v>
      </c>
      <c r="D193" s="1" t="s">
        <v>112</v>
      </c>
      <c r="E193" s="1" t="s">
        <v>228</v>
      </c>
      <c r="F193" s="1" t="s">
        <v>229</v>
      </c>
      <c r="G193" s="1" t="s">
        <v>230</v>
      </c>
      <c r="H193" s="1" t="s">
        <v>231</v>
      </c>
    </row>
    <row r="194" spans="1:8" x14ac:dyDescent="0.35">
      <c r="A194" s="1" t="str">
        <f t="shared" ref="A194:A257" si="3">IFERROR(LEFT(RIGHT(C194,LEN(C194)-SEARCH("@",C194)),SEARCH("/",RIGHT(C194,LEN(C194)-SEARCH("@",C194)-1))),"")</f>
        <v>2</v>
      </c>
      <c r="B1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4" s="1" t="s">
        <v>1981</v>
      </c>
      <c r="D194" s="1" t="s">
        <v>112</v>
      </c>
      <c r="E194" s="1" t="s">
        <v>1982</v>
      </c>
      <c r="F194" s="1" t="s">
        <v>1983</v>
      </c>
      <c r="G194" s="1" t="s">
        <v>1984</v>
      </c>
      <c r="H194" s="1" t="s">
        <v>1985</v>
      </c>
    </row>
    <row r="195" spans="1:8" x14ac:dyDescent="0.3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8" x14ac:dyDescent="0.3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8" x14ac:dyDescent="0.3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8" x14ac:dyDescent="0.3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8" x14ac:dyDescent="0.3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112</v>
      </c>
    </row>
    <row r="200" spans="1:8" x14ac:dyDescent="0.35">
      <c r="A200" s="1" t="str">
        <f t="shared" si="3"/>
        <v/>
      </c>
      <c r="B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00" s="1" t="s">
        <v>171</v>
      </c>
      <c r="D200" s="1" t="s">
        <v>110</v>
      </c>
      <c r="E200" s="1" t="s">
        <v>111</v>
      </c>
      <c r="F200" s="1" t="s">
        <v>112</v>
      </c>
      <c r="G200" s="1" t="s">
        <v>113</v>
      </c>
    </row>
    <row r="201" spans="1:8" x14ac:dyDescent="0.35">
      <c r="A201" s="1" t="str">
        <f t="shared" si="3"/>
        <v>3</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1986</v>
      </c>
      <c r="D201" s="1" t="s">
        <v>256</v>
      </c>
      <c r="E201" s="1" t="s">
        <v>1987</v>
      </c>
      <c r="F201" s="1" t="s">
        <v>112</v>
      </c>
      <c r="G201" s="1">
        <v>3439</v>
      </c>
    </row>
    <row r="202" spans="1:8" x14ac:dyDescent="0.35">
      <c r="A202" s="1" t="str">
        <f t="shared" si="3"/>
        <v>3</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1988</v>
      </c>
    </row>
    <row r="203" spans="1:8" x14ac:dyDescent="0.35">
      <c r="A203" s="1" t="str">
        <f t="shared" si="3"/>
        <v>3</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3" s="1" t="s">
        <v>1989</v>
      </c>
    </row>
    <row r="204" spans="1:8" x14ac:dyDescent="0.35">
      <c r="A204" s="1" t="str">
        <f t="shared" si="3"/>
        <v>3</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1990</v>
      </c>
    </row>
    <row r="205" spans="1:8" x14ac:dyDescent="0.35">
      <c r="A205" s="1" t="str">
        <f t="shared" si="3"/>
        <v>3</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1991</v>
      </c>
      <c r="D205" s="1" t="s">
        <v>1992</v>
      </c>
      <c r="E205" s="1" t="s">
        <v>1993</v>
      </c>
      <c r="F205" s="1" t="s">
        <v>112</v>
      </c>
      <c r="G205" s="1">
        <v>73866</v>
      </c>
    </row>
    <row r="206" spans="1:8" x14ac:dyDescent="0.35">
      <c r="A206" s="1" t="str">
        <f t="shared" si="3"/>
        <v>3</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6" s="1" t="s">
        <v>1994</v>
      </c>
      <c r="D206" s="1">
        <v>0</v>
      </c>
      <c r="E206" s="1">
        <v>0</v>
      </c>
      <c r="F206" s="1" t="s">
        <v>112</v>
      </c>
      <c r="G206" s="1">
        <v>0</v>
      </c>
    </row>
    <row r="207" spans="1:8" x14ac:dyDescent="0.35">
      <c r="A207" s="1" t="str">
        <f t="shared" si="3"/>
        <v>3</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1995</v>
      </c>
      <c r="D207" s="1" t="s">
        <v>487</v>
      </c>
      <c r="E207" s="1" t="s">
        <v>1996</v>
      </c>
      <c r="F207" s="1" t="s">
        <v>112</v>
      </c>
      <c r="G207" s="1">
        <v>124631</v>
      </c>
    </row>
    <row r="208" spans="1:8" x14ac:dyDescent="0.35">
      <c r="A208" s="1" t="str">
        <f t="shared" si="3"/>
        <v>3</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1997</v>
      </c>
      <c r="D208" s="1" t="s">
        <v>1998</v>
      </c>
      <c r="E208" s="1" t="s">
        <v>1999</v>
      </c>
      <c r="F208" s="1" t="s">
        <v>112</v>
      </c>
      <c r="G208" s="1">
        <v>52258</v>
      </c>
    </row>
    <row r="209" spans="1:7" x14ac:dyDescent="0.35">
      <c r="A209" s="1" t="str">
        <f t="shared" si="3"/>
        <v>3</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9" s="1" t="s">
        <v>2000</v>
      </c>
      <c r="D209" s="1" t="s">
        <v>2001</v>
      </c>
      <c r="E209" s="1" t="s">
        <v>2002</v>
      </c>
      <c r="F209" s="1" t="s">
        <v>112</v>
      </c>
      <c r="G209" s="1">
        <v>49468</v>
      </c>
    </row>
    <row r="210" spans="1:7" x14ac:dyDescent="0.35">
      <c r="A210" s="1" t="str">
        <f t="shared" si="3"/>
        <v>3</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2003</v>
      </c>
      <c r="D210" s="1" t="s">
        <v>2004</v>
      </c>
      <c r="E210" s="1" t="s">
        <v>2005</v>
      </c>
      <c r="F210" s="1" t="s">
        <v>112</v>
      </c>
      <c r="G210" s="1">
        <v>261657</v>
      </c>
    </row>
    <row r="211" spans="1:7" x14ac:dyDescent="0.35">
      <c r="A211" s="1" t="str">
        <f t="shared" si="3"/>
        <v>3</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2006</v>
      </c>
      <c r="D211" s="1" t="s">
        <v>2007</v>
      </c>
      <c r="E211" s="1" t="s">
        <v>2008</v>
      </c>
      <c r="F211" s="1" t="s">
        <v>112</v>
      </c>
      <c r="G211" s="1">
        <v>449296</v>
      </c>
    </row>
    <row r="212" spans="1:7" x14ac:dyDescent="0.35">
      <c r="A212" s="1" t="str">
        <f t="shared" si="3"/>
        <v>3</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2" s="1" t="s">
        <v>2009</v>
      </c>
      <c r="D212" s="1" t="s">
        <v>2010</v>
      </c>
      <c r="E212" s="1" t="s">
        <v>2011</v>
      </c>
      <c r="F212" s="1" t="s">
        <v>112</v>
      </c>
      <c r="G212" s="1">
        <v>471077</v>
      </c>
    </row>
    <row r="213" spans="1:7" x14ac:dyDescent="0.35">
      <c r="A213" s="1" t="str">
        <f t="shared" si="3"/>
        <v>3</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2012</v>
      </c>
      <c r="D213" s="1" t="s">
        <v>2013</v>
      </c>
      <c r="E213" s="1" t="s">
        <v>2014</v>
      </c>
      <c r="F213" s="1" t="s">
        <v>112</v>
      </c>
      <c r="G213" s="1">
        <v>222593</v>
      </c>
    </row>
    <row r="214" spans="1:7" x14ac:dyDescent="0.35">
      <c r="A214" s="1" t="str">
        <f t="shared" si="3"/>
        <v>3</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2015</v>
      </c>
      <c r="D214" s="1" t="s">
        <v>1563</v>
      </c>
      <c r="E214" s="1" t="s">
        <v>2016</v>
      </c>
      <c r="F214" s="1" t="s">
        <v>112</v>
      </c>
      <c r="G214" s="1">
        <v>215434</v>
      </c>
    </row>
    <row r="215" spans="1:7" x14ac:dyDescent="0.35">
      <c r="A215" s="1" t="str">
        <f t="shared" si="3"/>
        <v>3</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5" s="1" t="s">
        <v>2017</v>
      </c>
      <c r="D215" s="1">
        <v>0</v>
      </c>
      <c r="E215" s="1">
        <v>0</v>
      </c>
      <c r="F215" s="1" t="s">
        <v>112</v>
      </c>
      <c r="G215" s="1">
        <v>0</v>
      </c>
    </row>
    <row r="216" spans="1:7" x14ac:dyDescent="0.35">
      <c r="A216" s="1" t="str">
        <f t="shared" si="3"/>
        <v>3</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2018</v>
      </c>
      <c r="D216" s="1" t="s">
        <v>2019</v>
      </c>
      <c r="E216" s="1" t="s">
        <v>2020</v>
      </c>
      <c r="F216" s="1" t="s">
        <v>112</v>
      </c>
      <c r="G216" s="1">
        <v>124934</v>
      </c>
    </row>
    <row r="217" spans="1:7" x14ac:dyDescent="0.35">
      <c r="A217" s="1" t="str">
        <f t="shared" si="3"/>
        <v>3</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2021</v>
      </c>
      <c r="D217" s="1" t="s">
        <v>1992</v>
      </c>
      <c r="E217" s="1" t="s">
        <v>2022</v>
      </c>
      <c r="F217" s="1" t="s">
        <v>112</v>
      </c>
      <c r="G217" s="1">
        <v>73931</v>
      </c>
    </row>
    <row r="218" spans="1:7" x14ac:dyDescent="0.35">
      <c r="A218" s="1" t="str">
        <f t="shared" si="3"/>
        <v>3</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8" s="1" t="s">
        <v>2023</v>
      </c>
      <c r="D218" s="1" t="s">
        <v>2024</v>
      </c>
      <c r="E218" s="1" t="s">
        <v>2025</v>
      </c>
      <c r="F218" s="1" t="s">
        <v>112</v>
      </c>
      <c r="G218" s="1">
        <v>128806</v>
      </c>
    </row>
    <row r="219" spans="1:7" x14ac:dyDescent="0.35">
      <c r="A219" s="1" t="str">
        <f t="shared" si="3"/>
        <v>3</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2026</v>
      </c>
      <c r="D219" s="1" t="s">
        <v>1788</v>
      </c>
      <c r="E219" s="1" t="s">
        <v>2027</v>
      </c>
      <c r="F219" s="1" t="s">
        <v>112</v>
      </c>
      <c r="G219" s="1">
        <v>444494</v>
      </c>
    </row>
    <row r="220" spans="1:7" x14ac:dyDescent="0.35">
      <c r="A220" s="1" t="str">
        <f t="shared" si="3"/>
        <v>3</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2028</v>
      </c>
      <c r="D220" s="1" t="s">
        <v>2029</v>
      </c>
      <c r="E220" s="1" t="s">
        <v>2030</v>
      </c>
      <c r="F220" s="1" t="s">
        <v>112</v>
      </c>
      <c r="G220" s="1">
        <v>765504</v>
      </c>
    </row>
    <row r="221" spans="1:7" x14ac:dyDescent="0.35">
      <c r="A221" s="1" t="str">
        <f t="shared" si="3"/>
        <v>3</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1" s="1" t="s">
        <v>2031</v>
      </c>
      <c r="D221" s="1" t="s">
        <v>1634</v>
      </c>
      <c r="E221" s="1" t="s">
        <v>2032</v>
      </c>
      <c r="F221" s="1" t="s">
        <v>112</v>
      </c>
      <c r="G221" s="1">
        <v>294556</v>
      </c>
    </row>
    <row r="222" spans="1:7" x14ac:dyDescent="0.35">
      <c r="A222" s="1" t="str">
        <f t="shared" si="3"/>
        <v>3</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2033</v>
      </c>
      <c r="D222" s="1" t="s">
        <v>2034</v>
      </c>
      <c r="E222" s="1" t="s">
        <v>2035</v>
      </c>
      <c r="F222" s="1" t="s">
        <v>112</v>
      </c>
      <c r="G222" s="1">
        <v>281210</v>
      </c>
    </row>
    <row r="223" spans="1:7" x14ac:dyDescent="0.35">
      <c r="A223" s="1" t="str">
        <f t="shared" si="3"/>
        <v>3</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2036</v>
      </c>
      <c r="D223" s="1" t="s">
        <v>2037</v>
      </c>
      <c r="E223" s="1" t="s">
        <v>2038</v>
      </c>
      <c r="F223" s="1" t="s">
        <v>112</v>
      </c>
      <c r="G223" s="1">
        <v>630944</v>
      </c>
    </row>
    <row r="224" spans="1:7" x14ac:dyDescent="0.35">
      <c r="A224" s="1" t="str">
        <f t="shared" si="3"/>
        <v>3</v>
      </c>
      <c r="B2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4" s="1" t="s">
        <v>2039</v>
      </c>
      <c r="D224" s="1" t="s">
        <v>1473</v>
      </c>
      <c r="E224" s="1" t="s">
        <v>2040</v>
      </c>
      <c r="F224" s="1" t="s">
        <v>112</v>
      </c>
      <c r="G224" s="1">
        <v>333252</v>
      </c>
    </row>
    <row r="225" spans="1:8" x14ac:dyDescent="0.3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112</v>
      </c>
    </row>
    <row r="226" spans="1:8" x14ac:dyDescent="0.35">
      <c r="A226" s="1" t="str">
        <f t="shared" si="3"/>
        <v/>
      </c>
      <c r="B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6" s="1" t="s">
        <v>227</v>
      </c>
      <c r="D226" s="1" t="s">
        <v>112</v>
      </c>
      <c r="E226" s="1" t="s">
        <v>228</v>
      </c>
      <c r="F226" s="1" t="s">
        <v>229</v>
      </c>
      <c r="G226" s="1" t="s">
        <v>230</v>
      </c>
      <c r="H226" s="1" t="s">
        <v>231</v>
      </c>
    </row>
    <row r="227" spans="1:8" x14ac:dyDescent="0.35">
      <c r="A227" s="1" t="str">
        <f t="shared" si="3"/>
        <v>3</v>
      </c>
      <c r="B2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7" s="1" t="s">
        <v>2041</v>
      </c>
      <c r="D227" s="1" t="s">
        <v>112</v>
      </c>
      <c r="E227" s="1" t="s">
        <v>2042</v>
      </c>
      <c r="F227" s="1" t="s">
        <v>2043</v>
      </c>
      <c r="G227" s="1" t="s">
        <v>2044</v>
      </c>
      <c r="H227" s="1" t="s">
        <v>2045</v>
      </c>
    </row>
    <row r="228" spans="1:8" x14ac:dyDescent="0.3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8" x14ac:dyDescent="0.3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8" x14ac:dyDescent="0.3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8" x14ac:dyDescent="0.3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8" x14ac:dyDescent="0.3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112</v>
      </c>
    </row>
    <row r="233" spans="1:8" x14ac:dyDescent="0.35">
      <c r="A233" s="1" t="str">
        <f t="shared" si="3"/>
        <v/>
      </c>
      <c r="B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3" s="1" t="s">
        <v>171</v>
      </c>
      <c r="D233" s="1" t="s">
        <v>110</v>
      </c>
      <c r="E233" s="1" t="s">
        <v>111</v>
      </c>
      <c r="F233" s="1" t="s">
        <v>112</v>
      </c>
      <c r="G233" s="1" t="s">
        <v>113</v>
      </c>
    </row>
    <row r="234" spans="1:8" x14ac:dyDescent="0.35">
      <c r="A234" s="1" t="str">
        <f t="shared" si="3"/>
        <v>4</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2046</v>
      </c>
      <c r="D234" s="1" t="s">
        <v>2047</v>
      </c>
      <c r="E234" s="1" t="s">
        <v>2048</v>
      </c>
      <c r="F234" s="1" t="s">
        <v>112</v>
      </c>
      <c r="G234" s="1">
        <v>437356</v>
      </c>
    </row>
    <row r="235" spans="1:8" x14ac:dyDescent="0.35">
      <c r="A235" s="1" t="str">
        <f t="shared" si="3"/>
        <v>4</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2049</v>
      </c>
      <c r="D235" s="1" t="s">
        <v>1403</v>
      </c>
      <c r="E235" s="1" t="s">
        <v>2050</v>
      </c>
      <c r="F235" s="1" t="s">
        <v>112</v>
      </c>
      <c r="G235" s="1">
        <v>430067</v>
      </c>
    </row>
    <row r="236" spans="1:8" x14ac:dyDescent="0.35">
      <c r="A236" s="1" t="str">
        <f t="shared" si="3"/>
        <v>4</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6" s="1" t="s">
        <v>2051</v>
      </c>
      <c r="D236" s="1" t="s">
        <v>2052</v>
      </c>
      <c r="E236" s="1" t="s">
        <v>2053</v>
      </c>
      <c r="F236" s="1" t="s">
        <v>112</v>
      </c>
      <c r="G236" s="1">
        <v>676929</v>
      </c>
    </row>
    <row r="237" spans="1:8" x14ac:dyDescent="0.35">
      <c r="A237" s="1" t="str">
        <f t="shared" si="3"/>
        <v>4</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2054</v>
      </c>
      <c r="D237" s="1" t="s">
        <v>2055</v>
      </c>
      <c r="E237" s="1" t="s">
        <v>2056</v>
      </c>
      <c r="F237" s="1" t="s">
        <v>112</v>
      </c>
      <c r="G237" s="1">
        <v>127141</v>
      </c>
    </row>
    <row r="238" spans="1:8" x14ac:dyDescent="0.35">
      <c r="A238" s="1" t="str">
        <f t="shared" si="3"/>
        <v>4</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2057</v>
      </c>
      <c r="D238" s="1" t="s">
        <v>2058</v>
      </c>
      <c r="E238" s="1" t="s">
        <v>2059</v>
      </c>
      <c r="F238" s="1" t="s">
        <v>112</v>
      </c>
      <c r="G238" s="1">
        <v>111416</v>
      </c>
    </row>
    <row r="239" spans="1:8" x14ac:dyDescent="0.35">
      <c r="A239" s="1" t="str">
        <f t="shared" si="3"/>
        <v>4</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9" s="1" t="s">
        <v>2060</v>
      </c>
      <c r="D239" s="1" t="s">
        <v>2061</v>
      </c>
      <c r="E239" s="1" t="s">
        <v>2062</v>
      </c>
      <c r="F239" s="1" t="s">
        <v>112</v>
      </c>
      <c r="G239" s="1">
        <v>370196</v>
      </c>
    </row>
    <row r="240" spans="1:8" x14ac:dyDescent="0.35">
      <c r="A240" s="1" t="str">
        <f t="shared" si="3"/>
        <v>4</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2063</v>
      </c>
      <c r="D240" s="1" t="s">
        <v>2064</v>
      </c>
      <c r="E240" s="1" t="s">
        <v>2065</v>
      </c>
      <c r="F240" s="1" t="s">
        <v>112</v>
      </c>
      <c r="G240" s="1">
        <v>388084</v>
      </c>
    </row>
    <row r="241" spans="1:7" x14ac:dyDescent="0.35">
      <c r="A241" s="1" t="str">
        <f t="shared" si="3"/>
        <v>4</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2066</v>
      </c>
      <c r="D241" s="1" t="s">
        <v>507</v>
      </c>
      <c r="E241" s="1" t="s">
        <v>499</v>
      </c>
      <c r="F241" s="1" t="s">
        <v>112</v>
      </c>
      <c r="G241" s="1">
        <v>2639</v>
      </c>
    </row>
    <row r="242" spans="1:7" x14ac:dyDescent="0.35">
      <c r="A242" s="1" t="str">
        <f t="shared" si="3"/>
        <v>4</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2" s="1" t="s">
        <v>2067</v>
      </c>
      <c r="D242" s="1" t="s">
        <v>2064</v>
      </c>
      <c r="E242" s="1" t="s">
        <v>2068</v>
      </c>
      <c r="F242" s="1" t="s">
        <v>112</v>
      </c>
      <c r="G242" s="1">
        <v>385055</v>
      </c>
    </row>
    <row r="243" spans="1:7" x14ac:dyDescent="0.35">
      <c r="A243" s="1" t="str">
        <f t="shared" si="3"/>
        <v>4</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2069</v>
      </c>
      <c r="D243" s="1" t="s">
        <v>225</v>
      </c>
      <c r="E243" s="1" t="s">
        <v>2070</v>
      </c>
      <c r="F243" s="1" t="s">
        <v>112</v>
      </c>
      <c r="G243" s="1">
        <v>185974</v>
      </c>
    </row>
    <row r="244" spans="1:7" x14ac:dyDescent="0.35">
      <c r="A244" s="1" t="str">
        <f t="shared" si="3"/>
        <v>4</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2071</v>
      </c>
      <c r="D244" s="1" t="s">
        <v>2072</v>
      </c>
      <c r="E244" s="1" t="s">
        <v>2073</v>
      </c>
      <c r="F244" s="1" t="s">
        <v>112</v>
      </c>
      <c r="G244" s="1">
        <v>187034</v>
      </c>
    </row>
    <row r="245" spans="1:7" x14ac:dyDescent="0.35">
      <c r="A245" s="1" t="str">
        <f t="shared" si="3"/>
        <v>4</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5" s="1" t="s">
        <v>2074</v>
      </c>
      <c r="D245" s="1" t="s">
        <v>189</v>
      </c>
      <c r="E245" s="1" t="s">
        <v>2075</v>
      </c>
      <c r="F245" s="1" t="s">
        <v>112</v>
      </c>
      <c r="G245" s="1">
        <v>236912</v>
      </c>
    </row>
    <row r="246" spans="1:7" x14ac:dyDescent="0.35">
      <c r="A246" s="1" t="str">
        <f t="shared" si="3"/>
        <v>4</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2076</v>
      </c>
      <c r="D246" s="1" t="s">
        <v>2077</v>
      </c>
      <c r="E246" s="1" t="s">
        <v>2078</v>
      </c>
      <c r="F246" s="1" t="s">
        <v>112</v>
      </c>
      <c r="G246" s="1">
        <v>305868</v>
      </c>
    </row>
    <row r="247" spans="1:7" x14ac:dyDescent="0.35">
      <c r="A247" s="1" t="str">
        <f t="shared" si="3"/>
        <v>4</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2079</v>
      </c>
      <c r="D247" s="1" t="s">
        <v>2080</v>
      </c>
      <c r="E247" s="1" t="s">
        <v>2081</v>
      </c>
      <c r="F247" s="1" t="s">
        <v>112</v>
      </c>
      <c r="G247" s="1">
        <v>86541</v>
      </c>
    </row>
    <row r="248" spans="1:7" x14ac:dyDescent="0.35">
      <c r="A248" s="1" t="str">
        <f t="shared" si="3"/>
        <v>4</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8" s="1" t="s">
        <v>2082</v>
      </c>
      <c r="D248" s="1" t="s">
        <v>2083</v>
      </c>
      <c r="E248" s="1" t="s">
        <v>2084</v>
      </c>
      <c r="F248" s="1" t="s">
        <v>112</v>
      </c>
      <c r="G248" s="1">
        <v>125259</v>
      </c>
    </row>
    <row r="249" spans="1:7" x14ac:dyDescent="0.35">
      <c r="A249" s="1" t="str">
        <f t="shared" si="3"/>
        <v>4</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2085</v>
      </c>
      <c r="D249" s="1" t="s">
        <v>2086</v>
      </c>
      <c r="E249" s="1" t="s">
        <v>2087</v>
      </c>
      <c r="F249" s="1" t="s">
        <v>112</v>
      </c>
      <c r="G249" s="1">
        <v>1815332</v>
      </c>
    </row>
    <row r="250" spans="1:7" x14ac:dyDescent="0.35">
      <c r="A250" s="1" t="str">
        <f t="shared" si="3"/>
        <v>4</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2088</v>
      </c>
      <c r="D250" s="1" t="s">
        <v>2089</v>
      </c>
      <c r="E250" s="1" t="s">
        <v>2090</v>
      </c>
      <c r="F250" s="1" t="s">
        <v>112</v>
      </c>
      <c r="G250" s="1">
        <v>1638075</v>
      </c>
    </row>
    <row r="251" spans="1:7" x14ac:dyDescent="0.35">
      <c r="A251" s="1" t="str">
        <f t="shared" si="3"/>
        <v>4</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1" s="1" t="s">
        <v>2091</v>
      </c>
      <c r="D251" s="1" t="s">
        <v>678</v>
      </c>
      <c r="E251" s="1" t="s">
        <v>2092</v>
      </c>
      <c r="F251" s="1" t="s">
        <v>112</v>
      </c>
      <c r="G251" s="1">
        <v>1814727</v>
      </c>
    </row>
    <row r="252" spans="1:7" x14ac:dyDescent="0.35">
      <c r="A252" s="1" t="str">
        <f t="shared" si="3"/>
        <v>4</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2093</v>
      </c>
      <c r="D252" s="1" t="s">
        <v>2094</v>
      </c>
      <c r="E252" s="1" t="s">
        <v>2095</v>
      </c>
      <c r="F252" s="1" t="s">
        <v>112</v>
      </c>
      <c r="G252" s="1">
        <v>203343</v>
      </c>
    </row>
    <row r="253" spans="1:7" x14ac:dyDescent="0.35">
      <c r="A253" s="1" t="str">
        <f t="shared" si="3"/>
        <v>4</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2096</v>
      </c>
      <c r="D253" s="1" t="s">
        <v>562</v>
      </c>
      <c r="E253" s="1" t="s">
        <v>2097</v>
      </c>
      <c r="F253" s="1" t="s">
        <v>112</v>
      </c>
      <c r="G253" s="1">
        <v>46223</v>
      </c>
    </row>
    <row r="254" spans="1:7" x14ac:dyDescent="0.35">
      <c r="A254" s="1" t="str">
        <f t="shared" si="3"/>
        <v>4</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4" s="1" t="s">
        <v>2098</v>
      </c>
      <c r="D254" s="1" t="s">
        <v>2099</v>
      </c>
      <c r="E254" s="1" t="s">
        <v>2100</v>
      </c>
      <c r="F254" s="1" t="s">
        <v>112</v>
      </c>
      <c r="G254" s="1">
        <v>198043</v>
      </c>
    </row>
    <row r="255" spans="1:7" x14ac:dyDescent="0.35">
      <c r="A255" s="1" t="str">
        <f t="shared" si="3"/>
        <v>4</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2101</v>
      </c>
      <c r="D255" s="1" t="s">
        <v>1438</v>
      </c>
      <c r="E255" s="1" t="s">
        <v>2102</v>
      </c>
      <c r="F255" s="1" t="s">
        <v>112</v>
      </c>
      <c r="G255" s="1">
        <v>352935</v>
      </c>
    </row>
    <row r="256" spans="1:7" x14ac:dyDescent="0.35">
      <c r="A256" s="1" t="str">
        <f t="shared" si="3"/>
        <v>4</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2103</v>
      </c>
      <c r="D256" s="1" t="s">
        <v>2104</v>
      </c>
      <c r="E256" s="1" t="s">
        <v>2105</v>
      </c>
      <c r="F256" s="1" t="s">
        <v>112</v>
      </c>
      <c r="G256" s="1">
        <v>598780</v>
      </c>
    </row>
    <row r="257" spans="1:8" x14ac:dyDescent="0.35">
      <c r="A257" s="1" t="str">
        <f t="shared" si="3"/>
        <v>4</v>
      </c>
      <c r="B2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7" s="1" t="s">
        <v>2106</v>
      </c>
      <c r="D257" s="1" t="s">
        <v>2107</v>
      </c>
      <c r="E257" s="1" t="s">
        <v>2108</v>
      </c>
      <c r="F257" s="1" t="s">
        <v>112</v>
      </c>
      <c r="G257" s="1">
        <v>367946</v>
      </c>
    </row>
    <row r="258" spans="1:8" x14ac:dyDescent="0.3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112</v>
      </c>
    </row>
    <row r="259" spans="1:8" x14ac:dyDescent="0.35">
      <c r="A259" s="1" t="str">
        <f t="shared" si="4"/>
        <v/>
      </c>
      <c r="B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9" s="1" t="s">
        <v>227</v>
      </c>
      <c r="D259" s="1" t="s">
        <v>112</v>
      </c>
      <c r="E259" s="1" t="s">
        <v>228</v>
      </c>
      <c r="F259" s="1" t="s">
        <v>229</v>
      </c>
      <c r="G259" s="1" t="s">
        <v>230</v>
      </c>
      <c r="H259" s="1" t="s">
        <v>231</v>
      </c>
    </row>
    <row r="260" spans="1:8" x14ac:dyDescent="0.35">
      <c r="A260" s="1" t="str">
        <f t="shared" si="4"/>
        <v>4</v>
      </c>
      <c r="B2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60" s="1" t="s">
        <v>2109</v>
      </c>
      <c r="D260" s="1" t="s">
        <v>112</v>
      </c>
      <c r="E260" s="1" t="s">
        <v>2110</v>
      </c>
      <c r="F260" s="1" t="s">
        <v>2111</v>
      </c>
      <c r="G260" s="1" t="s">
        <v>2112</v>
      </c>
      <c r="H260" s="1" t="s">
        <v>2113</v>
      </c>
    </row>
    <row r="261" spans="1:8" x14ac:dyDescent="0.3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8" x14ac:dyDescent="0.3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8" x14ac:dyDescent="0.3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8" x14ac:dyDescent="0.3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8" x14ac:dyDescent="0.3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112</v>
      </c>
    </row>
    <row r="266" spans="1:8" x14ac:dyDescent="0.35">
      <c r="A266" s="1" t="str">
        <f t="shared" si="4"/>
        <v/>
      </c>
      <c r="B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6" s="1" t="s">
        <v>171</v>
      </c>
      <c r="D266" s="1" t="s">
        <v>110</v>
      </c>
      <c r="E266" s="1" t="s">
        <v>111</v>
      </c>
      <c r="F266" s="1" t="s">
        <v>112</v>
      </c>
      <c r="G266" s="1" t="s">
        <v>113</v>
      </c>
    </row>
    <row r="267" spans="1:8" x14ac:dyDescent="0.35">
      <c r="A267" s="1" t="str">
        <f t="shared" si="4"/>
        <v>5</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2114</v>
      </c>
      <c r="D267" s="1" t="s">
        <v>2115</v>
      </c>
      <c r="E267" s="1" t="s">
        <v>2116</v>
      </c>
      <c r="F267" s="1" t="s">
        <v>112</v>
      </c>
      <c r="G267" s="1">
        <v>2011753</v>
      </c>
    </row>
    <row r="268" spans="1:8" x14ac:dyDescent="0.35">
      <c r="A268" s="1" t="str">
        <f t="shared" si="4"/>
        <v>5</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2117</v>
      </c>
      <c r="D268" s="1" t="s">
        <v>2118</v>
      </c>
      <c r="E268" s="1" t="s">
        <v>2119</v>
      </c>
      <c r="F268" s="1" t="s">
        <v>112</v>
      </c>
      <c r="G268" s="1">
        <v>2102642</v>
      </c>
    </row>
    <row r="269" spans="1:8" x14ac:dyDescent="0.35">
      <c r="A269" s="1" t="str">
        <f t="shared" si="4"/>
        <v>5</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9" s="1" t="s">
        <v>2120</v>
      </c>
      <c r="D269" s="1" t="s">
        <v>2121</v>
      </c>
      <c r="E269" s="1" t="s">
        <v>2122</v>
      </c>
      <c r="F269" s="1" t="s">
        <v>112</v>
      </c>
      <c r="G269" s="1">
        <v>2337413</v>
      </c>
    </row>
    <row r="270" spans="1:8" x14ac:dyDescent="0.35">
      <c r="A270" s="1" t="str">
        <f t="shared" si="4"/>
        <v>5</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2123</v>
      </c>
      <c r="D270" s="1" t="s">
        <v>2124</v>
      </c>
      <c r="E270" s="1" t="s">
        <v>2125</v>
      </c>
      <c r="F270" s="1" t="s">
        <v>112</v>
      </c>
      <c r="G270" s="1">
        <v>449729</v>
      </c>
    </row>
    <row r="271" spans="1:8" x14ac:dyDescent="0.35">
      <c r="A271" s="1" t="str">
        <f t="shared" si="4"/>
        <v>5</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2126</v>
      </c>
      <c r="D271" s="1" t="s">
        <v>2127</v>
      </c>
      <c r="E271" s="1" t="s">
        <v>2128</v>
      </c>
      <c r="F271" s="1" t="s">
        <v>112</v>
      </c>
      <c r="G271" s="1">
        <v>375257</v>
      </c>
    </row>
    <row r="272" spans="1:8" x14ac:dyDescent="0.35">
      <c r="A272" s="1" t="str">
        <f t="shared" si="4"/>
        <v>5</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2" s="1" t="s">
        <v>2129</v>
      </c>
      <c r="D272" s="1" t="s">
        <v>2130</v>
      </c>
      <c r="E272" s="1" t="s">
        <v>2131</v>
      </c>
      <c r="F272" s="1" t="s">
        <v>112</v>
      </c>
      <c r="G272" s="1">
        <v>444408</v>
      </c>
    </row>
    <row r="273" spans="1:7" x14ac:dyDescent="0.35">
      <c r="A273" s="1" t="str">
        <f t="shared" si="4"/>
        <v>5</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2132</v>
      </c>
      <c r="D273" s="1" t="s">
        <v>1424</v>
      </c>
      <c r="E273" s="1" t="s">
        <v>2133</v>
      </c>
      <c r="F273" s="1" t="s">
        <v>112</v>
      </c>
      <c r="G273" s="1">
        <v>1410896</v>
      </c>
    </row>
    <row r="274" spans="1:7" x14ac:dyDescent="0.35">
      <c r="A274" s="1" t="str">
        <f t="shared" si="4"/>
        <v>5</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2134</v>
      </c>
      <c r="D274" s="1" t="s">
        <v>2135</v>
      </c>
      <c r="E274" s="1" t="s">
        <v>2136</v>
      </c>
      <c r="F274" s="1" t="s">
        <v>112</v>
      </c>
      <c r="G274" s="1">
        <v>1261412</v>
      </c>
    </row>
    <row r="275" spans="1:7" x14ac:dyDescent="0.35">
      <c r="A275" s="1" t="str">
        <f t="shared" si="4"/>
        <v>5</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5" s="1" t="s">
        <v>2137</v>
      </c>
      <c r="D275" s="1" t="s">
        <v>2138</v>
      </c>
      <c r="E275" s="1" t="s">
        <v>2139</v>
      </c>
      <c r="F275" s="1" t="s">
        <v>112</v>
      </c>
      <c r="G275" s="1">
        <v>1667340</v>
      </c>
    </row>
    <row r="276" spans="1:7" x14ac:dyDescent="0.35">
      <c r="A276" s="1" t="str">
        <f t="shared" si="4"/>
        <v>5</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2140</v>
      </c>
      <c r="D276" s="1" t="s">
        <v>2141</v>
      </c>
      <c r="E276" s="1" t="s">
        <v>2142</v>
      </c>
      <c r="F276" s="1" t="s">
        <v>112</v>
      </c>
      <c r="G276" s="1">
        <v>3031235</v>
      </c>
    </row>
    <row r="277" spans="1:7" x14ac:dyDescent="0.35">
      <c r="A277" s="1" t="str">
        <f t="shared" si="4"/>
        <v>5</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2143</v>
      </c>
      <c r="D277" s="1" t="s">
        <v>2144</v>
      </c>
      <c r="E277" s="1" t="s">
        <v>2145</v>
      </c>
      <c r="F277" s="1" t="s">
        <v>112</v>
      </c>
      <c r="G277" s="1">
        <v>3290188</v>
      </c>
    </row>
    <row r="278" spans="1:7" x14ac:dyDescent="0.35">
      <c r="A278" s="1" t="str">
        <f t="shared" si="4"/>
        <v>5</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8" s="1" t="s">
        <v>2146</v>
      </c>
      <c r="D278" s="1" t="s">
        <v>2147</v>
      </c>
      <c r="E278" s="1" t="s">
        <v>2148</v>
      </c>
      <c r="F278" s="1" t="s">
        <v>112</v>
      </c>
      <c r="G278" s="1">
        <v>3372944</v>
      </c>
    </row>
    <row r="279" spans="1:7" x14ac:dyDescent="0.35">
      <c r="A279" s="1" t="str">
        <f t="shared" si="4"/>
        <v>5</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2149</v>
      </c>
      <c r="D279" s="1" t="s">
        <v>2150</v>
      </c>
      <c r="E279" s="1" t="s">
        <v>2151</v>
      </c>
      <c r="F279" s="1" t="s">
        <v>112</v>
      </c>
      <c r="G279" s="1">
        <v>1061487</v>
      </c>
    </row>
    <row r="280" spans="1:7" x14ac:dyDescent="0.35">
      <c r="A280" s="1" t="str">
        <f t="shared" si="4"/>
        <v>5</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2152</v>
      </c>
      <c r="D280" s="1" t="s">
        <v>2153</v>
      </c>
      <c r="E280" s="1" t="s">
        <v>2154</v>
      </c>
      <c r="F280" s="1" t="s">
        <v>112</v>
      </c>
      <c r="G280" s="1">
        <v>1279300</v>
      </c>
    </row>
    <row r="281" spans="1:7" x14ac:dyDescent="0.35">
      <c r="A281" s="1" t="str">
        <f t="shared" si="4"/>
        <v>5</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1" s="1" t="s">
        <v>2155</v>
      </c>
      <c r="D281" s="1" t="s">
        <v>2156</v>
      </c>
      <c r="E281" s="1" t="s">
        <v>2157</v>
      </c>
      <c r="F281" s="1" t="s">
        <v>112</v>
      </c>
      <c r="G281" s="1">
        <v>1571671</v>
      </c>
    </row>
    <row r="282" spans="1:7" x14ac:dyDescent="0.35">
      <c r="A282" s="1" t="str">
        <f t="shared" si="4"/>
        <v>5</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2158</v>
      </c>
      <c r="D282" s="1" t="s">
        <v>2159</v>
      </c>
      <c r="E282" s="1" t="s">
        <v>2160</v>
      </c>
      <c r="F282" s="1" t="s">
        <v>112</v>
      </c>
      <c r="G282" s="1">
        <v>2122650</v>
      </c>
    </row>
    <row r="283" spans="1:7" x14ac:dyDescent="0.35">
      <c r="A283" s="1" t="str">
        <f t="shared" si="4"/>
        <v>5</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2161</v>
      </c>
      <c r="D283" s="1" t="s">
        <v>2162</v>
      </c>
      <c r="E283" s="1" t="s">
        <v>2163</v>
      </c>
      <c r="F283" s="1" t="s">
        <v>112</v>
      </c>
      <c r="G283" s="1">
        <v>1811698</v>
      </c>
    </row>
    <row r="284" spans="1:7" x14ac:dyDescent="0.35">
      <c r="A284" s="1" t="str">
        <f t="shared" si="4"/>
        <v>5</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4" s="1" t="s">
        <v>2164</v>
      </c>
      <c r="D284" s="1" t="s">
        <v>1435</v>
      </c>
      <c r="E284" s="1" t="s">
        <v>2165</v>
      </c>
      <c r="F284" s="1" t="s">
        <v>112</v>
      </c>
      <c r="G284" s="1">
        <v>1782130</v>
      </c>
    </row>
    <row r="285" spans="1:7" x14ac:dyDescent="0.35">
      <c r="A285" s="1" t="str">
        <f t="shared" si="4"/>
        <v>5</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2166</v>
      </c>
      <c r="D285" s="1" t="s">
        <v>147</v>
      </c>
      <c r="E285" s="1" t="s">
        <v>2167</v>
      </c>
      <c r="F285" s="1" t="s">
        <v>112</v>
      </c>
      <c r="G285" s="1">
        <v>162094</v>
      </c>
    </row>
    <row r="286" spans="1:7" x14ac:dyDescent="0.35">
      <c r="A286" s="1" t="str">
        <f t="shared" si="4"/>
        <v>5</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2168</v>
      </c>
      <c r="D286" s="1" t="s">
        <v>1516</v>
      </c>
      <c r="E286" s="1" t="s">
        <v>2169</v>
      </c>
      <c r="F286" s="1" t="s">
        <v>112</v>
      </c>
      <c r="G286" s="1">
        <v>392474</v>
      </c>
    </row>
    <row r="287" spans="1:7" x14ac:dyDescent="0.35">
      <c r="A287" s="1" t="str">
        <f t="shared" si="4"/>
        <v>5</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7" s="1" t="s">
        <v>2170</v>
      </c>
      <c r="D287" s="1" t="s">
        <v>2171</v>
      </c>
      <c r="E287" s="1" t="s">
        <v>2172</v>
      </c>
      <c r="F287" s="1" t="s">
        <v>112</v>
      </c>
      <c r="G287" s="1">
        <v>173645</v>
      </c>
    </row>
    <row r="288" spans="1:7" x14ac:dyDescent="0.35">
      <c r="A288" s="1" t="str">
        <f t="shared" si="4"/>
        <v>5</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2173</v>
      </c>
      <c r="D288" s="1" t="s">
        <v>2174</v>
      </c>
      <c r="E288" s="1" t="s">
        <v>2175</v>
      </c>
      <c r="F288" s="1" t="s">
        <v>112</v>
      </c>
      <c r="G288" s="1">
        <v>1272811</v>
      </c>
    </row>
    <row r="289" spans="1:8" x14ac:dyDescent="0.35">
      <c r="A289" s="1" t="str">
        <f t="shared" si="4"/>
        <v>5</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2176</v>
      </c>
      <c r="D289" s="1" t="s">
        <v>2177</v>
      </c>
      <c r="E289" s="1" t="s">
        <v>2178</v>
      </c>
      <c r="F289" s="1" t="s">
        <v>112</v>
      </c>
      <c r="G289" s="1">
        <v>1047947</v>
      </c>
    </row>
    <row r="290" spans="1:8" x14ac:dyDescent="0.35">
      <c r="A290" s="1" t="str">
        <f t="shared" si="4"/>
        <v>5</v>
      </c>
      <c r="B2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90" s="1" t="s">
        <v>2179</v>
      </c>
      <c r="D290" s="1" t="s">
        <v>2180</v>
      </c>
      <c r="E290" s="1" t="s">
        <v>2181</v>
      </c>
      <c r="F290" s="1" t="s">
        <v>112</v>
      </c>
      <c r="G290" s="1">
        <v>1104206</v>
      </c>
    </row>
    <row r="291" spans="1:8" x14ac:dyDescent="0.3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112</v>
      </c>
    </row>
    <row r="292" spans="1:8" x14ac:dyDescent="0.35">
      <c r="A292" s="1" t="str">
        <f t="shared" si="4"/>
        <v/>
      </c>
      <c r="B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2" s="1" t="s">
        <v>227</v>
      </c>
      <c r="D292" s="1" t="s">
        <v>112</v>
      </c>
      <c r="E292" s="1" t="s">
        <v>228</v>
      </c>
      <c r="F292" s="1" t="s">
        <v>229</v>
      </c>
      <c r="G292" s="1" t="s">
        <v>230</v>
      </c>
      <c r="H292" s="1" t="s">
        <v>231</v>
      </c>
    </row>
    <row r="293" spans="1:8" x14ac:dyDescent="0.35">
      <c r="A293" s="1" t="str">
        <f t="shared" si="4"/>
        <v>5</v>
      </c>
      <c r="B2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3" s="1" t="s">
        <v>2182</v>
      </c>
      <c r="D293" s="1" t="s">
        <v>112</v>
      </c>
      <c r="E293" s="1" t="s">
        <v>2183</v>
      </c>
      <c r="F293" s="1" t="s">
        <v>2184</v>
      </c>
      <c r="G293" s="1" t="s">
        <v>2185</v>
      </c>
      <c r="H293" s="1" t="s">
        <v>2186</v>
      </c>
    </row>
    <row r="294" spans="1:8" x14ac:dyDescent="0.3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8" x14ac:dyDescent="0.3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8" x14ac:dyDescent="0.3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8" x14ac:dyDescent="0.3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8" x14ac:dyDescent="0.3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112</v>
      </c>
    </row>
    <row r="299" spans="1:8" x14ac:dyDescent="0.35">
      <c r="A299" s="1" t="str">
        <f t="shared" si="4"/>
        <v/>
      </c>
      <c r="B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9" s="1" t="s">
        <v>171</v>
      </c>
      <c r="D299" s="1" t="s">
        <v>110</v>
      </c>
      <c r="E299" s="1" t="s">
        <v>111</v>
      </c>
      <c r="F299" s="1" t="s">
        <v>112</v>
      </c>
      <c r="G299" s="1" t="s">
        <v>113</v>
      </c>
    </row>
    <row r="300" spans="1:8" x14ac:dyDescent="0.35">
      <c r="A300" s="1" t="str">
        <f t="shared" si="4"/>
        <v>6</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2187</v>
      </c>
    </row>
    <row r="301" spans="1:8" x14ac:dyDescent="0.35">
      <c r="A301" s="1" t="str">
        <f t="shared" si="4"/>
        <v>6</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2188</v>
      </c>
    </row>
    <row r="302" spans="1:8" x14ac:dyDescent="0.35">
      <c r="A302" s="1" t="str">
        <f t="shared" si="4"/>
        <v>6</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2" s="1" t="s">
        <v>2189</v>
      </c>
    </row>
    <row r="303" spans="1:8" x14ac:dyDescent="0.35">
      <c r="A303" s="1" t="str">
        <f t="shared" si="4"/>
        <v>6</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2190</v>
      </c>
      <c r="D303" s="1" t="s">
        <v>2191</v>
      </c>
      <c r="E303" s="1" t="s">
        <v>2192</v>
      </c>
      <c r="F303" s="1" t="s">
        <v>112</v>
      </c>
      <c r="G303" s="1">
        <v>2189291</v>
      </c>
    </row>
    <row r="304" spans="1:8" x14ac:dyDescent="0.35">
      <c r="A304" s="1" t="str">
        <f t="shared" si="4"/>
        <v>6</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2193</v>
      </c>
      <c r="D304" s="1" t="s">
        <v>2194</v>
      </c>
      <c r="E304" s="1" t="s">
        <v>2195</v>
      </c>
      <c r="F304" s="1" t="s">
        <v>112</v>
      </c>
      <c r="G304" s="1">
        <v>2178065</v>
      </c>
    </row>
    <row r="305" spans="1:7" x14ac:dyDescent="0.35">
      <c r="A305" s="1" t="str">
        <f t="shared" si="4"/>
        <v>6</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5" s="1" t="s">
        <v>2196</v>
      </c>
      <c r="D305" s="1" t="s">
        <v>2197</v>
      </c>
      <c r="E305" s="1" t="s">
        <v>2198</v>
      </c>
      <c r="F305" s="1" t="s">
        <v>112</v>
      </c>
      <c r="G305" s="1">
        <v>2022006</v>
      </c>
    </row>
    <row r="306" spans="1:7" x14ac:dyDescent="0.35">
      <c r="A306" s="1" t="str">
        <f t="shared" si="4"/>
        <v>6</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2199</v>
      </c>
      <c r="D306" s="1" t="s">
        <v>2200</v>
      </c>
      <c r="E306" s="1" t="s">
        <v>2201</v>
      </c>
      <c r="F306" s="1" t="s">
        <v>112</v>
      </c>
      <c r="G306" s="1">
        <v>2942466</v>
      </c>
    </row>
    <row r="307" spans="1:7" x14ac:dyDescent="0.35">
      <c r="A307" s="1" t="str">
        <f t="shared" si="4"/>
        <v>6</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2202</v>
      </c>
      <c r="D307" s="1" t="s">
        <v>2203</v>
      </c>
      <c r="E307" s="1" t="s">
        <v>2204</v>
      </c>
      <c r="F307" s="1" t="s">
        <v>112</v>
      </c>
      <c r="G307" s="1">
        <v>2095547</v>
      </c>
    </row>
    <row r="308" spans="1:7" x14ac:dyDescent="0.35">
      <c r="A308" s="1" t="str">
        <f t="shared" si="4"/>
        <v>6</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8" s="1" t="s">
        <v>2205</v>
      </c>
      <c r="D308" s="1" t="s">
        <v>2206</v>
      </c>
      <c r="E308" s="1" t="s">
        <v>2207</v>
      </c>
      <c r="F308" s="1" t="s">
        <v>112</v>
      </c>
      <c r="G308" s="1">
        <v>2772736</v>
      </c>
    </row>
    <row r="309" spans="1:7" x14ac:dyDescent="0.35">
      <c r="A309" s="1" t="str">
        <f t="shared" si="4"/>
        <v>6</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2208</v>
      </c>
      <c r="D309" s="1" t="s">
        <v>2209</v>
      </c>
      <c r="E309" s="1" t="s">
        <v>2210</v>
      </c>
      <c r="F309" s="1" t="s">
        <v>112</v>
      </c>
      <c r="G309" s="1">
        <v>1920021</v>
      </c>
    </row>
    <row r="310" spans="1:7" x14ac:dyDescent="0.35">
      <c r="A310" s="1" t="str">
        <f t="shared" si="4"/>
        <v>6</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2211</v>
      </c>
      <c r="D310" s="1" t="s">
        <v>2212</v>
      </c>
      <c r="E310" s="1" t="s">
        <v>2213</v>
      </c>
      <c r="F310" s="1" t="s">
        <v>112</v>
      </c>
      <c r="G310" s="1">
        <v>1574678</v>
      </c>
    </row>
    <row r="311" spans="1:7" x14ac:dyDescent="0.35">
      <c r="A311" s="1" t="str">
        <f t="shared" si="4"/>
        <v>6</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1" s="1" t="s">
        <v>2214</v>
      </c>
      <c r="D311" s="1" t="s">
        <v>2215</v>
      </c>
      <c r="E311" s="1" t="s">
        <v>2216</v>
      </c>
      <c r="F311" s="1" t="s">
        <v>112</v>
      </c>
      <c r="G311" s="1">
        <v>1533343</v>
      </c>
    </row>
    <row r="312" spans="1:7" x14ac:dyDescent="0.35">
      <c r="A312" s="1" t="str">
        <f t="shared" si="4"/>
        <v>6</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2217</v>
      </c>
      <c r="D312" s="1" t="s">
        <v>2218</v>
      </c>
      <c r="E312" s="1" t="s">
        <v>2219</v>
      </c>
      <c r="F312" s="1" t="s">
        <v>112</v>
      </c>
      <c r="G312" s="1">
        <v>2220374</v>
      </c>
    </row>
    <row r="313" spans="1:7" x14ac:dyDescent="0.35">
      <c r="A313" s="1" t="str">
        <f t="shared" si="4"/>
        <v>6</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2220</v>
      </c>
      <c r="D313" s="1" t="s">
        <v>2221</v>
      </c>
      <c r="E313" s="1" t="s">
        <v>2222</v>
      </c>
      <c r="F313" s="1" t="s">
        <v>112</v>
      </c>
      <c r="G313" s="1">
        <v>2797135</v>
      </c>
    </row>
    <row r="314" spans="1:7" x14ac:dyDescent="0.35">
      <c r="A314" s="1" t="str">
        <f t="shared" si="4"/>
        <v>6</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4" s="1" t="s">
        <v>2223</v>
      </c>
      <c r="D314" s="1" t="s">
        <v>2224</v>
      </c>
      <c r="E314" s="1" t="s">
        <v>2225</v>
      </c>
      <c r="F314" s="1" t="s">
        <v>112</v>
      </c>
      <c r="G314" s="1">
        <v>2805095</v>
      </c>
    </row>
    <row r="315" spans="1:7" x14ac:dyDescent="0.35">
      <c r="A315" s="1" t="str">
        <f t="shared" si="4"/>
        <v>6</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2226</v>
      </c>
      <c r="D315" s="1" t="s">
        <v>2227</v>
      </c>
      <c r="E315" s="1" t="s">
        <v>2228</v>
      </c>
      <c r="F315" s="1" t="s">
        <v>112</v>
      </c>
      <c r="G315" s="1">
        <v>1963324</v>
      </c>
    </row>
    <row r="316" spans="1:7" x14ac:dyDescent="0.35">
      <c r="A316" s="1" t="str">
        <f t="shared" si="4"/>
        <v>6</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2229</v>
      </c>
    </row>
    <row r="317" spans="1:7" x14ac:dyDescent="0.35">
      <c r="A317" s="1" t="str">
        <f t="shared" si="4"/>
        <v>6</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7" s="1" t="s">
        <v>2230</v>
      </c>
    </row>
    <row r="318" spans="1:7" x14ac:dyDescent="0.35">
      <c r="A318" s="1" t="str">
        <f t="shared" si="4"/>
        <v>6</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2231</v>
      </c>
      <c r="D318" s="1" t="s">
        <v>2232</v>
      </c>
      <c r="E318" s="1" t="s">
        <v>2233</v>
      </c>
      <c r="F318" s="1" t="s">
        <v>112</v>
      </c>
      <c r="G318" s="1">
        <v>2353203</v>
      </c>
    </row>
    <row r="319" spans="1:7" x14ac:dyDescent="0.35">
      <c r="A319" s="1" t="str">
        <f t="shared" si="4"/>
        <v>6</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2234</v>
      </c>
      <c r="D319" s="1" t="s">
        <v>2235</v>
      </c>
      <c r="E319" s="1" t="s">
        <v>2236</v>
      </c>
      <c r="F319" s="1" t="s">
        <v>112</v>
      </c>
      <c r="G319" s="1">
        <v>2603590</v>
      </c>
    </row>
    <row r="320" spans="1:7" x14ac:dyDescent="0.35">
      <c r="A320" s="1" t="str">
        <f t="shared" si="4"/>
        <v>6</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20" s="1" t="s">
        <v>2237</v>
      </c>
      <c r="D320" s="1" t="s">
        <v>2238</v>
      </c>
      <c r="E320" s="1" t="s">
        <v>2239</v>
      </c>
      <c r="F320" s="1" t="s">
        <v>112</v>
      </c>
      <c r="G320" s="1">
        <v>2928580</v>
      </c>
    </row>
    <row r="321" spans="1:8" x14ac:dyDescent="0.35">
      <c r="A321" s="1" t="str">
        <f t="shared" si="4"/>
        <v>6</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2240</v>
      </c>
      <c r="D321" s="1" t="s">
        <v>890</v>
      </c>
      <c r="E321" s="1" t="s">
        <v>2241</v>
      </c>
      <c r="F321" s="1" t="s">
        <v>112</v>
      </c>
      <c r="G321" s="1">
        <v>3378979</v>
      </c>
    </row>
    <row r="322" spans="1:8" x14ac:dyDescent="0.35">
      <c r="A322" s="1" t="str">
        <f t="shared" ref="A322:A385" si="5">IFERROR(LEFT(RIGHT(C322,LEN(C322)-SEARCH("@",C322)),SEARCH("/",RIGHT(C322,LEN(C322)-SEARCH("@",C322)-1))),"")</f>
        <v>6</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2242</v>
      </c>
      <c r="D322" s="1" t="s">
        <v>2243</v>
      </c>
      <c r="E322" s="1" t="s">
        <v>2244</v>
      </c>
      <c r="F322" s="1" t="s">
        <v>112</v>
      </c>
      <c r="G322" s="1">
        <v>3688568</v>
      </c>
    </row>
    <row r="323" spans="1:8" x14ac:dyDescent="0.35">
      <c r="A323" s="1" t="str">
        <f t="shared" si="5"/>
        <v>6</v>
      </c>
      <c r="B3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3" s="1" t="s">
        <v>2245</v>
      </c>
      <c r="D323" s="1" t="s">
        <v>2246</v>
      </c>
      <c r="E323" s="1" t="s">
        <v>2247</v>
      </c>
      <c r="F323" s="1" t="s">
        <v>112</v>
      </c>
      <c r="G323" s="1">
        <v>3428749</v>
      </c>
    </row>
    <row r="324" spans="1:8" x14ac:dyDescent="0.3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112</v>
      </c>
    </row>
    <row r="325" spans="1:8" x14ac:dyDescent="0.35">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5" s="1" t="s">
        <v>227</v>
      </c>
      <c r="D325" s="1" t="s">
        <v>112</v>
      </c>
      <c r="E325" s="1" t="s">
        <v>228</v>
      </c>
      <c r="F325" s="1" t="s">
        <v>229</v>
      </c>
      <c r="G325" s="1" t="s">
        <v>230</v>
      </c>
      <c r="H325" s="1" t="s">
        <v>231</v>
      </c>
    </row>
    <row r="326" spans="1:8" x14ac:dyDescent="0.35">
      <c r="A326" s="1" t="str">
        <f t="shared" si="5"/>
        <v>6</v>
      </c>
      <c r="B3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6" s="1" t="s">
        <v>2248</v>
      </c>
      <c r="D326" s="1" t="s">
        <v>112</v>
      </c>
      <c r="E326" s="1" t="s">
        <v>2249</v>
      </c>
      <c r="F326" s="1" t="s">
        <v>2250</v>
      </c>
      <c r="G326" s="1" t="s">
        <v>2251</v>
      </c>
      <c r="H326" s="1" t="s">
        <v>2252</v>
      </c>
    </row>
    <row r="327" spans="1:8" x14ac:dyDescent="0.3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8" x14ac:dyDescent="0.3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8" x14ac:dyDescent="0.3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8" x14ac:dyDescent="0.3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8" x14ac:dyDescent="0.3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112</v>
      </c>
    </row>
    <row r="332" spans="1:8" x14ac:dyDescent="0.35">
      <c r="A332" s="1" t="str">
        <f t="shared" si="5"/>
        <v/>
      </c>
      <c r="B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2" s="1" t="s">
        <v>171</v>
      </c>
      <c r="D332" s="1" t="s">
        <v>110</v>
      </c>
      <c r="E332" s="1" t="s">
        <v>111</v>
      </c>
      <c r="F332" s="1" t="s">
        <v>112</v>
      </c>
      <c r="G332" s="1" t="s">
        <v>113</v>
      </c>
    </row>
    <row r="333" spans="1:8" x14ac:dyDescent="0.35">
      <c r="A333" s="1" t="str">
        <f t="shared" si="5"/>
        <v>7</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2253</v>
      </c>
      <c r="D333" s="1" t="s">
        <v>1846</v>
      </c>
      <c r="E333" s="1" t="s">
        <v>2254</v>
      </c>
      <c r="F333" s="1" t="s">
        <v>112</v>
      </c>
      <c r="G333" s="1">
        <v>3340067</v>
      </c>
    </row>
    <row r="334" spans="1:8" x14ac:dyDescent="0.35">
      <c r="A334" s="1" t="str">
        <f t="shared" si="5"/>
        <v>7</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2255</v>
      </c>
      <c r="D334" s="1" t="s">
        <v>2256</v>
      </c>
      <c r="E334" s="1" t="s">
        <v>2257</v>
      </c>
      <c r="F334" s="1" t="s">
        <v>112</v>
      </c>
      <c r="G334" s="1">
        <v>3661314</v>
      </c>
    </row>
    <row r="335" spans="1:8" x14ac:dyDescent="0.35">
      <c r="A335" s="1" t="str">
        <f t="shared" si="5"/>
        <v>7</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5" s="1" t="s">
        <v>2258</v>
      </c>
      <c r="D335" s="1" t="s">
        <v>2259</v>
      </c>
      <c r="E335" s="1" t="s">
        <v>2260</v>
      </c>
      <c r="F335" s="1" t="s">
        <v>112</v>
      </c>
      <c r="G335" s="1">
        <v>3314132</v>
      </c>
    </row>
    <row r="336" spans="1:8" x14ac:dyDescent="0.35">
      <c r="A336" s="1" t="str">
        <f t="shared" si="5"/>
        <v>7</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2261</v>
      </c>
      <c r="D336" s="1" t="s">
        <v>746</v>
      </c>
      <c r="E336" s="1" t="s">
        <v>2262</v>
      </c>
      <c r="F336" s="1" t="s">
        <v>112</v>
      </c>
      <c r="G336" s="1">
        <v>3214094</v>
      </c>
    </row>
    <row r="337" spans="1:7" x14ac:dyDescent="0.35">
      <c r="A337" s="1" t="str">
        <f t="shared" si="5"/>
        <v>7</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2263</v>
      </c>
      <c r="D337" s="1" t="s">
        <v>2264</v>
      </c>
      <c r="E337" s="1" t="s">
        <v>2265</v>
      </c>
      <c r="F337" s="1" t="s">
        <v>112</v>
      </c>
      <c r="G337" s="1">
        <v>3913410</v>
      </c>
    </row>
    <row r="338" spans="1:7" x14ac:dyDescent="0.35">
      <c r="A338" s="1" t="str">
        <f t="shared" si="5"/>
        <v>7</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8" s="1" t="s">
        <v>2266</v>
      </c>
      <c r="D338" s="1" t="s">
        <v>2267</v>
      </c>
      <c r="E338" s="1" t="s">
        <v>2268</v>
      </c>
      <c r="F338" s="1" t="s">
        <v>112</v>
      </c>
      <c r="G338" s="1">
        <v>3350882</v>
      </c>
    </row>
    <row r="339" spans="1:7" x14ac:dyDescent="0.35">
      <c r="A339" s="1" t="str">
        <f t="shared" si="5"/>
        <v>7</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2269</v>
      </c>
    </row>
    <row r="340" spans="1:7" x14ac:dyDescent="0.35">
      <c r="A340" s="1" t="str">
        <f t="shared" si="5"/>
        <v>7</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2270</v>
      </c>
    </row>
    <row r="341" spans="1:7" x14ac:dyDescent="0.35">
      <c r="A341" s="1" t="str">
        <f t="shared" si="5"/>
        <v>7</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1" s="1" t="s">
        <v>2271</v>
      </c>
    </row>
    <row r="342" spans="1:7" x14ac:dyDescent="0.35">
      <c r="A342" s="1" t="str">
        <f t="shared" si="5"/>
        <v>7</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2272</v>
      </c>
      <c r="D342" s="1" t="s">
        <v>2273</v>
      </c>
      <c r="E342" s="1" t="s">
        <v>2274</v>
      </c>
      <c r="F342" s="1" t="s">
        <v>112</v>
      </c>
      <c r="G342" s="1">
        <v>5785391</v>
      </c>
    </row>
    <row r="343" spans="1:7" x14ac:dyDescent="0.35">
      <c r="A343" s="1" t="str">
        <f t="shared" si="5"/>
        <v>7</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2275</v>
      </c>
      <c r="D343" s="1" t="s">
        <v>2276</v>
      </c>
      <c r="E343" s="1" t="s">
        <v>2277</v>
      </c>
      <c r="F343" s="1" t="s">
        <v>112</v>
      </c>
      <c r="G343" s="1">
        <v>4976736</v>
      </c>
    </row>
    <row r="344" spans="1:7" x14ac:dyDescent="0.35">
      <c r="A344" s="1" t="str">
        <f t="shared" si="5"/>
        <v>7</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4" s="1" t="s">
        <v>2278</v>
      </c>
      <c r="D344" s="1" t="s">
        <v>2279</v>
      </c>
      <c r="E344" s="1" t="s">
        <v>2280</v>
      </c>
      <c r="F344" s="1" t="s">
        <v>112</v>
      </c>
      <c r="G344" s="1">
        <v>5122067</v>
      </c>
    </row>
    <row r="345" spans="1:7" x14ac:dyDescent="0.35">
      <c r="A345" s="1" t="str">
        <f t="shared" si="5"/>
        <v>7</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2281</v>
      </c>
      <c r="D345" s="1" t="s">
        <v>2282</v>
      </c>
      <c r="E345" s="1" t="s">
        <v>2283</v>
      </c>
      <c r="F345" s="1" t="s">
        <v>112</v>
      </c>
      <c r="G345" s="1">
        <v>3681322</v>
      </c>
    </row>
    <row r="346" spans="1:7" x14ac:dyDescent="0.35">
      <c r="A346" s="1" t="str">
        <f t="shared" si="5"/>
        <v>7</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2284</v>
      </c>
    </row>
    <row r="347" spans="1:7" x14ac:dyDescent="0.35">
      <c r="A347" s="1" t="str">
        <f t="shared" si="5"/>
        <v>7</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7" s="1" t="s">
        <v>2285</v>
      </c>
    </row>
    <row r="348" spans="1:7" x14ac:dyDescent="0.35">
      <c r="A348" s="1" t="str">
        <f t="shared" si="5"/>
        <v>7</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2286</v>
      </c>
      <c r="D348" s="1" t="s">
        <v>2287</v>
      </c>
      <c r="E348" s="1" t="s">
        <v>2288</v>
      </c>
      <c r="F348" s="1" t="s">
        <v>112</v>
      </c>
      <c r="G348" s="1">
        <v>5179776</v>
      </c>
    </row>
    <row r="349" spans="1:7" x14ac:dyDescent="0.35">
      <c r="A349" s="1" t="str">
        <f t="shared" si="5"/>
        <v>7</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2289</v>
      </c>
      <c r="D349" s="1" t="s">
        <v>2290</v>
      </c>
      <c r="E349" s="1" t="s">
        <v>2291</v>
      </c>
      <c r="F349" s="1" t="s">
        <v>112</v>
      </c>
      <c r="G349" s="1">
        <v>4840273</v>
      </c>
    </row>
    <row r="350" spans="1:7" x14ac:dyDescent="0.35">
      <c r="A350" s="1" t="str">
        <f t="shared" si="5"/>
        <v>7</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50" s="1" t="s">
        <v>2292</v>
      </c>
      <c r="D350" s="1" t="s">
        <v>2293</v>
      </c>
      <c r="E350" s="1" t="s">
        <v>2294</v>
      </c>
      <c r="F350" s="1" t="s">
        <v>112</v>
      </c>
      <c r="G350" s="1">
        <v>5539935</v>
      </c>
    </row>
    <row r="351" spans="1:7" x14ac:dyDescent="0.35">
      <c r="A351" s="1" t="str">
        <f t="shared" si="5"/>
        <v>7</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2295</v>
      </c>
      <c r="D351" s="1" t="s">
        <v>2296</v>
      </c>
      <c r="E351" s="1" t="s">
        <v>2297</v>
      </c>
      <c r="F351" s="1" t="s">
        <v>112</v>
      </c>
      <c r="G351" s="1">
        <v>4431598</v>
      </c>
    </row>
    <row r="352" spans="1:7" x14ac:dyDescent="0.35">
      <c r="A352" s="1" t="str">
        <f t="shared" si="5"/>
        <v>7</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2298</v>
      </c>
      <c r="D352" s="1" t="s">
        <v>2299</v>
      </c>
      <c r="E352" s="1" t="s">
        <v>2300</v>
      </c>
      <c r="F352" s="1" t="s">
        <v>112</v>
      </c>
      <c r="G352" s="1">
        <v>4493784</v>
      </c>
    </row>
    <row r="353" spans="1:8" x14ac:dyDescent="0.35">
      <c r="A353" s="1" t="str">
        <f t="shared" si="5"/>
        <v>7</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3" s="1" t="s">
        <v>2301</v>
      </c>
      <c r="D353" s="1" t="s">
        <v>2302</v>
      </c>
      <c r="E353" s="1" t="s">
        <v>2303</v>
      </c>
      <c r="F353" s="1" t="s">
        <v>112</v>
      </c>
      <c r="G353" s="1">
        <v>5242935</v>
      </c>
    </row>
    <row r="354" spans="1:8" x14ac:dyDescent="0.35">
      <c r="A354" s="1" t="str">
        <f t="shared" si="5"/>
        <v>7</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2304</v>
      </c>
      <c r="D354" s="1" t="s">
        <v>2305</v>
      </c>
      <c r="E354" s="1" t="s">
        <v>2306</v>
      </c>
      <c r="F354" s="1" t="s">
        <v>112</v>
      </c>
      <c r="G354" s="1">
        <v>4753018</v>
      </c>
    </row>
    <row r="355" spans="1:8" x14ac:dyDescent="0.35">
      <c r="A355" s="1" t="str">
        <f t="shared" si="5"/>
        <v>7</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2307</v>
      </c>
      <c r="D355" s="1" t="s">
        <v>2308</v>
      </c>
      <c r="E355" s="1" t="s">
        <v>2309</v>
      </c>
      <c r="F355" s="1" t="s">
        <v>112</v>
      </c>
      <c r="G355" s="1">
        <v>4875119</v>
      </c>
    </row>
    <row r="356" spans="1:8" x14ac:dyDescent="0.35">
      <c r="A356" s="1" t="str">
        <f t="shared" si="5"/>
        <v>7</v>
      </c>
      <c r="B3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6" s="1" t="s">
        <v>2310</v>
      </c>
      <c r="D356" s="1" t="s">
        <v>2311</v>
      </c>
      <c r="E356" s="1" t="s">
        <v>2312</v>
      </c>
      <c r="F356" s="1" t="s">
        <v>112</v>
      </c>
      <c r="G356" s="1">
        <v>4889935</v>
      </c>
    </row>
    <row r="357" spans="1:8" x14ac:dyDescent="0.3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112</v>
      </c>
    </row>
    <row r="358" spans="1:8" x14ac:dyDescent="0.35">
      <c r="A358" s="1" t="str">
        <f t="shared" si="5"/>
        <v/>
      </c>
      <c r="B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8" s="1" t="s">
        <v>227</v>
      </c>
      <c r="D358" s="1" t="s">
        <v>112</v>
      </c>
      <c r="E358" s="1" t="s">
        <v>228</v>
      </c>
      <c r="F358" s="1" t="s">
        <v>229</v>
      </c>
      <c r="G358" s="1" t="s">
        <v>230</v>
      </c>
      <c r="H358" s="1" t="s">
        <v>231</v>
      </c>
    </row>
    <row r="359" spans="1:8" x14ac:dyDescent="0.35">
      <c r="A359" s="1" t="str">
        <f t="shared" si="5"/>
        <v>7</v>
      </c>
      <c r="B3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9" s="1" t="s">
        <v>2313</v>
      </c>
      <c r="D359" s="1" t="s">
        <v>112</v>
      </c>
      <c r="E359" s="1" t="s">
        <v>2314</v>
      </c>
      <c r="F359" s="1" t="s">
        <v>2315</v>
      </c>
      <c r="G359" s="1" t="s">
        <v>2316</v>
      </c>
      <c r="H359" s="1" t="s">
        <v>2317</v>
      </c>
    </row>
    <row r="360" spans="1:8" x14ac:dyDescent="0.3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8" x14ac:dyDescent="0.3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8" x14ac:dyDescent="0.3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8" x14ac:dyDescent="0.3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8" x14ac:dyDescent="0.3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112</v>
      </c>
    </row>
    <row r="365" spans="1:8" x14ac:dyDescent="0.35">
      <c r="A365" s="1" t="str">
        <f t="shared" si="5"/>
        <v/>
      </c>
      <c r="B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5" s="1" t="s">
        <v>171</v>
      </c>
      <c r="D365" s="1" t="s">
        <v>110</v>
      </c>
      <c r="E365" s="1" t="s">
        <v>111</v>
      </c>
      <c r="F365" s="1" t="s">
        <v>112</v>
      </c>
      <c r="G365" s="1" t="s">
        <v>113</v>
      </c>
    </row>
    <row r="366" spans="1:8" x14ac:dyDescent="0.35">
      <c r="A366" s="1" t="str">
        <f t="shared" si="5"/>
        <v>10</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2318</v>
      </c>
      <c r="D366" s="1" t="s">
        <v>2319</v>
      </c>
      <c r="E366" s="1" t="s">
        <v>2320</v>
      </c>
      <c r="F366" s="1" t="s">
        <v>112</v>
      </c>
      <c r="G366" s="1">
        <v>254930</v>
      </c>
    </row>
    <row r="367" spans="1:8" x14ac:dyDescent="0.35">
      <c r="A367" s="1" t="str">
        <f t="shared" si="5"/>
        <v>10</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2321</v>
      </c>
      <c r="D367" s="1" t="s">
        <v>970</v>
      </c>
      <c r="E367" s="1" t="s">
        <v>2322</v>
      </c>
      <c r="F367" s="1" t="s">
        <v>112</v>
      </c>
      <c r="G367" s="1">
        <v>156622</v>
      </c>
    </row>
    <row r="368" spans="1:8" x14ac:dyDescent="0.35">
      <c r="A368" s="1" t="str">
        <f t="shared" si="5"/>
        <v>10</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8" s="1" t="s">
        <v>2323</v>
      </c>
      <c r="D368" s="1" t="s">
        <v>625</v>
      </c>
      <c r="E368" s="1" t="s">
        <v>2324</v>
      </c>
      <c r="F368" s="1" t="s">
        <v>112</v>
      </c>
      <c r="G368" s="1">
        <v>400326</v>
      </c>
    </row>
    <row r="369" spans="1:7" x14ac:dyDescent="0.35">
      <c r="A369" s="1" t="str">
        <f t="shared" si="5"/>
        <v>10</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2325</v>
      </c>
      <c r="D369" s="1" t="s">
        <v>2326</v>
      </c>
      <c r="E369" s="1" t="s">
        <v>2327</v>
      </c>
      <c r="F369" s="1" t="s">
        <v>112</v>
      </c>
      <c r="G369" s="1">
        <v>466146</v>
      </c>
    </row>
    <row r="370" spans="1:7" x14ac:dyDescent="0.35">
      <c r="A370" s="1" t="str">
        <f t="shared" si="5"/>
        <v>10</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2328</v>
      </c>
      <c r="D370" s="1" t="s">
        <v>2329</v>
      </c>
      <c r="E370" s="1" t="s">
        <v>2330</v>
      </c>
      <c r="F370" s="1" t="s">
        <v>112</v>
      </c>
      <c r="G370" s="1">
        <v>752288</v>
      </c>
    </row>
    <row r="371" spans="1:7" x14ac:dyDescent="0.35">
      <c r="A371" s="1" t="str">
        <f t="shared" si="5"/>
        <v>10</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1" s="1" t="s">
        <v>2331</v>
      </c>
    </row>
    <row r="372" spans="1:7" x14ac:dyDescent="0.35">
      <c r="A372" s="1" t="str">
        <f t="shared" si="5"/>
        <v>10</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2332</v>
      </c>
      <c r="D372" s="1" t="s">
        <v>2333</v>
      </c>
      <c r="E372" s="1" t="s">
        <v>2334</v>
      </c>
      <c r="F372" s="1" t="s">
        <v>112</v>
      </c>
      <c r="G372" s="1">
        <v>470688</v>
      </c>
    </row>
    <row r="373" spans="1:7" x14ac:dyDescent="0.35">
      <c r="A373" s="1" t="str">
        <f t="shared" si="5"/>
        <v>10</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2335</v>
      </c>
      <c r="D373" s="1" t="s">
        <v>610</v>
      </c>
      <c r="E373" s="1" t="s">
        <v>2336</v>
      </c>
      <c r="F373" s="1" t="s">
        <v>112</v>
      </c>
      <c r="G373" s="1">
        <v>440796</v>
      </c>
    </row>
    <row r="374" spans="1:7" x14ac:dyDescent="0.35">
      <c r="A374" s="1" t="str">
        <f t="shared" si="5"/>
        <v>10</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4" s="1" t="s">
        <v>2337</v>
      </c>
      <c r="D374" s="1" t="s">
        <v>2130</v>
      </c>
      <c r="E374" s="1" t="s">
        <v>2338</v>
      </c>
      <c r="F374" s="1" t="s">
        <v>112</v>
      </c>
      <c r="G374" s="1">
        <v>529716</v>
      </c>
    </row>
    <row r="375" spans="1:7" x14ac:dyDescent="0.35">
      <c r="A375" s="1" t="str">
        <f t="shared" si="5"/>
        <v>10</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2339</v>
      </c>
    </row>
    <row r="376" spans="1:7" x14ac:dyDescent="0.35">
      <c r="A376" s="1" t="str">
        <f t="shared" si="5"/>
        <v>10</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2340</v>
      </c>
    </row>
    <row r="377" spans="1:7" x14ac:dyDescent="0.35">
      <c r="A377" s="1" t="str">
        <f t="shared" si="5"/>
        <v>10</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7" s="1" t="s">
        <v>2341</v>
      </c>
      <c r="D377" s="1" t="s">
        <v>2342</v>
      </c>
      <c r="E377" s="1" t="s">
        <v>2343</v>
      </c>
      <c r="F377" s="1" t="s">
        <v>112</v>
      </c>
      <c r="G377" s="1">
        <v>294751</v>
      </c>
    </row>
    <row r="378" spans="1:7" x14ac:dyDescent="0.35">
      <c r="A378" s="1" t="str">
        <f t="shared" si="5"/>
        <v>10</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2344</v>
      </c>
      <c r="D378" s="1" t="s">
        <v>578</v>
      </c>
      <c r="E378" s="1" t="s">
        <v>2345</v>
      </c>
      <c r="F378" s="1" t="s">
        <v>112</v>
      </c>
      <c r="G378" s="1">
        <v>40881</v>
      </c>
    </row>
    <row r="379" spans="1:7" x14ac:dyDescent="0.35">
      <c r="A379" s="1" t="str">
        <f t="shared" si="5"/>
        <v>10</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2346</v>
      </c>
      <c r="D379" s="1" t="s">
        <v>2347</v>
      </c>
      <c r="E379" s="1" t="s">
        <v>2348</v>
      </c>
      <c r="F379" s="1" t="s">
        <v>112</v>
      </c>
      <c r="G379" s="1">
        <v>68350</v>
      </c>
    </row>
    <row r="380" spans="1:7" x14ac:dyDescent="0.35">
      <c r="A380" s="1" t="str">
        <f t="shared" si="5"/>
        <v>10</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80" s="1" t="s">
        <v>2349</v>
      </c>
      <c r="D380" s="1" t="s">
        <v>2350</v>
      </c>
      <c r="E380" s="1" t="s">
        <v>2351</v>
      </c>
      <c r="F380" s="1" t="s">
        <v>112</v>
      </c>
      <c r="G380" s="1">
        <v>83816</v>
      </c>
    </row>
    <row r="381" spans="1:7" x14ac:dyDescent="0.35">
      <c r="A381" s="1" t="str">
        <f t="shared" si="5"/>
        <v>10</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2352</v>
      </c>
    </row>
    <row r="382" spans="1:7" x14ac:dyDescent="0.35">
      <c r="A382" s="1" t="str">
        <f t="shared" si="5"/>
        <v>10</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2353</v>
      </c>
    </row>
    <row r="383" spans="1:7" x14ac:dyDescent="0.35">
      <c r="A383" s="1" t="str">
        <f t="shared" si="5"/>
        <v>10</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3" s="1" t="s">
        <v>2354</v>
      </c>
    </row>
    <row r="384" spans="1:7" x14ac:dyDescent="0.35">
      <c r="A384" s="1" t="str">
        <f t="shared" si="5"/>
        <v>10</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2355</v>
      </c>
      <c r="D384" s="1" t="s">
        <v>2356</v>
      </c>
      <c r="E384" s="1" t="s">
        <v>2357</v>
      </c>
      <c r="F384" s="1" t="s">
        <v>112</v>
      </c>
      <c r="G384" s="1">
        <v>116953</v>
      </c>
    </row>
    <row r="385" spans="1:8" x14ac:dyDescent="0.35">
      <c r="A385" s="1" t="str">
        <f t="shared" si="5"/>
        <v>10</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2358</v>
      </c>
      <c r="D385" s="1" t="s">
        <v>2359</v>
      </c>
      <c r="E385" s="1" t="s">
        <v>2360</v>
      </c>
      <c r="F385" s="1" t="s">
        <v>112</v>
      </c>
      <c r="G385" s="1">
        <v>104948</v>
      </c>
    </row>
    <row r="386" spans="1:8" x14ac:dyDescent="0.35">
      <c r="A386" s="1" t="str">
        <f t="shared" ref="A386:A449" si="6">IFERROR(LEFT(RIGHT(C386,LEN(C386)-SEARCH("@",C386)),SEARCH("/",RIGHT(C386,LEN(C386)-SEARCH("@",C386)-1))),"")</f>
        <v>10</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6" s="1" t="s">
        <v>2361</v>
      </c>
      <c r="D386" s="1" t="s">
        <v>1618</v>
      </c>
      <c r="E386" s="1" t="s">
        <v>2362</v>
      </c>
      <c r="F386" s="1" t="s">
        <v>112</v>
      </c>
      <c r="G386" s="1">
        <v>50722</v>
      </c>
    </row>
    <row r="387" spans="1:8" x14ac:dyDescent="0.35">
      <c r="A387" s="1" t="str">
        <f t="shared" si="6"/>
        <v>10</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2363</v>
      </c>
      <c r="D387" s="1" t="s">
        <v>256</v>
      </c>
      <c r="E387" s="1" t="s">
        <v>1987</v>
      </c>
      <c r="F387" s="1" t="s">
        <v>112</v>
      </c>
      <c r="G387" s="1">
        <v>3439</v>
      </c>
    </row>
    <row r="388" spans="1:8" x14ac:dyDescent="0.35">
      <c r="A388" s="1" t="str">
        <f t="shared" si="6"/>
        <v>10</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2364</v>
      </c>
      <c r="D388" s="1" t="s">
        <v>254</v>
      </c>
      <c r="E388" s="1">
        <v>31</v>
      </c>
      <c r="F388" s="1" t="s">
        <v>112</v>
      </c>
      <c r="G388" s="1">
        <v>1341</v>
      </c>
    </row>
    <row r="389" spans="1:8" x14ac:dyDescent="0.35">
      <c r="A389" s="1" t="str">
        <f t="shared" si="6"/>
        <v>10</v>
      </c>
      <c r="B3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9" s="1" t="s">
        <v>2365</v>
      </c>
      <c r="D389" s="1" t="s">
        <v>925</v>
      </c>
      <c r="E389" s="1">
        <v>32</v>
      </c>
      <c r="F389" s="1" t="s">
        <v>112</v>
      </c>
      <c r="G389" s="1">
        <v>10382</v>
      </c>
    </row>
    <row r="390" spans="1:8" x14ac:dyDescent="0.3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112</v>
      </c>
    </row>
    <row r="391" spans="1:8" x14ac:dyDescent="0.35">
      <c r="A391" s="1" t="str">
        <f t="shared" si="6"/>
        <v/>
      </c>
      <c r="B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1" s="1" t="s">
        <v>227</v>
      </c>
      <c r="D391" s="1" t="s">
        <v>112</v>
      </c>
      <c r="E391" s="1" t="s">
        <v>228</v>
      </c>
      <c r="F391" s="1" t="s">
        <v>229</v>
      </c>
      <c r="G391" s="1" t="s">
        <v>230</v>
      </c>
      <c r="H391" s="1" t="s">
        <v>231</v>
      </c>
    </row>
    <row r="392" spans="1:8" x14ac:dyDescent="0.35">
      <c r="A392" s="1" t="str">
        <f t="shared" si="6"/>
        <v>10</v>
      </c>
      <c r="B3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2" s="1" t="s">
        <v>2366</v>
      </c>
      <c r="D392" s="1" t="s">
        <v>112</v>
      </c>
      <c r="E392" s="1" t="s">
        <v>2367</v>
      </c>
      <c r="F392" s="1" t="s">
        <v>2368</v>
      </c>
      <c r="G392" s="1" t="s">
        <v>2369</v>
      </c>
      <c r="H392" s="1" t="s">
        <v>2370</v>
      </c>
    </row>
    <row r="393" spans="1:8" x14ac:dyDescent="0.3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8" x14ac:dyDescent="0.3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8" x14ac:dyDescent="0.3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112</v>
      </c>
    </row>
    <row r="396" spans="1:8" x14ac:dyDescent="0.3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112</v>
      </c>
    </row>
    <row r="397" spans="1:8" x14ac:dyDescent="0.3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112</v>
      </c>
    </row>
    <row r="398" spans="1:8" x14ac:dyDescent="0.35">
      <c r="A398" s="1" t="str">
        <f t="shared" si="6"/>
        <v/>
      </c>
      <c r="B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8" s="1" t="s">
        <v>171</v>
      </c>
      <c r="D398" s="1" t="s">
        <v>110</v>
      </c>
      <c r="E398" s="1" t="s">
        <v>111</v>
      </c>
      <c r="F398" s="1" t="s">
        <v>112</v>
      </c>
      <c r="G398" s="1" t="s">
        <v>113</v>
      </c>
    </row>
    <row r="399" spans="1:8" x14ac:dyDescent="0.35">
      <c r="A399" s="1" t="str">
        <f t="shared" si="6"/>
        <v>11</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2371</v>
      </c>
      <c r="D399" s="1" t="s">
        <v>2372</v>
      </c>
      <c r="E399" s="1" t="s">
        <v>2373</v>
      </c>
      <c r="F399" s="1" t="s">
        <v>112</v>
      </c>
      <c r="G399" s="1">
        <v>337210</v>
      </c>
    </row>
    <row r="400" spans="1:8" x14ac:dyDescent="0.35">
      <c r="A400" s="1" t="str">
        <f t="shared" si="6"/>
        <v>11</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2374</v>
      </c>
      <c r="D400" s="1" t="s">
        <v>2375</v>
      </c>
      <c r="E400" s="1" t="s">
        <v>2376</v>
      </c>
      <c r="F400" s="1" t="s">
        <v>112</v>
      </c>
      <c r="G400" s="1">
        <v>505837</v>
      </c>
    </row>
    <row r="401" spans="1:7" x14ac:dyDescent="0.35">
      <c r="A401" s="1" t="str">
        <f t="shared" si="6"/>
        <v>11</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1" s="1" t="s">
        <v>2377</v>
      </c>
      <c r="D401" s="1" t="s">
        <v>356</v>
      </c>
      <c r="E401" s="1" t="s">
        <v>2378</v>
      </c>
      <c r="F401" s="1" t="s">
        <v>112</v>
      </c>
      <c r="G401" s="1">
        <v>415489</v>
      </c>
    </row>
    <row r="402" spans="1:7" x14ac:dyDescent="0.35">
      <c r="A402" s="1" t="str">
        <f t="shared" si="6"/>
        <v>11</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2379</v>
      </c>
      <c r="D402" s="1" t="s">
        <v>2380</v>
      </c>
      <c r="E402" s="1" t="s">
        <v>2381</v>
      </c>
      <c r="F402" s="1" t="s">
        <v>112</v>
      </c>
      <c r="G402" s="1">
        <v>502722</v>
      </c>
    </row>
    <row r="403" spans="1:7" x14ac:dyDescent="0.35">
      <c r="A403" s="1" t="str">
        <f t="shared" si="6"/>
        <v>11</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2382</v>
      </c>
      <c r="D403" s="1" t="s">
        <v>1534</v>
      </c>
      <c r="E403" s="1" t="s">
        <v>2383</v>
      </c>
      <c r="F403" s="1" t="s">
        <v>112</v>
      </c>
      <c r="G403" s="1">
        <v>412352</v>
      </c>
    </row>
    <row r="404" spans="1:7" x14ac:dyDescent="0.35">
      <c r="A404" s="1" t="str">
        <f t="shared" si="6"/>
        <v>11</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4" s="1" t="s">
        <v>2384</v>
      </c>
      <c r="D404" s="1" t="s">
        <v>2385</v>
      </c>
      <c r="E404" s="1" t="s">
        <v>2386</v>
      </c>
      <c r="F404" s="1" t="s">
        <v>112</v>
      </c>
      <c r="G404" s="1">
        <v>416851</v>
      </c>
    </row>
    <row r="405" spans="1:7" x14ac:dyDescent="0.35">
      <c r="A405" s="1" t="str">
        <f t="shared" si="6"/>
        <v>11</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2387</v>
      </c>
      <c r="D405" s="1" t="s">
        <v>633</v>
      </c>
      <c r="E405" s="1" t="s">
        <v>2388</v>
      </c>
      <c r="F405" s="1" t="s">
        <v>112</v>
      </c>
      <c r="G405" s="1">
        <v>19164</v>
      </c>
    </row>
    <row r="406" spans="1:7" x14ac:dyDescent="0.35">
      <c r="A406" s="1" t="str">
        <f t="shared" si="6"/>
        <v>11</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2389</v>
      </c>
      <c r="D406" s="1" t="s">
        <v>1883</v>
      </c>
      <c r="E406" s="1" t="s">
        <v>2390</v>
      </c>
      <c r="F406" s="1" t="s">
        <v>112</v>
      </c>
      <c r="G406" s="1">
        <v>49922</v>
      </c>
    </row>
    <row r="407" spans="1:7" x14ac:dyDescent="0.35">
      <c r="A407" s="1" t="str">
        <f t="shared" si="6"/>
        <v>11</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7" s="1" t="s">
        <v>2391</v>
      </c>
      <c r="D407" s="1" t="s">
        <v>1003</v>
      </c>
      <c r="E407" s="1" t="s">
        <v>2392</v>
      </c>
      <c r="F407" s="1" t="s">
        <v>112</v>
      </c>
      <c r="G407" s="1">
        <v>25696</v>
      </c>
    </row>
    <row r="408" spans="1:7" x14ac:dyDescent="0.35">
      <c r="A408" s="1" t="str">
        <f t="shared" si="6"/>
        <v>11</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2393</v>
      </c>
      <c r="D408" s="1" t="s">
        <v>2394</v>
      </c>
      <c r="E408" s="1" t="s">
        <v>2395</v>
      </c>
      <c r="F408" s="1" t="s">
        <v>112</v>
      </c>
      <c r="G408" s="1">
        <v>60023</v>
      </c>
    </row>
    <row r="409" spans="1:7" x14ac:dyDescent="0.35">
      <c r="A409" s="1" t="str">
        <f t="shared" si="6"/>
        <v>11</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2396</v>
      </c>
      <c r="D409" s="1" t="s">
        <v>277</v>
      </c>
      <c r="E409" s="1" t="s">
        <v>2397</v>
      </c>
      <c r="F409" s="1" t="s">
        <v>112</v>
      </c>
      <c r="G409" s="1">
        <v>253091</v>
      </c>
    </row>
    <row r="410" spans="1:7" x14ac:dyDescent="0.35">
      <c r="A410" s="1" t="str">
        <f t="shared" si="6"/>
        <v>11</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10" s="1" t="s">
        <v>2398</v>
      </c>
      <c r="D410" s="1" t="s">
        <v>1894</v>
      </c>
      <c r="E410" s="1" t="s">
        <v>2399</v>
      </c>
      <c r="F410" s="1" t="s">
        <v>112</v>
      </c>
      <c r="G410" s="1">
        <v>128828</v>
      </c>
    </row>
    <row r="411" spans="1:7" x14ac:dyDescent="0.35">
      <c r="A411" s="1" t="str">
        <f t="shared" si="6"/>
        <v>11</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2400</v>
      </c>
      <c r="D411" s="1" t="s">
        <v>1639</v>
      </c>
      <c r="E411" s="1" t="s">
        <v>2401</v>
      </c>
      <c r="F411" s="1" t="s">
        <v>112</v>
      </c>
      <c r="G411" s="1">
        <v>217337</v>
      </c>
    </row>
    <row r="412" spans="1:7" x14ac:dyDescent="0.35">
      <c r="A412" s="1" t="str">
        <f t="shared" si="6"/>
        <v>11</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2402</v>
      </c>
      <c r="D412" s="1" t="s">
        <v>2403</v>
      </c>
      <c r="E412" s="1" t="s">
        <v>2404</v>
      </c>
      <c r="F412" s="1" t="s">
        <v>112</v>
      </c>
      <c r="G412" s="1">
        <v>181085</v>
      </c>
    </row>
    <row r="413" spans="1:7" x14ac:dyDescent="0.35">
      <c r="A413" s="1" t="str">
        <f t="shared" si="6"/>
        <v>11</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3" s="1" t="s">
        <v>2405</v>
      </c>
      <c r="D413" s="1" t="s">
        <v>1197</v>
      </c>
      <c r="E413" s="1" t="s">
        <v>2406</v>
      </c>
      <c r="F413" s="1" t="s">
        <v>112</v>
      </c>
      <c r="G413" s="1">
        <v>55113</v>
      </c>
    </row>
    <row r="414" spans="1:7" x14ac:dyDescent="0.35">
      <c r="A414" s="1" t="str">
        <f t="shared" si="6"/>
        <v>11</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2407</v>
      </c>
      <c r="D414" s="1" t="s">
        <v>2408</v>
      </c>
      <c r="E414" s="1" t="s">
        <v>2409</v>
      </c>
      <c r="F414" s="1" t="s">
        <v>112</v>
      </c>
      <c r="G414" s="1">
        <v>566292</v>
      </c>
    </row>
    <row r="415" spans="1:7" x14ac:dyDescent="0.35">
      <c r="A415" s="1" t="str">
        <f t="shared" si="6"/>
        <v>11</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2410</v>
      </c>
      <c r="D415" s="1" t="s">
        <v>2411</v>
      </c>
      <c r="E415" s="1" t="s">
        <v>2412</v>
      </c>
      <c r="F415" s="1" t="s">
        <v>112</v>
      </c>
      <c r="G415" s="1">
        <v>474171</v>
      </c>
    </row>
    <row r="416" spans="1:7" x14ac:dyDescent="0.35">
      <c r="A416" s="1" t="str">
        <f t="shared" si="6"/>
        <v>11</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6" s="1" t="s">
        <v>2413</v>
      </c>
      <c r="D416" s="1" t="s">
        <v>1933</v>
      </c>
      <c r="E416" s="1" t="s">
        <v>2414</v>
      </c>
      <c r="F416" s="1" t="s">
        <v>112</v>
      </c>
      <c r="G416" s="1">
        <v>425979</v>
      </c>
    </row>
    <row r="417" spans="1:8" x14ac:dyDescent="0.35">
      <c r="A417" s="1" t="str">
        <f t="shared" si="6"/>
        <v>11</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2415</v>
      </c>
      <c r="D417" s="1" t="s">
        <v>2416</v>
      </c>
      <c r="E417" s="1" t="s">
        <v>2417</v>
      </c>
      <c r="F417" s="1" t="s">
        <v>112</v>
      </c>
      <c r="G417" s="1">
        <v>243726</v>
      </c>
    </row>
    <row r="418" spans="1:8" x14ac:dyDescent="0.35">
      <c r="A418" s="1" t="str">
        <f t="shared" si="6"/>
        <v>11</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2418</v>
      </c>
      <c r="D418" s="1" t="s">
        <v>2419</v>
      </c>
      <c r="E418" s="1" t="s">
        <v>2420</v>
      </c>
      <c r="F418" s="1" t="s">
        <v>112</v>
      </c>
      <c r="G418" s="1">
        <v>368119</v>
      </c>
    </row>
    <row r="419" spans="1:8" x14ac:dyDescent="0.35">
      <c r="A419" s="1" t="str">
        <f t="shared" si="6"/>
        <v>11</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9" s="1" t="s">
        <v>2421</v>
      </c>
      <c r="D419" s="1" t="s">
        <v>204</v>
      </c>
      <c r="E419" s="1" t="s">
        <v>2422</v>
      </c>
      <c r="F419" s="1" t="s">
        <v>112</v>
      </c>
      <c r="G419" s="1">
        <v>181172</v>
      </c>
    </row>
    <row r="420" spans="1:8" x14ac:dyDescent="0.35">
      <c r="A420" s="1" t="str">
        <f t="shared" si="6"/>
        <v>11</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2423</v>
      </c>
      <c r="D420" s="1" t="s">
        <v>2424</v>
      </c>
      <c r="E420" s="1" t="s">
        <v>2425</v>
      </c>
      <c r="F420" s="1" t="s">
        <v>112</v>
      </c>
      <c r="G420" s="1">
        <v>174510</v>
      </c>
    </row>
    <row r="421" spans="1:8" x14ac:dyDescent="0.35">
      <c r="A421" s="1" t="str">
        <f t="shared" si="6"/>
        <v>11</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2426</v>
      </c>
    </row>
    <row r="422" spans="1:8" x14ac:dyDescent="0.35">
      <c r="A422" s="1" t="str">
        <f t="shared" si="6"/>
        <v>11</v>
      </c>
      <c r="B4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2" s="1" t="s">
        <v>2427</v>
      </c>
      <c r="D422" s="1" t="s">
        <v>2010</v>
      </c>
      <c r="E422" s="1" t="s">
        <v>2428</v>
      </c>
      <c r="F422" s="1" t="s">
        <v>112</v>
      </c>
      <c r="G422" s="1">
        <v>421415</v>
      </c>
    </row>
    <row r="423" spans="1:8" x14ac:dyDescent="0.3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112</v>
      </c>
    </row>
    <row r="424" spans="1:8" x14ac:dyDescent="0.35">
      <c r="A424" s="1" t="str">
        <f t="shared" si="6"/>
        <v/>
      </c>
      <c r="B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4" s="1" t="s">
        <v>227</v>
      </c>
      <c r="D424" s="1" t="s">
        <v>112</v>
      </c>
      <c r="E424" s="1" t="s">
        <v>228</v>
      </c>
      <c r="F424" s="1" t="s">
        <v>229</v>
      </c>
      <c r="G424" s="1" t="s">
        <v>230</v>
      </c>
      <c r="H424" s="1" t="s">
        <v>231</v>
      </c>
    </row>
    <row r="425" spans="1:8" x14ac:dyDescent="0.35">
      <c r="A425" s="1" t="str">
        <f t="shared" si="6"/>
        <v>11</v>
      </c>
      <c r="B4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5" s="1" t="s">
        <v>2429</v>
      </c>
      <c r="D425" s="1" t="s">
        <v>112</v>
      </c>
      <c r="E425" s="1" t="s">
        <v>2430</v>
      </c>
      <c r="F425" s="1" t="s">
        <v>2431</v>
      </c>
      <c r="G425" s="1" t="s">
        <v>2432</v>
      </c>
      <c r="H425" s="1" t="s">
        <v>2433</v>
      </c>
    </row>
    <row r="426" spans="1:8" x14ac:dyDescent="0.3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8" x14ac:dyDescent="0.3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8" x14ac:dyDescent="0.3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112</v>
      </c>
    </row>
    <row r="429" spans="1:8" x14ac:dyDescent="0.3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112</v>
      </c>
    </row>
    <row r="430" spans="1:8" x14ac:dyDescent="0.3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112</v>
      </c>
    </row>
    <row r="431" spans="1:8" x14ac:dyDescent="0.35">
      <c r="A431" s="1" t="str">
        <f t="shared" si="6"/>
        <v/>
      </c>
      <c r="B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1" s="1" t="s">
        <v>171</v>
      </c>
      <c r="D431" s="1" t="s">
        <v>110</v>
      </c>
      <c r="E431" s="1" t="s">
        <v>111</v>
      </c>
      <c r="F431" s="1" t="s">
        <v>112</v>
      </c>
      <c r="G431" s="1" t="s">
        <v>113</v>
      </c>
    </row>
    <row r="432" spans="1:8" x14ac:dyDescent="0.35">
      <c r="A432" s="1" t="str">
        <f t="shared" si="6"/>
        <v>12</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2434</v>
      </c>
      <c r="D432" s="1" t="s">
        <v>1400</v>
      </c>
      <c r="E432" s="1" t="s">
        <v>2435</v>
      </c>
      <c r="F432" s="1" t="s">
        <v>112</v>
      </c>
      <c r="G432" s="1">
        <v>369201</v>
      </c>
    </row>
    <row r="433" spans="1:7" x14ac:dyDescent="0.35">
      <c r="A433" s="1" t="str">
        <f t="shared" si="6"/>
        <v>12</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2436</v>
      </c>
      <c r="D433" s="1" t="s">
        <v>2437</v>
      </c>
      <c r="E433" s="1" t="s">
        <v>2438</v>
      </c>
      <c r="F433" s="1" t="s">
        <v>112</v>
      </c>
      <c r="G433" s="1">
        <v>220300</v>
      </c>
    </row>
    <row r="434" spans="1:7" x14ac:dyDescent="0.35">
      <c r="A434" s="1" t="str">
        <f t="shared" si="6"/>
        <v>12</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4" s="1" t="s">
        <v>2439</v>
      </c>
      <c r="D434" s="1" t="s">
        <v>2440</v>
      </c>
      <c r="E434" s="1" t="s">
        <v>2441</v>
      </c>
      <c r="F434" s="1" t="s">
        <v>112</v>
      </c>
      <c r="G434" s="1">
        <v>207582</v>
      </c>
    </row>
    <row r="435" spans="1:7" x14ac:dyDescent="0.35">
      <c r="A435" s="1" t="str">
        <f t="shared" si="6"/>
        <v>12</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2442</v>
      </c>
    </row>
    <row r="436" spans="1:7" x14ac:dyDescent="0.35">
      <c r="A436" s="1" t="str">
        <f t="shared" si="6"/>
        <v>12</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2443</v>
      </c>
    </row>
    <row r="437" spans="1:7" x14ac:dyDescent="0.35">
      <c r="A437" s="1" t="str">
        <f t="shared" si="6"/>
        <v>12</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7" s="1" t="s">
        <v>2444</v>
      </c>
    </row>
    <row r="438" spans="1:7" x14ac:dyDescent="0.35">
      <c r="A438" s="1" t="str">
        <f t="shared" si="6"/>
        <v>12</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2445</v>
      </c>
      <c r="D438" s="1" t="s">
        <v>2446</v>
      </c>
      <c r="E438" s="1" t="s">
        <v>2447</v>
      </c>
      <c r="F438" s="1" t="s">
        <v>112</v>
      </c>
      <c r="G438" s="1">
        <v>96880</v>
      </c>
    </row>
    <row r="439" spans="1:7" x14ac:dyDescent="0.35">
      <c r="A439" s="1" t="str">
        <f t="shared" si="6"/>
        <v>12</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2448</v>
      </c>
      <c r="D439" s="1" t="s">
        <v>2449</v>
      </c>
      <c r="E439" s="1" t="s">
        <v>2450</v>
      </c>
      <c r="F439" s="1" t="s">
        <v>112</v>
      </c>
      <c r="G439" s="1">
        <v>165209</v>
      </c>
    </row>
    <row r="440" spans="1:7" x14ac:dyDescent="0.35">
      <c r="A440" s="1" t="str">
        <f t="shared" si="6"/>
        <v>12</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40" s="1" t="s">
        <v>2451</v>
      </c>
      <c r="D440" s="1" t="s">
        <v>1894</v>
      </c>
      <c r="E440" s="1" t="s">
        <v>2452</v>
      </c>
      <c r="F440" s="1" t="s">
        <v>112</v>
      </c>
      <c r="G440" s="1">
        <v>120370</v>
      </c>
    </row>
    <row r="441" spans="1:7" x14ac:dyDescent="0.35">
      <c r="A441" s="1" t="str">
        <f t="shared" si="6"/>
        <v>12</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2453</v>
      </c>
      <c r="D441" s="1" t="s">
        <v>2454</v>
      </c>
      <c r="E441" s="1" t="s">
        <v>2455</v>
      </c>
      <c r="F441" s="1" t="s">
        <v>112</v>
      </c>
      <c r="G441" s="1">
        <v>231699</v>
      </c>
    </row>
    <row r="442" spans="1:7" x14ac:dyDescent="0.35">
      <c r="A442" s="1" t="str">
        <f t="shared" si="6"/>
        <v>12</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2456</v>
      </c>
      <c r="D442" s="1" t="s">
        <v>2457</v>
      </c>
      <c r="E442" s="1" t="s">
        <v>2458</v>
      </c>
      <c r="F442" s="1" t="s">
        <v>112</v>
      </c>
      <c r="G442" s="1">
        <v>157660</v>
      </c>
    </row>
    <row r="443" spans="1:7" x14ac:dyDescent="0.35">
      <c r="A443" s="1" t="str">
        <f t="shared" si="6"/>
        <v>12</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3" s="1" t="s">
        <v>2459</v>
      </c>
      <c r="D443" s="1" t="s">
        <v>2449</v>
      </c>
      <c r="E443" s="1" t="s">
        <v>2460</v>
      </c>
      <c r="F443" s="1" t="s">
        <v>112</v>
      </c>
      <c r="G443" s="1">
        <v>155389</v>
      </c>
    </row>
    <row r="444" spans="1:7" x14ac:dyDescent="0.35">
      <c r="A444" s="1" t="str">
        <f t="shared" si="6"/>
        <v>12</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2461</v>
      </c>
      <c r="D444" s="1" t="s">
        <v>2342</v>
      </c>
      <c r="E444" s="1" t="s">
        <v>2462</v>
      </c>
      <c r="F444" s="1" t="s">
        <v>112</v>
      </c>
      <c r="G444" s="1">
        <v>237453</v>
      </c>
    </row>
    <row r="445" spans="1:7" x14ac:dyDescent="0.35">
      <c r="A445" s="1" t="str">
        <f t="shared" si="6"/>
        <v>12</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2463</v>
      </c>
      <c r="D445" s="1" t="s">
        <v>619</v>
      </c>
      <c r="E445" s="1" t="s">
        <v>1968</v>
      </c>
      <c r="F445" s="1" t="s">
        <v>112</v>
      </c>
      <c r="G445" s="1">
        <v>6165</v>
      </c>
    </row>
    <row r="446" spans="1:7" x14ac:dyDescent="0.35">
      <c r="A446" s="1" t="str">
        <f t="shared" si="6"/>
        <v>12</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6" s="1" t="s">
        <v>2464</v>
      </c>
      <c r="D446" s="1">
        <v>0</v>
      </c>
      <c r="E446" s="1">
        <v>0</v>
      </c>
      <c r="F446" s="1" t="s">
        <v>112</v>
      </c>
      <c r="G446" s="1">
        <v>0</v>
      </c>
    </row>
    <row r="447" spans="1:7" x14ac:dyDescent="0.35">
      <c r="A447" s="1" t="str">
        <f t="shared" si="6"/>
        <v>12</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2465</v>
      </c>
    </row>
    <row r="448" spans="1:7" x14ac:dyDescent="0.35">
      <c r="A448" s="1" t="str">
        <f t="shared" si="6"/>
        <v>12</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2466</v>
      </c>
      <c r="D448" s="1" t="s">
        <v>2467</v>
      </c>
      <c r="E448" s="1" t="s">
        <v>2468</v>
      </c>
      <c r="F448" s="1" t="s">
        <v>112</v>
      </c>
      <c r="G448" s="1">
        <v>453363</v>
      </c>
    </row>
    <row r="449" spans="1:8" x14ac:dyDescent="0.35">
      <c r="A449" s="1" t="str">
        <f t="shared" si="6"/>
        <v>12</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9" s="1" t="s">
        <v>2469</v>
      </c>
      <c r="D449" s="1" t="s">
        <v>484</v>
      </c>
      <c r="E449" s="1" t="s">
        <v>2470</v>
      </c>
      <c r="F449" s="1" t="s">
        <v>112</v>
      </c>
      <c r="G449" s="1">
        <v>121776</v>
      </c>
    </row>
    <row r="450" spans="1:8" x14ac:dyDescent="0.35">
      <c r="A450" s="1" t="str">
        <f t="shared" ref="A450:A513" si="7">IFERROR(LEFT(RIGHT(C450,LEN(C450)-SEARCH("@",C450)),SEARCH("/",RIGHT(C450,LEN(C450)-SEARCH("@",C450)-1))),"")</f>
        <v>12</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2471</v>
      </c>
      <c r="D450" s="1" t="s">
        <v>2472</v>
      </c>
      <c r="E450" s="1" t="s">
        <v>2473</v>
      </c>
      <c r="F450" s="1" t="s">
        <v>112</v>
      </c>
      <c r="G450" s="1">
        <v>202304</v>
      </c>
    </row>
    <row r="451" spans="1:8" x14ac:dyDescent="0.35">
      <c r="A451" s="1" t="str">
        <f t="shared" si="7"/>
        <v>12</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2474</v>
      </c>
      <c r="D451" s="1" t="s">
        <v>2475</v>
      </c>
      <c r="E451" s="1" t="s">
        <v>2476</v>
      </c>
      <c r="F451" s="1" t="s">
        <v>112</v>
      </c>
      <c r="G451" s="1">
        <v>230250</v>
      </c>
    </row>
    <row r="452" spans="1:8" x14ac:dyDescent="0.35">
      <c r="A452" s="1" t="str">
        <f t="shared" si="7"/>
        <v>12</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2" s="1" t="s">
        <v>2477</v>
      </c>
      <c r="D452" s="1" t="s">
        <v>2478</v>
      </c>
      <c r="E452" s="1" t="s">
        <v>2479</v>
      </c>
      <c r="F452" s="1" t="s">
        <v>112</v>
      </c>
      <c r="G452" s="1">
        <v>320555</v>
      </c>
    </row>
    <row r="453" spans="1:8" x14ac:dyDescent="0.35">
      <c r="A453" s="1" t="str">
        <f t="shared" si="7"/>
        <v>12</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2480</v>
      </c>
      <c r="D453" s="1" t="s">
        <v>149</v>
      </c>
      <c r="E453" s="1" t="s">
        <v>2481</v>
      </c>
      <c r="F453" s="1" t="s">
        <v>112</v>
      </c>
      <c r="G453" s="1">
        <v>186926</v>
      </c>
    </row>
    <row r="454" spans="1:8" x14ac:dyDescent="0.35">
      <c r="A454" s="1" t="str">
        <f t="shared" si="7"/>
        <v>12</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2482</v>
      </c>
      <c r="D454" s="1" t="s">
        <v>515</v>
      </c>
      <c r="E454" s="1" t="s">
        <v>2483</v>
      </c>
      <c r="F454" s="1" t="s">
        <v>112</v>
      </c>
      <c r="G454" s="1">
        <v>129952</v>
      </c>
    </row>
    <row r="455" spans="1:8" x14ac:dyDescent="0.35">
      <c r="A455" s="1" t="str">
        <f t="shared" si="7"/>
        <v>12</v>
      </c>
      <c r="B4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5" s="1" t="s">
        <v>2484</v>
      </c>
      <c r="D455" s="1" t="s">
        <v>2485</v>
      </c>
      <c r="E455" s="1" t="s">
        <v>2486</v>
      </c>
      <c r="F455" s="1" t="s">
        <v>112</v>
      </c>
      <c r="G455" s="1">
        <v>93052</v>
      </c>
    </row>
    <row r="456" spans="1:8" x14ac:dyDescent="0.3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112</v>
      </c>
    </row>
    <row r="457" spans="1:8" x14ac:dyDescent="0.35">
      <c r="A457" s="1" t="str">
        <f t="shared" si="7"/>
        <v/>
      </c>
      <c r="B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7" s="1" t="s">
        <v>227</v>
      </c>
      <c r="D457" s="1" t="s">
        <v>112</v>
      </c>
      <c r="E457" s="1" t="s">
        <v>228</v>
      </c>
      <c r="F457" s="1" t="s">
        <v>229</v>
      </c>
      <c r="G457" s="1" t="s">
        <v>230</v>
      </c>
      <c r="H457" s="1" t="s">
        <v>231</v>
      </c>
    </row>
    <row r="458" spans="1:8" x14ac:dyDescent="0.35">
      <c r="A458" s="1" t="str">
        <f t="shared" si="7"/>
        <v>12</v>
      </c>
      <c r="B4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8" s="1" t="s">
        <v>2487</v>
      </c>
      <c r="D458" s="1" t="s">
        <v>112</v>
      </c>
      <c r="E458" s="1" t="s">
        <v>2488</v>
      </c>
      <c r="F458" s="1" t="s">
        <v>2489</v>
      </c>
      <c r="G458" s="1" t="s">
        <v>2490</v>
      </c>
      <c r="H458" s="1" t="s">
        <v>2491</v>
      </c>
    </row>
    <row r="459" spans="1:8" x14ac:dyDescent="0.3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8" x14ac:dyDescent="0.3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8" x14ac:dyDescent="0.3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112</v>
      </c>
    </row>
    <row r="462" spans="1:8" x14ac:dyDescent="0.3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112</v>
      </c>
    </row>
    <row r="463" spans="1:8" x14ac:dyDescent="0.3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112</v>
      </c>
    </row>
    <row r="464" spans="1:8" x14ac:dyDescent="0.35">
      <c r="A464" s="1" t="str">
        <f t="shared" si="7"/>
        <v/>
      </c>
      <c r="B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4" s="1" t="s">
        <v>171</v>
      </c>
      <c r="D464" s="1" t="s">
        <v>110</v>
      </c>
      <c r="E464" s="1" t="s">
        <v>111</v>
      </c>
      <c r="F464" s="1" t="s">
        <v>112</v>
      </c>
      <c r="G464" s="1" t="s">
        <v>113</v>
      </c>
    </row>
    <row r="465" spans="1:7" x14ac:dyDescent="0.35">
      <c r="A465" s="1" t="str">
        <f t="shared" si="7"/>
        <v>17</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2492</v>
      </c>
      <c r="D465" s="1" t="s">
        <v>1779</v>
      </c>
      <c r="E465" s="1" t="s">
        <v>2493</v>
      </c>
      <c r="F465" s="1" t="s">
        <v>112</v>
      </c>
      <c r="G465" s="1">
        <v>2142636</v>
      </c>
    </row>
    <row r="466" spans="1:7" x14ac:dyDescent="0.35">
      <c r="A466" s="1" t="str">
        <f t="shared" si="7"/>
        <v>17</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2494</v>
      </c>
      <c r="D466" s="1" t="s">
        <v>2495</v>
      </c>
      <c r="E466" s="1" t="s">
        <v>2496</v>
      </c>
      <c r="F466" s="1" t="s">
        <v>112</v>
      </c>
      <c r="G466" s="1">
        <v>2591499</v>
      </c>
    </row>
    <row r="467" spans="1:7" x14ac:dyDescent="0.35">
      <c r="A467" s="1" t="str">
        <f t="shared" si="7"/>
        <v>17</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7" s="1" t="s">
        <v>2497</v>
      </c>
      <c r="D467" s="1" t="s">
        <v>2498</v>
      </c>
      <c r="E467" s="1" t="s">
        <v>2499</v>
      </c>
      <c r="F467" s="1" t="s">
        <v>112</v>
      </c>
      <c r="G467" s="1">
        <v>2357961</v>
      </c>
    </row>
    <row r="468" spans="1:7" x14ac:dyDescent="0.35">
      <c r="A468" s="1" t="str">
        <f t="shared" si="7"/>
        <v>17</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2500</v>
      </c>
      <c r="D468" s="1" t="s">
        <v>2501</v>
      </c>
      <c r="E468" s="1" t="s">
        <v>2502</v>
      </c>
      <c r="F468" s="1" t="s">
        <v>112</v>
      </c>
      <c r="G468" s="1">
        <v>1088914</v>
      </c>
    </row>
    <row r="469" spans="1:7" x14ac:dyDescent="0.35">
      <c r="A469" s="1" t="str">
        <f t="shared" si="7"/>
        <v>17</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2503</v>
      </c>
      <c r="D469" s="1" t="s">
        <v>2504</v>
      </c>
      <c r="E469" s="1" t="s">
        <v>2505</v>
      </c>
      <c r="F469" s="1" t="s">
        <v>112</v>
      </c>
      <c r="G469" s="1">
        <v>1588694</v>
      </c>
    </row>
    <row r="470" spans="1:7" x14ac:dyDescent="0.35">
      <c r="A470" s="1" t="str">
        <f t="shared" si="7"/>
        <v>17</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70" s="1" t="s">
        <v>2506</v>
      </c>
      <c r="D470" s="1" t="s">
        <v>2507</v>
      </c>
      <c r="E470" s="1" t="s">
        <v>2508</v>
      </c>
      <c r="F470" s="1" t="s">
        <v>112</v>
      </c>
      <c r="G470" s="1">
        <v>1037067</v>
      </c>
    </row>
    <row r="471" spans="1:7" x14ac:dyDescent="0.35">
      <c r="A471" s="1" t="str">
        <f t="shared" si="7"/>
        <v>17</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2509</v>
      </c>
      <c r="D471" s="1" t="s">
        <v>2510</v>
      </c>
      <c r="E471" s="1" t="s">
        <v>2511</v>
      </c>
      <c r="F471" s="1" t="s">
        <v>112</v>
      </c>
      <c r="G471" s="1">
        <v>3978235</v>
      </c>
    </row>
    <row r="472" spans="1:7" x14ac:dyDescent="0.35">
      <c r="A472" s="1" t="str">
        <f t="shared" si="7"/>
        <v>17</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2512</v>
      </c>
      <c r="D472" s="1" t="s">
        <v>2513</v>
      </c>
      <c r="E472" s="1" t="s">
        <v>2514</v>
      </c>
      <c r="F472" s="1" t="s">
        <v>112</v>
      </c>
      <c r="G472" s="1">
        <v>3942784</v>
      </c>
    </row>
    <row r="473" spans="1:7" x14ac:dyDescent="0.35">
      <c r="A473" s="1" t="str">
        <f t="shared" si="7"/>
        <v>17</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3" s="1" t="s">
        <v>2515</v>
      </c>
      <c r="D473" s="1" t="s">
        <v>2516</v>
      </c>
      <c r="E473" s="1" t="s">
        <v>2517</v>
      </c>
      <c r="F473" s="1" t="s">
        <v>112</v>
      </c>
      <c r="G473" s="1">
        <v>3402880</v>
      </c>
    </row>
    <row r="474" spans="1:7" x14ac:dyDescent="0.35">
      <c r="A474" s="1" t="str">
        <f t="shared" si="7"/>
        <v>17</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2518</v>
      </c>
      <c r="D474" s="1" t="s">
        <v>813</v>
      </c>
      <c r="E474" s="1" t="s">
        <v>2519</v>
      </c>
      <c r="F474" s="1" t="s">
        <v>112</v>
      </c>
      <c r="G474" s="1">
        <v>3240569</v>
      </c>
    </row>
    <row r="475" spans="1:7" x14ac:dyDescent="0.35">
      <c r="A475" s="1" t="str">
        <f t="shared" si="7"/>
        <v>17</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2520</v>
      </c>
      <c r="D475" s="1" t="s">
        <v>2521</v>
      </c>
      <c r="E475" s="1" t="s">
        <v>2522</v>
      </c>
      <c r="F475" s="1" t="s">
        <v>112</v>
      </c>
      <c r="G475" s="1">
        <v>3541895</v>
      </c>
    </row>
    <row r="476" spans="1:7" x14ac:dyDescent="0.35">
      <c r="A476" s="1" t="str">
        <f t="shared" si="7"/>
        <v>17</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6" s="1" t="s">
        <v>2523</v>
      </c>
      <c r="D476" s="1" t="s">
        <v>2524</v>
      </c>
      <c r="E476" s="1" t="s">
        <v>2525</v>
      </c>
      <c r="F476" s="1" t="s">
        <v>112</v>
      </c>
      <c r="G476" s="1">
        <v>3234707</v>
      </c>
    </row>
    <row r="477" spans="1:7" x14ac:dyDescent="0.35">
      <c r="A477" s="1" t="str">
        <f t="shared" si="7"/>
        <v>17</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2526</v>
      </c>
      <c r="D477" s="1" t="s">
        <v>2527</v>
      </c>
      <c r="E477" s="1" t="s">
        <v>2528</v>
      </c>
      <c r="F477" s="1" t="s">
        <v>112</v>
      </c>
      <c r="G477" s="1">
        <v>1123478</v>
      </c>
    </row>
    <row r="478" spans="1:7" x14ac:dyDescent="0.35">
      <c r="A478" s="1" t="str">
        <f t="shared" si="7"/>
        <v>17</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2529</v>
      </c>
      <c r="D478" s="1" t="s">
        <v>2530</v>
      </c>
      <c r="E478" s="1" t="s">
        <v>2531</v>
      </c>
      <c r="F478" s="1" t="s">
        <v>112</v>
      </c>
      <c r="G478" s="1">
        <v>1027182</v>
      </c>
    </row>
    <row r="479" spans="1:7" x14ac:dyDescent="0.35">
      <c r="A479" s="1" t="str">
        <f t="shared" si="7"/>
        <v>17</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9" s="1" t="s">
        <v>2532</v>
      </c>
      <c r="D479" s="1" t="s">
        <v>2533</v>
      </c>
      <c r="E479" s="1" t="s">
        <v>2534</v>
      </c>
      <c r="F479" s="1" t="s">
        <v>112</v>
      </c>
      <c r="G479" s="1">
        <v>1114394</v>
      </c>
    </row>
    <row r="480" spans="1:7" x14ac:dyDescent="0.35">
      <c r="A480" s="1" t="str">
        <f t="shared" si="7"/>
        <v>17</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2535</v>
      </c>
      <c r="D480" s="1" t="s">
        <v>2536</v>
      </c>
      <c r="E480" s="1" t="s">
        <v>2537</v>
      </c>
      <c r="F480" s="1" t="s">
        <v>112</v>
      </c>
      <c r="G480" s="1">
        <v>1035358</v>
      </c>
    </row>
    <row r="481" spans="1:8" x14ac:dyDescent="0.35">
      <c r="A481" s="1" t="str">
        <f t="shared" si="7"/>
        <v>17</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2538</v>
      </c>
    </row>
    <row r="482" spans="1:8" x14ac:dyDescent="0.35">
      <c r="A482" s="1" t="str">
        <f t="shared" si="7"/>
        <v>17</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2" s="1" t="s">
        <v>2539</v>
      </c>
      <c r="D482" s="1" t="s">
        <v>2540</v>
      </c>
      <c r="E482" s="1" t="s">
        <v>2541</v>
      </c>
      <c r="F482" s="1" t="s">
        <v>112</v>
      </c>
      <c r="G482" s="1">
        <v>754710</v>
      </c>
    </row>
    <row r="483" spans="1:8" x14ac:dyDescent="0.35">
      <c r="A483" s="1" t="str">
        <f t="shared" si="7"/>
        <v>17</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2542</v>
      </c>
      <c r="D483" s="1" t="s">
        <v>2543</v>
      </c>
      <c r="E483" s="1" t="s">
        <v>2544</v>
      </c>
      <c r="F483" s="1" t="s">
        <v>112</v>
      </c>
      <c r="G483" s="1">
        <v>2970606</v>
      </c>
    </row>
    <row r="484" spans="1:8" x14ac:dyDescent="0.35">
      <c r="A484" s="1" t="str">
        <f t="shared" si="7"/>
        <v>17</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2545</v>
      </c>
      <c r="D484" s="1" t="s">
        <v>2546</v>
      </c>
      <c r="E484" s="1" t="s">
        <v>2547</v>
      </c>
      <c r="F484" s="1" t="s">
        <v>112</v>
      </c>
      <c r="G484" s="1">
        <v>2892912</v>
      </c>
    </row>
    <row r="485" spans="1:8" x14ac:dyDescent="0.35">
      <c r="A485" s="1" t="str">
        <f t="shared" si="7"/>
        <v>17</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5" s="1" t="s">
        <v>2548</v>
      </c>
      <c r="D485" s="1" t="s">
        <v>2549</v>
      </c>
      <c r="E485" s="1" t="s">
        <v>2550</v>
      </c>
      <c r="F485" s="1" t="s">
        <v>112</v>
      </c>
      <c r="G485" s="1">
        <v>3849905</v>
      </c>
    </row>
    <row r="486" spans="1:8" x14ac:dyDescent="0.35">
      <c r="A486" s="1" t="str">
        <f t="shared" si="7"/>
        <v>17</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2551</v>
      </c>
      <c r="D486" s="1" t="s">
        <v>2552</v>
      </c>
      <c r="E486" s="1" t="s">
        <v>2553</v>
      </c>
      <c r="F486" s="1" t="s">
        <v>112</v>
      </c>
      <c r="G486" s="1">
        <v>1051927</v>
      </c>
    </row>
    <row r="487" spans="1:8" x14ac:dyDescent="0.35">
      <c r="A487" s="1" t="str">
        <f t="shared" si="7"/>
        <v>17</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2554</v>
      </c>
      <c r="D487" s="1" t="s">
        <v>2555</v>
      </c>
      <c r="E487" s="1" t="s">
        <v>2556</v>
      </c>
      <c r="F487" s="1" t="s">
        <v>112</v>
      </c>
      <c r="G487" s="1">
        <v>1081603</v>
      </c>
    </row>
    <row r="488" spans="1:8" x14ac:dyDescent="0.35">
      <c r="A488" s="1" t="str">
        <f t="shared" si="7"/>
        <v>17</v>
      </c>
      <c r="B4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8" s="1" t="s">
        <v>2557</v>
      </c>
      <c r="D488" s="1" t="s">
        <v>2558</v>
      </c>
      <c r="E488" s="1" t="s">
        <v>2559</v>
      </c>
      <c r="F488" s="1" t="s">
        <v>112</v>
      </c>
      <c r="G488" s="1">
        <v>1081581</v>
      </c>
    </row>
    <row r="489" spans="1:8" x14ac:dyDescent="0.3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112</v>
      </c>
    </row>
    <row r="490" spans="1:8" x14ac:dyDescent="0.35">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0" s="1" t="s">
        <v>227</v>
      </c>
      <c r="D490" s="1" t="s">
        <v>112</v>
      </c>
      <c r="E490" s="1" t="s">
        <v>228</v>
      </c>
      <c r="F490" s="1" t="s">
        <v>229</v>
      </c>
      <c r="G490" s="1" t="s">
        <v>230</v>
      </c>
      <c r="H490" s="1" t="s">
        <v>231</v>
      </c>
    </row>
    <row r="491" spans="1:8" x14ac:dyDescent="0.35">
      <c r="A491" s="1" t="str">
        <f t="shared" si="7"/>
        <v>17</v>
      </c>
      <c r="B4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1" s="1" t="s">
        <v>2560</v>
      </c>
      <c r="D491" s="1" t="s">
        <v>112</v>
      </c>
      <c r="E491" s="1" t="s">
        <v>2561</v>
      </c>
      <c r="F491" s="1" t="s">
        <v>2562</v>
      </c>
      <c r="G491" s="1" t="s">
        <v>2563</v>
      </c>
      <c r="H491" s="1" t="s">
        <v>2564</v>
      </c>
    </row>
    <row r="492" spans="1:8" x14ac:dyDescent="0.3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8" x14ac:dyDescent="0.3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8" x14ac:dyDescent="0.3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112</v>
      </c>
    </row>
    <row r="495" spans="1:8" x14ac:dyDescent="0.3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112</v>
      </c>
    </row>
    <row r="496" spans="1:8" x14ac:dyDescent="0.3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112</v>
      </c>
    </row>
    <row r="497" spans="1:7" x14ac:dyDescent="0.35">
      <c r="A497" s="1" t="str">
        <f t="shared" si="7"/>
        <v/>
      </c>
      <c r="B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7" s="1" t="s">
        <v>171</v>
      </c>
      <c r="D497" s="1" t="s">
        <v>110</v>
      </c>
      <c r="E497" s="1" t="s">
        <v>111</v>
      </c>
      <c r="F497" s="1" t="s">
        <v>112</v>
      </c>
      <c r="G497" s="1" t="s">
        <v>113</v>
      </c>
    </row>
    <row r="498" spans="1:7" x14ac:dyDescent="0.35">
      <c r="A498" s="1" t="str">
        <f t="shared" si="7"/>
        <v>18</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2565</v>
      </c>
      <c r="D498" s="1" t="s">
        <v>2566</v>
      </c>
      <c r="E498" s="1" t="s">
        <v>2567</v>
      </c>
      <c r="F498" s="1" t="s">
        <v>112</v>
      </c>
      <c r="G498" s="1">
        <v>2082332</v>
      </c>
    </row>
    <row r="499" spans="1:7" x14ac:dyDescent="0.35">
      <c r="A499" s="1" t="str">
        <f t="shared" si="7"/>
        <v>18</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2568</v>
      </c>
      <c r="D499" s="1" t="s">
        <v>2543</v>
      </c>
      <c r="E499" s="1" t="s">
        <v>2569</v>
      </c>
      <c r="F499" s="1" t="s">
        <v>112</v>
      </c>
      <c r="G499" s="1">
        <v>2775873</v>
      </c>
    </row>
    <row r="500" spans="1:7" x14ac:dyDescent="0.35">
      <c r="A500" s="1" t="str">
        <f t="shared" si="7"/>
        <v>18</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00" s="1" t="s">
        <v>2570</v>
      </c>
      <c r="D500" s="1" t="s">
        <v>2571</v>
      </c>
      <c r="E500" s="1" t="s">
        <v>2572</v>
      </c>
      <c r="F500" s="1" t="s">
        <v>112</v>
      </c>
      <c r="G500" s="1">
        <v>2177763</v>
      </c>
    </row>
    <row r="501" spans="1:7" x14ac:dyDescent="0.35">
      <c r="A501" s="1" t="str">
        <f t="shared" si="7"/>
        <v>18</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2573</v>
      </c>
    </row>
    <row r="502" spans="1:7" x14ac:dyDescent="0.35">
      <c r="A502" s="1" t="str">
        <f t="shared" si="7"/>
        <v>18</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2574</v>
      </c>
    </row>
    <row r="503" spans="1:7" x14ac:dyDescent="0.35">
      <c r="A503" s="1" t="str">
        <f t="shared" si="7"/>
        <v>18</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3" s="1" t="s">
        <v>2575</v>
      </c>
    </row>
    <row r="504" spans="1:7" x14ac:dyDescent="0.35">
      <c r="A504" s="1" t="str">
        <f t="shared" si="7"/>
        <v>18</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2576</v>
      </c>
      <c r="D504" s="1" t="s">
        <v>2566</v>
      </c>
      <c r="E504" s="1" t="s">
        <v>2577</v>
      </c>
      <c r="F504" s="1" t="s">
        <v>112</v>
      </c>
      <c r="G504" s="1">
        <v>1981817</v>
      </c>
    </row>
    <row r="505" spans="1:7" x14ac:dyDescent="0.35">
      <c r="A505" s="1" t="str">
        <f t="shared" si="7"/>
        <v>18</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2578</v>
      </c>
      <c r="D505" s="1" t="s">
        <v>2579</v>
      </c>
      <c r="E505" s="1" t="s">
        <v>2580</v>
      </c>
      <c r="F505" s="1" t="s">
        <v>112</v>
      </c>
      <c r="G505" s="1">
        <v>2478721</v>
      </c>
    </row>
    <row r="506" spans="1:7" x14ac:dyDescent="0.35">
      <c r="A506" s="1" t="str">
        <f t="shared" si="7"/>
        <v>18</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6" s="1" t="s">
        <v>2581</v>
      </c>
      <c r="D506" s="1" t="s">
        <v>2582</v>
      </c>
      <c r="E506" s="1" t="s">
        <v>2583</v>
      </c>
      <c r="F506" s="1" t="s">
        <v>112</v>
      </c>
      <c r="G506" s="1">
        <v>2252386</v>
      </c>
    </row>
    <row r="507" spans="1:7" x14ac:dyDescent="0.35">
      <c r="A507" s="1" t="str">
        <f t="shared" si="7"/>
        <v>18</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2584</v>
      </c>
      <c r="D507" s="1" t="s">
        <v>2585</v>
      </c>
      <c r="E507" s="1" t="s">
        <v>2586</v>
      </c>
      <c r="F507" s="1" t="s">
        <v>112</v>
      </c>
      <c r="G507" s="1">
        <v>450118</v>
      </c>
    </row>
    <row r="508" spans="1:7" x14ac:dyDescent="0.35">
      <c r="A508" s="1" t="str">
        <f t="shared" si="7"/>
        <v>18</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2587</v>
      </c>
      <c r="D508" s="1" t="s">
        <v>2130</v>
      </c>
      <c r="E508" s="1" t="s">
        <v>2588</v>
      </c>
      <c r="F508" s="1" t="s">
        <v>112</v>
      </c>
      <c r="G508" s="1">
        <v>460609</v>
      </c>
    </row>
    <row r="509" spans="1:7" x14ac:dyDescent="0.35">
      <c r="A509" s="1" t="str">
        <f t="shared" si="7"/>
        <v>18</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9" s="1" t="s">
        <v>2589</v>
      </c>
      <c r="D509" s="1" t="s">
        <v>1610</v>
      </c>
      <c r="E509" s="1" t="s">
        <v>2590</v>
      </c>
      <c r="F509" s="1" t="s">
        <v>112</v>
      </c>
      <c r="G509" s="1">
        <v>222312</v>
      </c>
    </row>
    <row r="510" spans="1:7" x14ac:dyDescent="0.35">
      <c r="A510" s="1" t="str">
        <f t="shared" si="7"/>
        <v>18</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2591</v>
      </c>
      <c r="D510" s="1" t="s">
        <v>2592</v>
      </c>
      <c r="E510" s="1" t="s">
        <v>2593</v>
      </c>
      <c r="F510" s="1" t="s">
        <v>112</v>
      </c>
      <c r="G510" s="1">
        <v>1102930</v>
      </c>
    </row>
    <row r="511" spans="1:7" x14ac:dyDescent="0.35">
      <c r="A511" s="1" t="str">
        <f t="shared" si="7"/>
        <v>18</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2594</v>
      </c>
      <c r="D511" s="1" t="s">
        <v>340</v>
      </c>
      <c r="E511" s="1" t="s">
        <v>2595</v>
      </c>
      <c r="F511" s="1" t="s">
        <v>112</v>
      </c>
      <c r="G511" s="1">
        <v>982689</v>
      </c>
    </row>
    <row r="512" spans="1:7" x14ac:dyDescent="0.35">
      <c r="A512" s="1" t="str">
        <f t="shared" si="7"/>
        <v>18</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2" s="1" t="s">
        <v>2596</v>
      </c>
      <c r="D512" s="1" t="s">
        <v>2597</v>
      </c>
      <c r="E512" s="1" t="s">
        <v>2598</v>
      </c>
      <c r="F512" s="1" t="s">
        <v>112</v>
      </c>
      <c r="G512" s="1">
        <v>986150</v>
      </c>
    </row>
    <row r="513" spans="1:8" x14ac:dyDescent="0.35">
      <c r="A513" s="1" t="str">
        <f t="shared" si="7"/>
        <v>18</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2599</v>
      </c>
      <c r="D513" s="1" t="s">
        <v>2600</v>
      </c>
      <c r="E513" s="1" t="s">
        <v>2601</v>
      </c>
      <c r="F513" s="1" t="s">
        <v>112</v>
      </c>
      <c r="G513" s="1">
        <v>252291</v>
      </c>
    </row>
    <row r="514" spans="1:8" x14ac:dyDescent="0.35">
      <c r="A514" s="1" t="str">
        <f t="shared" ref="A514:A577" si="8">IFERROR(LEFT(RIGHT(C514,LEN(C514)-SEARCH("@",C514)),SEARCH("/",RIGHT(C514,LEN(C514)-SEARCH("@",C514)-1))),"")</f>
        <v>18</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2602</v>
      </c>
      <c r="D514" s="1" t="s">
        <v>1468</v>
      </c>
      <c r="E514" s="1" t="s">
        <v>2603</v>
      </c>
      <c r="F514" s="1" t="s">
        <v>112</v>
      </c>
      <c r="G514" s="1">
        <v>220603</v>
      </c>
    </row>
    <row r="515" spans="1:8" x14ac:dyDescent="0.35">
      <c r="A515" s="1" t="str">
        <f t="shared" si="8"/>
        <v>18</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5" s="1" t="s">
        <v>2604</v>
      </c>
      <c r="D515" s="1" t="s">
        <v>2605</v>
      </c>
      <c r="E515" s="1" t="s">
        <v>2606</v>
      </c>
      <c r="F515" s="1" t="s">
        <v>112</v>
      </c>
      <c r="G515" s="1">
        <v>174186</v>
      </c>
    </row>
    <row r="516" spans="1:8" x14ac:dyDescent="0.35">
      <c r="A516" s="1" t="str">
        <f t="shared" si="8"/>
        <v>18</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2607</v>
      </c>
      <c r="D516" s="1" t="s">
        <v>2608</v>
      </c>
      <c r="E516" s="1" t="s">
        <v>2609</v>
      </c>
      <c r="F516" s="1" t="s">
        <v>112</v>
      </c>
      <c r="G516" s="1">
        <v>2519883</v>
      </c>
    </row>
    <row r="517" spans="1:8" x14ac:dyDescent="0.35">
      <c r="A517" s="1" t="str">
        <f t="shared" si="8"/>
        <v>18</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2610</v>
      </c>
      <c r="D517" s="1" t="s">
        <v>2611</v>
      </c>
      <c r="E517" s="1" t="s">
        <v>2612</v>
      </c>
      <c r="F517" s="1" t="s">
        <v>112</v>
      </c>
      <c r="G517" s="1">
        <v>2605494</v>
      </c>
    </row>
    <row r="518" spans="1:8" x14ac:dyDescent="0.35">
      <c r="A518" s="1" t="str">
        <f t="shared" si="8"/>
        <v>18</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8" s="1" t="s">
        <v>2613</v>
      </c>
      <c r="D518" s="1" t="s">
        <v>2614</v>
      </c>
      <c r="E518" s="1" t="s">
        <v>2615</v>
      </c>
      <c r="F518" s="1" t="s">
        <v>112</v>
      </c>
      <c r="G518" s="1">
        <v>2617931</v>
      </c>
    </row>
    <row r="519" spans="1:8" x14ac:dyDescent="0.35">
      <c r="A519" s="1" t="str">
        <f t="shared" si="8"/>
        <v>18</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2616</v>
      </c>
      <c r="D519" s="1" t="s">
        <v>2617</v>
      </c>
      <c r="E519" s="1" t="s">
        <v>2618</v>
      </c>
      <c r="F519" s="1" t="s">
        <v>112</v>
      </c>
      <c r="G519" s="1">
        <v>2091459</v>
      </c>
    </row>
    <row r="520" spans="1:8" x14ac:dyDescent="0.35">
      <c r="A520" s="1" t="str">
        <f t="shared" si="8"/>
        <v>18</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2619</v>
      </c>
      <c r="D520" s="1" t="s">
        <v>2620</v>
      </c>
      <c r="E520" s="1" t="s">
        <v>2621</v>
      </c>
      <c r="F520" s="1" t="s">
        <v>112</v>
      </c>
      <c r="G520" s="1">
        <v>1707961</v>
      </c>
    </row>
    <row r="521" spans="1:8" x14ac:dyDescent="0.35">
      <c r="A521" s="1" t="str">
        <f t="shared" si="8"/>
        <v>18</v>
      </c>
      <c r="B5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1" s="1" t="s">
        <v>2622</v>
      </c>
      <c r="D521" s="1" t="s">
        <v>2623</v>
      </c>
      <c r="E521" s="1" t="s">
        <v>2624</v>
      </c>
      <c r="F521" s="1" t="s">
        <v>112</v>
      </c>
      <c r="G521" s="1">
        <v>2455837</v>
      </c>
    </row>
    <row r="522" spans="1:8" x14ac:dyDescent="0.3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112</v>
      </c>
    </row>
    <row r="523" spans="1:8" x14ac:dyDescent="0.35">
      <c r="A523" s="1" t="str">
        <f t="shared" si="8"/>
        <v/>
      </c>
      <c r="B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3" s="1" t="s">
        <v>227</v>
      </c>
      <c r="D523" s="1" t="s">
        <v>112</v>
      </c>
      <c r="E523" s="1" t="s">
        <v>228</v>
      </c>
      <c r="F523" s="1" t="s">
        <v>229</v>
      </c>
      <c r="G523" s="1" t="s">
        <v>230</v>
      </c>
      <c r="H523" s="1" t="s">
        <v>231</v>
      </c>
    </row>
    <row r="524" spans="1:8" x14ac:dyDescent="0.35">
      <c r="A524" s="1" t="str">
        <f t="shared" si="8"/>
        <v>18</v>
      </c>
      <c r="B5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4" s="1" t="s">
        <v>2625</v>
      </c>
      <c r="D524" s="1" t="s">
        <v>112</v>
      </c>
      <c r="E524" s="1" t="s">
        <v>2626</v>
      </c>
      <c r="F524" s="1" t="s">
        <v>2627</v>
      </c>
      <c r="G524" s="1" t="s">
        <v>2628</v>
      </c>
      <c r="H524" s="1" t="s">
        <v>2629</v>
      </c>
    </row>
    <row r="525" spans="1:8" x14ac:dyDescent="0.3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8" x14ac:dyDescent="0.3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8" x14ac:dyDescent="0.3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8" x14ac:dyDescent="0.3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112</v>
      </c>
    </row>
    <row r="529" spans="1:7" x14ac:dyDescent="0.3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112</v>
      </c>
    </row>
    <row r="530" spans="1:7" x14ac:dyDescent="0.35">
      <c r="A530" s="1" t="str">
        <f t="shared" si="8"/>
        <v/>
      </c>
      <c r="B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30" s="1" t="s">
        <v>171</v>
      </c>
      <c r="D530" s="1" t="s">
        <v>110</v>
      </c>
      <c r="E530" s="1" t="s">
        <v>111</v>
      </c>
      <c r="F530" s="1" t="s">
        <v>112</v>
      </c>
      <c r="G530" s="1" t="s">
        <v>113</v>
      </c>
    </row>
    <row r="531" spans="1:7" x14ac:dyDescent="0.35">
      <c r="A531" s="1" t="str">
        <f t="shared" si="8"/>
        <v>19</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2630</v>
      </c>
    </row>
    <row r="532" spans="1:7" x14ac:dyDescent="0.35">
      <c r="A532" s="1" t="str">
        <f t="shared" si="8"/>
        <v>19</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2631</v>
      </c>
    </row>
    <row r="533" spans="1:7" x14ac:dyDescent="0.35">
      <c r="A533" s="1" t="str">
        <f t="shared" si="8"/>
        <v>19</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3" s="1" t="s">
        <v>2632</v>
      </c>
    </row>
    <row r="534" spans="1:7" x14ac:dyDescent="0.35">
      <c r="A534" s="1" t="str">
        <f t="shared" si="8"/>
        <v>19</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2633</v>
      </c>
      <c r="D534" s="1" t="s">
        <v>2634</v>
      </c>
      <c r="E534" s="1" t="s">
        <v>2635</v>
      </c>
      <c r="F534" s="1" t="s">
        <v>112</v>
      </c>
      <c r="G534" s="1">
        <v>850747</v>
      </c>
    </row>
    <row r="535" spans="1:7" x14ac:dyDescent="0.35">
      <c r="A535" s="1" t="str">
        <f t="shared" si="8"/>
        <v>19</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2636</v>
      </c>
      <c r="D535" s="1" t="s">
        <v>2637</v>
      </c>
      <c r="E535" s="1" t="s">
        <v>2638</v>
      </c>
      <c r="F535" s="1" t="s">
        <v>112</v>
      </c>
      <c r="G535" s="1">
        <v>1207943</v>
      </c>
    </row>
    <row r="536" spans="1:7" x14ac:dyDescent="0.35">
      <c r="A536" s="1" t="str">
        <f t="shared" si="8"/>
        <v>19</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6" s="1" t="s">
        <v>2639</v>
      </c>
      <c r="D536" s="1" t="s">
        <v>2640</v>
      </c>
      <c r="E536" s="1" t="s">
        <v>2641</v>
      </c>
      <c r="F536" s="1" t="s">
        <v>112</v>
      </c>
      <c r="G536" s="1">
        <v>921801</v>
      </c>
    </row>
    <row r="537" spans="1:7" x14ac:dyDescent="0.35">
      <c r="A537" s="1" t="str">
        <f t="shared" si="8"/>
        <v>19</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2642</v>
      </c>
      <c r="D537" s="1" t="s">
        <v>2643</v>
      </c>
      <c r="E537" s="1" t="s">
        <v>2644</v>
      </c>
      <c r="F537" s="1" t="s">
        <v>112</v>
      </c>
      <c r="G537" s="1">
        <v>3517389</v>
      </c>
    </row>
    <row r="538" spans="1:7" x14ac:dyDescent="0.35">
      <c r="A538" s="1" t="str">
        <f t="shared" si="8"/>
        <v>19</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2645</v>
      </c>
      <c r="D538" s="1" t="s">
        <v>2646</v>
      </c>
      <c r="E538" s="1" t="s">
        <v>2647</v>
      </c>
      <c r="F538" s="1" t="s">
        <v>112</v>
      </c>
      <c r="G538" s="1">
        <v>3481959</v>
      </c>
    </row>
    <row r="539" spans="1:7" x14ac:dyDescent="0.35">
      <c r="A539" s="1" t="str">
        <f t="shared" si="8"/>
        <v>19</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9" s="1" t="s">
        <v>2648</v>
      </c>
      <c r="D539" s="1" t="s">
        <v>2649</v>
      </c>
      <c r="E539" s="1" t="s">
        <v>2650</v>
      </c>
      <c r="F539" s="1" t="s">
        <v>112</v>
      </c>
      <c r="G539" s="1">
        <v>2820928</v>
      </c>
    </row>
    <row r="540" spans="1:7" x14ac:dyDescent="0.35">
      <c r="A540" s="1" t="str">
        <f t="shared" si="8"/>
        <v>19</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2651</v>
      </c>
      <c r="D540" s="1" t="s">
        <v>2652</v>
      </c>
      <c r="E540" s="1" t="s">
        <v>2653</v>
      </c>
      <c r="F540" s="1" t="s">
        <v>112</v>
      </c>
      <c r="G540" s="1">
        <v>127141</v>
      </c>
    </row>
    <row r="541" spans="1:7" x14ac:dyDescent="0.35">
      <c r="A541" s="1" t="str">
        <f t="shared" si="8"/>
        <v>19</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2654</v>
      </c>
      <c r="D541" s="1" t="s">
        <v>2475</v>
      </c>
      <c r="E541" s="1" t="s">
        <v>2655</v>
      </c>
      <c r="F541" s="1" t="s">
        <v>112</v>
      </c>
      <c r="G541" s="1">
        <v>182167</v>
      </c>
    </row>
    <row r="542" spans="1:7" x14ac:dyDescent="0.35">
      <c r="A542" s="1" t="str">
        <f t="shared" si="8"/>
        <v>19</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2" s="1" t="s">
        <v>2656</v>
      </c>
      <c r="D542" s="1" t="s">
        <v>1954</v>
      </c>
      <c r="E542" s="1" t="s">
        <v>2657</v>
      </c>
      <c r="F542" s="1" t="s">
        <v>112</v>
      </c>
      <c r="G542" s="1">
        <v>273315</v>
      </c>
    </row>
    <row r="543" spans="1:7" x14ac:dyDescent="0.35">
      <c r="A543" s="1" t="str">
        <f t="shared" si="8"/>
        <v>19</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2658</v>
      </c>
    </row>
    <row r="544" spans="1:7" x14ac:dyDescent="0.35">
      <c r="A544" s="1" t="str">
        <f t="shared" si="8"/>
        <v>19</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2659</v>
      </c>
    </row>
    <row r="545" spans="1:8" x14ac:dyDescent="0.35">
      <c r="A545" s="1" t="str">
        <f t="shared" si="8"/>
        <v>19</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5" s="1" t="s">
        <v>2660</v>
      </c>
    </row>
    <row r="546" spans="1:8" x14ac:dyDescent="0.35">
      <c r="A546" s="1" t="str">
        <f t="shared" si="8"/>
        <v>19</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2661</v>
      </c>
      <c r="D546" s="1" t="s">
        <v>2197</v>
      </c>
      <c r="E546" s="1" t="s">
        <v>2662</v>
      </c>
      <c r="F546" s="1" t="s">
        <v>112</v>
      </c>
      <c r="G546" s="1">
        <v>1847561</v>
      </c>
    </row>
    <row r="547" spans="1:8" x14ac:dyDescent="0.35">
      <c r="A547" s="1" t="str">
        <f t="shared" si="8"/>
        <v>19</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2663</v>
      </c>
      <c r="D547" s="1" t="s">
        <v>2664</v>
      </c>
      <c r="E547" s="1" t="s">
        <v>2665</v>
      </c>
      <c r="F547" s="1" t="s">
        <v>112</v>
      </c>
      <c r="G547" s="1">
        <v>1753254</v>
      </c>
    </row>
    <row r="548" spans="1:8" x14ac:dyDescent="0.35">
      <c r="A548" s="1" t="str">
        <f t="shared" si="8"/>
        <v>19</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8" s="1" t="s">
        <v>2666</v>
      </c>
      <c r="D548" s="1" t="s">
        <v>2667</v>
      </c>
      <c r="E548" s="1" t="s">
        <v>2668</v>
      </c>
      <c r="F548" s="1" t="s">
        <v>112</v>
      </c>
      <c r="G548" s="1">
        <v>1861296</v>
      </c>
    </row>
    <row r="549" spans="1:8" x14ac:dyDescent="0.35">
      <c r="A549" s="1" t="str">
        <f t="shared" si="8"/>
        <v>19</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2669</v>
      </c>
      <c r="D549" s="1" t="s">
        <v>2670</v>
      </c>
      <c r="E549" s="1" t="s">
        <v>2671</v>
      </c>
      <c r="F549" s="1" t="s">
        <v>112</v>
      </c>
      <c r="G549" s="1">
        <v>1307397</v>
      </c>
    </row>
    <row r="550" spans="1:8" x14ac:dyDescent="0.35">
      <c r="A550" s="1" t="str">
        <f t="shared" si="8"/>
        <v>19</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2672</v>
      </c>
      <c r="D550" s="1" t="s">
        <v>2673</v>
      </c>
      <c r="E550" s="1" t="s">
        <v>2674</v>
      </c>
      <c r="F550" s="1" t="s">
        <v>112</v>
      </c>
      <c r="G550" s="1">
        <v>1770018</v>
      </c>
    </row>
    <row r="551" spans="1:8" x14ac:dyDescent="0.35">
      <c r="A551" s="1" t="str">
        <f t="shared" si="8"/>
        <v>19</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1" s="1" t="s">
        <v>2675</v>
      </c>
      <c r="D551" s="1" t="s">
        <v>2676</v>
      </c>
      <c r="E551" s="1" t="s">
        <v>2677</v>
      </c>
      <c r="F551" s="1" t="s">
        <v>112</v>
      </c>
      <c r="G551" s="1">
        <v>1791301</v>
      </c>
    </row>
    <row r="552" spans="1:8" x14ac:dyDescent="0.35">
      <c r="A552" s="1" t="str">
        <f t="shared" si="8"/>
        <v>19</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2678</v>
      </c>
      <c r="D552" s="1" t="s">
        <v>2679</v>
      </c>
      <c r="E552" s="1" t="s">
        <v>2680</v>
      </c>
      <c r="F552" s="1" t="s">
        <v>112</v>
      </c>
      <c r="G552" s="1">
        <v>383065</v>
      </c>
    </row>
    <row r="553" spans="1:8" x14ac:dyDescent="0.35">
      <c r="A553" s="1" t="str">
        <f t="shared" si="8"/>
        <v>19</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2681</v>
      </c>
      <c r="D553" s="1" t="s">
        <v>2682</v>
      </c>
      <c r="E553" s="1" t="s">
        <v>2683</v>
      </c>
      <c r="F553" s="1" t="s">
        <v>112</v>
      </c>
      <c r="G553" s="1">
        <v>438568</v>
      </c>
    </row>
    <row r="554" spans="1:8" x14ac:dyDescent="0.35">
      <c r="A554" s="1" t="str">
        <f t="shared" si="8"/>
        <v>19</v>
      </c>
      <c r="B5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4" s="1" t="s">
        <v>2684</v>
      </c>
      <c r="D554" s="1" t="s">
        <v>1047</v>
      </c>
      <c r="E554" s="1" t="s">
        <v>2685</v>
      </c>
      <c r="F554" s="1" t="s">
        <v>112</v>
      </c>
      <c r="G554" s="1">
        <v>268514</v>
      </c>
    </row>
    <row r="555" spans="1:8" x14ac:dyDescent="0.3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112</v>
      </c>
    </row>
    <row r="556" spans="1:8" x14ac:dyDescent="0.35">
      <c r="A556" s="1" t="str">
        <f t="shared" si="8"/>
        <v/>
      </c>
      <c r="B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6" s="1" t="s">
        <v>227</v>
      </c>
      <c r="D556" s="1" t="s">
        <v>112</v>
      </c>
      <c r="E556" s="1" t="s">
        <v>228</v>
      </c>
      <c r="F556" s="1" t="s">
        <v>229</v>
      </c>
      <c r="G556" s="1" t="s">
        <v>230</v>
      </c>
      <c r="H556" s="1" t="s">
        <v>231</v>
      </c>
    </row>
    <row r="557" spans="1:8" x14ac:dyDescent="0.35">
      <c r="A557" s="1" t="str">
        <f t="shared" si="8"/>
        <v>19</v>
      </c>
      <c r="B5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7" s="1" t="s">
        <v>2686</v>
      </c>
      <c r="D557" s="1" t="s">
        <v>112</v>
      </c>
      <c r="E557" s="1" t="s">
        <v>2687</v>
      </c>
      <c r="F557" s="1" t="s">
        <v>2688</v>
      </c>
      <c r="G557" s="1" t="s">
        <v>2689</v>
      </c>
      <c r="H557" s="1" t="s">
        <v>2690</v>
      </c>
    </row>
    <row r="558" spans="1:8" x14ac:dyDescent="0.3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8" x14ac:dyDescent="0.3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8" x14ac:dyDescent="0.3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112</v>
      </c>
    </row>
    <row r="561" spans="1:7" x14ac:dyDescent="0.3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112</v>
      </c>
    </row>
    <row r="562" spans="1:7" x14ac:dyDescent="0.3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112</v>
      </c>
    </row>
    <row r="563" spans="1:7" x14ac:dyDescent="0.35">
      <c r="A563" s="1" t="str">
        <f t="shared" si="8"/>
        <v/>
      </c>
      <c r="B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3" s="1" t="s">
        <v>171</v>
      </c>
      <c r="D563" s="1" t="s">
        <v>110</v>
      </c>
      <c r="E563" s="1" t="s">
        <v>111</v>
      </c>
      <c r="F563" s="1" t="s">
        <v>112</v>
      </c>
      <c r="G563" s="1" t="s">
        <v>113</v>
      </c>
    </row>
    <row r="564" spans="1:7" x14ac:dyDescent="0.35">
      <c r="A564" s="1" t="str">
        <f t="shared" si="8"/>
        <v>20</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2691</v>
      </c>
      <c r="D564" s="1" t="s">
        <v>2692</v>
      </c>
      <c r="E564" s="1" t="s">
        <v>2693</v>
      </c>
      <c r="F564" s="1" t="s">
        <v>112</v>
      </c>
      <c r="G564" s="1">
        <v>1906437</v>
      </c>
    </row>
    <row r="565" spans="1:7" x14ac:dyDescent="0.35">
      <c r="A565" s="1" t="str">
        <f t="shared" si="8"/>
        <v>20</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2694</v>
      </c>
      <c r="D565" s="1" t="s">
        <v>2695</v>
      </c>
      <c r="E565" s="1" t="s">
        <v>2696</v>
      </c>
      <c r="F565" s="1" t="s">
        <v>112</v>
      </c>
      <c r="G565" s="1">
        <v>1927418</v>
      </c>
    </row>
    <row r="566" spans="1:7" x14ac:dyDescent="0.35">
      <c r="A566" s="1" t="str">
        <f t="shared" si="8"/>
        <v>20</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6" s="1" t="s">
        <v>2697</v>
      </c>
      <c r="D566" s="1" t="s">
        <v>2698</v>
      </c>
      <c r="E566" s="1" t="s">
        <v>2699</v>
      </c>
      <c r="F566" s="1" t="s">
        <v>112</v>
      </c>
      <c r="G566" s="1">
        <v>2138613</v>
      </c>
    </row>
    <row r="567" spans="1:7" x14ac:dyDescent="0.35">
      <c r="A567" s="1" t="str">
        <f t="shared" si="8"/>
        <v>20</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2700</v>
      </c>
      <c r="D567" s="1" t="s">
        <v>2701</v>
      </c>
      <c r="E567" s="1" t="s">
        <v>2702</v>
      </c>
      <c r="F567" s="1" t="s">
        <v>112</v>
      </c>
      <c r="G567" s="1">
        <v>77781</v>
      </c>
    </row>
    <row r="568" spans="1:7" x14ac:dyDescent="0.35">
      <c r="A568" s="1" t="str">
        <f t="shared" si="8"/>
        <v>20</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2703</v>
      </c>
      <c r="D568" s="1" t="s">
        <v>2704</v>
      </c>
      <c r="E568" s="1" t="s">
        <v>2705</v>
      </c>
      <c r="F568" s="1" t="s">
        <v>112</v>
      </c>
      <c r="G568" s="1">
        <v>135771</v>
      </c>
    </row>
    <row r="569" spans="1:7" x14ac:dyDescent="0.35">
      <c r="A569" s="1" t="str">
        <f t="shared" si="8"/>
        <v>20</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9" s="1" t="s">
        <v>2706</v>
      </c>
      <c r="D569" s="1" t="s">
        <v>2707</v>
      </c>
      <c r="E569" s="1" t="s">
        <v>2708</v>
      </c>
      <c r="F569" s="1" t="s">
        <v>112</v>
      </c>
      <c r="G569" s="1">
        <v>12805</v>
      </c>
    </row>
    <row r="570" spans="1:7" x14ac:dyDescent="0.35">
      <c r="A570" s="1" t="str">
        <f t="shared" si="8"/>
        <v>20</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2709</v>
      </c>
      <c r="D570" s="1" t="s">
        <v>2710</v>
      </c>
      <c r="E570" s="1" t="s">
        <v>2711</v>
      </c>
      <c r="F570" s="1" t="s">
        <v>112</v>
      </c>
      <c r="G570" s="1">
        <v>864049</v>
      </c>
    </row>
    <row r="571" spans="1:7" x14ac:dyDescent="0.35">
      <c r="A571" s="1" t="str">
        <f t="shared" si="8"/>
        <v>20</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2712</v>
      </c>
      <c r="D571" s="1" t="s">
        <v>2713</v>
      </c>
      <c r="E571" s="1" t="s">
        <v>2714</v>
      </c>
      <c r="F571" s="1" t="s">
        <v>112</v>
      </c>
      <c r="G571" s="1">
        <v>1085064</v>
      </c>
    </row>
    <row r="572" spans="1:7" x14ac:dyDescent="0.35">
      <c r="A572" s="1" t="str">
        <f t="shared" si="8"/>
        <v>20</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2" s="1" t="s">
        <v>2715</v>
      </c>
      <c r="D572" s="1" t="s">
        <v>2716</v>
      </c>
      <c r="E572" s="1" t="s">
        <v>2717</v>
      </c>
      <c r="F572" s="1" t="s">
        <v>112</v>
      </c>
      <c r="G572" s="1">
        <v>1405338</v>
      </c>
    </row>
    <row r="573" spans="1:7" x14ac:dyDescent="0.35">
      <c r="A573" s="1" t="str">
        <f t="shared" si="8"/>
        <v>20</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2718</v>
      </c>
      <c r="D573" s="1" t="s">
        <v>2719</v>
      </c>
      <c r="E573" s="1" t="s">
        <v>2720</v>
      </c>
      <c r="F573" s="1" t="s">
        <v>112</v>
      </c>
      <c r="G573" s="1">
        <v>351053</v>
      </c>
    </row>
    <row r="574" spans="1:7" x14ac:dyDescent="0.35">
      <c r="A574" s="1" t="str">
        <f t="shared" si="8"/>
        <v>20</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2721</v>
      </c>
      <c r="D574" s="1" t="s">
        <v>467</v>
      </c>
      <c r="E574" s="1" t="s">
        <v>2722</v>
      </c>
      <c r="F574" s="1" t="s">
        <v>112</v>
      </c>
      <c r="G574" s="1">
        <v>177560</v>
      </c>
    </row>
    <row r="575" spans="1:7" x14ac:dyDescent="0.35">
      <c r="A575" s="1" t="str">
        <f t="shared" si="8"/>
        <v>20</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5" s="1" t="s">
        <v>2723</v>
      </c>
      <c r="D575" s="1" t="s">
        <v>2724</v>
      </c>
      <c r="E575" s="1" t="s">
        <v>2725</v>
      </c>
      <c r="F575" s="1" t="s">
        <v>112</v>
      </c>
      <c r="G575" s="1">
        <v>905211</v>
      </c>
    </row>
    <row r="576" spans="1:7" x14ac:dyDescent="0.35">
      <c r="A576" s="1" t="str">
        <f t="shared" si="8"/>
        <v>20</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2726</v>
      </c>
      <c r="D576" s="1" t="s">
        <v>2727</v>
      </c>
      <c r="E576" s="1" t="s">
        <v>2728</v>
      </c>
      <c r="F576" s="1" t="s">
        <v>112</v>
      </c>
      <c r="G576" s="1">
        <v>1756867</v>
      </c>
    </row>
    <row r="577" spans="1:8" x14ac:dyDescent="0.35">
      <c r="A577" s="1" t="str">
        <f t="shared" si="8"/>
        <v>20</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2729</v>
      </c>
      <c r="D577" s="1" t="s">
        <v>2730</v>
      </c>
      <c r="E577" s="1" t="s">
        <v>2731</v>
      </c>
      <c r="F577" s="1" t="s">
        <v>112</v>
      </c>
      <c r="G577" s="1">
        <v>1604397</v>
      </c>
    </row>
    <row r="578" spans="1:8" x14ac:dyDescent="0.35">
      <c r="A578" s="1" t="str">
        <f t="shared" ref="A578:A641" si="9">IFERROR(LEFT(RIGHT(C578,LEN(C578)-SEARCH("@",C578)),SEARCH("/",RIGHT(C578,LEN(C578)-SEARCH("@",C578)-1))),"")</f>
        <v>20</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8" s="1" t="s">
        <v>2732</v>
      </c>
      <c r="D578" s="1" t="s">
        <v>2733</v>
      </c>
      <c r="E578" s="1" t="s">
        <v>2734</v>
      </c>
      <c r="F578" s="1" t="s">
        <v>112</v>
      </c>
      <c r="G578" s="1">
        <v>2243258</v>
      </c>
    </row>
    <row r="579" spans="1:8" x14ac:dyDescent="0.35">
      <c r="A579" s="1" t="str">
        <f t="shared" si="9"/>
        <v>20</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2735</v>
      </c>
    </row>
    <row r="580" spans="1:8" x14ac:dyDescent="0.35">
      <c r="A580" s="1" t="str">
        <f t="shared" si="9"/>
        <v>20</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2736</v>
      </c>
      <c r="D580" s="1" t="s">
        <v>2737</v>
      </c>
      <c r="E580" s="1" t="s">
        <v>2738</v>
      </c>
      <c r="F580" s="1" t="s">
        <v>112</v>
      </c>
      <c r="G580" s="1">
        <v>1719187</v>
      </c>
    </row>
    <row r="581" spans="1:8" x14ac:dyDescent="0.35">
      <c r="A581" s="1" t="str">
        <f t="shared" si="9"/>
        <v>20</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1" s="1" t="s">
        <v>2739</v>
      </c>
      <c r="D581" s="1" t="s">
        <v>2740</v>
      </c>
      <c r="E581" s="1" t="s">
        <v>2741</v>
      </c>
      <c r="F581" s="1" t="s">
        <v>112</v>
      </c>
      <c r="G581" s="1">
        <v>920590</v>
      </c>
    </row>
    <row r="582" spans="1:8" x14ac:dyDescent="0.35">
      <c r="A582" s="1" t="str">
        <f t="shared" si="9"/>
        <v>20</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2742</v>
      </c>
      <c r="D582" s="1" t="s">
        <v>2743</v>
      </c>
      <c r="E582" s="1" t="s">
        <v>2744</v>
      </c>
      <c r="F582" s="1" t="s">
        <v>112</v>
      </c>
      <c r="G582" s="1">
        <v>606956</v>
      </c>
    </row>
    <row r="583" spans="1:8" x14ac:dyDescent="0.35">
      <c r="A583" s="1" t="str">
        <f t="shared" si="9"/>
        <v>20</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2745</v>
      </c>
      <c r="D583" s="1" t="s">
        <v>2746</v>
      </c>
      <c r="E583" s="1" t="s">
        <v>2747</v>
      </c>
      <c r="F583" s="1" t="s">
        <v>112</v>
      </c>
      <c r="G583" s="1">
        <v>856349</v>
      </c>
    </row>
    <row r="584" spans="1:8" x14ac:dyDescent="0.35">
      <c r="A584" s="1" t="str">
        <f t="shared" si="9"/>
        <v>20</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4" s="1" t="s">
        <v>2748</v>
      </c>
      <c r="D584" s="1" t="s">
        <v>2749</v>
      </c>
      <c r="E584" s="1" t="s">
        <v>2750</v>
      </c>
      <c r="F584" s="1" t="s">
        <v>112</v>
      </c>
      <c r="G584" s="1">
        <v>913019</v>
      </c>
    </row>
    <row r="585" spans="1:8" x14ac:dyDescent="0.35">
      <c r="A585" s="1" t="str">
        <f t="shared" si="9"/>
        <v>20</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2751</v>
      </c>
      <c r="D585" s="1" t="s">
        <v>2752</v>
      </c>
      <c r="E585" s="1" t="s">
        <v>2753</v>
      </c>
      <c r="F585" s="1" t="s">
        <v>112</v>
      </c>
      <c r="G585" s="1">
        <v>2059663</v>
      </c>
    </row>
    <row r="586" spans="1:8" x14ac:dyDescent="0.35">
      <c r="A586" s="1" t="str">
        <f t="shared" si="9"/>
        <v>20</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2754</v>
      </c>
      <c r="D586" s="1" t="s">
        <v>2755</v>
      </c>
      <c r="E586" s="1" t="s">
        <v>2756</v>
      </c>
      <c r="F586" s="1" t="s">
        <v>112</v>
      </c>
      <c r="G586" s="1">
        <v>2140949</v>
      </c>
    </row>
    <row r="587" spans="1:8" x14ac:dyDescent="0.35">
      <c r="A587" s="1" t="str">
        <f t="shared" si="9"/>
        <v>20</v>
      </c>
      <c r="B5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7" s="1" t="s">
        <v>2757</v>
      </c>
      <c r="D587" s="1" t="s">
        <v>2758</v>
      </c>
      <c r="E587" s="1" t="s">
        <v>2759</v>
      </c>
      <c r="F587" s="1" t="s">
        <v>112</v>
      </c>
      <c r="G587" s="1">
        <v>1859587</v>
      </c>
    </row>
    <row r="588" spans="1:8" x14ac:dyDescent="0.3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112</v>
      </c>
    </row>
    <row r="589" spans="1:8" x14ac:dyDescent="0.35">
      <c r="A589" s="1" t="str">
        <f t="shared" si="9"/>
        <v/>
      </c>
      <c r="B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9" s="1" t="s">
        <v>227</v>
      </c>
      <c r="D589" s="1" t="s">
        <v>112</v>
      </c>
      <c r="E589" s="1" t="s">
        <v>228</v>
      </c>
      <c r="F589" s="1" t="s">
        <v>229</v>
      </c>
      <c r="G589" s="1" t="s">
        <v>230</v>
      </c>
      <c r="H589" s="1" t="s">
        <v>231</v>
      </c>
    </row>
    <row r="590" spans="1:8" x14ac:dyDescent="0.35">
      <c r="A590" s="1" t="str">
        <f t="shared" si="9"/>
        <v>20</v>
      </c>
      <c r="B5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90" s="1" t="s">
        <v>2760</v>
      </c>
      <c r="D590" s="1" t="s">
        <v>112</v>
      </c>
      <c r="E590" s="1" t="s">
        <v>2761</v>
      </c>
      <c r="F590" s="1" t="s">
        <v>2762</v>
      </c>
      <c r="G590" s="1" t="s">
        <v>2763</v>
      </c>
      <c r="H590" s="1" t="s">
        <v>2764</v>
      </c>
    </row>
    <row r="591" spans="1:8" x14ac:dyDescent="0.3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8" x14ac:dyDescent="0.3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3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112</v>
      </c>
    </row>
    <row r="594" spans="1:7" x14ac:dyDescent="0.3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112</v>
      </c>
    </row>
    <row r="595" spans="1:7" x14ac:dyDescent="0.3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112</v>
      </c>
    </row>
    <row r="596" spans="1:7" x14ac:dyDescent="0.35">
      <c r="A596" s="1" t="str">
        <f t="shared" si="9"/>
        <v/>
      </c>
      <c r="B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6" s="1" t="s">
        <v>171</v>
      </c>
      <c r="D596" s="1" t="s">
        <v>110</v>
      </c>
      <c r="E596" s="1" t="s">
        <v>111</v>
      </c>
      <c r="F596" s="1" t="s">
        <v>112</v>
      </c>
      <c r="G596" s="1" t="s">
        <v>113</v>
      </c>
    </row>
    <row r="597" spans="1:7" x14ac:dyDescent="0.35">
      <c r="A597" s="1" t="str">
        <f t="shared" si="9"/>
        <v>21</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2765</v>
      </c>
      <c r="D597" s="1" t="s">
        <v>2766</v>
      </c>
      <c r="E597" s="1" t="s">
        <v>2767</v>
      </c>
      <c r="F597" s="1" t="s">
        <v>112</v>
      </c>
      <c r="G597" s="1">
        <v>1603186</v>
      </c>
    </row>
    <row r="598" spans="1:7" x14ac:dyDescent="0.35">
      <c r="A598" s="1" t="str">
        <f t="shared" si="9"/>
        <v>21</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2768</v>
      </c>
      <c r="D598" s="1" t="s">
        <v>2769</v>
      </c>
      <c r="E598" s="1" t="s">
        <v>2770</v>
      </c>
      <c r="F598" s="1" t="s">
        <v>112</v>
      </c>
      <c r="G598" s="1">
        <v>2013592</v>
      </c>
    </row>
    <row r="599" spans="1:7" x14ac:dyDescent="0.35">
      <c r="A599" s="1" t="str">
        <f t="shared" si="9"/>
        <v>21</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9" s="1" t="s">
        <v>2771</v>
      </c>
      <c r="D599" s="1" t="s">
        <v>2772</v>
      </c>
      <c r="E599" s="1" t="s">
        <v>2773</v>
      </c>
      <c r="F599" s="1" t="s">
        <v>112</v>
      </c>
      <c r="G599" s="1">
        <v>1669936</v>
      </c>
    </row>
    <row r="600" spans="1:7" x14ac:dyDescent="0.35">
      <c r="A600" s="1" t="str">
        <f t="shared" si="9"/>
        <v>21</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2774</v>
      </c>
      <c r="D600" s="1" t="s">
        <v>2775</v>
      </c>
      <c r="E600" s="1" t="s">
        <v>2776</v>
      </c>
      <c r="F600" s="1" t="s">
        <v>112</v>
      </c>
      <c r="G600" s="1">
        <v>2126284</v>
      </c>
    </row>
    <row r="601" spans="1:7" x14ac:dyDescent="0.35">
      <c r="A601" s="1" t="str">
        <f t="shared" si="9"/>
        <v>21</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2777</v>
      </c>
      <c r="D601" s="1" t="s">
        <v>2778</v>
      </c>
      <c r="E601" s="1" t="s">
        <v>2779</v>
      </c>
      <c r="F601" s="1" t="s">
        <v>112</v>
      </c>
      <c r="G601" s="1">
        <v>2100998</v>
      </c>
    </row>
    <row r="602" spans="1:7" x14ac:dyDescent="0.35">
      <c r="A602" s="1" t="str">
        <f t="shared" si="9"/>
        <v>21</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2" s="1" t="s">
        <v>2780</v>
      </c>
      <c r="D602" s="1" t="s">
        <v>2781</v>
      </c>
      <c r="E602" s="1" t="s">
        <v>2782</v>
      </c>
      <c r="F602" s="1" t="s">
        <v>112</v>
      </c>
      <c r="G602" s="1">
        <v>2192731</v>
      </c>
    </row>
    <row r="603" spans="1:7" x14ac:dyDescent="0.35">
      <c r="A603" s="1" t="str">
        <f t="shared" si="9"/>
        <v>21</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2783</v>
      </c>
      <c r="D603" s="1" t="s">
        <v>2784</v>
      </c>
      <c r="E603" s="1" t="s">
        <v>2785</v>
      </c>
      <c r="F603" s="1" t="s">
        <v>112</v>
      </c>
      <c r="G603" s="1">
        <v>1028761</v>
      </c>
    </row>
    <row r="604" spans="1:7" x14ac:dyDescent="0.35">
      <c r="A604" s="1" t="str">
        <f t="shared" si="9"/>
        <v>21</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2786</v>
      </c>
      <c r="D604" s="1" t="s">
        <v>2787</v>
      </c>
      <c r="E604" s="1" t="s">
        <v>2788</v>
      </c>
      <c r="F604" s="1" t="s">
        <v>112</v>
      </c>
      <c r="G604" s="1">
        <v>1480783</v>
      </c>
    </row>
    <row r="605" spans="1:7" x14ac:dyDescent="0.35">
      <c r="A605" s="1" t="str">
        <f t="shared" si="9"/>
        <v>21</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5" s="1" t="s">
        <v>2789</v>
      </c>
      <c r="D605" s="1" t="s">
        <v>2790</v>
      </c>
      <c r="E605" s="1" t="s">
        <v>2791</v>
      </c>
      <c r="F605" s="1" t="s">
        <v>112</v>
      </c>
      <c r="G605" s="1">
        <v>1536501</v>
      </c>
    </row>
    <row r="606" spans="1:7" x14ac:dyDescent="0.35">
      <c r="A606" s="1" t="str">
        <f t="shared" si="9"/>
        <v>21</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2792</v>
      </c>
      <c r="D606" s="1" t="s">
        <v>2793</v>
      </c>
      <c r="E606" s="1" t="s">
        <v>2794</v>
      </c>
      <c r="F606" s="1" t="s">
        <v>112</v>
      </c>
      <c r="G606" s="1">
        <v>1889609</v>
      </c>
    </row>
    <row r="607" spans="1:7" x14ac:dyDescent="0.35">
      <c r="A607" s="1" t="str">
        <f t="shared" si="9"/>
        <v>21</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2795</v>
      </c>
      <c r="D607" s="1" t="s">
        <v>2796</v>
      </c>
      <c r="E607" s="1" t="s">
        <v>2797</v>
      </c>
      <c r="F607" s="1" t="s">
        <v>112</v>
      </c>
      <c r="G607" s="1">
        <v>1914527</v>
      </c>
    </row>
    <row r="608" spans="1:7" x14ac:dyDescent="0.35">
      <c r="A608" s="1" t="str">
        <f t="shared" si="9"/>
        <v>21</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8" s="1" t="s">
        <v>2798</v>
      </c>
      <c r="D608" s="1" t="s">
        <v>2799</v>
      </c>
      <c r="E608" s="1" t="s">
        <v>2800</v>
      </c>
      <c r="F608" s="1" t="s">
        <v>112</v>
      </c>
      <c r="G608" s="1">
        <v>1890604</v>
      </c>
    </row>
    <row r="609" spans="1:8" x14ac:dyDescent="0.35">
      <c r="A609" s="1" t="str">
        <f t="shared" si="9"/>
        <v>21</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2801</v>
      </c>
      <c r="D609" s="1" t="s">
        <v>2802</v>
      </c>
      <c r="E609" s="1" t="s">
        <v>2803</v>
      </c>
      <c r="F609" s="1" t="s">
        <v>112</v>
      </c>
      <c r="G609" s="1">
        <v>695855</v>
      </c>
    </row>
    <row r="610" spans="1:8" x14ac:dyDescent="0.35">
      <c r="A610" s="1" t="str">
        <f t="shared" si="9"/>
        <v>21</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2804</v>
      </c>
      <c r="D610" s="1" t="s">
        <v>2805</v>
      </c>
      <c r="E610" s="1" t="s">
        <v>2806</v>
      </c>
      <c r="F610" s="1" t="s">
        <v>112</v>
      </c>
      <c r="G610" s="1">
        <v>771236</v>
      </c>
    </row>
    <row r="611" spans="1:8" x14ac:dyDescent="0.35">
      <c r="A611" s="1" t="str">
        <f t="shared" si="9"/>
        <v>21</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1" s="1" t="s">
        <v>2807</v>
      </c>
      <c r="D611" s="1" t="s">
        <v>2808</v>
      </c>
      <c r="E611" s="1" t="s">
        <v>2809</v>
      </c>
      <c r="F611" s="1" t="s">
        <v>112</v>
      </c>
      <c r="G611" s="1">
        <v>637628</v>
      </c>
    </row>
    <row r="612" spans="1:8" x14ac:dyDescent="0.35">
      <c r="A612" s="1" t="str">
        <f t="shared" si="9"/>
        <v>21</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2810</v>
      </c>
      <c r="D612" s="1" t="s">
        <v>2232</v>
      </c>
      <c r="E612" s="1" t="s">
        <v>2811</v>
      </c>
      <c r="F612" s="1" t="s">
        <v>112</v>
      </c>
      <c r="G612" s="1">
        <v>2237915</v>
      </c>
    </row>
    <row r="613" spans="1:8" x14ac:dyDescent="0.35">
      <c r="A613" s="1" t="str">
        <f t="shared" si="9"/>
        <v>21</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2812</v>
      </c>
      <c r="D613" s="1" t="s">
        <v>2813</v>
      </c>
      <c r="E613" s="1" t="s">
        <v>2814</v>
      </c>
      <c r="F613" s="1" t="s">
        <v>112</v>
      </c>
      <c r="G613" s="1">
        <v>2463926</v>
      </c>
    </row>
    <row r="614" spans="1:8" x14ac:dyDescent="0.35">
      <c r="A614" s="1" t="str">
        <f t="shared" si="9"/>
        <v>21</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4" s="1" t="s">
        <v>2815</v>
      </c>
      <c r="D614" s="1" t="s">
        <v>2816</v>
      </c>
      <c r="E614" s="1" t="s">
        <v>2817</v>
      </c>
      <c r="F614" s="1" t="s">
        <v>112</v>
      </c>
      <c r="G614" s="1">
        <v>2847273</v>
      </c>
    </row>
    <row r="615" spans="1:8" x14ac:dyDescent="0.35">
      <c r="A615" s="1" t="str">
        <f t="shared" si="9"/>
        <v>21</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2818</v>
      </c>
      <c r="D615" s="1" t="s">
        <v>403</v>
      </c>
      <c r="E615" s="1" t="s">
        <v>2819</v>
      </c>
      <c r="F615" s="1" t="s">
        <v>112</v>
      </c>
      <c r="G615" s="1">
        <v>1756196</v>
      </c>
    </row>
    <row r="616" spans="1:8" x14ac:dyDescent="0.35">
      <c r="A616" s="1" t="str">
        <f t="shared" si="9"/>
        <v>21</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2820</v>
      </c>
      <c r="D616" s="1" t="s">
        <v>2821</v>
      </c>
      <c r="E616" s="1" t="s">
        <v>2822</v>
      </c>
      <c r="F616" s="1" t="s">
        <v>112</v>
      </c>
      <c r="G616" s="1">
        <v>1617570</v>
      </c>
    </row>
    <row r="617" spans="1:8" x14ac:dyDescent="0.35">
      <c r="A617" s="1" t="str">
        <f t="shared" si="9"/>
        <v>21</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7" s="1" t="s">
        <v>2823</v>
      </c>
      <c r="D617" s="1" t="s">
        <v>2824</v>
      </c>
      <c r="E617" s="1" t="s">
        <v>2825</v>
      </c>
      <c r="F617" s="1" t="s">
        <v>112</v>
      </c>
      <c r="G617" s="1">
        <v>1824590</v>
      </c>
    </row>
    <row r="618" spans="1:8" x14ac:dyDescent="0.35">
      <c r="A618" s="1" t="str">
        <f t="shared" si="9"/>
        <v>21</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2826</v>
      </c>
      <c r="D618" s="1" t="s">
        <v>2827</v>
      </c>
      <c r="E618" s="1" t="s">
        <v>2828</v>
      </c>
      <c r="F618" s="1" t="s">
        <v>112</v>
      </c>
      <c r="G618" s="1">
        <v>2038034</v>
      </c>
    </row>
    <row r="619" spans="1:8" x14ac:dyDescent="0.35">
      <c r="A619" s="1" t="str">
        <f t="shared" si="9"/>
        <v>21</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2829</v>
      </c>
      <c r="D619" s="1" t="s">
        <v>2830</v>
      </c>
      <c r="E619" s="1" t="s">
        <v>2831</v>
      </c>
      <c r="F619" s="1" t="s">
        <v>112</v>
      </c>
      <c r="G619" s="1">
        <v>2162341</v>
      </c>
    </row>
    <row r="620" spans="1:8" x14ac:dyDescent="0.35">
      <c r="A620" s="1" t="str">
        <f t="shared" si="9"/>
        <v>21</v>
      </c>
      <c r="B6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20" s="1" t="s">
        <v>2832</v>
      </c>
      <c r="D620" s="1" t="s">
        <v>859</v>
      </c>
      <c r="E620" s="1" t="s">
        <v>2833</v>
      </c>
      <c r="F620" s="1" t="s">
        <v>112</v>
      </c>
      <c r="G620" s="1">
        <v>2463991</v>
      </c>
    </row>
    <row r="621" spans="1:8" x14ac:dyDescent="0.3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112</v>
      </c>
    </row>
    <row r="622" spans="1:8" x14ac:dyDescent="0.35">
      <c r="A622" s="1" t="str">
        <f t="shared" si="9"/>
        <v/>
      </c>
      <c r="B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2" s="1" t="s">
        <v>227</v>
      </c>
      <c r="D622" s="1" t="s">
        <v>112</v>
      </c>
      <c r="E622" s="1" t="s">
        <v>228</v>
      </c>
      <c r="F622" s="1" t="s">
        <v>229</v>
      </c>
      <c r="G622" s="1" t="s">
        <v>230</v>
      </c>
      <c r="H622" s="1" t="s">
        <v>231</v>
      </c>
    </row>
    <row r="623" spans="1:8" x14ac:dyDescent="0.35">
      <c r="A623" s="1" t="str">
        <f t="shared" si="9"/>
        <v>21</v>
      </c>
      <c r="B6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3" s="1" t="s">
        <v>2834</v>
      </c>
      <c r="D623" s="1" t="s">
        <v>112</v>
      </c>
      <c r="E623" s="1" t="s">
        <v>2835</v>
      </c>
      <c r="F623" s="1" t="s">
        <v>2836</v>
      </c>
      <c r="G623" s="1" t="s">
        <v>2837</v>
      </c>
      <c r="H623" s="1" t="s">
        <v>2838</v>
      </c>
    </row>
    <row r="624" spans="1:8" x14ac:dyDescent="0.3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3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3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112</v>
      </c>
    </row>
    <row r="627" spans="1:7" x14ac:dyDescent="0.3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112</v>
      </c>
    </row>
    <row r="628" spans="1:7" x14ac:dyDescent="0.3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112</v>
      </c>
    </row>
    <row r="629" spans="1:7" x14ac:dyDescent="0.35">
      <c r="A629" s="1" t="str">
        <f t="shared" si="9"/>
        <v/>
      </c>
      <c r="B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9" s="1" t="s">
        <v>171</v>
      </c>
      <c r="D629" s="1" t="s">
        <v>110</v>
      </c>
      <c r="E629" s="1" t="s">
        <v>111</v>
      </c>
      <c r="F629" s="1" t="s">
        <v>112</v>
      </c>
      <c r="G629" s="1" t="s">
        <v>113</v>
      </c>
    </row>
    <row r="630" spans="1:7" x14ac:dyDescent="0.35">
      <c r="A630" s="1" t="str">
        <f t="shared" si="9"/>
        <v>8</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2839</v>
      </c>
      <c r="D630" s="1" t="s">
        <v>2840</v>
      </c>
      <c r="E630" s="1" t="s">
        <v>2841</v>
      </c>
      <c r="F630" s="1" t="s">
        <v>112</v>
      </c>
      <c r="G630" s="1">
        <v>381876</v>
      </c>
    </row>
    <row r="631" spans="1:7" x14ac:dyDescent="0.35">
      <c r="A631" s="1" t="str">
        <f t="shared" si="9"/>
        <v>8</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2842</v>
      </c>
    </row>
    <row r="632" spans="1:7" x14ac:dyDescent="0.35">
      <c r="A632" s="1" t="str">
        <f t="shared" si="9"/>
        <v>8</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2" s="1" t="s">
        <v>2843</v>
      </c>
      <c r="D632" s="1" t="s">
        <v>2844</v>
      </c>
      <c r="E632" s="1" t="s">
        <v>2845</v>
      </c>
      <c r="F632" s="1" t="s">
        <v>112</v>
      </c>
      <c r="G632" s="1">
        <v>382698</v>
      </c>
    </row>
    <row r="633" spans="1:7" x14ac:dyDescent="0.35">
      <c r="A633" s="1" t="str">
        <f t="shared" si="9"/>
        <v>8</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2846</v>
      </c>
      <c r="D633" s="1" t="s">
        <v>204</v>
      </c>
      <c r="E633" s="1" t="s">
        <v>2422</v>
      </c>
      <c r="F633" s="1" t="s">
        <v>112</v>
      </c>
      <c r="G633" s="1">
        <v>181172</v>
      </c>
    </row>
    <row r="634" spans="1:7" x14ac:dyDescent="0.35">
      <c r="A634" s="1" t="str">
        <f t="shared" si="9"/>
        <v>8</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2847</v>
      </c>
      <c r="D634" s="1" t="s">
        <v>1075</v>
      </c>
      <c r="E634" s="1" t="s">
        <v>2848</v>
      </c>
      <c r="F634" s="1" t="s">
        <v>112</v>
      </c>
      <c r="G634" s="1">
        <v>182578</v>
      </c>
    </row>
    <row r="635" spans="1:7" x14ac:dyDescent="0.35">
      <c r="A635" s="1" t="str">
        <f t="shared" si="9"/>
        <v>8</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5" s="1" t="s">
        <v>2849</v>
      </c>
      <c r="D635" s="1" t="s">
        <v>2850</v>
      </c>
      <c r="E635" s="1" t="s">
        <v>2851</v>
      </c>
      <c r="F635" s="1" t="s">
        <v>112</v>
      </c>
      <c r="G635" s="1">
        <v>135187</v>
      </c>
    </row>
    <row r="636" spans="1:7" x14ac:dyDescent="0.35">
      <c r="A636" s="1" t="str">
        <f t="shared" si="9"/>
        <v>8</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2852</v>
      </c>
    </row>
    <row r="637" spans="1:7" x14ac:dyDescent="0.35">
      <c r="A637" s="1" t="str">
        <f t="shared" si="9"/>
        <v>8</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2853</v>
      </c>
      <c r="D637" s="1" t="s">
        <v>2854</v>
      </c>
      <c r="E637" s="1" t="s">
        <v>2855</v>
      </c>
      <c r="F637" s="1" t="s">
        <v>112</v>
      </c>
      <c r="G637" s="1">
        <v>83621</v>
      </c>
    </row>
    <row r="638" spans="1:7" x14ac:dyDescent="0.35">
      <c r="A638" s="1" t="str">
        <f t="shared" si="9"/>
        <v>8</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8" s="1" t="s">
        <v>2856</v>
      </c>
      <c r="D638" s="1" t="s">
        <v>2857</v>
      </c>
      <c r="E638" s="1" t="s">
        <v>2858</v>
      </c>
      <c r="F638" s="1" t="s">
        <v>112</v>
      </c>
      <c r="G638" s="1">
        <v>71249</v>
      </c>
    </row>
    <row r="639" spans="1:7" x14ac:dyDescent="0.35">
      <c r="A639" s="1" t="str">
        <f t="shared" si="9"/>
        <v>8</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2859</v>
      </c>
      <c r="D639" s="1" t="s">
        <v>2860</v>
      </c>
      <c r="E639" s="1" t="s">
        <v>2861</v>
      </c>
      <c r="F639" s="1" t="s">
        <v>112</v>
      </c>
      <c r="G639" s="1">
        <v>217770</v>
      </c>
    </row>
    <row r="640" spans="1:7" x14ac:dyDescent="0.35">
      <c r="A640" s="1" t="str">
        <f t="shared" si="9"/>
        <v>8</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2862</v>
      </c>
      <c r="D640" s="1" t="s">
        <v>1531</v>
      </c>
      <c r="E640" s="1" t="s">
        <v>2863</v>
      </c>
      <c r="F640" s="1" t="s">
        <v>112</v>
      </c>
      <c r="G640" s="1">
        <v>300850</v>
      </c>
    </row>
    <row r="641" spans="1:8" x14ac:dyDescent="0.35">
      <c r="A641" s="1" t="str">
        <f t="shared" si="9"/>
        <v>8</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1" s="1" t="s">
        <v>2864</v>
      </c>
      <c r="D641" s="1" t="s">
        <v>1009</v>
      </c>
      <c r="E641" s="1" t="s">
        <v>2865</v>
      </c>
      <c r="F641" s="1" t="s">
        <v>112</v>
      </c>
      <c r="G641" s="1">
        <v>261852</v>
      </c>
    </row>
    <row r="642" spans="1:8" x14ac:dyDescent="0.35">
      <c r="A642" s="1" t="str">
        <f t="shared" ref="A642:A705" si="10">IFERROR(LEFT(RIGHT(C642,LEN(C642)-SEARCH("@",C642)),SEARCH("/",RIGHT(C642,LEN(C642)-SEARCH("@",C642)-1))),"")</f>
        <v>8</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2866</v>
      </c>
      <c r="D642" s="1" t="s">
        <v>484</v>
      </c>
      <c r="E642" s="1" t="s">
        <v>2867</v>
      </c>
      <c r="F642" s="1" t="s">
        <v>112</v>
      </c>
      <c r="G642" s="1">
        <v>100017</v>
      </c>
    </row>
    <row r="643" spans="1:8" x14ac:dyDescent="0.35">
      <c r="A643" s="1" t="str">
        <f t="shared" si="10"/>
        <v>8</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2868</v>
      </c>
      <c r="D643" s="1" t="s">
        <v>2869</v>
      </c>
      <c r="E643" s="1" t="s">
        <v>2870</v>
      </c>
      <c r="F643" s="1" t="s">
        <v>112</v>
      </c>
      <c r="G643" s="1">
        <v>114898</v>
      </c>
    </row>
    <row r="644" spans="1:8" x14ac:dyDescent="0.35">
      <c r="A644" s="1" t="str">
        <f t="shared" si="10"/>
        <v>8</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4" s="1" t="s">
        <v>2871</v>
      </c>
      <c r="D644" s="1" t="s">
        <v>2872</v>
      </c>
      <c r="E644" s="1" t="s">
        <v>2873</v>
      </c>
      <c r="F644" s="1" t="s">
        <v>112</v>
      </c>
      <c r="G644" s="1">
        <v>118921</v>
      </c>
    </row>
    <row r="645" spans="1:8" x14ac:dyDescent="0.35">
      <c r="A645" s="1" t="str">
        <f t="shared" si="10"/>
        <v>8</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2874</v>
      </c>
      <c r="D645" s="1" t="s">
        <v>2875</v>
      </c>
      <c r="E645" s="1" t="s">
        <v>2876</v>
      </c>
      <c r="F645" s="1" t="s">
        <v>112</v>
      </c>
      <c r="G645" s="1">
        <v>451200</v>
      </c>
    </row>
    <row r="646" spans="1:8" x14ac:dyDescent="0.35">
      <c r="A646" s="1" t="str">
        <f t="shared" si="10"/>
        <v>8</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2877</v>
      </c>
      <c r="D646" s="1" t="s">
        <v>286</v>
      </c>
      <c r="E646" s="1" t="s">
        <v>2878</v>
      </c>
      <c r="F646" s="1" t="s">
        <v>112</v>
      </c>
      <c r="G646" s="1">
        <v>534626</v>
      </c>
    </row>
    <row r="647" spans="1:8" x14ac:dyDescent="0.35">
      <c r="A647" s="1" t="str">
        <f t="shared" si="10"/>
        <v>8</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7" s="1" t="s">
        <v>2879</v>
      </c>
      <c r="D647" s="1" t="s">
        <v>2880</v>
      </c>
      <c r="E647" s="1" t="s">
        <v>2881</v>
      </c>
      <c r="F647" s="1" t="s">
        <v>112</v>
      </c>
      <c r="G647" s="1">
        <v>353670</v>
      </c>
    </row>
    <row r="648" spans="1:8" x14ac:dyDescent="0.35">
      <c r="A648" s="1" t="str">
        <f t="shared" si="10"/>
        <v>8</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2882</v>
      </c>
      <c r="D648" s="1" t="s">
        <v>173</v>
      </c>
      <c r="E648" s="1" t="s">
        <v>174</v>
      </c>
      <c r="F648" s="1" t="s">
        <v>112</v>
      </c>
      <c r="G648" s="1">
        <v>32099</v>
      </c>
    </row>
    <row r="649" spans="1:8" x14ac:dyDescent="0.35">
      <c r="A649" s="1" t="str">
        <f t="shared" si="10"/>
        <v>8</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2883</v>
      </c>
      <c r="D649" s="1" t="s">
        <v>2884</v>
      </c>
      <c r="E649" s="1" t="s">
        <v>2885</v>
      </c>
      <c r="F649" s="1" t="s">
        <v>112</v>
      </c>
      <c r="G649" s="1">
        <v>278355</v>
      </c>
    </row>
    <row r="650" spans="1:8" x14ac:dyDescent="0.35">
      <c r="A650" s="1" t="str">
        <f t="shared" si="10"/>
        <v>8</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50" s="1" t="s">
        <v>2886</v>
      </c>
      <c r="D650" s="1" t="s">
        <v>2887</v>
      </c>
      <c r="E650" s="1" t="s">
        <v>2888</v>
      </c>
      <c r="F650" s="1" t="s">
        <v>112</v>
      </c>
      <c r="G650" s="1">
        <v>378869</v>
      </c>
    </row>
    <row r="651" spans="1:8" x14ac:dyDescent="0.35">
      <c r="A651" s="1" t="str">
        <f t="shared" si="10"/>
        <v>8</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2889</v>
      </c>
      <c r="D651" s="1" t="s">
        <v>1894</v>
      </c>
      <c r="E651" s="1" t="s">
        <v>2890</v>
      </c>
      <c r="F651" s="1" t="s">
        <v>112</v>
      </c>
      <c r="G651" s="1">
        <v>135338</v>
      </c>
    </row>
    <row r="652" spans="1:8" x14ac:dyDescent="0.35">
      <c r="A652" s="1" t="str">
        <f t="shared" si="10"/>
        <v>8</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2891</v>
      </c>
      <c r="D652" s="1" t="s">
        <v>1241</v>
      </c>
      <c r="E652" s="1" t="s">
        <v>2892</v>
      </c>
      <c r="F652" s="1" t="s">
        <v>112</v>
      </c>
      <c r="G652" s="1">
        <v>26778</v>
      </c>
    </row>
    <row r="653" spans="1:8" x14ac:dyDescent="0.35">
      <c r="A653" s="1" t="str">
        <f t="shared" si="10"/>
        <v>8</v>
      </c>
      <c r="B6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3" s="1" t="s">
        <v>2893</v>
      </c>
      <c r="D653" s="1" t="s">
        <v>2894</v>
      </c>
      <c r="E653" s="1" t="s">
        <v>2895</v>
      </c>
      <c r="F653" s="1" t="s">
        <v>112</v>
      </c>
      <c r="G653" s="1">
        <v>158244</v>
      </c>
    </row>
    <row r="654" spans="1:8" x14ac:dyDescent="0.3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112</v>
      </c>
    </row>
    <row r="655" spans="1:8" x14ac:dyDescent="0.35">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5" s="1" t="s">
        <v>227</v>
      </c>
      <c r="D655" s="1" t="s">
        <v>112</v>
      </c>
      <c r="E655" s="1" t="s">
        <v>228</v>
      </c>
      <c r="F655" s="1" t="s">
        <v>229</v>
      </c>
      <c r="G655" s="1" t="s">
        <v>230</v>
      </c>
      <c r="H655" s="1" t="s">
        <v>231</v>
      </c>
    </row>
    <row r="656" spans="1:8" x14ac:dyDescent="0.35">
      <c r="A656" s="1" t="str">
        <f t="shared" si="10"/>
        <v>8</v>
      </c>
      <c r="B6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6" s="1" t="s">
        <v>2896</v>
      </c>
      <c r="D656" s="1" t="s">
        <v>112</v>
      </c>
      <c r="E656" s="1" t="s">
        <v>2897</v>
      </c>
      <c r="F656" s="1" t="s">
        <v>2898</v>
      </c>
      <c r="G656" s="1" t="s">
        <v>2899</v>
      </c>
      <c r="H656" s="1" t="s">
        <v>2900</v>
      </c>
    </row>
    <row r="657" spans="1:7" x14ac:dyDescent="0.3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3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3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112</v>
      </c>
    </row>
    <row r="660" spans="1:7" x14ac:dyDescent="0.3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112</v>
      </c>
    </row>
    <row r="661" spans="1:7" x14ac:dyDescent="0.3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112</v>
      </c>
    </row>
    <row r="662" spans="1:7" x14ac:dyDescent="0.35">
      <c r="A662" s="1" t="str">
        <f t="shared" si="10"/>
        <v/>
      </c>
      <c r="B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2" s="1" t="s">
        <v>171</v>
      </c>
      <c r="D662" s="1" t="s">
        <v>110</v>
      </c>
      <c r="E662" s="1" t="s">
        <v>111</v>
      </c>
      <c r="F662" s="1" t="s">
        <v>112</v>
      </c>
      <c r="G662" s="1" t="s">
        <v>113</v>
      </c>
    </row>
    <row r="663" spans="1:7" x14ac:dyDescent="0.35">
      <c r="A663" s="1" t="str">
        <f t="shared" si="10"/>
        <v>9</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2901</v>
      </c>
      <c r="D663" s="1" t="s">
        <v>254</v>
      </c>
      <c r="E663" s="1">
        <v>30</v>
      </c>
      <c r="F663" s="1" t="s">
        <v>112</v>
      </c>
      <c r="G663" s="1">
        <v>1298</v>
      </c>
    </row>
    <row r="664" spans="1:7" x14ac:dyDescent="0.35">
      <c r="A664" s="1" t="str">
        <f t="shared" si="10"/>
        <v>9</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2902</v>
      </c>
      <c r="D664" s="1" t="s">
        <v>254</v>
      </c>
      <c r="E664" s="1">
        <v>30</v>
      </c>
      <c r="F664" s="1" t="s">
        <v>112</v>
      </c>
      <c r="G664" s="1">
        <v>1298</v>
      </c>
    </row>
    <row r="665" spans="1:7" x14ac:dyDescent="0.35">
      <c r="A665" s="1" t="str">
        <f t="shared" si="10"/>
        <v>9</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5" s="1" t="s">
        <v>2903</v>
      </c>
      <c r="D665" s="1" t="s">
        <v>180</v>
      </c>
      <c r="E665" s="1">
        <v>30</v>
      </c>
      <c r="F665" s="1" t="s">
        <v>112</v>
      </c>
      <c r="G665" s="1">
        <v>649</v>
      </c>
    </row>
    <row r="666" spans="1:7" x14ac:dyDescent="0.35">
      <c r="A666" s="1" t="str">
        <f t="shared" si="10"/>
        <v>9</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2904</v>
      </c>
      <c r="D666" s="1" t="s">
        <v>2905</v>
      </c>
      <c r="E666" s="1">
        <v>32</v>
      </c>
      <c r="F666" s="1" t="s">
        <v>112</v>
      </c>
      <c r="G666" s="1">
        <v>9690</v>
      </c>
    </row>
    <row r="667" spans="1:7" x14ac:dyDescent="0.35">
      <c r="A667" s="1" t="str">
        <f t="shared" si="10"/>
        <v>9</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2906</v>
      </c>
      <c r="D667" s="1" t="s">
        <v>2907</v>
      </c>
      <c r="E667" s="1" t="s">
        <v>2908</v>
      </c>
      <c r="F667" s="1" t="s">
        <v>112</v>
      </c>
      <c r="G667" s="1">
        <v>11096</v>
      </c>
    </row>
    <row r="668" spans="1:7" x14ac:dyDescent="0.35">
      <c r="A668" s="1" t="str">
        <f t="shared" si="10"/>
        <v>9</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8" s="1" t="s">
        <v>2909</v>
      </c>
      <c r="D668" s="1" t="s">
        <v>616</v>
      </c>
      <c r="E668" s="1" t="s">
        <v>2910</v>
      </c>
      <c r="F668" s="1" t="s">
        <v>112</v>
      </c>
      <c r="G668" s="1">
        <v>30152</v>
      </c>
    </row>
    <row r="669" spans="1:7" x14ac:dyDescent="0.35">
      <c r="A669" s="1" t="str">
        <f t="shared" si="10"/>
        <v>9</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2911</v>
      </c>
      <c r="D669" s="1" t="s">
        <v>1886</v>
      </c>
      <c r="E669" s="1" t="s">
        <v>2912</v>
      </c>
      <c r="F669" s="1" t="s">
        <v>112</v>
      </c>
      <c r="G669" s="1">
        <v>79511</v>
      </c>
    </row>
    <row r="670" spans="1:7" x14ac:dyDescent="0.35">
      <c r="A670" s="1" t="str">
        <f t="shared" si="10"/>
        <v>9</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2913</v>
      </c>
      <c r="D670" s="1" t="s">
        <v>1228</v>
      </c>
      <c r="E670" s="1" t="s">
        <v>2914</v>
      </c>
      <c r="F670" s="1" t="s">
        <v>112</v>
      </c>
      <c r="G670" s="1">
        <v>239097</v>
      </c>
    </row>
    <row r="671" spans="1:7" x14ac:dyDescent="0.35">
      <c r="A671" s="1" t="str">
        <f t="shared" si="10"/>
        <v>9</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1" s="1" t="s">
        <v>2915</v>
      </c>
      <c r="D671" s="1" t="s">
        <v>1937</v>
      </c>
      <c r="E671" s="1" t="s">
        <v>2916</v>
      </c>
      <c r="F671" s="1" t="s">
        <v>112</v>
      </c>
      <c r="G671" s="1">
        <v>201353</v>
      </c>
    </row>
    <row r="672" spans="1:7" x14ac:dyDescent="0.35">
      <c r="A672" s="1" t="str">
        <f t="shared" si="10"/>
        <v>9</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2917</v>
      </c>
      <c r="D672" s="1" t="s">
        <v>2918</v>
      </c>
      <c r="E672" s="1" t="s">
        <v>2919</v>
      </c>
      <c r="F672" s="1" t="s">
        <v>112</v>
      </c>
      <c r="G672" s="1">
        <v>78625</v>
      </c>
    </row>
    <row r="673" spans="1:8" x14ac:dyDescent="0.35">
      <c r="A673" s="1" t="str">
        <f t="shared" si="10"/>
        <v>9</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2920</v>
      </c>
      <c r="D673" s="1" t="s">
        <v>1644</v>
      </c>
      <c r="E673" s="1" t="s">
        <v>2921</v>
      </c>
      <c r="F673" s="1" t="s">
        <v>112</v>
      </c>
      <c r="G673" s="1">
        <v>68524</v>
      </c>
    </row>
    <row r="674" spans="1:8" x14ac:dyDescent="0.35">
      <c r="A674" s="1" t="str">
        <f t="shared" si="10"/>
        <v>9</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4" s="1" t="s">
        <v>2922</v>
      </c>
      <c r="D674" s="1" t="s">
        <v>2923</v>
      </c>
      <c r="E674" s="1" t="s">
        <v>2924</v>
      </c>
      <c r="F674" s="1" t="s">
        <v>112</v>
      </c>
      <c r="G674" s="1">
        <v>106289</v>
      </c>
    </row>
    <row r="675" spans="1:8" x14ac:dyDescent="0.35">
      <c r="A675" s="1" t="str">
        <f t="shared" si="10"/>
        <v>9</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2925</v>
      </c>
      <c r="D675" s="1" t="s">
        <v>1225</v>
      </c>
      <c r="E675" s="1" t="s">
        <v>2926</v>
      </c>
      <c r="F675" s="1" t="s">
        <v>112</v>
      </c>
      <c r="G675" s="1">
        <v>465281</v>
      </c>
    </row>
    <row r="676" spans="1:8" x14ac:dyDescent="0.35">
      <c r="A676" s="1" t="str">
        <f t="shared" si="10"/>
        <v>9</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2927</v>
      </c>
      <c r="D676" s="1" t="s">
        <v>2875</v>
      </c>
      <c r="E676" s="1" t="s">
        <v>2928</v>
      </c>
      <c r="F676" s="1" t="s">
        <v>112</v>
      </c>
      <c r="G676" s="1">
        <v>447804</v>
      </c>
    </row>
    <row r="677" spans="1:8" x14ac:dyDescent="0.35">
      <c r="A677" s="1" t="str">
        <f t="shared" si="10"/>
        <v>9</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7" s="1" t="s">
        <v>2929</v>
      </c>
      <c r="D677" s="1" t="s">
        <v>2930</v>
      </c>
      <c r="E677" s="1" t="s">
        <v>2931</v>
      </c>
      <c r="F677" s="1" t="s">
        <v>112</v>
      </c>
      <c r="G677" s="1">
        <v>421891</v>
      </c>
    </row>
    <row r="678" spans="1:8" x14ac:dyDescent="0.35">
      <c r="A678" s="1" t="str">
        <f t="shared" si="10"/>
        <v>9</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2932</v>
      </c>
      <c r="D678" s="1" t="s">
        <v>1244</v>
      </c>
      <c r="E678" s="1" t="s">
        <v>2933</v>
      </c>
      <c r="F678" s="1" t="s">
        <v>112</v>
      </c>
      <c r="G678" s="1">
        <v>59244</v>
      </c>
    </row>
    <row r="679" spans="1:8" x14ac:dyDescent="0.35">
      <c r="A679" s="1" t="str">
        <f t="shared" si="10"/>
        <v>9</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2934</v>
      </c>
      <c r="D679" s="1" t="s">
        <v>619</v>
      </c>
      <c r="E679" s="1" t="s">
        <v>1714</v>
      </c>
      <c r="F679" s="1" t="s">
        <v>112</v>
      </c>
      <c r="G679" s="1">
        <v>6056</v>
      </c>
    </row>
    <row r="680" spans="1:8" x14ac:dyDescent="0.35">
      <c r="A680" s="1" t="str">
        <f t="shared" si="10"/>
        <v>9</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80" s="1" t="s">
        <v>2935</v>
      </c>
      <c r="D680" s="1" t="s">
        <v>2936</v>
      </c>
      <c r="E680" s="1" t="s">
        <v>2937</v>
      </c>
      <c r="F680" s="1" t="s">
        <v>112</v>
      </c>
      <c r="G680" s="1">
        <v>36014</v>
      </c>
    </row>
    <row r="681" spans="1:8" x14ac:dyDescent="0.35">
      <c r="A681" s="1" t="str">
        <f t="shared" si="10"/>
        <v>9</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2938</v>
      </c>
      <c r="D681" s="1" t="s">
        <v>2939</v>
      </c>
      <c r="E681" s="1" t="s">
        <v>2940</v>
      </c>
      <c r="F681" s="1" t="s">
        <v>112</v>
      </c>
      <c r="G681" s="1">
        <v>343050</v>
      </c>
    </row>
    <row r="682" spans="1:8" x14ac:dyDescent="0.35">
      <c r="A682" s="1" t="str">
        <f t="shared" si="10"/>
        <v>9</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2941</v>
      </c>
      <c r="D682" s="1" t="s">
        <v>2942</v>
      </c>
      <c r="E682" s="1" t="s">
        <v>2943</v>
      </c>
      <c r="F682" s="1" t="s">
        <v>112</v>
      </c>
      <c r="G682" s="1">
        <v>222507</v>
      </c>
    </row>
    <row r="683" spans="1:8" x14ac:dyDescent="0.35">
      <c r="A683" s="1" t="str">
        <f t="shared" si="10"/>
        <v>9</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3" s="1" t="s">
        <v>2944</v>
      </c>
      <c r="D683" s="1" t="s">
        <v>2945</v>
      </c>
      <c r="E683" s="1" t="s">
        <v>2946</v>
      </c>
      <c r="F683" s="1" t="s">
        <v>112</v>
      </c>
      <c r="G683" s="1">
        <v>169254</v>
      </c>
    </row>
    <row r="684" spans="1:8" x14ac:dyDescent="0.35">
      <c r="A684" s="1" t="str">
        <f t="shared" si="10"/>
        <v>9</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2947</v>
      </c>
      <c r="D684" s="1" t="s">
        <v>475</v>
      </c>
      <c r="E684" s="1" t="s">
        <v>2948</v>
      </c>
      <c r="F684" s="1" t="s">
        <v>112</v>
      </c>
      <c r="G684" s="1">
        <v>400564</v>
      </c>
    </row>
    <row r="685" spans="1:8" x14ac:dyDescent="0.35">
      <c r="A685" s="1" t="str">
        <f t="shared" si="10"/>
        <v>9</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2949</v>
      </c>
      <c r="D685" s="1" t="s">
        <v>2950</v>
      </c>
      <c r="E685" s="1" t="s">
        <v>2951</v>
      </c>
      <c r="F685" s="1" t="s">
        <v>112</v>
      </c>
      <c r="G685" s="1">
        <v>578816</v>
      </c>
    </row>
    <row r="686" spans="1:8" x14ac:dyDescent="0.35">
      <c r="A686" s="1" t="str">
        <f t="shared" si="10"/>
        <v>9</v>
      </c>
      <c r="B6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6" s="1" t="s">
        <v>2952</v>
      </c>
      <c r="D686" s="1" t="s">
        <v>2953</v>
      </c>
      <c r="E686" s="1" t="s">
        <v>2954</v>
      </c>
      <c r="F686" s="1" t="s">
        <v>112</v>
      </c>
      <c r="G686" s="1">
        <v>540207</v>
      </c>
    </row>
    <row r="687" spans="1:8" x14ac:dyDescent="0.3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112</v>
      </c>
    </row>
    <row r="688" spans="1:8" x14ac:dyDescent="0.35">
      <c r="A688" s="1" t="str">
        <f t="shared" si="10"/>
        <v/>
      </c>
      <c r="B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8" s="1" t="s">
        <v>227</v>
      </c>
      <c r="D688" s="1" t="s">
        <v>112</v>
      </c>
      <c r="E688" s="1" t="s">
        <v>228</v>
      </c>
      <c r="F688" s="1" t="s">
        <v>229</v>
      </c>
      <c r="G688" s="1" t="s">
        <v>230</v>
      </c>
      <c r="H688" s="1" t="s">
        <v>231</v>
      </c>
    </row>
    <row r="689" spans="1:8" x14ac:dyDescent="0.35">
      <c r="A689" s="1" t="str">
        <f t="shared" si="10"/>
        <v>9</v>
      </c>
      <c r="B6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9" s="1" t="s">
        <v>2955</v>
      </c>
      <c r="D689" s="1" t="s">
        <v>112</v>
      </c>
      <c r="E689" s="1" t="s">
        <v>2956</v>
      </c>
      <c r="F689" s="1" t="s">
        <v>2957</v>
      </c>
      <c r="G689" s="1" t="s">
        <v>2958</v>
      </c>
      <c r="H689" s="1" t="s">
        <v>2959</v>
      </c>
    </row>
    <row r="690" spans="1:8" x14ac:dyDescent="0.3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8" x14ac:dyDescent="0.3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8" x14ac:dyDescent="0.3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8" x14ac:dyDescent="0.3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8" x14ac:dyDescent="0.3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8" x14ac:dyDescent="0.3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8" x14ac:dyDescent="0.3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8" x14ac:dyDescent="0.3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8" x14ac:dyDescent="0.3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8" x14ac:dyDescent="0.3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8" x14ac:dyDescent="0.3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8" x14ac:dyDescent="0.3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8" x14ac:dyDescent="0.3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8" x14ac:dyDescent="0.3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8" x14ac:dyDescent="0.3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opLeftCell="K1" zoomScale="70" zoomScaleNormal="70" zoomScaleSheetLayoutView="40" zoomScalePageLayoutView="30" workbookViewId="0">
      <selection activeCell="R5" sqref="R5:V12"/>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6" t="s">
        <v>43</v>
      </c>
      <c r="B1" s="217"/>
      <c r="C1" s="217"/>
      <c r="D1" s="217"/>
      <c r="E1" s="217"/>
      <c r="F1" s="217"/>
      <c r="G1" s="217"/>
      <c r="H1" s="217"/>
      <c r="I1" s="217"/>
      <c r="J1" s="217"/>
      <c r="K1" s="217"/>
      <c r="L1" s="217"/>
      <c r="M1" s="217"/>
      <c r="N1" s="217"/>
      <c r="O1" s="217"/>
      <c r="P1" s="217"/>
      <c r="Q1" s="217"/>
      <c r="R1" s="217"/>
      <c r="S1" s="217"/>
      <c r="T1" s="217"/>
      <c r="U1" s="217"/>
      <c r="V1" s="217"/>
    </row>
    <row r="2" spans="1:22" ht="15" thickBot="1" x14ac:dyDescent="0.4"/>
    <row r="3" spans="1:22" ht="15" thickBot="1" x14ac:dyDescent="0.4">
      <c r="A3" s="154" t="s">
        <v>22</v>
      </c>
      <c r="B3" s="224" t="s">
        <v>6</v>
      </c>
      <c r="C3" s="225"/>
      <c r="D3" s="225"/>
      <c r="E3" s="225"/>
      <c r="F3" s="225"/>
      <c r="G3" s="225"/>
      <c r="H3" s="225"/>
      <c r="I3" s="225"/>
      <c r="J3" s="225"/>
      <c r="K3" s="225"/>
      <c r="L3" s="225"/>
      <c r="M3" s="225"/>
      <c r="O3" s="224" t="s">
        <v>3</v>
      </c>
      <c r="P3" s="225"/>
      <c r="Q3" s="225"/>
      <c r="R3" s="225"/>
      <c r="S3" s="225"/>
      <c r="T3" s="225"/>
      <c r="U3" s="225"/>
      <c r="V3" s="225"/>
    </row>
    <row r="4" spans="1:22" x14ac:dyDescent="0.3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CRO-0.1µg/L</v>
      </c>
      <c r="J4" s="35" t="str">
        <f>'Page de garde'!A16</f>
        <v>CRO-1µg/L</v>
      </c>
      <c r="K4" s="35" t="str">
        <f>'Page de garde'!A17</f>
        <v>CRO-10µg/L</v>
      </c>
      <c r="L4" s="35" t="str">
        <f>'Page de garde'!A18</f>
        <v>CRO-100µg/L</v>
      </c>
      <c r="M4" s="35" t="str">
        <f>'Page de garde'!A19</f>
        <v>CRO-1000µg/L</v>
      </c>
      <c r="N4" s="3"/>
      <c r="O4" s="36" t="str">
        <f>'Page de garde'!A36</f>
        <v>Testo -30µg/L</v>
      </c>
      <c r="P4" s="36" t="str">
        <f>'Page de garde'!A37</f>
        <v>Testo 30µg/L + EE2 -64ng/L</v>
      </c>
      <c r="Q4" s="36" t="str">
        <f>'Page de garde'!A38</f>
        <v>Testo 30µg/L + FAD-10mg/L</v>
      </c>
      <c r="R4" s="36" t="str">
        <f>'Page de garde'!A39</f>
        <v>CRO-0,1µg/L + Testostérone</v>
      </c>
      <c r="S4" s="36" t="str">
        <f>'Page de garde'!A40</f>
        <v>CRO-1µg/L + Testostérone</v>
      </c>
      <c r="T4" s="36" t="str">
        <f>'Page de garde'!A41</f>
        <v>CRO-10µg/L + Testostérone</v>
      </c>
      <c r="U4" s="36" t="str">
        <f>'Page de garde'!A42</f>
        <v>CRO-100µg/L + Testostérone</v>
      </c>
      <c r="V4" s="36" t="str">
        <f>'Page de garde'!A43</f>
        <v>CRO-1000µg/L + Testostérone</v>
      </c>
    </row>
    <row r="5" spans="1:22" x14ac:dyDescent="0.35">
      <c r="A5" s="226" t="s">
        <v>33</v>
      </c>
      <c r="B5" s="32">
        <v>202117</v>
      </c>
      <c r="C5" s="32">
        <v>465994.5</v>
      </c>
      <c r="D5" s="32">
        <v>3439</v>
      </c>
      <c r="E5" s="32">
        <v>514784</v>
      </c>
      <c r="F5" s="32">
        <v>2150602.6666666665</v>
      </c>
      <c r="G5" s="32"/>
      <c r="H5" s="32">
        <v>3438504.3333333335</v>
      </c>
      <c r="I5" s="32">
        <v>382287</v>
      </c>
      <c r="J5" s="32">
        <v>1081.6666666666667</v>
      </c>
      <c r="K5" s="13">
        <v>270626</v>
      </c>
      <c r="L5" s="13">
        <v>419512</v>
      </c>
      <c r="M5" s="13">
        <v>265694.33333333331</v>
      </c>
      <c r="N5" s="3"/>
      <c r="O5" s="32">
        <v>524525</v>
      </c>
      <c r="P5" s="13">
        <v>3242126.6666666665</v>
      </c>
      <c r="Q5" s="13">
        <v>15789.666666666666</v>
      </c>
      <c r="R5" s="32">
        <v>2364032</v>
      </c>
      <c r="S5" s="32">
        <v>2345322.6666666665</v>
      </c>
      <c r="T5" s="32"/>
      <c r="U5" s="32">
        <v>1990822.6666666667</v>
      </c>
      <c r="V5" s="32">
        <v>1762238</v>
      </c>
    </row>
    <row r="6" spans="1:22" ht="16.5" x14ac:dyDescent="0.35">
      <c r="A6" s="226"/>
      <c r="B6" s="14">
        <v>25512.5</v>
      </c>
      <c r="C6" s="13">
        <v>229623</v>
      </c>
      <c r="D6" s="32">
        <v>36933</v>
      </c>
      <c r="E6" s="32">
        <v>202917.66666666666</v>
      </c>
      <c r="F6" s="32">
        <v>423131.33333333331</v>
      </c>
      <c r="G6" s="32">
        <v>2129787.3333333335</v>
      </c>
      <c r="H6" s="32">
        <v>3492795.3333333335</v>
      </c>
      <c r="I6" s="32">
        <v>166312.33333333334</v>
      </c>
      <c r="J6" s="32">
        <v>16979.333333333332</v>
      </c>
      <c r="K6" s="13">
        <v>609217</v>
      </c>
      <c r="L6" s="13">
        <v>443975</v>
      </c>
      <c r="M6" s="13"/>
      <c r="N6" s="3"/>
      <c r="O6" s="32">
        <v>3299395.3333333335</v>
      </c>
      <c r="P6" s="13">
        <v>3166840</v>
      </c>
      <c r="Q6" s="13">
        <v>92568.666666666672</v>
      </c>
      <c r="R6" s="32">
        <v>1238225</v>
      </c>
      <c r="S6" s="32"/>
      <c r="T6" s="32">
        <v>993497</v>
      </c>
      <c r="U6" s="32">
        <v>75452.333333333328</v>
      </c>
      <c r="V6" s="32">
        <v>2140004.3333333335</v>
      </c>
    </row>
    <row r="7" spans="1:22" ht="16.5" x14ac:dyDescent="0.35">
      <c r="A7" s="226"/>
      <c r="B7" s="14">
        <v>325443.33333333331</v>
      </c>
      <c r="C7" s="13">
        <v>45596</v>
      </c>
      <c r="D7" s="32">
        <v>75452.333333333328</v>
      </c>
      <c r="E7" s="32">
        <v>258592.66666666666</v>
      </c>
      <c r="F7" s="32">
        <v>1446549.3333333333</v>
      </c>
      <c r="G7" s="32">
        <v>2603583</v>
      </c>
      <c r="H7" s="32"/>
      <c r="I7" s="32">
        <v>77435</v>
      </c>
      <c r="J7" s="32">
        <v>173320.33333333334</v>
      </c>
      <c r="K7" s="13">
        <v>480400</v>
      </c>
      <c r="L7" s="13">
        <v>31594</v>
      </c>
      <c r="M7" s="13">
        <v>127486.33333333333</v>
      </c>
      <c r="N7" s="3"/>
      <c r="O7" s="32">
        <v>2875939.6666666665</v>
      </c>
      <c r="P7" s="13">
        <v>3025459.6666666665</v>
      </c>
      <c r="Q7" s="13">
        <v>145688</v>
      </c>
      <c r="R7" s="32">
        <v>3774633</v>
      </c>
      <c r="S7" s="32">
        <v>2237641.3333333335</v>
      </c>
      <c r="T7" s="32">
        <v>3273425.3333333335</v>
      </c>
      <c r="U7" s="32">
        <v>1118150.3333333333</v>
      </c>
      <c r="V7" s="32">
        <v>1348681.6666666667</v>
      </c>
    </row>
    <row r="8" spans="1:22" ht="16.5" x14ac:dyDescent="0.35">
      <c r="A8" s="226"/>
      <c r="B8" s="14">
        <v>247457</v>
      </c>
      <c r="C8" s="13">
        <v>348025</v>
      </c>
      <c r="D8" s="32">
        <v>394010</v>
      </c>
      <c r="E8" s="32">
        <v>203306.66666666666</v>
      </c>
      <c r="F8" s="32">
        <v>3231455.6666666665</v>
      </c>
      <c r="G8" s="32">
        <v>1676014</v>
      </c>
      <c r="H8" s="32">
        <v>5294731.333333333</v>
      </c>
      <c r="I8" s="32">
        <v>260157.33333333334</v>
      </c>
      <c r="J8" s="32">
        <v>84479.333333333328</v>
      </c>
      <c r="K8" s="13">
        <v>294751</v>
      </c>
      <c r="L8" s="13">
        <v>147314</v>
      </c>
      <c r="M8" s="13">
        <v>181582.66666666666</v>
      </c>
      <c r="N8" s="3"/>
      <c r="O8" s="32">
        <v>1160458.3333333333</v>
      </c>
      <c r="P8" s="13">
        <v>2778958.3333333335</v>
      </c>
      <c r="Q8" s="13">
        <v>59237</v>
      </c>
      <c r="R8" s="32">
        <v>3339057</v>
      </c>
      <c r="S8" s="32">
        <v>377679.66666666669</v>
      </c>
      <c r="T8" s="32">
        <v>194207.66666666666</v>
      </c>
      <c r="U8" s="32">
        <v>477941.33333333331</v>
      </c>
      <c r="V8" s="32">
        <v>1898246.6666666667</v>
      </c>
    </row>
    <row r="9" spans="1:22" ht="16.5" x14ac:dyDescent="0.35">
      <c r="A9" s="226"/>
      <c r="B9" s="14">
        <v>212326.33333333334</v>
      </c>
      <c r="C9" s="13"/>
      <c r="D9" s="32">
        <v>146009</v>
      </c>
      <c r="E9" s="32">
        <v>172556</v>
      </c>
      <c r="F9" s="32">
        <v>1304152.6666666667</v>
      </c>
      <c r="G9" s="32">
        <v>2607534.6666666665</v>
      </c>
      <c r="H9" s="32">
        <v>3681322</v>
      </c>
      <c r="I9" s="32">
        <v>111278.66666666667</v>
      </c>
      <c r="J9" s="32">
        <v>444992</v>
      </c>
      <c r="K9" s="13">
        <v>64349</v>
      </c>
      <c r="L9" s="13">
        <v>151178.33333333334</v>
      </c>
      <c r="M9" s="13">
        <v>81206</v>
      </c>
      <c r="N9" s="3"/>
      <c r="O9" s="32">
        <v>2282913</v>
      </c>
      <c r="P9" s="13">
        <v>3404422.6666666665</v>
      </c>
      <c r="Q9" s="13">
        <v>71876</v>
      </c>
      <c r="R9" s="32">
        <v>1088351.3333333333</v>
      </c>
      <c r="S9" s="32">
        <v>1023923</v>
      </c>
      <c r="T9" s="32"/>
      <c r="U9" s="32">
        <v>1868174</v>
      </c>
      <c r="V9" s="32">
        <v>701573</v>
      </c>
    </row>
    <row r="10" spans="1:22" ht="16.5" x14ac:dyDescent="0.35">
      <c r="A10" s="226"/>
      <c r="B10" s="14">
        <v>50664.666666666664</v>
      </c>
      <c r="C10" s="13">
        <v>145547.33333333334</v>
      </c>
      <c r="D10" s="32">
        <v>109223.66666666667</v>
      </c>
      <c r="E10" s="32">
        <v>1756044.6666666667</v>
      </c>
      <c r="F10" s="32">
        <v>1905492.6666666667</v>
      </c>
      <c r="G10" s="32">
        <v>1963324</v>
      </c>
      <c r="H10" s="32">
        <v>5186661.333333333</v>
      </c>
      <c r="I10" s="32">
        <v>446498.66666666669</v>
      </c>
      <c r="J10" s="32">
        <v>33771.333333333336</v>
      </c>
      <c r="K10" s="13"/>
      <c r="L10" s="13">
        <v>488814</v>
      </c>
      <c r="M10" s="13">
        <v>287569.5</v>
      </c>
      <c r="N10" s="3"/>
      <c r="O10" s="32">
        <v>33879.666666666664</v>
      </c>
      <c r="P10" s="13">
        <v>4690514.666666667</v>
      </c>
      <c r="Q10" s="13">
        <v>85481.333333333328</v>
      </c>
      <c r="R10" s="32">
        <v>895034</v>
      </c>
      <c r="S10" s="32">
        <v>215693.33333333334</v>
      </c>
      <c r="T10" s="32">
        <v>1820703.6666666667</v>
      </c>
      <c r="U10" s="32">
        <v>1319888.5</v>
      </c>
      <c r="V10" s="32">
        <v>2516371.3333333335</v>
      </c>
    </row>
    <row r="11" spans="1:22" ht="16.5" x14ac:dyDescent="0.35">
      <c r="A11" s="226"/>
      <c r="B11" s="14">
        <v>189067</v>
      </c>
      <c r="C11" s="13">
        <v>118467</v>
      </c>
      <c r="D11" s="32">
        <v>501518</v>
      </c>
      <c r="E11" s="32">
        <v>149203</v>
      </c>
      <c r="F11" s="32">
        <v>242737.66666666666</v>
      </c>
      <c r="G11" s="32">
        <v>2628457.6666666665</v>
      </c>
      <c r="H11" s="32">
        <v>4722772.333333333</v>
      </c>
      <c r="I11" s="32">
        <v>229774.33333333334</v>
      </c>
      <c r="J11" s="32">
        <v>244937</v>
      </c>
      <c r="K11" s="13">
        <v>90874.333333333328</v>
      </c>
      <c r="L11" s="13">
        <v>264339</v>
      </c>
      <c r="M11" s="13">
        <v>251036.33333333334</v>
      </c>
      <c r="N11" s="3"/>
      <c r="O11" s="32">
        <v>3531419.3333333335</v>
      </c>
      <c r="P11" s="13"/>
      <c r="Q11" s="13">
        <v>333107.33333333331</v>
      </c>
      <c r="R11" s="32">
        <v>3237807.6666666665</v>
      </c>
      <c r="S11" s="32">
        <v>2581102.6666666665</v>
      </c>
      <c r="T11" s="32">
        <v>1622905.3333333333</v>
      </c>
      <c r="U11" s="32">
        <v>792108</v>
      </c>
      <c r="V11" s="32">
        <v>1732785.3333333333</v>
      </c>
    </row>
    <row r="12" spans="1:22" ht="16.5" x14ac:dyDescent="0.35">
      <c r="A12" s="226"/>
      <c r="B12" s="14">
        <v>282313.33333333331</v>
      </c>
      <c r="C12" s="13">
        <v>257900.33333333334</v>
      </c>
      <c r="D12" s="32">
        <v>415135.33333333331</v>
      </c>
      <c r="E12" s="32">
        <v>439887</v>
      </c>
      <c r="F12" s="32">
        <v>1141654.6666666667</v>
      </c>
      <c r="G12" s="32">
        <v>3498765.3333333335</v>
      </c>
      <c r="H12" s="32">
        <v>4839357.333333333</v>
      </c>
      <c r="I12" s="32">
        <v>106786.66666666667</v>
      </c>
      <c r="J12" s="32">
        <v>506529</v>
      </c>
      <c r="K12" s="13">
        <v>5054</v>
      </c>
      <c r="L12" s="13">
        <v>297962.5</v>
      </c>
      <c r="M12" s="13">
        <v>136643.33333333334</v>
      </c>
      <c r="N12" s="3"/>
      <c r="O12" s="32">
        <v>2310484</v>
      </c>
      <c r="P12" s="13">
        <v>1241433.3333333333</v>
      </c>
      <c r="Q12" s="13"/>
      <c r="R12" s="32">
        <v>1071703.6666666667</v>
      </c>
      <c r="S12" s="32">
        <v>2085085.6666666667</v>
      </c>
      <c r="T12" s="32">
        <v>363382.33333333331</v>
      </c>
      <c r="U12" s="32">
        <v>2020066.3333333333</v>
      </c>
      <c r="V12" s="32">
        <v>2221455.3333333335</v>
      </c>
    </row>
    <row r="13" spans="1:22" ht="16.5" x14ac:dyDescent="0.35">
      <c r="A13" s="226"/>
      <c r="B13" s="14"/>
      <c r="C13" s="13"/>
      <c r="D13" s="32"/>
      <c r="E13" s="32"/>
      <c r="F13" s="32"/>
      <c r="G13" s="32"/>
      <c r="H13" s="32"/>
      <c r="I13" s="32"/>
      <c r="J13" s="32"/>
      <c r="K13" s="13"/>
      <c r="L13" s="13"/>
      <c r="M13" s="13"/>
      <c r="N13" s="3"/>
      <c r="O13" s="32">
        <v>1774401.3333333333</v>
      </c>
      <c r="P13" s="13"/>
      <c r="Q13" s="13"/>
      <c r="R13" s="32"/>
      <c r="S13" s="32"/>
      <c r="T13" s="32"/>
      <c r="U13" s="32"/>
      <c r="V13" s="32"/>
    </row>
    <row r="14" spans="1:22" ht="16.5" x14ac:dyDescent="0.35">
      <c r="A14" s="226"/>
      <c r="B14" s="14"/>
      <c r="C14" s="32"/>
      <c r="D14" s="32"/>
      <c r="E14" s="32"/>
      <c r="F14" s="32"/>
      <c r="G14" s="32"/>
      <c r="H14" s="32"/>
      <c r="I14" s="32"/>
      <c r="J14" s="32"/>
      <c r="K14" s="13"/>
      <c r="L14" s="13"/>
      <c r="M14" s="13"/>
      <c r="N14" s="3"/>
      <c r="O14" s="32">
        <v>3298984.3333333335</v>
      </c>
      <c r="P14" s="13"/>
      <c r="Q14" s="13"/>
      <c r="R14" s="32"/>
      <c r="S14" s="32"/>
      <c r="T14" s="32"/>
      <c r="U14" s="32"/>
      <c r="V14" s="32"/>
    </row>
    <row r="15" spans="1:22" ht="16.5" x14ac:dyDescent="0.35">
      <c r="A15" s="226"/>
      <c r="B15" s="14"/>
      <c r="C15" s="32"/>
      <c r="D15" s="32"/>
      <c r="E15" s="32"/>
      <c r="F15" s="32"/>
      <c r="G15" s="32"/>
      <c r="H15" s="32"/>
      <c r="I15" s="32"/>
      <c r="J15" s="32"/>
      <c r="K15" s="13"/>
      <c r="L15" s="13"/>
      <c r="M15" s="13"/>
      <c r="N15" s="3"/>
      <c r="O15" s="32"/>
      <c r="P15" s="13"/>
      <c r="Q15" s="13"/>
      <c r="R15" s="32"/>
      <c r="S15" s="32"/>
      <c r="T15" s="32"/>
      <c r="U15" s="32"/>
      <c r="V15" s="32"/>
    </row>
    <row r="16" spans="1:22" ht="16.5" x14ac:dyDescent="0.35">
      <c r="A16" s="226"/>
      <c r="B16" s="14"/>
      <c r="C16" s="32"/>
      <c r="D16" s="32"/>
      <c r="E16" s="32"/>
      <c r="F16" s="32"/>
      <c r="G16" s="32"/>
      <c r="H16" s="32"/>
      <c r="I16" s="32"/>
      <c r="J16" s="32"/>
      <c r="K16" s="13"/>
      <c r="L16" s="13"/>
      <c r="M16" s="13"/>
      <c r="N16" s="3"/>
      <c r="O16" s="32">
        <v>2138043</v>
      </c>
      <c r="P16" s="13"/>
      <c r="Q16" s="13"/>
      <c r="R16" s="32"/>
      <c r="S16" s="32"/>
      <c r="T16" s="32"/>
      <c r="U16" s="32"/>
      <c r="V16" s="32"/>
    </row>
    <row r="17" spans="1:22" ht="16.5" x14ac:dyDescent="0.35">
      <c r="A17" s="226"/>
      <c r="B17" s="14"/>
      <c r="C17" s="32"/>
      <c r="D17" s="32"/>
      <c r="E17" s="32"/>
      <c r="F17" s="32"/>
      <c r="G17" s="32"/>
      <c r="H17" s="32"/>
      <c r="I17" s="32"/>
      <c r="J17" s="32"/>
      <c r="K17" s="13"/>
      <c r="L17" s="13"/>
      <c r="M17" s="13"/>
      <c r="N17" s="3"/>
      <c r="O17" s="32">
        <v>2464546.3333333335</v>
      </c>
      <c r="P17" s="13"/>
      <c r="Q17" s="13"/>
      <c r="R17" s="32"/>
      <c r="S17" s="32"/>
      <c r="T17" s="32"/>
      <c r="U17" s="32"/>
      <c r="V17" s="32"/>
    </row>
    <row r="18" spans="1:22" ht="16.5" x14ac:dyDescent="0.35">
      <c r="A18" s="226"/>
      <c r="B18" s="14"/>
      <c r="C18" s="32"/>
      <c r="D18" s="32"/>
      <c r="E18" s="32"/>
      <c r="F18" s="32"/>
      <c r="G18" s="32"/>
      <c r="H18" s="32"/>
      <c r="I18" s="32"/>
      <c r="J18" s="32"/>
      <c r="K18" s="13"/>
      <c r="L18" s="13"/>
      <c r="M18" s="13"/>
      <c r="N18" s="3"/>
      <c r="O18" s="32">
        <v>2365265</v>
      </c>
      <c r="P18" s="13"/>
      <c r="Q18" s="13"/>
      <c r="R18" s="32"/>
      <c r="S18" s="32"/>
      <c r="T18" s="32"/>
      <c r="U18" s="32"/>
      <c r="V18" s="32"/>
    </row>
    <row r="19" spans="1:22" ht="16.5" x14ac:dyDescent="0.35">
      <c r="A19" s="226"/>
      <c r="B19" s="14"/>
      <c r="C19" s="32"/>
      <c r="D19" s="32"/>
      <c r="E19" s="32"/>
      <c r="F19" s="32"/>
      <c r="G19" s="32"/>
      <c r="H19" s="32"/>
      <c r="I19" s="32"/>
      <c r="J19" s="32"/>
      <c r="K19" s="13"/>
      <c r="L19" s="13"/>
      <c r="M19" s="13"/>
      <c r="N19" s="3"/>
      <c r="O19" s="32">
        <v>548181</v>
      </c>
      <c r="P19" s="13"/>
      <c r="Q19" s="13"/>
      <c r="R19" s="32"/>
      <c r="S19" s="32"/>
      <c r="T19" s="32"/>
      <c r="U19" s="32"/>
      <c r="V19" s="32"/>
    </row>
    <row r="20" spans="1:22" ht="16.5" x14ac:dyDescent="0.35">
      <c r="A20" s="226"/>
      <c r="B20" s="14"/>
      <c r="C20" s="32"/>
      <c r="D20" s="32"/>
      <c r="E20" s="32"/>
      <c r="F20" s="32"/>
      <c r="G20" s="32"/>
      <c r="H20" s="32"/>
      <c r="I20" s="32"/>
      <c r="J20" s="32"/>
      <c r="K20" s="13"/>
      <c r="L20" s="13"/>
      <c r="M20" s="13"/>
      <c r="N20" s="3"/>
      <c r="O20" s="32">
        <v>1722691.5</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CRO-0.1µg/L</v>
      </c>
      <c r="J22" s="3" t="str">
        <f t="shared" si="0"/>
        <v>CRO-1µg/L</v>
      </c>
      <c r="K22" s="3" t="str">
        <f t="shared" si="0"/>
        <v>CRO-10µg/L</v>
      </c>
      <c r="L22" s="3" t="str">
        <f t="shared" si="0"/>
        <v>CRO-100µg/L</v>
      </c>
      <c r="M22" s="3" t="str">
        <f t="shared" si="0"/>
        <v>CRO-1000µg/L</v>
      </c>
      <c r="N22" s="3" t="s">
        <v>41</v>
      </c>
      <c r="O22" s="3" t="str">
        <f t="shared" si="0"/>
        <v>Testo -30µg/L</v>
      </c>
      <c r="P22" s="3" t="str">
        <f t="shared" si="0"/>
        <v>Testo 30µg/L + EE2 -64ng/L</v>
      </c>
      <c r="Q22" s="3" t="str">
        <f t="shared" si="0"/>
        <v>Testo 30µg/L + FAD-10mg/L</v>
      </c>
      <c r="R22" s="3" t="str">
        <f t="shared" si="0"/>
        <v>CRO-0,1µg/L + Testostérone</v>
      </c>
      <c r="S22" s="3" t="str">
        <f t="shared" si="0"/>
        <v>CRO-1µg/L + Testostérone</v>
      </c>
      <c r="T22" s="3" t="str">
        <f t="shared" si="0"/>
        <v>CRO-10µg/L + Testostérone</v>
      </c>
      <c r="U22" s="3" t="str">
        <f t="shared" si="0"/>
        <v>CRO-100µg/L + Testostérone</v>
      </c>
      <c r="V22" s="3" t="str">
        <f t="shared" si="0"/>
        <v>CRO-1000µg/L + Testostérone</v>
      </c>
    </row>
    <row r="23" spans="1:22" x14ac:dyDescent="0.35">
      <c r="A23" s="5" t="s">
        <v>0</v>
      </c>
      <c r="B23" s="5">
        <f t="shared" ref="B23:J23" si="1">AVERAGE(B5:B20)</f>
        <v>191862.64583333331</v>
      </c>
      <c r="C23" s="5">
        <f t="shared" si="1"/>
        <v>230164.73809523808</v>
      </c>
      <c r="D23" s="5">
        <f t="shared" si="1"/>
        <v>210215.04166666666</v>
      </c>
      <c r="E23" s="5">
        <f t="shared" si="1"/>
        <v>462161.45833333337</v>
      </c>
      <c r="F23" s="5">
        <f t="shared" si="1"/>
        <v>1480722.083333333</v>
      </c>
      <c r="G23" s="5">
        <f t="shared" si="1"/>
        <v>2443923.7142857141</v>
      </c>
      <c r="H23" s="5">
        <f t="shared" si="1"/>
        <v>4379449.1428571427</v>
      </c>
      <c r="I23" s="5">
        <f t="shared" si="1"/>
        <v>222566.25</v>
      </c>
      <c r="J23" s="5">
        <f t="shared" si="1"/>
        <v>188261.25</v>
      </c>
      <c r="K23" s="5"/>
      <c r="L23" s="5">
        <f>AVERAGE(L5:L20)</f>
        <v>280586.10416666663</v>
      </c>
      <c r="M23" s="5"/>
      <c r="N23" s="5" t="s">
        <v>0</v>
      </c>
      <c r="O23" s="5">
        <f>AVERAGE(O5:O20)</f>
        <v>2022075.1222222219</v>
      </c>
      <c r="P23" s="5">
        <f>AVERAGE(P5:P20)</f>
        <v>3078536.4761904762</v>
      </c>
      <c r="Q23" s="5">
        <f>AVERAGE(Q5:Q20)</f>
        <v>114821.14285714286</v>
      </c>
      <c r="R23" s="5">
        <f>AVERAGE(R5:R20)</f>
        <v>2126105.4583333335</v>
      </c>
      <c r="S23" s="5">
        <f>AVERAGE(S5:S20)</f>
        <v>1552349.7619047617</v>
      </c>
      <c r="T23" s="5">
        <f t="shared" ref="T23:V23" si="2">AVERAGE(T5:T20)</f>
        <v>1378020.2222222222</v>
      </c>
      <c r="U23" s="5">
        <f t="shared" si="2"/>
        <v>1207825.4375</v>
      </c>
      <c r="V23" s="5">
        <f t="shared" si="2"/>
        <v>1790169.4583333335</v>
      </c>
    </row>
    <row r="24" spans="1:22" x14ac:dyDescent="0.35">
      <c r="A24" s="3" t="s">
        <v>1</v>
      </c>
      <c r="B24" s="3">
        <f t="shared" ref="B24:J24" si="3">STDEV(B5:B20)</f>
        <v>105055.65152270782</v>
      </c>
      <c r="C24" s="3">
        <f t="shared" si="3"/>
        <v>143746.52669774444</v>
      </c>
      <c r="D24" s="3">
        <f t="shared" si="3"/>
        <v>194897.76980289145</v>
      </c>
      <c r="E24" s="3">
        <f t="shared" si="3"/>
        <v>539161.6187535224</v>
      </c>
      <c r="F24" s="3">
        <f t="shared" si="3"/>
        <v>963079.36057717411</v>
      </c>
      <c r="G24" s="3">
        <f t="shared" si="3"/>
        <v>594186.60545514862</v>
      </c>
      <c r="H24" s="3">
        <f t="shared" si="3"/>
        <v>814210.55687384238</v>
      </c>
      <c r="I24" s="3">
        <f t="shared" si="3"/>
        <v>134769.0682051373</v>
      </c>
      <c r="J24" s="3">
        <f t="shared" si="3"/>
        <v>196269.46574509513</v>
      </c>
      <c r="K24" s="3"/>
      <c r="L24" s="3">
        <f>STDEV(L5:L20)</f>
        <v>163194.00933607237</v>
      </c>
      <c r="M24" s="3"/>
      <c r="N24" s="3" t="s">
        <v>1</v>
      </c>
      <c r="O24" s="3">
        <f>STDEV(O5:O20)</f>
        <v>1069337.9502975841</v>
      </c>
      <c r="P24" s="3">
        <f>STDEV(P5:P20)</f>
        <v>1017082.9962310306</v>
      </c>
      <c r="Q24" s="3">
        <f>STDEV(Q5:Q20)</f>
        <v>103841.815959528</v>
      </c>
      <c r="R24" s="3">
        <f>STDEV(R5:R20)</f>
        <v>1193670.8533729843</v>
      </c>
      <c r="S24" s="3">
        <f>STDEV(S5:S20)</f>
        <v>990480.16404681851</v>
      </c>
      <c r="T24" s="3">
        <f t="shared" ref="T24:V24" si="4">STDEV(T5:T20)</f>
        <v>1133777.5977274608</v>
      </c>
      <c r="U24" s="3">
        <f t="shared" si="4"/>
        <v>728726.92832124385</v>
      </c>
      <c r="V24" s="3">
        <f t="shared" si="4"/>
        <v>564607.14729151689</v>
      </c>
    </row>
    <row r="25" spans="1:22" ht="15" thickBot="1" x14ac:dyDescent="0.4"/>
    <row r="26" spans="1:22" ht="15" thickBot="1" x14ac:dyDescent="0.4">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CRO-0.1µg/L</v>
      </c>
      <c r="J27" s="35" t="str">
        <f t="shared" si="5"/>
        <v>CRO-1µg/L</v>
      </c>
      <c r="K27" s="35" t="str">
        <f t="shared" si="5"/>
        <v>CRO-10µg/L</v>
      </c>
      <c r="L27" s="35" t="str">
        <f t="shared" si="5"/>
        <v>CRO-100µg/L</v>
      </c>
      <c r="M27" s="35" t="str">
        <f t="shared" si="5"/>
        <v>CRO-1000µg/L</v>
      </c>
      <c r="N27" s="3"/>
      <c r="O27" s="36" t="str">
        <f>O4</f>
        <v>Testo -30µg/L</v>
      </c>
      <c r="P27" s="36" t="str">
        <f t="shared" ref="P27:V27" si="6">P4</f>
        <v>Testo 30µg/L + EE2 -64ng/L</v>
      </c>
      <c r="Q27" s="36" t="str">
        <f t="shared" si="6"/>
        <v>Testo 30µg/L + FAD-10mg/L</v>
      </c>
      <c r="R27" s="36" t="str">
        <f t="shared" si="6"/>
        <v>CRO-0,1µg/L + Testostérone</v>
      </c>
      <c r="S27" s="36" t="str">
        <f t="shared" si="6"/>
        <v>CRO-1µg/L + Testostérone</v>
      </c>
      <c r="T27" s="36" t="str">
        <f t="shared" si="6"/>
        <v>CRO-10µg/L + Testostérone</v>
      </c>
      <c r="U27" s="36" t="str">
        <f t="shared" si="6"/>
        <v>CRO-100µg/L + Testostérone</v>
      </c>
      <c r="V27" s="36" t="str">
        <f t="shared" si="6"/>
        <v>CRO-1000µg/L + Testostérone</v>
      </c>
    </row>
    <row r="28" spans="1:22" x14ac:dyDescent="0.35">
      <c r="A28" s="227" t="s">
        <v>34</v>
      </c>
      <c r="B28" s="11">
        <f t="shared" ref="B28:M28" si="7">IF(B5="","",(B5/$O$23))</f>
        <v>9.9955237952721196E-2</v>
      </c>
      <c r="C28" s="11">
        <f t="shared" si="7"/>
        <v>0.23045360425970771</v>
      </c>
      <c r="D28" s="11">
        <f t="shared" si="7"/>
        <v>1.7007281095573763E-3</v>
      </c>
      <c r="E28" s="11">
        <f t="shared" si="7"/>
        <v>0.2545820352283758</v>
      </c>
      <c r="F28" s="11">
        <f t="shared" si="7"/>
        <v>1.0635622005493026</v>
      </c>
      <c r="G28" s="11" t="str">
        <f t="shared" si="7"/>
        <v/>
      </c>
      <c r="H28" s="11">
        <f t="shared" si="7"/>
        <v>1.700482981836245</v>
      </c>
      <c r="I28" s="11">
        <f t="shared" si="7"/>
        <v>0.1890567743001921</v>
      </c>
      <c r="J28" s="11">
        <f t="shared" si="7"/>
        <v>5.3492902156767339E-4</v>
      </c>
      <c r="K28" s="11">
        <f t="shared" si="7"/>
        <v>0.13383577940595362</v>
      </c>
      <c r="L28" s="11">
        <f t="shared" si="7"/>
        <v>0.2074660804584571</v>
      </c>
      <c r="M28" s="11">
        <f t="shared" si="7"/>
        <v>0.13139686573134846</v>
      </c>
      <c r="N28" s="6"/>
      <c r="O28" s="11">
        <f t="shared" ref="O28:V39" si="8">IF(O5="","",(O5/$O$23))</f>
        <v>0.25939936367129479</v>
      </c>
      <c r="P28" s="11">
        <f t="shared" si="8"/>
        <v>1.6033660822173763</v>
      </c>
      <c r="Q28" s="11">
        <f t="shared" si="8"/>
        <v>7.8086449376391738E-3</v>
      </c>
      <c r="R28" s="11">
        <f t="shared" si="8"/>
        <v>1.1691118564388321</v>
      </c>
      <c r="S28" s="11">
        <f t="shared" si="8"/>
        <v>1.1598593152608503</v>
      </c>
      <c r="T28" s="11" t="str">
        <f t="shared" si="8"/>
        <v/>
      </c>
      <c r="U28" s="11">
        <f t="shared" si="8"/>
        <v>0.98454436474090568</v>
      </c>
      <c r="V28" s="11">
        <f t="shared" si="8"/>
        <v>0.87149976805180918</v>
      </c>
    </row>
    <row r="29" spans="1:22" x14ac:dyDescent="0.35">
      <c r="A29" s="227"/>
      <c r="B29" s="11">
        <f t="shared" ref="B29:M29" si="9">IF(B6="","",(B6/$O$23))</f>
        <v>1.2616989210550324E-2</v>
      </c>
      <c r="C29" s="11">
        <f t="shared" si="9"/>
        <v>0.11355809558037028</v>
      </c>
      <c r="D29" s="11">
        <f t="shared" si="9"/>
        <v>1.8264900049515143E-2</v>
      </c>
      <c r="E29" s="11">
        <f t="shared" si="9"/>
        <v>0.10035120082169055</v>
      </c>
      <c r="F29" s="11">
        <f t="shared" si="9"/>
        <v>0.20925599087946845</v>
      </c>
      <c r="G29" s="11">
        <f t="shared" si="9"/>
        <v>1.0532681550390364</v>
      </c>
      <c r="H29" s="11">
        <f t="shared" si="9"/>
        <v>1.7273321326928834</v>
      </c>
      <c r="I29" s="11">
        <f t="shared" si="9"/>
        <v>8.2248345526628741E-2</v>
      </c>
      <c r="J29" s="11">
        <f t="shared" si="9"/>
        <v>8.396984437785561E-3</v>
      </c>
      <c r="K29" s="11">
        <f t="shared" si="9"/>
        <v>0.30128306970637281</v>
      </c>
      <c r="L29" s="11">
        <f t="shared" si="9"/>
        <v>0.21956404839800411</v>
      </c>
      <c r="M29" s="11" t="str">
        <f t="shared" si="9"/>
        <v/>
      </c>
      <c r="N29" s="6"/>
      <c r="O29" s="11">
        <f t="shared" si="8"/>
        <v>1.63168781271952</v>
      </c>
      <c r="P29" s="11">
        <f t="shared" si="8"/>
        <v>1.5661337035390175</v>
      </c>
      <c r="Q29" s="11">
        <f t="shared" si="8"/>
        <v>4.5779044333889768E-2</v>
      </c>
      <c r="R29" s="11">
        <f t="shared" si="8"/>
        <v>0.6123536096122949</v>
      </c>
      <c r="S29" s="11" t="str">
        <f t="shared" si="8"/>
        <v/>
      </c>
      <c r="T29" s="11">
        <f t="shared" si="8"/>
        <v>0.49132546515292952</v>
      </c>
      <c r="U29" s="11">
        <f t="shared" si="8"/>
        <v>3.7314307714944171E-2</v>
      </c>
      <c r="V29" s="11">
        <f t="shared" si="8"/>
        <v>1.0583208852208763</v>
      </c>
    </row>
    <row r="30" spans="1:22" x14ac:dyDescent="0.35">
      <c r="A30" s="227"/>
      <c r="B30" s="11">
        <f t="shared" ref="B30:M30" si="10">IF(B7="","",(B7/$O$23))</f>
        <v>0.16094522392208521</v>
      </c>
      <c r="C30" s="11">
        <f t="shared" si="10"/>
        <v>2.2549112789583638E-2</v>
      </c>
      <c r="D30" s="11">
        <f t="shared" si="10"/>
        <v>3.7314307714944171E-2</v>
      </c>
      <c r="E30" s="11">
        <f t="shared" si="10"/>
        <v>0.12788479707048581</v>
      </c>
      <c r="F30" s="11">
        <f t="shared" si="10"/>
        <v>0.71537863130604329</v>
      </c>
      <c r="G30" s="11">
        <f t="shared" si="10"/>
        <v>1.2875797597166974</v>
      </c>
      <c r="H30" s="11" t="str">
        <f t="shared" si="10"/>
        <v/>
      </c>
      <c r="I30" s="11">
        <f t="shared" si="10"/>
        <v>3.8294818599469448E-2</v>
      </c>
      <c r="J30" s="11">
        <f t="shared" si="10"/>
        <v>8.5714092136625272E-2</v>
      </c>
      <c r="K30" s="11">
        <f t="shared" si="10"/>
        <v>0.23757772138161196</v>
      </c>
      <c r="L30" s="11">
        <f t="shared" si="10"/>
        <v>1.5624543150147061E-2</v>
      </c>
      <c r="M30" s="11">
        <f t="shared" si="10"/>
        <v>6.3047278477581126E-2</v>
      </c>
      <c r="N30" s="6"/>
      <c r="O30" s="11">
        <f t="shared" si="8"/>
        <v>1.4222714255571591</v>
      </c>
      <c r="P30" s="11">
        <f t="shared" si="8"/>
        <v>1.4962152659005785</v>
      </c>
      <c r="Q30" s="11">
        <f t="shared" si="8"/>
        <v>7.2048757436811578E-2</v>
      </c>
      <c r="R30" s="11">
        <f t="shared" si="8"/>
        <v>1.8667125461945007</v>
      </c>
      <c r="S30" s="11">
        <f t="shared" si="8"/>
        <v>1.1066064305633752</v>
      </c>
      <c r="T30" s="11">
        <f t="shared" si="8"/>
        <v>1.6188445707872128</v>
      </c>
      <c r="U30" s="11">
        <f t="shared" si="8"/>
        <v>0.55297170765075598</v>
      </c>
      <c r="V30" s="11">
        <f t="shared" si="8"/>
        <v>0.6669790117315183</v>
      </c>
    </row>
    <row r="31" spans="1:22" x14ac:dyDescent="0.35">
      <c r="A31" s="227"/>
      <c r="B31" s="11">
        <f t="shared" ref="B31:M31" si="11">IF(B8="","",(B8/$O$23))</f>
        <v>0.12237774812641455</v>
      </c>
      <c r="C31" s="11">
        <f t="shared" si="11"/>
        <v>0.17211279451256351</v>
      </c>
      <c r="D31" s="11">
        <f t="shared" si="11"/>
        <v>0.19485428393332416</v>
      </c>
      <c r="E31" s="11">
        <f t="shared" si="11"/>
        <v>0.10054357745286759</v>
      </c>
      <c r="F31" s="11">
        <f t="shared" si="11"/>
        <v>1.5980888302089185</v>
      </c>
      <c r="G31" s="11">
        <f t="shared" si="11"/>
        <v>0.82885842448726266</v>
      </c>
      <c r="H31" s="11">
        <f t="shared" si="11"/>
        <v>2.6184642079541161</v>
      </c>
      <c r="I31" s="11">
        <f t="shared" si="11"/>
        <v>0.12865858962125276</v>
      </c>
      <c r="J31" s="11">
        <f t="shared" si="11"/>
        <v>4.1778533549481661E-2</v>
      </c>
      <c r="K31" s="11">
        <f t="shared" si="11"/>
        <v>0.14576659232920797</v>
      </c>
      <c r="L31" s="11">
        <f t="shared" si="11"/>
        <v>7.2852881864302221E-2</v>
      </c>
      <c r="M31" s="11">
        <f t="shared" si="11"/>
        <v>8.980015859505297E-2</v>
      </c>
      <c r="N31" s="6"/>
      <c r="O31" s="11">
        <f t="shared" si="8"/>
        <v>0.57389476809249884</v>
      </c>
      <c r="P31" s="11">
        <f t="shared" si="8"/>
        <v>1.3743101345707232</v>
      </c>
      <c r="Q31" s="11">
        <f t="shared" si="8"/>
        <v>2.929515295895618E-2</v>
      </c>
      <c r="R31" s="11">
        <f t="shared" si="8"/>
        <v>1.6513021515889281</v>
      </c>
      <c r="S31" s="11">
        <f t="shared" si="8"/>
        <v>0.18677825690847921</v>
      </c>
      <c r="T31" s="11">
        <f t="shared" si="8"/>
        <v>9.604374463261095E-2</v>
      </c>
      <c r="U31" s="11">
        <f t="shared" si="8"/>
        <v>0.23636180875816568</v>
      </c>
      <c r="V31" s="11">
        <f t="shared" si="8"/>
        <v>0.93876169376958163</v>
      </c>
    </row>
    <row r="32" spans="1:22" x14ac:dyDescent="0.35">
      <c r="A32" s="227"/>
      <c r="B32" s="11">
        <f t="shared" ref="B32:M32" si="12">IF(B9="","",(B9/$O$23))</f>
        <v>0.10500417664997073</v>
      </c>
      <c r="C32" s="11" t="str">
        <f t="shared" si="12"/>
        <v/>
      </c>
      <c r="D32" s="11">
        <f t="shared" si="12"/>
        <v>7.2207505248142762E-2</v>
      </c>
      <c r="E32" s="11">
        <f t="shared" si="12"/>
        <v>8.5336097607671593E-2</v>
      </c>
      <c r="F32" s="11">
        <f t="shared" si="12"/>
        <v>0.64495757468863368</v>
      </c>
      <c r="G32" s="11">
        <f t="shared" si="12"/>
        <v>1.2895340227523475</v>
      </c>
      <c r="H32" s="11">
        <f t="shared" si="12"/>
        <v>1.8205663872439604</v>
      </c>
      <c r="I32" s="11">
        <f t="shared" si="12"/>
        <v>5.5031915206183606E-2</v>
      </c>
      <c r="J32" s="11">
        <f t="shared" si="12"/>
        <v>0.22006699707128699</v>
      </c>
      <c r="K32" s="11">
        <f t="shared" si="12"/>
        <v>3.1823248945015294E-2</v>
      </c>
      <c r="L32" s="11">
        <f t="shared" si="12"/>
        <v>7.4763954945052308E-2</v>
      </c>
      <c r="M32" s="11">
        <f t="shared" si="12"/>
        <v>4.0159734476509536E-2</v>
      </c>
      <c r="N32" s="6"/>
      <c r="O32" s="11">
        <f t="shared" si="8"/>
        <v>1.1289951470700665</v>
      </c>
      <c r="P32" s="11">
        <f t="shared" si="8"/>
        <v>1.6836281843600702</v>
      </c>
      <c r="Q32" s="11">
        <f t="shared" si="8"/>
        <v>3.5545662577070654E-2</v>
      </c>
      <c r="R32" s="11">
        <f t="shared" si="8"/>
        <v>0.53823486643624596</v>
      </c>
      <c r="S32" s="11">
        <f t="shared" si="8"/>
        <v>0.50637238386807715</v>
      </c>
      <c r="T32" s="11" t="str">
        <f t="shared" si="8"/>
        <v/>
      </c>
      <c r="U32" s="11">
        <f t="shared" si="8"/>
        <v>0.92388951303990752</v>
      </c>
      <c r="V32" s="11">
        <f t="shared" si="8"/>
        <v>0.34695694155466622</v>
      </c>
    </row>
    <row r="33" spans="1:22" x14ac:dyDescent="0.35">
      <c r="A33" s="227"/>
      <c r="B33" s="11">
        <f t="shared" ref="B33:M33" si="13">IF(B10="","",(B10/$O$23))</f>
        <v>2.5055778645348824E-2</v>
      </c>
      <c r="C33" s="11">
        <f t="shared" si="13"/>
        <v>7.1979191936934375E-2</v>
      </c>
      <c r="D33" s="11">
        <f t="shared" si="13"/>
        <v>5.4015632488783084E-2</v>
      </c>
      <c r="E33" s="11">
        <f t="shared" si="13"/>
        <v>0.86843690789133843</v>
      </c>
      <c r="F33" s="11">
        <f t="shared" si="13"/>
        <v>0.94234514124903856</v>
      </c>
      <c r="G33" s="11">
        <f t="shared" si="13"/>
        <v>0.97094513375069091</v>
      </c>
      <c r="H33" s="11">
        <f t="shared" si="13"/>
        <v>2.56501911147262</v>
      </c>
      <c r="I33" s="11">
        <f t="shared" si="13"/>
        <v>0.22081210621689129</v>
      </c>
      <c r="J33" s="11">
        <f t="shared" si="13"/>
        <v>1.670132477383891E-2</v>
      </c>
      <c r="K33" s="11" t="str">
        <f t="shared" si="13"/>
        <v/>
      </c>
      <c r="L33" s="11">
        <f t="shared" si="13"/>
        <v>0.24173879329606843</v>
      </c>
      <c r="M33" s="11">
        <f t="shared" si="13"/>
        <v>0.14221504277445765</v>
      </c>
      <c r="N33" s="6"/>
      <c r="O33" s="11">
        <f t="shared" si="8"/>
        <v>1.6754900099573727E-2</v>
      </c>
      <c r="P33" s="11">
        <f t="shared" si="8"/>
        <v>2.3196540104365071</v>
      </c>
      <c r="Q33" s="11">
        <f t="shared" si="8"/>
        <v>4.2274064100739729E-2</v>
      </c>
      <c r="R33" s="11">
        <f t="shared" si="8"/>
        <v>0.44263142855759718</v>
      </c>
      <c r="S33" s="11">
        <f t="shared" si="8"/>
        <v>0.10666929777380896</v>
      </c>
      <c r="T33" s="11">
        <f t="shared" si="8"/>
        <v>0.90041346469153338</v>
      </c>
      <c r="U33" s="11">
        <f t="shared" si="8"/>
        <v>0.65273959681056148</v>
      </c>
      <c r="V33" s="11">
        <f t="shared" si="8"/>
        <v>1.2444499740286055</v>
      </c>
    </row>
    <row r="34" spans="1:22" x14ac:dyDescent="0.35">
      <c r="A34" s="227"/>
      <c r="B34" s="11">
        <f t="shared" ref="B34:M34" si="14">IF(B11="","",(B11/$O$23))</f>
        <v>9.3501471791126625E-2</v>
      </c>
      <c r="C34" s="11">
        <f t="shared" si="14"/>
        <v>5.8586844127634104E-2</v>
      </c>
      <c r="D34" s="11">
        <f t="shared" si="14"/>
        <v>0.24802144810962379</v>
      </c>
      <c r="E34" s="11">
        <f t="shared" si="14"/>
        <v>7.3787070697961379E-2</v>
      </c>
      <c r="F34" s="11">
        <f t="shared" si="14"/>
        <v>0.12004384209024964</v>
      </c>
      <c r="G34" s="11">
        <f t="shared" si="14"/>
        <v>1.2998813138940366</v>
      </c>
      <c r="H34" s="11">
        <f t="shared" si="14"/>
        <v>2.3356067642744631</v>
      </c>
      <c r="I34" s="11">
        <f t="shared" si="14"/>
        <v>0.11363293618924293</v>
      </c>
      <c r="J34" s="11">
        <f t="shared" si="14"/>
        <v>0.12113150362624457</v>
      </c>
      <c r="K34" s="11">
        <f t="shared" si="14"/>
        <v>4.4941126239397167E-2</v>
      </c>
      <c r="L34" s="11">
        <f t="shared" si="14"/>
        <v>0.13072659719461682</v>
      </c>
      <c r="M34" s="11">
        <f t="shared" si="14"/>
        <v>0.12414787688869304</v>
      </c>
      <c r="N34" s="6"/>
      <c r="O34" s="11">
        <f t="shared" si="8"/>
        <v>1.74643330236533</v>
      </c>
      <c r="P34" s="11" t="str">
        <f t="shared" si="8"/>
        <v/>
      </c>
      <c r="Q34" s="11">
        <f t="shared" si="8"/>
        <v>0.16473538973530061</v>
      </c>
      <c r="R34" s="11">
        <f t="shared" si="8"/>
        <v>1.6012301576156962</v>
      </c>
      <c r="S34" s="11">
        <f t="shared" si="8"/>
        <v>1.2764623026616755</v>
      </c>
      <c r="T34" s="11">
        <f t="shared" si="8"/>
        <v>0.80259398649333624</v>
      </c>
      <c r="U34" s="11">
        <f t="shared" si="8"/>
        <v>0.3917302533891463</v>
      </c>
      <c r="V34" s="11">
        <f t="shared" si="8"/>
        <v>0.85693420303249435</v>
      </c>
    </row>
    <row r="35" spans="1:22" x14ac:dyDescent="0.35">
      <c r="A35" s="227"/>
      <c r="B35" s="11">
        <f t="shared" ref="B35:M35" si="15">IF(B12="","",(B12/$O$23))</f>
        <v>0.1396156503933822</v>
      </c>
      <c r="C35" s="11">
        <f t="shared" si="15"/>
        <v>0.12754240952725129</v>
      </c>
      <c r="D35" s="11">
        <f t="shared" si="15"/>
        <v>0.20530163729877035</v>
      </c>
      <c r="E35" s="11">
        <f t="shared" si="15"/>
        <v>0.21754236287550613</v>
      </c>
      <c r="F35" s="11">
        <f t="shared" si="15"/>
        <v>0.564595575169339</v>
      </c>
      <c r="G35" s="11">
        <f t="shared" si="15"/>
        <v>1.7302845452587623</v>
      </c>
      <c r="H35" s="11">
        <f t="shared" si="15"/>
        <v>2.3932628813587162</v>
      </c>
      <c r="I35" s="11">
        <f t="shared" si="15"/>
        <v>5.281043493048377E-2</v>
      </c>
      <c r="J35" s="11">
        <f t="shared" si="15"/>
        <v>0.25049959540738242</v>
      </c>
      <c r="K35" s="11">
        <f t="shared" si="15"/>
        <v>2.4994125808964758E-3</v>
      </c>
      <c r="L35" s="11">
        <f t="shared" si="15"/>
        <v>0.14735481225472222</v>
      </c>
      <c r="M35" s="11">
        <f t="shared" si="15"/>
        <v>6.7575794703000416E-2</v>
      </c>
      <c r="N35" s="6"/>
      <c r="O35" s="11">
        <f t="shared" si="8"/>
        <v>1.1426301498931564</v>
      </c>
      <c r="P35" s="11">
        <f t="shared" si="8"/>
        <v>0.61394026348982611</v>
      </c>
      <c r="Q35" s="11" t="str">
        <f t="shared" si="8"/>
        <v/>
      </c>
      <c r="R35" s="11">
        <f t="shared" si="8"/>
        <v>0.53000190491878707</v>
      </c>
      <c r="S35" s="11">
        <f t="shared" si="8"/>
        <v>1.0311613271692881</v>
      </c>
      <c r="T35" s="11">
        <f t="shared" si="8"/>
        <v>0.17970763268873169</v>
      </c>
      <c r="U35" s="11">
        <f t="shared" si="8"/>
        <v>0.99900657059334119</v>
      </c>
      <c r="V35" s="11">
        <f t="shared" si="8"/>
        <v>1.0986017823571246</v>
      </c>
    </row>
    <row r="36" spans="1:22" x14ac:dyDescent="0.35">
      <c r="A36" s="227"/>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0.87751504077815867</v>
      </c>
      <c r="P36" s="11" t="str">
        <f t="shared" si="8"/>
        <v/>
      </c>
      <c r="Q36" s="11" t="str">
        <f t="shared" si="8"/>
        <v/>
      </c>
      <c r="R36" s="11" t="str">
        <f t="shared" si="8"/>
        <v/>
      </c>
      <c r="S36" s="11" t="str">
        <f t="shared" si="8"/>
        <v/>
      </c>
      <c r="T36" s="11" t="str">
        <f t="shared" si="8"/>
        <v/>
      </c>
      <c r="U36" s="11" t="str">
        <f t="shared" si="8"/>
        <v/>
      </c>
      <c r="V36" s="11" t="str">
        <f t="shared" si="8"/>
        <v/>
      </c>
    </row>
    <row r="37" spans="1:22" x14ac:dyDescent="0.35">
      <c r="A37" s="227"/>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1.63148455617604</v>
      </c>
      <c r="P37" s="11" t="str">
        <f t="shared" si="8"/>
        <v/>
      </c>
      <c r="Q37" s="11" t="str">
        <f t="shared" si="8"/>
        <v/>
      </c>
      <c r="R37" s="11" t="str">
        <f t="shared" si="8"/>
        <v/>
      </c>
      <c r="S37" s="11" t="str">
        <f t="shared" si="8"/>
        <v/>
      </c>
      <c r="T37" s="11" t="str">
        <f t="shared" si="8"/>
        <v/>
      </c>
      <c r="U37" s="11" t="str">
        <f t="shared" si="8"/>
        <v/>
      </c>
      <c r="V37" s="11" t="str">
        <f t="shared" si="8"/>
        <v/>
      </c>
    </row>
    <row r="38" spans="1:22" x14ac:dyDescent="0.35">
      <c r="A38" s="227"/>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t="str">
        <f t="shared" si="8"/>
        <v/>
      </c>
      <c r="P38" s="11" t="str">
        <f t="shared" si="8"/>
        <v/>
      </c>
      <c r="Q38" s="11" t="str">
        <f t="shared" si="8"/>
        <v/>
      </c>
      <c r="R38" s="11" t="str">
        <f t="shared" si="8"/>
        <v/>
      </c>
      <c r="S38" s="11" t="str">
        <f t="shared" si="8"/>
        <v/>
      </c>
      <c r="T38" s="11" t="str">
        <f t="shared" si="8"/>
        <v/>
      </c>
      <c r="U38" s="11" t="str">
        <f t="shared" si="8"/>
        <v/>
      </c>
      <c r="V38" s="11" t="str">
        <f t="shared" si="8"/>
        <v/>
      </c>
    </row>
    <row r="39" spans="1:22" x14ac:dyDescent="0.35">
      <c r="A39" s="227"/>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1.0573509245543418</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5">
      <c r="A40" s="227"/>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1.2188203624328477</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5">
      <c r="A41" s="227"/>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1.1697216260692722</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5">
      <c r="A42" s="227"/>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0.27109823664590638</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5">
      <c r="A43" s="227"/>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0.8519423838748359</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CRO-0.1µg/L</v>
      </c>
      <c r="J45" s="7" t="str">
        <f t="shared" si="26"/>
        <v>CRO-1µg/L</v>
      </c>
      <c r="K45" s="7" t="str">
        <f t="shared" si="26"/>
        <v>CRO-10µg/L</v>
      </c>
      <c r="L45" s="7" t="str">
        <f t="shared" si="26"/>
        <v>CRO-100µg/L</v>
      </c>
      <c r="M45" s="7" t="str">
        <f t="shared" si="26"/>
        <v>CRO-1000µg/L</v>
      </c>
      <c r="N45" s="7"/>
      <c r="O45" s="7" t="str">
        <f t="shared" si="26"/>
        <v>Testo -30µg/L</v>
      </c>
      <c r="P45" s="7" t="str">
        <f t="shared" si="26"/>
        <v>Testo 30µg/L + EE2 -64ng/L</v>
      </c>
      <c r="Q45" s="7" t="str">
        <f t="shared" si="26"/>
        <v>Testo 30µg/L + FAD-10mg/L</v>
      </c>
      <c r="R45" s="7" t="str">
        <f t="shared" si="26"/>
        <v>CRO-0,1µg/L + Testostérone</v>
      </c>
      <c r="S45" s="7" t="str">
        <f t="shared" si="26"/>
        <v>CRO-1µg/L + Testostérone</v>
      </c>
      <c r="T45" s="7" t="str">
        <f t="shared" si="26"/>
        <v>CRO-10µg/L + Testostérone</v>
      </c>
      <c r="U45" s="7" t="str">
        <f t="shared" si="26"/>
        <v>CRO-100µg/L + Testostérone</v>
      </c>
      <c r="V45" s="7" t="str">
        <f t="shared" si="26"/>
        <v>CRO-1000µg/L + Testostérone</v>
      </c>
    </row>
    <row r="46" spans="1:22" x14ac:dyDescent="0.35">
      <c r="A46" s="8" t="s">
        <v>0</v>
      </c>
      <c r="B46" s="10">
        <f t="shared" ref="B46:H46" si="27">AVERAGE(B28:B43)</f>
        <v>9.4884034586449964E-2</v>
      </c>
      <c r="C46" s="10">
        <f t="shared" si="27"/>
        <v>0.11382600753343498</v>
      </c>
      <c r="D46" s="10">
        <f t="shared" si="27"/>
        <v>0.10396005536908262</v>
      </c>
      <c r="E46" s="10">
        <f t="shared" si="27"/>
        <v>0.22855800620573716</v>
      </c>
      <c r="F46" s="10">
        <f t="shared" si="27"/>
        <v>0.73227847326762419</v>
      </c>
      <c r="G46" s="10">
        <f t="shared" si="27"/>
        <v>1.2086216221284047</v>
      </c>
      <c r="H46" s="10">
        <f t="shared" si="27"/>
        <v>2.1658192095475717</v>
      </c>
      <c r="I46" s="10">
        <f>AVERAGE(I28:I43)</f>
        <v>0.11006824007379308</v>
      </c>
      <c r="J46" s="9">
        <f>AVERAGE(J28:J43)</f>
        <v>9.3102995003026628E-2</v>
      </c>
      <c r="K46" s="9">
        <f t="shared" ref="K46:M46" si="28">AVERAGE(K28:K43)</f>
        <v>0.12824670722692219</v>
      </c>
      <c r="L46" s="9">
        <f t="shared" si="28"/>
        <v>0.13876146394517125</v>
      </c>
      <c r="M46" s="9">
        <f t="shared" si="28"/>
        <v>9.4048964520949033E-2</v>
      </c>
      <c r="N46" s="8" t="s">
        <v>0</v>
      </c>
      <c r="O46" s="10">
        <f t="shared" ref="O46:V46" si="29">AVERAGE(O28:O43)</f>
        <v>1.0000000000000002</v>
      </c>
      <c r="P46" s="10">
        <f t="shared" si="29"/>
        <v>1.5224639492162999</v>
      </c>
      <c r="Q46" s="10">
        <f t="shared" si="29"/>
        <v>5.6783816582915377E-2</v>
      </c>
      <c r="R46" s="10">
        <f t="shared" si="29"/>
        <v>1.0514473151703603</v>
      </c>
      <c r="S46" s="10">
        <f t="shared" si="29"/>
        <v>0.76770133060079349</v>
      </c>
      <c r="T46" s="10">
        <f t="shared" si="29"/>
        <v>0.6814881440743924</v>
      </c>
      <c r="U46" s="10">
        <f t="shared" si="29"/>
        <v>0.59731976533721598</v>
      </c>
      <c r="V46" s="10">
        <f t="shared" si="29"/>
        <v>0.88531303246833459</v>
      </c>
    </row>
    <row r="47" spans="1:22" x14ac:dyDescent="0.35">
      <c r="A47" s="8" t="s">
        <v>1</v>
      </c>
      <c r="B47" s="8">
        <f t="shared" ref="B47:M47" si="30">STDEV(B28:B43)</f>
        <v>5.1954376159503712E-2</v>
      </c>
      <c r="C47" s="8">
        <f t="shared" si="30"/>
        <v>7.1088618379207269E-2</v>
      </c>
      <c r="D47" s="8">
        <f t="shared" si="30"/>
        <v>9.6385029250892776E-2</v>
      </c>
      <c r="E47" s="8">
        <f t="shared" si="30"/>
        <v>0.26663777860092264</v>
      </c>
      <c r="F47" s="8">
        <f t="shared" si="30"/>
        <v>0.4762826810898933</v>
      </c>
      <c r="G47" s="8">
        <f t="shared" si="30"/>
        <v>0.29384991631871232</v>
      </c>
      <c r="H47" s="8">
        <f t="shared" si="30"/>
        <v>0.40266088431919456</v>
      </c>
      <c r="I47" s="8">
        <f t="shared" si="30"/>
        <v>6.6648892874478727E-2</v>
      </c>
      <c r="J47" s="8">
        <f t="shared" si="30"/>
        <v>9.7063389776240724E-2</v>
      </c>
      <c r="K47" s="8">
        <f t="shared" si="30"/>
        <v>0.11126748756902488</v>
      </c>
      <c r="L47" s="8">
        <f t="shared" si="30"/>
        <v>8.0706204998321401E-2</v>
      </c>
      <c r="M47" s="8">
        <f t="shared" si="30"/>
        <v>3.9168048349783685E-2</v>
      </c>
      <c r="N47" s="8" t="s">
        <v>1</v>
      </c>
      <c r="O47" s="8">
        <f t="shared" ref="O47:V47" si="31">STDEV(O28:O43)</f>
        <v>0.52883196007198829</v>
      </c>
      <c r="P47" s="8">
        <f t="shared" si="31"/>
        <v>0.50298971836084694</v>
      </c>
      <c r="Q47" s="8">
        <f t="shared" si="31"/>
        <v>5.1354084137788053E-2</v>
      </c>
      <c r="R47" s="8">
        <f t="shared" si="31"/>
        <v>0.59031973651956238</v>
      </c>
      <c r="S47" s="8">
        <f t="shared" si="31"/>
        <v>0.48983351467095826</v>
      </c>
      <c r="T47" s="8">
        <f t="shared" si="31"/>
        <v>0.56070003793007506</v>
      </c>
      <c r="U47" s="8">
        <f t="shared" si="31"/>
        <v>0.36038568513734903</v>
      </c>
      <c r="V47" s="8">
        <f t="shared" si="31"/>
        <v>0.27922164764631674</v>
      </c>
    </row>
    <row r="48" spans="1:22" x14ac:dyDescent="0.35">
      <c r="A48" s="8" t="s">
        <v>2</v>
      </c>
      <c r="B48" s="8">
        <f t="shared" ref="B48:M48" si="32" xml:space="preserve"> B47/SQRT(COUNT(B28:B43))</f>
        <v>1.8368645847350887E-2</v>
      </c>
      <c r="C48" s="8">
        <f t="shared" si="32"/>
        <v>2.6868972182651139E-2</v>
      </c>
      <c r="D48" s="8">
        <f t="shared" si="32"/>
        <v>3.4077253894085009E-2</v>
      </c>
      <c r="E48" s="8">
        <f t="shared" si="32"/>
        <v>9.4270690684614841E-2</v>
      </c>
      <c r="F48" s="8">
        <f t="shared" si="32"/>
        <v>0.16839135678018669</v>
      </c>
      <c r="G48" s="8">
        <f t="shared" si="32"/>
        <v>0.11106482876520762</v>
      </c>
      <c r="H48" s="8">
        <f t="shared" si="32"/>
        <v>0.15219150894313377</v>
      </c>
      <c r="I48" s="8">
        <f t="shared" si="32"/>
        <v>2.3563942055059836E-2</v>
      </c>
      <c r="J48" s="8">
        <f t="shared" si="32"/>
        <v>3.4317090557866407E-2</v>
      </c>
      <c r="K48" s="8">
        <f t="shared" si="32"/>
        <v>4.2055157302087226E-2</v>
      </c>
      <c r="L48" s="8">
        <f t="shared" si="32"/>
        <v>2.8533952419072348E-2</v>
      </c>
      <c r="M48" s="8">
        <f t="shared" si="32"/>
        <v>1.4804130753325921E-2</v>
      </c>
      <c r="N48" s="8" t="s">
        <v>2</v>
      </c>
      <c r="O48" s="8">
        <f t="shared" ref="O48:V48" si="33" xml:space="preserve"> O47/SQRT(COUNT(O28:O43))</f>
        <v>0.13654382495340242</v>
      </c>
      <c r="P48" s="8">
        <f t="shared" si="33"/>
        <v>0.19011224382931713</v>
      </c>
      <c r="Q48" s="8">
        <f t="shared" si="33"/>
        <v>1.9410019348010576E-2</v>
      </c>
      <c r="R48" s="8">
        <f t="shared" si="33"/>
        <v>0.20870954438061928</v>
      </c>
      <c r="S48" s="8">
        <f t="shared" si="33"/>
        <v>0.1851396662348663</v>
      </c>
      <c r="T48" s="8">
        <f t="shared" si="33"/>
        <v>0.22890483194797631</v>
      </c>
      <c r="U48" s="8">
        <f t="shared" si="33"/>
        <v>0.12741558090158972</v>
      </c>
      <c r="V48" s="8">
        <f t="shared" si="33"/>
        <v>9.8719760252395677E-2</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 thickBot="1" x14ac:dyDescent="0.4"/>
    <row r="52" spans="1:22" x14ac:dyDescent="0.3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CRO-0.1µg/L</v>
      </c>
      <c r="J52" s="46" t="str">
        <f>J4</f>
        <v>CRO-1µg/L</v>
      </c>
      <c r="K52" s="46" t="str">
        <f t="shared" ref="K52:M52" si="35">K4</f>
        <v>CRO-10µg/L</v>
      </c>
      <c r="L52" s="46" t="str">
        <f t="shared" si="35"/>
        <v>CRO-100µg/L</v>
      </c>
      <c r="M52" s="46" t="str">
        <f t="shared" si="35"/>
        <v>CRO-1000µg/L</v>
      </c>
      <c r="N52" s="47"/>
      <c r="O52" s="46" t="str">
        <f>O27</f>
        <v>Testo -30µg/L</v>
      </c>
      <c r="P52" s="46" t="str">
        <f>P27</f>
        <v>Testo 30µg/L + EE2 -64ng/L</v>
      </c>
      <c r="Q52" s="46" t="str">
        <f>Q27</f>
        <v>Testo 30µg/L + FAD-10mg/L</v>
      </c>
      <c r="R52" s="46" t="str">
        <f>R27</f>
        <v>CRO-0,1µg/L + Testostérone</v>
      </c>
      <c r="S52" s="46" t="str">
        <f t="shared" ref="S52:V52" si="36">S27</f>
        <v>CRO-1µg/L + Testostérone</v>
      </c>
      <c r="T52" s="46" t="str">
        <f t="shared" si="36"/>
        <v>CRO-10µg/L + Testostérone</v>
      </c>
      <c r="U52" s="46" t="str">
        <f t="shared" si="36"/>
        <v>CRO-100µg/L + Testostérone</v>
      </c>
      <c r="V52" s="46" t="str">
        <f t="shared" si="36"/>
        <v>CRO-1000µg/L + Testostérone</v>
      </c>
    </row>
    <row r="53" spans="1:22" s="3" customFormat="1" x14ac:dyDescent="0.35">
      <c r="A53" s="61" t="s">
        <v>32</v>
      </c>
      <c r="B53" s="142">
        <f t="shared" ref="B53:V53" si="37">B46</f>
        <v>9.4884034586449964E-2</v>
      </c>
      <c r="C53" s="142">
        <f t="shared" si="37"/>
        <v>0.11382600753343498</v>
      </c>
      <c r="D53" s="142">
        <f t="shared" si="37"/>
        <v>0.10396005536908262</v>
      </c>
      <c r="E53" s="142">
        <f t="shared" si="37"/>
        <v>0.22855800620573716</v>
      </c>
      <c r="F53" s="142">
        <f t="shared" si="37"/>
        <v>0.73227847326762419</v>
      </c>
      <c r="G53" s="142">
        <f t="shared" si="37"/>
        <v>1.2086216221284047</v>
      </c>
      <c r="H53" s="142">
        <f t="shared" si="37"/>
        <v>2.1658192095475717</v>
      </c>
      <c r="I53" s="142">
        <f t="shared" si="37"/>
        <v>0.11006824007379308</v>
      </c>
      <c r="J53" s="142">
        <f t="shared" si="37"/>
        <v>9.3102995003026628E-2</v>
      </c>
      <c r="K53" s="142">
        <f t="shared" si="37"/>
        <v>0.12824670722692219</v>
      </c>
      <c r="L53" s="142">
        <f t="shared" si="37"/>
        <v>0.13876146394517125</v>
      </c>
      <c r="M53" s="142">
        <f t="shared" si="37"/>
        <v>9.4048964520949033E-2</v>
      </c>
      <c r="N53" s="142"/>
      <c r="O53" s="142">
        <f t="shared" si="37"/>
        <v>1.0000000000000002</v>
      </c>
      <c r="P53" s="142">
        <f t="shared" si="37"/>
        <v>1.5224639492162999</v>
      </c>
      <c r="Q53" s="142">
        <f t="shared" si="37"/>
        <v>5.6783816582915377E-2</v>
      </c>
      <c r="R53" s="142">
        <f t="shared" si="37"/>
        <v>1.0514473151703603</v>
      </c>
      <c r="S53" s="142">
        <f t="shared" si="37"/>
        <v>0.76770133060079349</v>
      </c>
      <c r="T53" s="142">
        <f t="shared" si="37"/>
        <v>0.6814881440743924</v>
      </c>
      <c r="U53" s="142">
        <f t="shared" si="37"/>
        <v>0.59731976533721598</v>
      </c>
      <c r="V53" s="142">
        <f t="shared" si="37"/>
        <v>0.88531303246833459</v>
      </c>
    </row>
    <row r="54" spans="1:22" s="3" customFormat="1" x14ac:dyDescent="0.35">
      <c r="A54" s="61" t="s">
        <v>2</v>
      </c>
      <c r="B54" s="142">
        <f t="shared" ref="B54:V54" si="38">B48</f>
        <v>1.8368645847350887E-2</v>
      </c>
      <c r="C54" s="142">
        <f t="shared" si="38"/>
        <v>2.6868972182651139E-2</v>
      </c>
      <c r="D54" s="142">
        <f t="shared" si="38"/>
        <v>3.4077253894085009E-2</v>
      </c>
      <c r="E54" s="142">
        <f t="shared" si="38"/>
        <v>9.4270690684614841E-2</v>
      </c>
      <c r="F54" s="142">
        <f t="shared" si="38"/>
        <v>0.16839135678018669</v>
      </c>
      <c r="G54" s="142">
        <f t="shared" si="38"/>
        <v>0.11106482876520762</v>
      </c>
      <c r="H54" s="142">
        <f t="shared" si="38"/>
        <v>0.15219150894313377</v>
      </c>
      <c r="I54" s="142">
        <f t="shared" si="38"/>
        <v>2.3563942055059836E-2</v>
      </c>
      <c r="J54" s="142">
        <f t="shared" si="38"/>
        <v>3.4317090557866407E-2</v>
      </c>
      <c r="K54" s="142">
        <f t="shared" si="38"/>
        <v>4.2055157302087226E-2</v>
      </c>
      <c r="L54" s="142">
        <f t="shared" si="38"/>
        <v>2.8533952419072348E-2</v>
      </c>
      <c r="M54" s="142">
        <f t="shared" si="38"/>
        <v>1.4804130753325921E-2</v>
      </c>
      <c r="N54" s="142"/>
      <c r="O54" s="142">
        <f t="shared" si="38"/>
        <v>0.13654382495340242</v>
      </c>
      <c r="P54" s="142">
        <f t="shared" si="38"/>
        <v>0.19011224382931713</v>
      </c>
      <c r="Q54" s="142">
        <f t="shared" si="38"/>
        <v>1.9410019348010576E-2</v>
      </c>
      <c r="R54" s="142">
        <f t="shared" si="38"/>
        <v>0.20870954438061928</v>
      </c>
      <c r="S54" s="142">
        <f t="shared" si="38"/>
        <v>0.1851396662348663</v>
      </c>
      <c r="T54" s="142">
        <f t="shared" si="38"/>
        <v>0.22890483194797631</v>
      </c>
      <c r="U54" s="142">
        <f t="shared" si="38"/>
        <v>0.12741558090158972</v>
      </c>
      <c r="V54" s="142">
        <f t="shared" si="38"/>
        <v>9.8719760252395677E-2</v>
      </c>
    </row>
    <row r="55" spans="1:22" s="3" customFormat="1" x14ac:dyDescent="0.35">
      <c r="A55" s="61" t="s">
        <v>79</v>
      </c>
      <c r="B55" s="142">
        <f>(B53*100/$B53)-100</f>
        <v>0</v>
      </c>
      <c r="C55" s="142">
        <f t="shared" ref="C55:M55" si="39">(C53*100/$B53)-100</f>
        <v>19.963287848733671</v>
      </c>
      <c r="D55" s="142">
        <f t="shared" si="39"/>
        <v>9.5653824399334439</v>
      </c>
      <c r="E55" s="142">
        <f t="shared" si="39"/>
        <v>140.88141614329783</v>
      </c>
      <c r="F55" s="142">
        <f t="shared" si="39"/>
        <v>671.76152601356409</v>
      </c>
      <c r="G55" s="142">
        <f t="shared" si="39"/>
        <v>1173.7881851210861</v>
      </c>
      <c r="H55" s="142">
        <f t="shared" si="39"/>
        <v>2182.5960331337601</v>
      </c>
      <c r="I55" s="142">
        <f t="shared" si="39"/>
        <v>16.002908764918303</v>
      </c>
      <c r="J55" s="142">
        <f t="shared" si="39"/>
        <v>-1.8770698265371664</v>
      </c>
      <c r="K55" s="142">
        <f t="shared" si="39"/>
        <v>35.161524049733686</v>
      </c>
      <c r="L55" s="142">
        <f t="shared" si="39"/>
        <v>46.243216311321618</v>
      </c>
      <c r="M55" s="142">
        <f t="shared" si="39"/>
        <v>-0.88009544402339657</v>
      </c>
      <c r="N55" s="142"/>
      <c r="O55" s="142">
        <f>(O53*100/$O53)-100</f>
        <v>0</v>
      </c>
      <c r="P55" s="142">
        <f t="shared" ref="P55:V55" si="40">(P53*100/$O53)-100</f>
        <v>52.246394921629957</v>
      </c>
      <c r="Q55" s="142">
        <f t="shared" si="40"/>
        <v>-94.321618341708458</v>
      </c>
      <c r="R55" s="142">
        <f t="shared" si="40"/>
        <v>5.1447315170359929</v>
      </c>
      <c r="S55" s="142">
        <f t="shared" si="40"/>
        <v>-23.229866939920669</v>
      </c>
      <c r="T55" s="142">
        <f t="shared" si="40"/>
        <v>-31.851185592560768</v>
      </c>
      <c r="U55" s="142">
        <f t="shared" si="40"/>
        <v>-40.268023466278414</v>
      </c>
      <c r="V55" s="142">
        <f t="shared" si="40"/>
        <v>-11.468696753166554</v>
      </c>
    </row>
    <row r="56" spans="1:22" s="3" customFormat="1" x14ac:dyDescent="0.35">
      <c r="A56" s="61" t="s">
        <v>81</v>
      </c>
      <c r="B56" s="142">
        <f>[1]!SWTEST(B28:B43)</f>
        <v>0.37383801575767839</v>
      </c>
      <c r="C56" s="142">
        <f>[1]!SWTEST(C28:C43)</f>
        <v>0.92103045570232034</v>
      </c>
      <c r="D56" s="142">
        <f>[1]!SWTEST(D28:D43)</f>
        <v>0.1267859453473057</v>
      </c>
      <c r="E56" s="142">
        <f>[1]!SWTEST(E28:E43)</f>
        <v>2.8767179798594444E-4</v>
      </c>
      <c r="F56" s="142">
        <f>[1]!SWTEST(F28:F43)</f>
        <v>0.80989380697876312</v>
      </c>
      <c r="G56" s="142">
        <f>[1]!SWTEST(G28:G43)</f>
        <v>0.56395175764342476</v>
      </c>
      <c r="H56" s="142">
        <f>[1]!SWTEST(H28:H43)</f>
        <v>0.11056838117667855</v>
      </c>
      <c r="I56" s="142">
        <f>[1]!SWTEST(I28:I43)</f>
        <v>0.35257665583437192</v>
      </c>
      <c r="J56" s="142">
        <f>[1]!SWTEST(J28:J43)</f>
        <v>0.13731411963151574</v>
      </c>
      <c r="K56" s="142">
        <f>[1]!SWTEST(K28:K43)</f>
        <v>0.545786186230652</v>
      </c>
      <c r="L56" s="142">
        <f>[1]!SWTEST(L28:L43)</f>
        <v>0.64454122531215208</v>
      </c>
      <c r="M56" s="142">
        <f>[1]!SWTEST(M28:M43)</f>
        <v>0.51130596138037032</v>
      </c>
      <c r="N56" s="142"/>
      <c r="O56" s="142">
        <f>[1]!SWTEST(O28:O43)</f>
        <v>0.42956103966568426</v>
      </c>
      <c r="P56" s="142">
        <f>[1]!SWTEST(P28:P43)</f>
        <v>0.35842277244207121</v>
      </c>
      <c r="Q56" s="142">
        <f>[1]!SWTEST(Q28:Q43)</f>
        <v>3.6809000970606909E-2</v>
      </c>
      <c r="R56" s="142">
        <f>[1]!SWTEST(R28:R43)</f>
        <v>8.0653201947132103E-2</v>
      </c>
      <c r="S56" s="142">
        <f>[1]!SWTEST(S28:S43)</f>
        <v>0.13228673552294001</v>
      </c>
      <c r="T56" s="142">
        <f>[1]!SWTEST(T28:T43)</f>
        <v>0.57788023482119311</v>
      </c>
      <c r="U56" s="142">
        <f>[1]!SWTEST(U28:U43)</f>
        <v>0.47728597677485318</v>
      </c>
      <c r="V56" s="142">
        <f>[1]!SWTEST(V28:V43)</f>
        <v>0.67347807964338258</v>
      </c>
    </row>
    <row r="57" spans="1:22" s="3" customFormat="1" x14ac:dyDescent="0.35">
      <c r="A57" s="61" t="s">
        <v>85</v>
      </c>
      <c r="B57" s="142" t="str">
        <f>IF(B56&gt;0.05,"Oui","Non")</f>
        <v>Oui</v>
      </c>
      <c r="C57" s="142" t="str">
        <f t="shared" ref="C57:V57" si="41">IF(C56&gt;0.05,"Oui","Non")</f>
        <v>Oui</v>
      </c>
      <c r="D57" s="142" t="str">
        <f t="shared" si="41"/>
        <v>Oui</v>
      </c>
      <c r="E57" s="142" t="str">
        <f t="shared" si="41"/>
        <v>Non</v>
      </c>
      <c r="F57" s="142" t="str">
        <f t="shared" si="41"/>
        <v>Oui</v>
      </c>
      <c r="G57" s="142" t="str">
        <f t="shared" si="41"/>
        <v>Oui</v>
      </c>
      <c r="H57" s="142" t="str">
        <f t="shared" si="41"/>
        <v>Oui</v>
      </c>
      <c r="I57" s="142" t="str">
        <f t="shared" si="41"/>
        <v>Oui</v>
      </c>
      <c r="J57" s="142" t="str">
        <f t="shared" si="41"/>
        <v>Oui</v>
      </c>
      <c r="K57" s="142" t="str">
        <f t="shared" si="41"/>
        <v>Oui</v>
      </c>
      <c r="L57" s="142" t="str">
        <f t="shared" si="41"/>
        <v>Oui</v>
      </c>
      <c r="M57" s="142" t="str">
        <f t="shared" si="41"/>
        <v>Oui</v>
      </c>
      <c r="N57" s="142"/>
      <c r="O57" s="142" t="str">
        <f t="shared" si="41"/>
        <v>Oui</v>
      </c>
      <c r="P57" s="142" t="str">
        <f t="shared" si="41"/>
        <v>Oui</v>
      </c>
      <c r="Q57" s="142" t="str">
        <f t="shared" si="41"/>
        <v>Non</v>
      </c>
      <c r="R57" s="142" t="str">
        <f t="shared" si="41"/>
        <v>Oui</v>
      </c>
      <c r="S57" s="142" t="str">
        <f t="shared" si="41"/>
        <v>Oui</v>
      </c>
      <c r="T57" s="142" t="str">
        <f t="shared" si="41"/>
        <v>Oui</v>
      </c>
      <c r="U57" s="142" t="str">
        <f t="shared" si="41"/>
        <v>Oui</v>
      </c>
      <c r="V57" s="142" t="str">
        <f t="shared" si="41"/>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O59" si="42">IF($B57="Non",IF(C57="Non","MW",IF(C57="Oui","MW","")),IF($B57="Oui",IF(C57="Oui","T-Test Welch",IF(C57="Non","MW",""))))</f>
        <v>T-Test Welch</v>
      </c>
      <c r="D59" s="151" t="str">
        <f t="shared" si="42"/>
        <v>T-Test Welch</v>
      </c>
      <c r="E59" s="151" t="str">
        <f t="shared" si="42"/>
        <v>MW</v>
      </c>
      <c r="F59" s="151" t="str">
        <f t="shared" si="42"/>
        <v>T-Test Welch</v>
      </c>
      <c r="G59" s="151" t="str">
        <f t="shared" si="42"/>
        <v>T-Test Welch</v>
      </c>
      <c r="H59" s="151" t="str">
        <f t="shared" si="42"/>
        <v>T-Test Welch</v>
      </c>
      <c r="I59" s="151" t="str">
        <f t="shared" si="42"/>
        <v>T-Test Welch</v>
      </c>
      <c r="J59" s="151" t="str">
        <f t="shared" si="42"/>
        <v>T-Test Welch</v>
      </c>
      <c r="K59" s="151" t="str">
        <f t="shared" si="42"/>
        <v>T-Test Welch</v>
      </c>
      <c r="L59" s="151" t="str">
        <f t="shared" si="42"/>
        <v>T-Test Welch</v>
      </c>
      <c r="M59" s="151" t="str">
        <f t="shared" si="42"/>
        <v>T-Test Welch</v>
      </c>
      <c r="N59" s="151"/>
      <c r="O59" s="151" t="str">
        <f t="shared" si="42"/>
        <v>T-Test Welch</v>
      </c>
      <c r="P59" s="151" t="str">
        <f>IF($O57="Non",IF(P57="Non","MW",IF(P57="Oui","MW","")),IF($O57="Oui",IF(P57="Oui","T-Test Welch",IF(P57="Non","MW",""))))</f>
        <v>T-Test Welch</v>
      </c>
      <c r="Q59" s="151" t="str">
        <f t="shared" ref="Q59:V59" si="43">IF($O57="Non",IF(Q57="Non","MW",IF(Q57="Oui","MW","")),IF($O57="Oui",IF(Q57="Oui","T-Test Welch",IF(Q57="Non","MW",""))))</f>
        <v>MW</v>
      </c>
      <c r="R59" s="151" t="str">
        <f t="shared" si="43"/>
        <v>T-Test Welch</v>
      </c>
      <c r="S59" s="151" t="str">
        <f t="shared" si="43"/>
        <v>T-Test Welch</v>
      </c>
      <c r="T59" s="151" t="str">
        <f t="shared" si="43"/>
        <v>T-Test Welch</v>
      </c>
      <c r="U59" s="151" t="str">
        <f t="shared" si="43"/>
        <v>T-Test Welch</v>
      </c>
      <c r="V59" s="151" t="str">
        <f t="shared" si="43"/>
        <v>T-Test Welch</v>
      </c>
    </row>
    <row r="60" spans="1:22" s="3" customFormat="1" x14ac:dyDescent="0.35">
      <c r="A60" s="61" t="s">
        <v>83</v>
      </c>
      <c r="B60" s="152"/>
      <c r="C60" s="152">
        <f>IF(C59="MW",[1]!MTEST($B28:$B43,C28:C43,2), IF(C59="T-Test Welch",_xlfn.T.TEST($B28:$B43,C28:C43,2,3),""))</f>
        <v>0.57244208450469913</v>
      </c>
      <c r="D60" s="152">
        <f>IF(D59="MW",[1]!MTEST($B28:$B43,D28:D43,2), IF(D59="T-Test Welch",_xlfn.T.TEST($B28:$B43,D28:D43,2,3),""))</f>
        <v>0.81904357117779725</v>
      </c>
      <c r="E60" s="152">
        <f>IF(E59="MW",[1]!MTEST($B28:$B43,E28:E43,2), IF(E59="T-Test Welch",_xlfn.T.TEST($B28:$B43,E28:E43,2,3),""))</f>
        <v>0.29362154392890583</v>
      </c>
      <c r="F60" s="152">
        <f>IF(F59="MW",[1]!MTEST($B28:$B43,F28:F43,2), IF(F59="T-Test Welch",_xlfn.T.TEST($B28:$B43,F28:F43,2,3),""))</f>
        <v>6.7503656167098598E-3</v>
      </c>
      <c r="G60" s="152">
        <f>IF(G59="MW",[1]!MTEST($B28:$B43,G28:G43,2), IF(G59="T-Test Welch",_xlfn.T.TEST($B28:$B43,G28:G43,2,3),""))</f>
        <v>4.413493981801264E-5</v>
      </c>
      <c r="H60" s="152">
        <f>IF(H59="MW",[1]!MTEST($B28:$B43,H28:H43,2), IF(H59="T-Test Welch",_xlfn.T.TEST($B28:$B43,H28:H43,2,3),""))</f>
        <v>8.1166875551810258E-6</v>
      </c>
      <c r="I60" s="152">
        <f>IF(I59="MW",[1]!MTEST($B28:$B43,I28:I43,2), IF(I59="T-Test Welch",_xlfn.T.TEST($B28:$B43,I28:I43,2,3),""))</f>
        <v>0.61968092583570678</v>
      </c>
      <c r="J60" s="152">
        <f>IF(J59="MW",[1]!MTEST($B28:$B43,J28:J43,2), IF(J59="T-Test Welch",_xlfn.T.TEST($B28:$B43,J28:J43,2,3),""))</f>
        <v>0.96434621727939285</v>
      </c>
      <c r="K60" s="152">
        <f>IF(K59="MW",[1]!MTEST($B28:$B43,K28:K43,2), IF(K59="T-Test Welch",_xlfn.T.TEST($B28:$B43,K28:K43,2,3),""))</f>
        <v>0.48734667033828527</v>
      </c>
      <c r="L60" s="152">
        <f>IF(L59="MW",[1]!MTEST($B28:$B43,L28:L43,2), IF(L59="T-Test Welch",_xlfn.T.TEST($B28:$B43,L28:L43,2,3),""))</f>
        <v>0.22045387972936864</v>
      </c>
      <c r="M60" s="152">
        <f>IF(M59="MW",[1]!MTEST($B28:$B43,M28:M43,2), IF(M59="T-Test Welch",_xlfn.T.TEST($B28:$B43,M28:M43,2,3),""))</f>
        <v>0.97231095252189459</v>
      </c>
      <c r="N60" s="152"/>
      <c r="O60" s="152">
        <f>IF(O59="MW",[1]!MTEST($B28:$B43,O28:O43,2), IF(O59="T-Test Welch",_xlfn.T.TEST($B28:$B43,O28:O43,2,3),""))</f>
        <v>1.0508394687328788E-5</v>
      </c>
      <c r="P60" s="152">
        <f>IF(P59="MW",[1]!MTEST($O28:$O43,P28:P43,2), IF(P59="T-Test Welch",_xlfn.T.TEST($O28:$O43,P28:P43,2,3),""))</f>
        <v>4.4801532828900037E-2</v>
      </c>
      <c r="Q60" s="152">
        <f>IF(Q59="MW",[1]!MTEST($O28:$O43,Q28:Q43,2), IF(Q59="T-Test Welch",_xlfn.T.TEST($O28:$O43,Q28:Q43,2,3),""))</f>
        <v>1.046123397439036E-3</v>
      </c>
      <c r="R60" s="152">
        <f>IF(R59="MW",[1]!MTEST($O28:$O43,R28:R43,2), IF(R59="T-Test Welch",_xlfn.T.TEST($O28:$O43,R28:R43,2,3),""))</f>
        <v>0.83975033926911491</v>
      </c>
      <c r="S60" s="152">
        <f>IF(S59="MW",[1]!MTEST($O28:$O43,S28:S43,2), IF(S59="T-Test Welch",_xlfn.T.TEST($O28:$O43,S28:S43,2,3),""))</f>
        <v>0.33145673757533001</v>
      </c>
      <c r="T60" s="152">
        <f>IF(T59="MW",[1]!MTEST($O28:$O43,T28:T43,2), IF(T59="T-Test Welch",_xlfn.T.TEST($O28:$O43,T28:T43,2,3),""))</f>
        <v>0.26331835112400109</v>
      </c>
      <c r="U60" s="152">
        <f>IF(U59="MW",[1]!MTEST($O28:$O43,U28:U43,2), IF(U59="T-Test Welch",_xlfn.T.TEST($O28:$O43,U28:U43,2,3),""))</f>
        <v>4.377393871267702E-2</v>
      </c>
      <c r="V60" s="152">
        <f>IF(V59="MW",[1]!MTEST($O28:$O43,V28:V43,2), IF(V59="T-Test Welch",_xlfn.T.TEST($O28:$O43,V28:V43,2,3),""))</f>
        <v>0.50352381621791809</v>
      </c>
    </row>
    <row r="61" spans="1:22" s="3" customFormat="1" ht="15" thickBot="1" x14ac:dyDescent="0.4">
      <c r="A61" s="62" t="s">
        <v>84</v>
      </c>
      <c r="B61" s="143"/>
      <c r="C61" s="143" t="str">
        <f t="shared" ref="C61:O61" si="44">IF(C60&gt;0.05,"NS",IF(C60&gt;0.01,"*",IF(C60&gt;0.001,"**","***")))</f>
        <v>NS</v>
      </c>
      <c r="D61" s="143" t="str">
        <f t="shared" si="44"/>
        <v>NS</v>
      </c>
      <c r="E61" s="143" t="str">
        <f t="shared" si="44"/>
        <v>NS</v>
      </c>
      <c r="F61" s="143" t="str">
        <f t="shared" si="44"/>
        <v>**</v>
      </c>
      <c r="G61" s="143" t="str">
        <f t="shared" si="44"/>
        <v>***</v>
      </c>
      <c r="H61" s="143" t="str">
        <f t="shared" si="44"/>
        <v>***</v>
      </c>
      <c r="I61" s="143" t="str">
        <f t="shared" si="44"/>
        <v>NS</v>
      </c>
      <c r="J61" s="143" t="str">
        <f t="shared" si="44"/>
        <v>NS</v>
      </c>
      <c r="K61" s="143" t="str">
        <f t="shared" si="44"/>
        <v>NS</v>
      </c>
      <c r="L61" s="143" t="str">
        <f t="shared" si="44"/>
        <v>NS</v>
      </c>
      <c r="M61" s="143" t="str">
        <f t="shared" si="44"/>
        <v>NS</v>
      </c>
      <c r="N61" s="143"/>
      <c r="O61" s="143" t="str">
        <f t="shared" si="44"/>
        <v>***</v>
      </c>
      <c r="P61" s="143" t="str">
        <f>IF(P60&gt;0.05,"NS",IF(P60&gt;0.01,"*",IF(P60&gt;0.001,"**","***")))</f>
        <v>*</v>
      </c>
      <c r="Q61" s="143" t="str">
        <f t="shared" ref="Q61:V61" si="45">IF(Q60&gt;0.05,"NS",IF(Q60&gt;0.01,"*",IF(Q60&gt;0.001,"**","***")))</f>
        <v>**</v>
      </c>
      <c r="R61" s="143" t="str">
        <f t="shared" si="45"/>
        <v>NS</v>
      </c>
      <c r="S61" s="143" t="str">
        <f t="shared" si="45"/>
        <v>NS</v>
      </c>
      <c r="T61" s="143" t="str">
        <f t="shared" si="45"/>
        <v>NS</v>
      </c>
      <c r="U61" s="143" t="str">
        <f t="shared" si="45"/>
        <v>*</v>
      </c>
      <c r="V61" s="143" t="str">
        <f t="shared" si="45"/>
        <v>NS</v>
      </c>
    </row>
    <row r="63" spans="1:22" x14ac:dyDescent="0.35">
      <c r="A63" s="2" t="s">
        <v>39</v>
      </c>
    </row>
    <row r="64" spans="1:22" x14ac:dyDescent="0.35">
      <c r="A64" s="1" t="s">
        <v>23</v>
      </c>
      <c r="B64" s="1">
        <f>B46+(3*B47)</f>
        <v>0.25074716306496109</v>
      </c>
    </row>
    <row r="65" spans="1:22" x14ac:dyDescent="0.35">
      <c r="A65" s="1" t="s">
        <v>24</v>
      </c>
      <c r="B65" s="1">
        <f>B46+(10*B47)</f>
        <v>0.61442779618148713</v>
      </c>
    </row>
    <row r="66" spans="1:22" ht="15" thickBot="1" x14ac:dyDescent="0.4"/>
    <row r="67" spans="1:22" ht="26.5" thickBot="1" x14ac:dyDescent="0.65">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112"/>
  <sheetViews>
    <sheetView showGridLines="0" tabSelected="1" topLeftCell="C73" zoomScale="55" zoomScaleNormal="55" workbookViewId="0">
      <selection activeCell="B94" sqref="B94:V94"/>
    </sheetView>
  </sheetViews>
  <sheetFormatPr baseColWidth="10" defaultRowHeight="14.5" x14ac:dyDescent="0.35"/>
  <cols>
    <col min="1" max="1" width="42.81640625" customWidth="1"/>
    <col min="2" max="2" width="14" bestFit="1" customWidth="1"/>
    <col min="3" max="13" width="22.7265625" bestFit="1" customWidth="1"/>
    <col min="14" max="14" width="8.453125" customWidth="1"/>
    <col min="15" max="15" width="22.7265625" customWidth="1"/>
    <col min="18" max="22" width="29.1796875" customWidth="1"/>
  </cols>
  <sheetData>
    <row r="1" spans="1:22" s="1" customFormat="1" ht="21.5" thickBot="1" x14ac:dyDescent="0.4">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4">
      <c r="A2" s="1"/>
      <c r="B2" s="1"/>
      <c r="C2" s="1"/>
      <c r="D2" s="1"/>
      <c r="E2" s="1"/>
      <c r="F2" s="1"/>
      <c r="G2" s="1"/>
      <c r="H2" s="1"/>
      <c r="I2" s="1"/>
      <c r="J2" s="1"/>
      <c r="K2" s="1"/>
      <c r="L2" s="1"/>
      <c r="M2" s="1"/>
    </row>
    <row r="3" spans="1:22" s="33" customFormat="1" ht="15" thickBot="1" x14ac:dyDescent="0.4">
      <c r="B3" s="224" t="s">
        <v>6</v>
      </c>
      <c r="C3" s="225"/>
      <c r="D3" s="225"/>
      <c r="E3" s="225"/>
      <c r="F3" s="225"/>
      <c r="G3" s="225"/>
      <c r="H3" s="225"/>
      <c r="I3" s="225"/>
      <c r="J3" s="225"/>
      <c r="K3" s="225"/>
      <c r="L3" s="225"/>
      <c r="M3" s="225"/>
      <c r="N3" s="72"/>
      <c r="O3" s="224" t="s">
        <v>3</v>
      </c>
      <c r="P3" s="225"/>
      <c r="Q3" s="225"/>
      <c r="R3" s="225"/>
      <c r="S3" s="225"/>
      <c r="T3" s="225"/>
      <c r="U3" s="225"/>
      <c r="V3" s="225"/>
    </row>
    <row r="4" spans="1:22" x14ac:dyDescent="0.3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CRO-0.1µg/L</v>
      </c>
      <c r="J4" s="35" t="str">
        <f>'R1'!J4</f>
        <v>CRO-1µg/L</v>
      </c>
      <c r="K4" s="35" t="str">
        <f>'R1'!K4</f>
        <v>CRO-10µg/L</v>
      </c>
      <c r="L4" s="35" t="str">
        <f>'R1'!L4</f>
        <v>CRO-100µg/L</v>
      </c>
      <c r="M4" s="35" t="str">
        <f>'R1'!M4</f>
        <v>CRO-1000µg/L</v>
      </c>
      <c r="O4" s="35" t="str">
        <f>'R1'!O4</f>
        <v>Testo -30µg/L</v>
      </c>
      <c r="P4" s="35" t="str">
        <f>'R1'!P4</f>
        <v>Testo 30µg/L + EE2 -64ng/L</v>
      </c>
      <c r="Q4" s="35" t="str">
        <f>'R1'!Q4</f>
        <v>Testo 30µg/L + FAD-10mg/L</v>
      </c>
      <c r="R4" s="35" t="str">
        <f>'R1'!R4</f>
        <v>CRO-0,1µg/L + Testostérone</v>
      </c>
      <c r="S4" s="35" t="str">
        <f>'R1'!S4</f>
        <v>CRO-1µg/L + Testostérone</v>
      </c>
      <c r="T4" s="35" t="str">
        <f>'R1'!T4</f>
        <v>CRO-10µg/L + Testostérone</v>
      </c>
      <c r="U4" s="35" t="str">
        <f>'R1'!U4</f>
        <v>CRO-100µg/L + Testostérone</v>
      </c>
      <c r="V4" s="35" t="str">
        <f>'R1'!V4</f>
        <v>CRO-1000µg/L + Testostérone</v>
      </c>
    </row>
    <row r="5" spans="1:22" s="1" customFormat="1" x14ac:dyDescent="0.35">
      <c r="A5" s="34"/>
      <c r="B5" s="35"/>
      <c r="C5" s="196" t="s">
        <v>165</v>
      </c>
      <c r="D5" s="35"/>
      <c r="E5" s="35"/>
      <c r="F5" s="35"/>
      <c r="G5" s="35"/>
      <c r="H5" s="35"/>
      <c r="I5" s="35"/>
      <c r="J5" s="35"/>
      <c r="K5" s="35"/>
      <c r="L5" s="35"/>
      <c r="M5" s="35"/>
      <c r="O5" s="35"/>
      <c r="P5" s="35"/>
      <c r="Q5" s="35"/>
      <c r="R5" s="35"/>
      <c r="S5" s="35"/>
      <c r="T5" s="35"/>
      <c r="U5" s="35"/>
      <c r="V5" s="35"/>
    </row>
    <row r="6" spans="1:22" s="1" customFormat="1" x14ac:dyDescent="0.35">
      <c r="A6" s="71" t="s">
        <v>4</v>
      </c>
      <c r="B6" s="53">
        <f>'R1'!B28</f>
        <v>0.14485651336956043</v>
      </c>
      <c r="C6" s="53">
        <f>'R1'!C28</f>
        <v>0.18259300718614116</v>
      </c>
      <c r="D6" s="53">
        <f>'R1'!D28</f>
        <v>0.24719396296432428</v>
      </c>
      <c r="E6" s="53">
        <f>'R1'!E28</f>
        <v>0.32357370233314492</v>
      </c>
      <c r="F6" s="53">
        <f>'R1'!F28</f>
        <v>1.0073238556959048</v>
      </c>
      <c r="G6" s="53">
        <f>'R1'!G28</f>
        <v>1.4792785778683377</v>
      </c>
      <c r="H6" s="53">
        <f>'R1'!H28</f>
        <v>3.1241096883894808</v>
      </c>
      <c r="I6" s="53">
        <f>'R1'!I28</f>
        <v>0.10177878056340456</v>
      </c>
      <c r="J6" s="53">
        <f>'R1'!J28</f>
        <v>7.7169896271097757E-2</v>
      </c>
      <c r="K6" s="53">
        <f>'R1'!K28</f>
        <v>7.0308255417924126E-2</v>
      </c>
      <c r="L6" s="53">
        <f>'R1'!L28</f>
        <v>3.3290006720157257E-2</v>
      </c>
      <c r="M6" s="53">
        <f>'R1'!M28</f>
        <v>0.28382799852289575</v>
      </c>
      <c r="N6"/>
      <c r="O6" s="53">
        <f>'R1'!O28</f>
        <v>0.11746802919460229</v>
      </c>
      <c r="P6" s="53">
        <f>'R1'!P28</f>
        <v>1.1242918623621665</v>
      </c>
      <c r="Q6" s="53">
        <f>'R1'!Q28</f>
        <v>6.9471102768808482E-2</v>
      </c>
      <c r="R6" s="53">
        <f>'R1'!R28</f>
        <v>0.30675472307460272</v>
      </c>
      <c r="S6" s="53">
        <f>'R1'!S28</f>
        <v>4.4848211387611088E-2</v>
      </c>
      <c r="T6" s="53">
        <f>'R1'!T28</f>
        <v>0.97823117570592388</v>
      </c>
      <c r="U6" s="53">
        <f>'R1'!U28</f>
        <v>0.59347930903565038</v>
      </c>
      <c r="V6" s="53">
        <f>'R1'!V28</f>
        <v>0.54056977799465011</v>
      </c>
    </row>
    <row r="7" spans="1:22" s="1" customFormat="1" x14ac:dyDescent="0.35">
      <c r="A7" s="228" t="s">
        <v>34</v>
      </c>
      <c r="B7" s="53">
        <f>'R1'!B29</f>
        <v>7.7589061678833227E-2</v>
      </c>
      <c r="C7" s="53">
        <f>'R1'!C29</f>
        <v>0.12366361333492208</v>
      </c>
      <c r="D7" s="53">
        <f>'R1'!D29</f>
        <v>0.22897584570519597</v>
      </c>
      <c r="E7" s="53">
        <f>'R1'!E29</f>
        <v>0.35753316935784907</v>
      </c>
      <c r="F7" s="53">
        <f>'R1'!F29</f>
        <v>1.3752260671466079</v>
      </c>
      <c r="G7" s="53">
        <f>'R1'!G29</f>
        <v>1.3510080722695097</v>
      </c>
      <c r="H7" s="53">
        <f>'R1'!H29</f>
        <v>2.7145939867332851</v>
      </c>
      <c r="I7" s="53">
        <f>'R1'!I29</f>
        <v>4.3850653571013094E-2</v>
      </c>
      <c r="J7" s="53">
        <f>'R1'!J29</f>
        <v>2.2813489674226885E-2</v>
      </c>
      <c r="K7" s="53">
        <f>'R1'!K29</f>
        <v>2.1062647198693087E-2</v>
      </c>
      <c r="L7" s="53">
        <f>'R1'!L29</f>
        <v>5.3492941565820559E-2</v>
      </c>
      <c r="M7" s="53">
        <f>'R1'!M29</f>
        <v>7.5015291822029068E-2</v>
      </c>
      <c r="N7"/>
      <c r="O7" s="53">
        <f>'R1'!O29</f>
        <v>1.2481364769578929</v>
      </c>
      <c r="P7" s="53">
        <f>'R1'!P29</f>
        <v>1.8230467060679132</v>
      </c>
      <c r="Q7" s="53">
        <f>'R1'!Q29</f>
        <v>0.14891211105077523</v>
      </c>
      <c r="R7" s="53">
        <f>'R1'!R29</f>
        <v>1.0150604814289361</v>
      </c>
      <c r="S7" s="53">
        <f>'R1'!S29</f>
        <v>0.73117963996321622</v>
      </c>
      <c r="T7" s="53">
        <f>'R1'!T29</f>
        <v>0.83671201489876446</v>
      </c>
      <c r="U7" s="53">
        <f>'R1'!U29</f>
        <v>1.213263669193098</v>
      </c>
      <c r="V7" s="53">
        <f>'R1'!V29</f>
        <v>1.1657876232037125</v>
      </c>
    </row>
    <row r="8" spans="1:22" s="1" customFormat="1" x14ac:dyDescent="0.35">
      <c r="A8" s="229"/>
      <c r="B8" s="53">
        <f>'R1'!B30</f>
        <v>5.1782636740066716E-2</v>
      </c>
      <c r="C8" s="53">
        <f>'R1'!C30</f>
        <v>0.25869443748036919</v>
      </c>
      <c r="D8" s="53">
        <f>'R1'!D30</f>
        <v>0.1030047281097639</v>
      </c>
      <c r="E8" s="53">
        <f>'R1'!E30</f>
        <v>1.5924199438484279</v>
      </c>
      <c r="F8" s="53">
        <f>'R1'!F30</f>
        <v>1.6384322272308505</v>
      </c>
      <c r="G8" s="53">
        <f>'R1'!G30</f>
        <v>1.7224941348656138</v>
      </c>
      <c r="H8" s="53">
        <f>'R1'!H30</f>
        <v>2.4671536560933336</v>
      </c>
      <c r="I8" s="53">
        <f>'R1'!I30</f>
        <v>0.13215518188694464</v>
      </c>
      <c r="J8" s="53">
        <f>'R1'!J30</f>
        <v>4.9837614994865748E-2</v>
      </c>
      <c r="K8" s="53">
        <f>'R1'!K30</f>
        <v>0.2160471717518013</v>
      </c>
      <c r="L8" s="53">
        <f>'R1'!L30</f>
        <v>6.5892095196201511E-2</v>
      </c>
      <c r="M8" s="53">
        <f>'R1'!M30</f>
        <v>5.1794156588873937E-2</v>
      </c>
      <c r="N8"/>
      <c r="O8" s="53">
        <f>'R1'!O30</f>
        <v>0.94461830776862798</v>
      </c>
      <c r="P8" s="53">
        <f>'R1'!P30</f>
        <v>1.7400664860546735</v>
      </c>
      <c r="Q8" s="53">
        <f>'R1'!Q30</f>
        <v>8.8714093849661002E-2</v>
      </c>
      <c r="R8" s="53">
        <f>'R1'!R30</f>
        <v>0.59080644229762957</v>
      </c>
      <c r="S8" s="53">
        <f>'R1'!S30</f>
        <v>1.3323230084115705</v>
      </c>
      <c r="T8" s="53">
        <f>'R1'!T30</f>
        <v>1.0605600879036463</v>
      </c>
      <c r="U8" s="53">
        <f>'R1'!U30</f>
        <v>0.34932095713940164</v>
      </c>
      <c r="V8" s="53">
        <f>'R1'!V30</f>
        <v>1.5995895224782402</v>
      </c>
    </row>
    <row r="9" spans="1:22" s="1" customFormat="1" x14ac:dyDescent="0.35">
      <c r="A9" s="229"/>
      <c r="B9" s="53">
        <f>'R1'!B31</f>
        <v>0.18140934272119921</v>
      </c>
      <c r="C9" s="53">
        <f>'R1'!C31</f>
        <v>0.23882688732384338</v>
      </c>
      <c r="D9" s="53">
        <f>'R1'!D31</f>
        <v>9.624598045161839E-2</v>
      </c>
      <c r="E9" s="53">
        <f>'R1'!E31</f>
        <v>0.57540309536864742</v>
      </c>
      <c r="F9" s="53">
        <f>'R1'!F31</f>
        <v>1.2717994245742796</v>
      </c>
      <c r="G9" s="53">
        <f>'R1'!G31</f>
        <v>1.57146983335456</v>
      </c>
      <c r="H9" s="53">
        <f>'R1'!H31</f>
        <v>2.2903653436323039</v>
      </c>
      <c r="I9" s="53">
        <f>'R1'!I31</f>
        <v>7.0589575362091359E-2</v>
      </c>
      <c r="J9" s="53">
        <f>'R1'!J31</f>
        <v>7.1999578674620618E-2</v>
      </c>
      <c r="K9" s="53">
        <f>'R1'!K31</f>
        <v>1.0431354002311153E-2</v>
      </c>
      <c r="L9" s="53">
        <f>'R1'!L31</f>
        <v>0.16007091732378781</v>
      </c>
      <c r="M9" s="53">
        <f>'R1'!M31</f>
        <v>0.10623277301586907</v>
      </c>
      <c r="N9"/>
      <c r="O9" s="53">
        <f>'R1'!O31</f>
        <v>1.2846197072229881</v>
      </c>
      <c r="P9" s="53">
        <f>'R1'!P31</f>
        <v>1.8023738137538645</v>
      </c>
      <c r="Q9" s="53">
        <f>'R1'!Q31</f>
        <v>0.12442248337509774</v>
      </c>
      <c r="R9" s="53">
        <f>'R1'!R31</f>
        <v>1.1625094844096124</v>
      </c>
      <c r="S9" s="53">
        <f>'R1'!S31</f>
        <v>0.66979150020010148</v>
      </c>
      <c r="T9" s="53">
        <f>'R1'!T31</f>
        <v>1.9092739089205244</v>
      </c>
      <c r="U9" s="53">
        <f>'R1'!U31</f>
        <v>0.12759371448140366</v>
      </c>
      <c r="V9" s="53">
        <f>'R1'!V31</f>
        <v>1.4875661927335233</v>
      </c>
    </row>
    <row r="10" spans="1:22" s="1" customFormat="1" x14ac:dyDescent="0.35">
      <c r="A10" s="229"/>
      <c r="B10" s="53">
        <f>'R1'!B32</f>
        <v>0.13842132510120866</v>
      </c>
      <c r="C10" s="53">
        <f>'R1'!C32</f>
        <v>0.12393350070186397</v>
      </c>
      <c r="D10" s="53">
        <f>'R1'!D32</f>
        <v>0.20379528891583085</v>
      </c>
      <c r="E10" s="53">
        <f>'R1'!E32</f>
        <v>0.54137097475203411</v>
      </c>
      <c r="F10" s="53">
        <f>'R1'!F32</f>
        <v>1.1062002888967539</v>
      </c>
      <c r="G10" s="53">
        <f>'R1'!G32</f>
        <v>1.2258184716897493</v>
      </c>
      <c r="H10" s="53">
        <f>'R1'!H32</f>
        <v>2.4315981663793385</v>
      </c>
      <c r="I10" s="53">
        <f>'R1'!I32</f>
        <v>0.13717822868901131</v>
      </c>
      <c r="J10" s="53">
        <f>'R1'!J32</f>
        <v>1.6966380960325524E-2</v>
      </c>
      <c r="K10" s="53">
        <f>'R1'!K32</f>
        <v>1.6159337006956029E-2</v>
      </c>
      <c r="L10" s="53">
        <f>'R1'!L32</f>
        <v>0.13173331106017111</v>
      </c>
      <c r="M10" s="53">
        <f>'R1'!M32</f>
        <v>7.1356954381499638E-2</v>
      </c>
      <c r="N10"/>
      <c r="O10" s="53">
        <f>'R1'!O32</f>
        <v>0.33394488257975474</v>
      </c>
      <c r="P10" s="53">
        <f>'R1'!P32</f>
        <v>2.5251147281078823</v>
      </c>
      <c r="Q10" s="53">
        <f>'R1'!Q32</f>
        <v>0.21675223886175232</v>
      </c>
      <c r="R10" s="53">
        <f>'R1'!R32</f>
        <v>0.25967240282683673</v>
      </c>
      <c r="S10" s="53">
        <f>'R1'!S32</f>
        <v>0.38166240903618254</v>
      </c>
      <c r="T10" s="53">
        <f>'R1'!T32</f>
        <v>0.63142726189510912</v>
      </c>
      <c r="U10" s="53">
        <f>'R1'!U32</f>
        <v>0.78577307617645387</v>
      </c>
      <c r="V10" s="53">
        <f>'R1'!V32</f>
        <v>0.33324919716485502</v>
      </c>
    </row>
    <row r="11" spans="1:22" s="1" customFormat="1" x14ac:dyDescent="0.35">
      <c r="A11" s="229"/>
      <c r="B11" s="53">
        <f>'R1'!B33</f>
        <v>0.16634020231499927</v>
      </c>
      <c r="C11" s="53">
        <f>'R1'!C33</f>
        <v>0.44516191017954798</v>
      </c>
      <c r="D11" s="53">
        <f>'R1'!D33</f>
        <v>0.18465715464059859</v>
      </c>
      <c r="E11" s="53">
        <f>'R1'!E33</f>
        <v>5.0038557812128064E-2</v>
      </c>
      <c r="F11" s="53">
        <f>'R1'!F33</f>
        <v>1.9053757928087993</v>
      </c>
      <c r="G11" s="53">
        <f>'R1'!G33</f>
        <v>1.853066384800548</v>
      </c>
      <c r="H11" s="53">
        <f>'R1'!H33</f>
        <v>3.4263257219414114</v>
      </c>
      <c r="I11" s="53">
        <f>'R1'!I33</f>
        <v>8.6077881176026785E-2</v>
      </c>
      <c r="J11" s="53">
        <f>'R1'!J33</f>
        <v>0.15413623157747702</v>
      </c>
      <c r="K11" s="53">
        <f>'R1'!K33</f>
        <v>0.21520897184370319</v>
      </c>
      <c r="L11" s="53">
        <f>'R1'!L33</f>
        <v>0.11803721445157725</v>
      </c>
      <c r="M11" s="53">
        <f>'R1'!M33</f>
        <v>5.1533520009610569E-2</v>
      </c>
      <c r="N11"/>
      <c r="O11" s="53">
        <f>'R1'!O33</f>
        <v>1.7677852058954386</v>
      </c>
      <c r="P11" s="53">
        <f>'R1'!P33</f>
        <v>1.7398851793433325</v>
      </c>
      <c r="Q11" s="53">
        <f>'R1'!Q33</f>
        <v>0.27697578300056441</v>
      </c>
      <c r="R11" s="53">
        <f>'R1'!R33</f>
        <v>0.57424495784140328</v>
      </c>
      <c r="S11" s="53">
        <f>'R1'!S33</f>
        <v>0.52633281575739899</v>
      </c>
      <c r="T11" s="53">
        <f>'R1'!T33</f>
        <v>1.0797831810638319</v>
      </c>
      <c r="U11" s="53">
        <f>'R1'!U33</f>
        <v>0.88803019228010371</v>
      </c>
      <c r="V11" s="53">
        <f>'R1'!V33</f>
        <v>1.1040179320846495</v>
      </c>
    </row>
    <row r="12" spans="1:22" s="1" customFormat="1" x14ac:dyDescent="0.35">
      <c r="A12" s="229"/>
      <c r="B12" s="53">
        <f>'R1'!B34</f>
        <v>0.15612392912621384</v>
      </c>
      <c r="C12" s="53">
        <f>'R1'!C34</f>
        <v>0.15714605389310904</v>
      </c>
      <c r="D12" s="53">
        <f>'R1'!D34</f>
        <v>5.7338083827348896E-2</v>
      </c>
      <c r="E12" s="53">
        <f>'R1'!E34</f>
        <v>0.12281677354021855</v>
      </c>
      <c r="F12" s="53">
        <f>'R1'!F34</f>
        <v>0.44572245554991752</v>
      </c>
      <c r="G12" s="53">
        <f>'R1'!G34</f>
        <v>1.5139617008499318</v>
      </c>
      <c r="H12" s="53">
        <f>'R1'!H34</f>
        <v>2.3959014276100814</v>
      </c>
      <c r="I12" s="53">
        <f>'R1'!I34</f>
        <v>9.9134189817910542E-2</v>
      </c>
      <c r="J12" s="53">
        <f>'R1'!J34</f>
        <v>9.2049613708842626E-2</v>
      </c>
      <c r="K12" s="53">
        <f>'R1'!K34</f>
        <v>0.12295937530499884</v>
      </c>
      <c r="L12" s="53">
        <f>'R1'!L34</f>
        <v>0.10454812603518585</v>
      </c>
      <c r="M12" s="53">
        <f>'R1'!M34</f>
        <v>0.16145565551336488</v>
      </c>
      <c r="N12"/>
      <c r="O12" s="53">
        <f>'R1'!O34</f>
        <v>1.1615883764987351</v>
      </c>
      <c r="P12" s="53">
        <f>'R1'!P34</f>
        <v>1.3516510892847491</v>
      </c>
      <c r="Q12" s="53">
        <f>'R1'!Q34</f>
        <v>0.11874607787533975</v>
      </c>
      <c r="R12" s="53">
        <f>'R1'!R34</f>
        <v>1.3610939617149771</v>
      </c>
      <c r="S12" s="53">
        <f>'R1'!S34</f>
        <v>2.3732776227190553</v>
      </c>
      <c r="T12" s="53">
        <f>'R1'!T34</f>
        <v>0.34806372273094088</v>
      </c>
      <c r="U12" s="53">
        <f>'R1'!U34</f>
        <v>1.4566915579490709</v>
      </c>
      <c r="V12" s="53">
        <f>'R1'!V34</f>
        <v>0.16878947926026175</v>
      </c>
    </row>
    <row r="13" spans="1:22" s="1" customFormat="1" x14ac:dyDescent="0.35">
      <c r="A13" s="229"/>
      <c r="B13" s="53">
        <f>'R1'!B35</f>
        <v>9.6585815991431401E-2</v>
      </c>
      <c r="C13" s="53">
        <f>'R1'!C35</f>
        <v>0.21700698460923928</v>
      </c>
      <c r="D13" s="53">
        <f>'R1'!D35</f>
        <v>0.1702163696238834</v>
      </c>
      <c r="E13" s="53">
        <f>'R1'!E35</f>
        <v>0.13510282320049224</v>
      </c>
      <c r="F13" s="53">
        <f>'R1'!F35</f>
        <v>1.5981172072562534E-2</v>
      </c>
      <c r="G13" s="53">
        <f>'R1'!G35</f>
        <v>1.3777942079863812</v>
      </c>
      <c r="H13" s="53">
        <f>'R1'!H35</f>
        <v>3.123741707764514</v>
      </c>
      <c r="I13" s="53">
        <f>'R1'!I35</f>
        <v>0.14168523862746357</v>
      </c>
      <c r="J13" s="53">
        <f>'R1'!J35</f>
        <v>7.9483291363384168E-2</v>
      </c>
      <c r="K13" s="53">
        <f>'R1'!K35</f>
        <v>6.2448969476570609E-2</v>
      </c>
      <c r="L13" s="53">
        <f>'R1'!L35</f>
        <v>0.18663922317230461</v>
      </c>
      <c r="M13" s="53">
        <f>'R1'!M35</f>
        <v>8.5236059497280955E-2</v>
      </c>
      <c r="N13"/>
      <c r="O13" s="53">
        <f>'R1'!O35</f>
        <v>2.0266212851531877</v>
      </c>
      <c r="P13" s="53">
        <f>'R1'!P35</f>
        <v>2.238877117573685</v>
      </c>
      <c r="Q13" s="53">
        <f>'R1'!Q35</f>
        <v>6.6379070623052192E-2</v>
      </c>
      <c r="R13" s="53">
        <f>'R1'!R35</f>
        <v>1.7571537817916838</v>
      </c>
      <c r="S13" s="53">
        <f>'R1'!S35</f>
        <v>0.19559813104525647</v>
      </c>
      <c r="T13" s="53">
        <f>'R1'!T35</f>
        <v>1.236736932026284</v>
      </c>
      <c r="U13" s="53">
        <f>'R1'!U35</f>
        <v>1.1614781524908295</v>
      </c>
      <c r="V13" s="53">
        <f>'R1'!V35</f>
        <v>0.88247487610019437</v>
      </c>
    </row>
    <row r="14" spans="1:22" s="1" customFormat="1" x14ac:dyDescent="0.35">
      <c r="A14" s="229"/>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0.36486895671533809</v>
      </c>
      <c r="P14" s="53" t="str">
        <f>'R1'!P36</f>
        <v/>
      </c>
      <c r="Q14" s="53" t="str">
        <f>'R1'!Q36</f>
        <v/>
      </c>
      <c r="R14" s="53" t="str">
        <f>'R1'!R36</f>
        <v/>
      </c>
      <c r="S14" s="53" t="str">
        <f>'R1'!S36</f>
        <v/>
      </c>
      <c r="T14" s="53" t="str">
        <f>'R1'!T36</f>
        <v/>
      </c>
      <c r="U14" s="53" t="str">
        <f>'R1'!U36</f>
        <v/>
      </c>
      <c r="V14" s="53" t="str">
        <f>'R1'!V36</f>
        <v/>
      </c>
    </row>
    <row r="15" spans="1:22" s="1" customFormat="1" x14ac:dyDescent="0.35">
      <c r="A15" s="229"/>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0.20580576434743647</v>
      </c>
      <c r="P15" s="53" t="str">
        <f>'R1'!P37</f>
        <v/>
      </c>
      <c r="Q15" s="53" t="str">
        <f>'R1'!Q37</f>
        <v/>
      </c>
      <c r="R15" s="53" t="str">
        <f>'R1'!R37</f>
        <v/>
      </c>
      <c r="S15" s="53" t="str">
        <f>'R1'!S37</f>
        <v/>
      </c>
      <c r="T15" s="53" t="str">
        <f>'R1'!T37</f>
        <v/>
      </c>
      <c r="U15" s="53" t="str">
        <f>'R1'!U37</f>
        <v/>
      </c>
      <c r="V15" s="53" t="str">
        <f>'R1'!V37</f>
        <v/>
      </c>
    </row>
    <row r="16" spans="1:22" s="1" customFormat="1" x14ac:dyDescent="0.35">
      <c r="A16" s="229"/>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1.2740296498490411</v>
      </c>
      <c r="P16" s="53" t="str">
        <f>'R1'!P38</f>
        <v/>
      </c>
      <c r="Q16" s="53" t="str">
        <f>'R1'!Q38</f>
        <v/>
      </c>
      <c r="R16" s="53" t="str">
        <f>'R1'!R38</f>
        <v/>
      </c>
      <c r="S16" s="53" t="str">
        <f>'R1'!S38</f>
        <v/>
      </c>
      <c r="T16" s="53" t="str">
        <f>'R1'!T38</f>
        <v/>
      </c>
      <c r="U16" s="53" t="str">
        <f>'R1'!U38</f>
        <v/>
      </c>
      <c r="V16" s="53" t="str">
        <f>'R1'!V38</f>
        <v/>
      </c>
    </row>
    <row r="17" spans="1:22" s="1" customFormat="1" x14ac:dyDescent="0.35">
      <c r="A17" s="229"/>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0.57988632380103933</v>
      </c>
      <c r="P17" s="53" t="str">
        <f>'R1'!P39</f>
        <v/>
      </c>
      <c r="Q17" s="53" t="str">
        <f>'R1'!Q39</f>
        <v/>
      </c>
      <c r="R17" s="53" t="str">
        <f>'R1'!R39</f>
        <v/>
      </c>
      <c r="S17" s="53" t="str">
        <f>'R1'!S39</f>
        <v/>
      </c>
      <c r="T17" s="53" t="str">
        <f>'R1'!T39</f>
        <v/>
      </c>
      <c r="U17" s="53" t="str">
        <f>'R1'!U39</f>
        <v/>
      </c>
      <c r="V17" s="53" t="str">
        <f>'R1'!V39</f>
        <v/>
      </c>
    </row>
    <row r="18" spans="1:22" s="1" customFormat="1" x14ac:dyDescent="0.35">
      <c r="A18" s="229"/>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1.0919247089845241</v>
      </c>
      <c r="P18" s="53" t="str">
        <f>'R1'!P40</f>
        <v/>
      </c>
      <c r="Q18" s="53" t="str">
        <f>'R1'!Q40</f>
        <v/>
      </c>
      <c r="R18" s="53" t="str">
        <f>'R1'!R40</f>
        <v/>
      </c>
      <c r="S18" s="53" t="str">
        <f>'R1'!S40</f>
        <v/>
      </c>
      <c r="T18" s="53" t="str">
        <f>'R1'!T40</f>
        <v/>
      </c>
      <c r="U18" s="53" t="str">
        <f>'R1'!U40</f>
        <v/>
      </c>
      <c r="V18" s="53" t="str">
        <f>'R1'!V40</f>
        <v/>
      </c>
    </row>
    <row r="19" spans="1:22" s="1" customFormat="1" x14ac:dyDescent="0.35">
      <c r="A19" s="229"/>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1.0741851890803866</v>
      </c>
      <c r="P19" s="53" t="str">
        <f>'R1'!P41</f>
        <v/>
      </c>
      <c r="Q19" s="53" t="str">
        <f>'R1'!Q41</f>
        <v/>
      </c>
      <c r="R19" s="53" t="str">
        <f>'R1'!R41</f>
        <v/>
      </c>
      <c r="S19" s="53" t="str">
        <f>'R1'!S41</f>
        <v/>
      </c>
      <c r="T19" s="53" t="str">
        <f>'R1'!T41</f>
        <v/>
      </c>
      <c r="U19" s="53" t="str">
        <f>'R1'!U41</f>
        <v/>
      </c>
      <c r="V19" s="53" t="str">
        <f>'R1'!V41</f>
        <v/>
      </c>
    </row>
    <row r="20" spans="1:22" s="1" customFormat="1" x14ac:dyDescent="0.35">
      <c r="A20" s="229"/>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1.3317170381828363</v>
      </c>
      <c r="P20" s="53" t="str">
        <f>'R1'!P42</f>
        <v/>
      </c>
      <c r="Q20" s="53" t="str">
        <f>'R1'!Q42</f>
        <v/>
      </c>
      <c r="R20" s="53" t="str">
        <f>'R1'!R42</f>
        <v/>
      </c>
      <c r="S20" s="53" t="str">
        <f>'R1'!S42</f>
        <v/>
      </c>
      <c r="T20" s="53" t="str">
        <f>'R1'!T42</f>
        <v/>
      </c>
      <c r="U20" s="53" t="str">
        <f>'R1'!U42</f>
        <v/>
      </c>
      <c r="V20" s="53" t="str">
        <f>'R1'!V42</f>
        <v/>
      </c>
    </row>
    <row r="21" spans="1:22" s="1" customFormat="1" x14ac:dyDescent="0.35">
      <c r="A21" s="230"/>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1.1928000977681714</v>
      </c>
      <c r="P21" s="53" t="str">
        <f>'R1'!P43</f>
        <v/>
      </c>
      <c r="Q21" s="53" t="str">
        <f>'R1'!Q43</f>
        <v/>
      </c>
      <c r="R21" s="53" t="str">
        <f>'R1'!R43</f>
        <v/>
      </c>
      <c r="S21" s="53" t="str">
        <f>'R1'!S43</f>
        <v/>
      </c>
      <c r="T21" s="53" t="str">
        <f>'R1'!T43</f>
        <v/>
      </c>
      <c r="U21" s="53" t="str">
        <f>'R1'!U43</f>
        <v/>
      </c>
      <c r="V21" s="53" t="str">
        <f>'R1'!V43</f>
        <v/>
      </c>
    </row>
    <row r="22" spans="1:22" x14ac:dyDescent="0.35">
      <c r="A22" s="39" t="s">
        <v>5</v>
      </c>
      <c r="B22" s="54">
        <f>'R2'!B28</f>
        <v>1.514796746191174E-2</v>
      </c>
      <c r="C22" s="54">
        <f>'R2'!C28</f>
        <v>7.8982844472599872E-2</v>
      </c>
      <c r="D22" s="54" t="str">
        <f>'R2'!D28</f>
        <v/>
      </c>
      <c r="E22" s="54">
        <f>'R2'!E28</f>
        <v>0.23224050187939477</v>
      </c>
      <c r="F22" s="54">
        <f>'R2'!F28</f>
        <v>1.1754336173962743</v>
      </c>
      <c r="G22" s="54">
        <f>'R2'!G28</f>
        <v>2.7078716871624242</v>
      </c>
      <c r="H22" s="54">
        <f>'R2'!H28</f>
        <v>2.6120832824973319</v>
      </c>
      <c r="I22" s="54">
        <f>'R2'!I28</f>
        <v>1.4593392893341489E-2</v>
      </c>
      <c r="J22" s="54">
        <f>'R2'!J28</f>
        <v>0.14446012611638789</v>
      </c>
      <c r="K22" s="54">
        <f>'R2'!K28</f>
        <v>0</v>
      </c>
      <c r="L22" s="54" t="str">
        <f>'R2'!L28</f>
        <v/>
      </c>
      <c r="M22" s="54">
        <f>'R2'!M28</f>
        <v>0.20100401963450365</v>
      </c>
      <c r="O22" s="54">
        <f>'R2'!O28</f>
        <v>1.712772900153559</v>
      </c>
      <c r="P22" s="54">
        <f>'R2'!P28</f>
        <v>2.4420323268483042</v>
      </c>
      <c r="Q22" s="54">
        <f>'R2'!Q28</f>
        <v>0.10750051792805816</v>
      </c>
      <c r="R22" s="54">
        <f>'R2'!R28</f>
        <v>1.1881885537927024</v>
      </c>
      <c r="S22" s="54">
        <f>'R2'!S28</f>
        <v>1.2343436492935085</v>
      </c>
      <c r="T22" s="54">
        <f>'R2'!T28</f>
        <v>6.8771705393714244E-2</v>
      </c>
      <c r="U22" s="54">
        <f>'R2'!U28</f>
        <v>1.1701896828953766</v>
      </c>
      <c r="V22" s="54">
        <f>'R2'!V28</f>
        <v>0.64432117592548899</v>
      </c>
    </row>
    <row r="23" spans="1:22" x14ac:dyDescent="0.35">
      <c r="A23" s="228" t="s">
        <v>34</v>
      </c>
      <c r="B23" s="54">
        <f>'R2'!B29</f>
        <v>6.8535941531899947E-3</v>
      </c>
      <c r="C23" s="54">
        <f>'R2'!C29</f>
        <v>0.10521589365009892</v>
      </c>
      <c r="D23" s="54">
        <f>'R2'!D29</f>
        <v>7.9826689595027381E-2</v>
      </c>
      <c r="E23" s="54">
        <f>'R2'!E29</f>
        <v>1.8006736659736624</v>
      </c>
      <c r="F23" s="54">
        <f>'R2'!F29</f>
        <v>1.9237712452918991</v>
      </c>
      <c r="G23" s="54">
        <f>'R2'!G29</f>
        <v>1.2193823978923717</v>
      </c>
      <c r="H23" s="54">
        <f>'R2'!H29</f>
        <v>3.5892677781975957</v>
      </c>
      <c r="I23" s="54">
        <f>'R2'!I29</f>
        <v>0.22459071700137803</v>
      </c>
      <c r="J23" s="54">
        <f>'R2'!J29</f>
        <v>0.35945182616946547</v>
      </c>
      <c r="K23" s="54">
        <f>'R2'!K29</f>
        <v>6.8259211608990275E-2</v>
      </c>
      <c r="L23" s="54">
        <f>'R2'!L29</f>
        <v>0.31104833488010414</v>
      </c>
      <c r="M23" s="54">
        <f>'R2'!M29</f>
        <v>0.23112522176712433</v>
      </c>
      <c r="O23" s="54">
        <f>'R2'!O29</f>
        <v>0.86167887501734108</v>
      </c>
      <c r="P23" s="54">
        <f>'R2'!P29</f>
        <v>4.8456370949856939</v>
      </c>
      <c r="Q23" s="54">
        <f>'R2'!Q29</f>
        <v>0.34690785105364441</v>
      </c>
      <c r="R23" s="54">
        <f>'R2'!R29</f>
        <v>0.79402844137068329</v>
      </c>
      <c r="S23" s="54">
        <f>'R2'!S29</f>
        <v>0.71715562772518371</v>
      </c>
      <c r="T23" s="54">
        <f>'R2'!T29</f>
        <v>0.70064532972133453</v>
      </c>
      <c r="U23" s="54">
        <f>'R2'!U29</f>
        <v>0.56566410917683807</v>
      </c>
      <c r="V23" s="54">
        <f>'R2'!V29</f>
        <v>0.38004298482399734</v>
      </c>
    </row>
    <row r="24" spans="1:22" x14ac:dyDescent="0.35">
      <c r="A24" s="229"/>
      <c r="B24" s="54">
        <f>'R2'!B30</f>
        <v>0.24661067154186952</v>
      </c>
      <c r="C24" s="54">
        <f>'R2'!C30</f>
        <v>0.63154784660367125</v>
      </c>
      <c r="D24" s="54">
        <f>'R2'!D30</f>
        <v>5.5763448252145388E-2</v>
      </c>
      <c r="E24" s="54">
        <f>'R2'!E30</f>
        <v>1.3558227905177895</v>
      </c>
      <c r="F24" s="54">
        <f>'R2'!F30</f>
        <v>1.5329204660365998</v>
      </c>
      <c r="G24" s="54">
        <f>'R2'!G30</f>
        <v>3.2060240063347472</v>
      </c>
      <c r="H24" s="54">
        <f>'R2'!H30</f>
        <v>4.2333839844772641</v>
      </c>
      <c r="I24" s="54">
        <f>'R2'!I30</f>
        <v>0.32478854684797936</v>
      </c>
      <c r="J24" s="54" t="str">
        <f>'R2'!J30</f>
        <v/>
      </c>
      <c r="K24" s="54">
        <f>'R2'!K30</f>
        <v>0.40535360092513079</v>
      </c>
      <c r="L24" s="54">
        <f>'R2'!L30</f>
        <v>2.0797939724822891E-3</v>
      </c>
      <c r="M24" s="54">
        <f>'R2'!M30</f>
        <v>8.8620458696150059E-4</v>
      </c>
      <c r="O24" s="54">
        <f>'R2'!O30</f>
        <v>2.4623668205894424E-2</v>
      </c>
      <c r="P24" s="54">
        <f>'R2'!P30</f>
        <v>3.5124849784142311</v>
      </c>
      <c r="Q24" s="54">
        <f>'R2'!Q30</f>
        <v>8.2924782800452207E-2</v>
      </c>
      <c r="R24" s="54">
        <f>'R2'!R30</f>
        <v>0.81967068749020799</v>
      </c>
      <c r="S24" s="54">
        <f>'R2'!S30</f>
        <v>0.8869957614339482</v>
      </c>
      <c r="T24" s="54">
        <f>'R2'!T30</f>
        <v>1.8097186657147684</v>
      </c>
      <c r="U24" s="54">
        <f>'R2'!U30</f>
        <v>0.31631066230639154</v>
      </c>
      <c r="V24" s="54">
        <f>'R2'!V30</f>
        <v>1.5617274100459151</v>
      </c>
    </row>
    <row r="25" spans="1:22" x14ac:dyDescent="0.35">
      <c r="A25" s="229"/>
      <c r="B25" s="54" t="str">
        <f>'R2'!B31</f>
        <v/>
      </c>
      <c r="C25" s="54">
        <f>'R2'!C31</f>
        <v>6.5227165726555958E-2</v>
      </c>
      <c r="D25" s="54">
        <f>'R2'!D31</f>
        <v>0.31358600122251651</v>
      </c>
      <c r="E25" s="54">
        <f>'R2'!E31</f>
        <v>1.1479289482406918</v>
      </c>
      <c r="F25" s="54">
        <f>'R2'!F31</f>
        <v>1.6143746508479337</v>
      </c>
      <c r="G25" s="54">
        <f>'R2'!G31</f>
        <v>3.1201273726804089</v>
      </c>
      <c r="H25" s="54">
        <f>'R2'!H31</f>
        <v>4.3049101697884398</v>
      </c>
      <c r="I25" s="54">
        <f>'R2'!I31</f>
        <v>0.22513358698106387</v>
      </c>
      <c r="J25" s="54">
        <f>'R2'!J31</f>
        <v>0.15578334047963513</v>
      </c>
      <c r="K25" s="54">
        <f>'R2'!K31</f>
        <v>5.8410078743457777E-3</v>
      </c>
      <c r="L25" s="54">
        <f>'R2'!L31</f>
        <v>1.2091676359645457E-2</v>
      </c>
      <c r="M25" s="54">
        <f>'R2'!M31</f>
        <v>0.43599342781760536</v>
      </c>
      <c r="O25" s="54">
        <f>'R2'!O31</f>
        <v>2.3300169030984339</v>
      </c>
      <c r="P25" s="54">
        <f>'R2'!P31</f>
        <v>1.6589621674802939</v>
      </c>
      <c r="Q25" s="54">
        <f>'R2'!Q31</f>
        <v>0.35823399156411273</v>
      </c>
      <c r="R25" s="54">
        <f>'R2'!R31</f>
        <v>2.4579756489929796</v>
      </c>
      <c r="S25" s="54">
        <f>'R2'!S31</f>
        <v>0.18330055026616518</v>
      </c>
      <c r="T25" s="54">
        <f>'R2'!T31</f>
        <v>0.6068040670213678</v>
      </c>
      <c r="U25" s="54">
        <f>'R2'!U31</f>
        <v>1.0702901807249836</v>
      </c>
      <c r="V25" s="54">
        <f>'R2'!V31</f>
        <v>0.97675045052913401</v>
      </c>
    </row>
    <row r="26" spans="1:22" x14ac:dyDescent="0.35">
      <c r="A26" s="229"/>
      <c r="B26" s="54">
        <f>'R2'!B32</f>
        <v>0.19914159659844585</v>
      </c>
      <c r="C26" s="54">
        <f>'R2'!C32</f>
        <v>9.8331923301947038E-2</v>
      </c>
      <c r="D26" s="54" t="str">
        <f>'R2'!D32</f>
        <v/>
      </c>
      <c r="E26" s="54" t="str">
        <f>'R2'!E32</f>
        <v/>
      </c>
      <c r="F26" s="54">
        <f>'R2'!F32</f>
        <v>1.4078611140171318</v>
      </c>
      <c r="G26" s="54">
        <f>'R2'!G32</f>
        <v>3.0473956147141403</v>
      </c>
      <c r="H26" s="54">
        <f>'R2'!H32</f>
        <v>2.9511855661685216</v>
      </c>
      <c r="I26" s="54">
        <f>'R2'!I32</f>
        <v>4.4732709270664223E-2</v>
      </c>
      <c r="J26" s="54">
        <f>'R2'!J32</f>
        <v>0.12549952816572765</v>
      </c>
      <c r="K26" s="54">
        <f>'R2'!K32</f>
        <v>0.22831612043486901</v>
      </c>
      <c r="L26" s="54">
        <f>'R2'!L32</f>
        <v>0.23328917730729917</v>
      </c>
      <c r="M26" s="54">
        <f>'R2'!M32</f>
        <v>7.575182057913081E-2</v>
      </c>
      <c r="O26" s="54">
        <f>'R2'!O32</f>
        <v>0.27701208710599645</v>
      </c>
      <c r="P26" s="54">
        <f>'R2'!P32</f>
        <v>1.3932434759039583</v>
      </c>
      <c r="Q26" s="54">
        <f>'R2'!Q32</f>
        <v>8.5173178589007373E-2</v>
      </c>
      <c r="R26" s="54">
        <f>'R2'!R32</f>
        <v>1.7278723771758069</v>
      </c>
      <c r="S26" s="54">
        <f>'R2'!S32</f>
        <v>1.1420153440471941</v>
      </c>
      <c r="T26" s="54">
        <f>'R2'!T32</f>
        <v>1.760055259036208</v>
      </c>
      <c r="U26" s="54">
        <f>'R2'!U32</f>
        <v>0.68031334410638566</v>
      </c>
      <c r="V26" s="54">
        <f>'R2'!V32</f>
        <v>1.2594070756246309</v>
      </c>
    </row>
    <row r="27" spans="1:22" x14ac:dyDescent="0.35">
      <c r="A27" s="229"/>
      <c r="B27" s="54">
        <f>'R2'!B33</f>
        <v>0.16495750871950071</v>
      </c>
      <c r="C27" s="54">
        <f>'R2'!C33</f>
        <v>6.9705843058964226E-2</v>
      </c>
      <c r="D27" s="54">
        <f>'R2'!D33</f>
        <v>1.7902726060060933E-2</v>
      </c>
      <c r="E27" s="54">
        <f>'R2'!E33</f>
        <v>1.446155742040002</v>
      </c>
      <c r="F27" s="54">
        <f>'R2'!F33</f>
        <v>1.8627633051774806</v>
      </c>
      <c r="G27" s="54">
        <f>'R2'!G33</f>
        <v>2.738312536043864</v>
      </c>
      <c r="H27" s="54">
        <f>'R2'!H33</f>
        <v>4.4078598320859683</v>
      </c>
      <c r="I27" s="54">
        <f>'R2'!I33</f>
        <v>0.19713746443268057</v>
      </c>
      <c r="J27" s="54">
        <f>'R2'!J33</f>
        <v>0.19852069602619737</v>
      </c>
      <c r="K27" s="54">
        <f>'R2'!K33</f>
        <v>0.22022100381786974</v>
      </c>
      <c r="L27" s="54">
        <f>'R2'!L33</f>
        <v>0.24990189046388692</v>
      </c>
      <c r="M27" s="54">
        <f>'R2'!M33</f>
        <v>0.11046289363856154</v>
      </c>
      <c r="O27" s="54">
        <f>'R2'!O33</f>
        <v>0.30328456960080835</v>
      </c>
      <c r="P27" s="54">
        <f>'R2'!P33</f>
        <v>4.1125441367506212</v>
      </c>
      <c r="Q27" s="54">
        <f>'R2'!Q33</f>
        <v>0.15858017986163062</v>
      </c>
      <c r="R27" s="54" t="str">
        <f>'R2'!R33</f>
        <v/>
      </c>
      <c r="S27" s="54">
        <f>'R2'!S33</f>
        <v>0.9509270619625888</v>
      </c>
      <c r="T27" s="54">
        <f>'R2'!T33</f>
        <v>2.8577175962497612</v>
      </c>
      <c r="U27" s="54">
        <f>'R2'!U33</f>
        <v>1.1103329727019451</v>
      </c>
      <c r="V27" s="54">
        <f>'R2'!V33</f>
        <v>1.6365509452542382</v>
      </c>
    </row>
    <row r="28" spans="1:22" x14ac:dyDescent="0.35">
      <c r="A28" s="229"/>
      <c r="B28" s="54">
        <f>'R2'!B34</f>
        <v>0.1498036889631468</v>
      </c>
      <c r="C28" s="54">
        <f>'R2'!C34</f>
        <v>0.16173317316253702</v>
      </c>
      <c r="D28" s="54">
        <f>'R2'!D34</f>
        <v>0.16629587272229401</v>
      </c>
      <c r="E28" s="54">
        <f>'R2'!E34</f>
        <v>0.41017589154550244</v>
      </c>
      <c r="F28" s="54">
        <f>'R2'!F34</f>
        <v>1.7922980572444693</v>
      </c>
      <c r="G28" s="54">
        <f>'R2'!G34</f>
        <v>2.8890322484275588</v>
      </c>
      <c r="H28" s="54">
        <f>'R2'!H34</f>
        <v>4.2175306761947224</v>
      </c>
      <c r="I28" s="54">
        <f>'R2'!I34</f>
        <v>0.12627105564969082</v>
      </c>
      <c r="J28" s="54" t="str">
        <f>'R2'!J34</f>
        <v/>
      </c>
      <c r="K28" s="54">
        <f>'R2'!K34</f>
        <v>0.12693403700578562</v>
      </c>
      <c r="L28" s="54">
        <f>'R2'!L34</f>
        <v>6.1785180552480015E-2</v>
      </c>
      <c r="M28" s="54">
        <f>'R2'!M34</f>
        <v>5.3129358391780582E-2</v>
      </c>
      <c r="O28" s="54">
        <f>'R2'!O34</f>
        <v>0.31669607769751346</v>
      </c>
      <c r="P28" s="54">
        <f>'R2'!P34</f>
        <v>3.8340521158524674</v>
      </c>
      <c r="Q28" s="54">
        <f>'R2'!Q34</f>
        <v>6.0760750344407543E-3</v>
      </c>
      <c r="R28" s="54">
        <f>'R2'!R34</f>
        <v>1.0373420416960932</v>
      </c>
      <c r="S28" s="54">
        <f>'R2'!S34</f>
        <v>0.37370453192206471</v>
      </c>
      <c r="T28" s="54">
        <f>'R2'!T34</f>
        <v>0.9647908688154696</v>
      </c>
      <c r="U28" s="54">
        <f>'R2'!U34</f>
        <v>0.84910466304690202</v>
      </c>
      <c r="V28" s="54">
        <f>'R2'!V34</f>
        <v>0.34640148824405032</v>
      </c>
    </row>
    <row r="29" spans="1:22" x14ac:dyDescent="0.35">
      <c r="A29" s="229"/>
      <c r="B29" s="54">
        <f>'R2'!B35</f>
        <v>9.6240703421268073E-2</v>
      </c>
      <c r="C29" s="54">
        <f>'R2'!C35</f>
        <v>0.10055022157622802</v>
      </c>
      <c r="D29" s="54">
        <f>'R2'!D35</f>
        <v>4.237855416111791E-2</v>
      </c>
      <c r="E29" s="54" t="str">
        <f>'R2'!E35</f>
        <v/>
      </c>
      <c r="F29" s="54">
        <f>'R2'!F35</f>
        <v>0.58564049823425135</v>
      </c>
      <c r="G29" s="54">
        <f>'R2'!G35</f>
        <v>1.8517322875153119</v>
      </c>
      <c r="H29" s="54" t="str">
        <f>'R2'!H35</f>
        <v/>
      </c>
      <c r="I29" s="54">
        <f>'R2'!I35</f>
        <v>0.2353026452761032</v>
      </c>
      <c r="J29" s="54">
        <f>'R2'!J35</f>
        <v>0.50140117862980627</v>
      </c>
      <c r="K29" s="54">
        <f>'R2'!K35</f>
        <v>0.12408313357037173</v>
      </c>
      <c r="L29" s="54">
        <f>'R2'!L35</f>
        <v>5.846999509131838E-2</v>
      </c>
      <c r="M29" s="54">
        <f>'R2'!M35</f>
        <v>0.16786331225039619</v>
      </c>
      <c r="O29" s="54">
        <f>'R2'!O35</f>
        <v>1.3992351106900187</v>
      </c>
      <c r="P29" s="54">
        <f>'R2'!P35</f>
        <v>3.0170517467120281</v>
      </c>
      <c r="Q29" s="54">
        <f>'R2'!Q35</f>
        <v>1.1314157240896214E-2</v>
      </c>
      <c r="R29" s="54">
        <f>'R2'!R35</f>
        <v>0.92129996068930242</v>
      </c>
      <c r="S29" s="54">
        <f>'R2'!S35</f>
        <v>0.16635007611605629</v>
      </c>
      <c r="T29" s="54">
        <f>'R2'!T35</f>
        <v>0.6698433106686047</v>
      </c>
      <c r="U29" s="54">
        <f>'R2'!U35</f>
        <v>0.95053523691564934</v>
      </c>
      <c r="V29" s="54">
        <f>'R2'!V35</f>
        <v>1.553650407673618</v>
      </c>
    </row>
    <row r="30" spans="1:22" x14ac:dyDescent="0.35">
      <c r="A30" s="229"/>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1.6685407013980467</v>
      </c>
      <c r="P30" s="54" t="str">
        <f>'R2'!P36</f>
        <v/>
      </c>
      <c r="Q30" s="54" t="str">
        <f>'R2'!Q36</f>
        <v/>
      </c>
      <c r="R30" s="54" t="str">
        <f>'R2'!R36</f>
        <v/>
      </c>
      <c r="S30" s="54" t="str">
        <f>'R2'!S36</f>
        <v/>
      </c>
      <c r="T30" s="54" t="str">
        <f>'R2'!T36</f>
        <v/>
      </c>
      <c r="U30" s="54" t="str">
        <f>'R2'!U36</f>
        <v/>
      </c>
      <c r="V30" s="54" t="str">
        <f>'R2'!V36</f>
        <v/>
      </c>
    </row>
    <row r="31" spans="1:22" s="1" customFormat="1" x14ac:dyDescent="0.35">
      <c r="A31" s="229"/>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1.2217999528583752</v>
      </c>
      <c r="P31" s="54" t="str">
        <f>'R2'!P37</f>
        <v/>
      </c>
      <c r="Q31" s="54" t="str">
        <f>'R2'!Q37</f>
        <v/>
      </c>
      <c r="R31" s="54" t="str">
        <f>'R2'!R37</f>
        <v/>
      </c>
      <c r="S31" s="54" t="str">
        <f>'R2'!S37</f>
        <v/>
      </c>
      <c r="T31" s="54" t="str">
        <f>'R2'!T37</f>
        <v/>
      </c>
      <c r="U31" s="54" t="str">
        <f>'R2'!U37</f>
        <v/>
      </c>
      <c r="V31" s="54" t="str">
        <f>'R2'!V37</f>
        <v/>
      </c>
    </row>
    <row r="32" spans="1:22" s="1" customFormat="1" x14ac:dyDescent="0.35">
      <c r="A32" s="229"/>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0.96014331098630079</v>
      </c>
      <c r="P32" s="54" t="str">
        <f>'R2'!P38</f>
        <v/>
      </c>
      <c r="Q32" s="54" t="str">
        <f>'R2'!Q38</f>
        <v/>
      </c>
      <c r="R32" s="54" t="str">
        <f>'R2'!R38</f>
        <v/>
      </c>
      <c r="S32" s="54" t="str">
        <f>'R2'!S38</f>
        <v/>
      </c>
      <c r="T32" s="54" t="str">
        <f>'R2'!T38</f>
        <v/>
      </c>
      <c r="U32" s="54" t="str">
        <f>'R2'!U38</f>
        <v/>
      </c>
      <c r="V32" s="54" t="str">
        <f>'R2'!V38</f>
        <v/>
      </c>
    </row>
    <row r="33" spans="1:22" s="1" customFormat="1" x14ac:dyDescent="0.35">
      <c r="A33" s="229"/>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1.4232621235434966</v>
      </c>
      <c r="P33" s="54" t="str">
        <f>'R2'!P39</f>
        <v/>
      </c>
      <c r="Q33" s="54" t="str">
        <f>'R2'!Q39</f>
        <v/>
      </c>
      <c r="R33" s="54" t="str">
        <f>'R2'!R39</f>
        <v/>
      </c>
      <c r="S33" s="54" t="str">
        <f>'R2'!S39</f>
        <v/>
      </c>
      <c r="T33" s="54" t="str">
        <f>'R2'!T39</f>
        <v/>
      </c>
      <c r="U33" s="54" t="str">
        <f>'R2'!U39</f>
        <v/>
      </c>
      <c r="V33" s="54" t="str">
        <f>'R2'!V39</f>
        <v/>
      </c>
    </row>
    <row r="34" spans="1:22" s="1" customFormat="1" x14ac:dyDescent="0.35">
      <c r="A34" s="229"/>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0.57645992033856819</v>
      </c>
      <c r="P34" s="54" t="str">
        <f>'R2'!P40</f>
        <v/>
      </c>
      <c r="Q34" s="54" t="str">
        <f>'R2'!Q40</f>
        <v/>
      </c>
      <c r="R34" s="54" t="str">
        <f>'R2'!R40</f>
        <v/>
      </c>
      <c r="S34" s="54" t="str">
        <f>'R2'!S40</f>
        <v/>
      </c>
      <c r="T34" s="54" t="str">
        <f>'R2'!T40</f>
        <v/>
      </c>
      <c r="U34" s="54" t="str">
        <f>'R2'!U40</f>
        <v/>
      </c>
      <c r="V34" s="54" t="str">
        <f>'R2'!V40</f>
        <v/>
      </c>
    </row>
    <row r="35" spans="1:22" s="1" customFormat="1" x14ac:dyDescent="0.35">
      <c r="A35" s="229"/>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1.4897009929002754</v>
      </c>
      <c r="P35" s="54" t="str">
        <f>'R2'!P41</f>
        <v/>
      </c>
      <c r="Q35" s="54" t="str">
        <f>'R2'!Q41</f>
        <v/>
      </c>
      <c r="R35" s="54" t="str">
        <f>'R2'!R41</f>
        <v/>
      </c>
      <c r="S35" s="54" t="str">
        <f>'R2'!S41</f>
        <v/>
      </c>
      <c r="T35" s="54" t="str">
        <f>'R2'!T41</f>
        <v/>
      </c>
      <c r="U35" s="54" t="str">
        <f>'R2'!U41</f>
        <v/>
      </c>
      <c r="V35" s="54" t="str">
        <f>'R2'!V41</f>
        <v/>
      </c>
    </row>
    <row r="36" spans="1:22" x14ac:dyDescent="0.35">
      <c r="A36" s="229"/>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0.43477280640537536</v>
      </c>
      <c r="P36" s="54" t="str">
        <f>'R2'!P42</f>
        <v/>
      </c>
      <c r="Q36" s="54" t="str">
        <f>'R2'!Q42</f>
        <v/>
      </c>
      <c r="R36" s="54" t="str">
        <f>'R2'!R42</f>
        <v/>
      </c>
      <c r="S36" s="54" t="str">
        <f>'R2'!S42</f>
        <v/>
      </c>
      <c r="T36" s="54" t="str">
        <f>'R2'!T42</f>
        <v/>
      </c>
      <c r="U36" s="54" t="str">
        <f>'R2'!U42</f>
        <v/>
      </c>
      <c r="V36" s="54" t="str">
        <f>'R2'!V42</f>
        <v/>
      </c>
    </row>
    <row r="37" spans="1:22" x14ac:dyDescent="0.35">
      <c r="A37" s="230"/>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t="str">
        <f>'R2'!O43</f>
        <v/>
      </c>
      <c r="P37" s="54" t="str">
        <f>'R2'!P43</f>
        <v/>
      </c>
      <c r="Q37" s="54" t="str">
        <f>'R2'!Q43</f>
        <v/>
      </c>
      <c r="R37" s="54" t="str">
        <f>'R2'!R43</f>
        <v/>
      </c>
      <c r="S37" s="54" t="str">
        <f>'R2'!S43</f>
        <v/>
      </c>
      <c r="T37" s="54" t="str">
        <f>'R2'!T43</f>
        <v/>
      </c>
      <c r="U37" s="54" t="str">
        <f>'R2'!U43</f>
        <v/>
      </c>
      <c r="V37" s="54" t="str">
        <f>'R2'!V43</f>
        <v/>
      </c>
    </row>
    <row r="38" spans="1:22" s="1" customFormat="1" x14ac:dyDescent="0.35">
      <c r="A38" s="155" t="s">
        <v>116</v>
      </c>
      <c r="B38" s="156">
        <f>'R3'!B28</f>
        <v>9.9955237952721196E-2</v>
      </c>
      <c r="C38" s="156">
        <f>'R3'!C28</f>
        <v>0.23045360425970771</v>
      </c>
      <c r="D38" s="156">
        <f>'R3'!D28</f>
        <v>1.7007281095573763E-3</v>
      </c>
      <c r="E38" s="156">
        <f>'R3'!E28</f>
        <v>0.2545820352283758</v>
      </c>
      <c r="F38" s="156">
        <f>'R3'!F28</f>
        <v>1.0635622005493026</v>
      </c>
      <c r="G38" s="156" t="str">
        <f>'R3'!G28</f>
        <v/>
      </c>
      <c r="H38" s="156">
        <f>'R3'!H28</f>
        <v>1.700482981836245</v>
      </c>
      <c r="I38" s="156">
        <f>'R3'!I28</f>
        <v>0.1890567743001921</v>
      </c>
      <c r="J38" s="156">
        <f>'R3'!J28</f>
        <v>5.3492902156767339E-4</v>
      </c>
      <c r="K38" s="156">
        <f>'R3'!K28</f>
        <v>0.13383577940595362</v>
      </c>
      <c r="L38" s="156">
        <f>'R3'!L28</f>
        <v>0.2074660804584571</v>
      </c>
      <c r="M38" s="156">
        <f>'R3'!M28</f>
        <v>0.13139686573134846</v>
      </c>
      <c r="N38"/>
      <c r="O38" s="156">
        <f>'R3'!O28</f>
        <v>0.25939936367129479</v>
      </c>
      <c r="P38" s="156">
        <f>'R3'!P28</f>
        <v>1.6033660822173763</v>
      </c>
      <c r="Q38" s="156">
        <f>'R3'!Q28</f>
        <v>7.8086449376391738E-3</v>
      </c>
      <c r="R38" s="156">
        <f>'R3'!R28</f>
        <v>1.1691118564388321</v>
      </c>
      <c r="S38" s="156">
        <f>'R3'!S28</f>
        <v>1.1598593152608503</v>
      </c>
      <c r="T38" s="156" t="str">
        <f>'R3'!T28</f>
        <v/>
      </c>
      <c r="U38" s="156">
        <f>'R3'!U28</f>
        <v>0.98454436474090568</v>
      </c>
      <c r="V38" s="156">
        <f>'R3'!V28</f>
        <v>0.87149976805180918</v>
      </c>
    </row>
    <row r="39" spans="1:22" s="1" customFormat="1" x14ac:dyDescent="0.35">
      <c r="A39" s="228" t="s">
        <v>34</v>
      </c>
      <c r="B39" s="156">
        <f>'R3'!B29</f>
        <v>1.2616989210550324E-2</v>
      </c>
      <c r="C39" s="156">
        <f>'R3'!C29</f>
        <v>0.11355809558037028</v>
      </c>
      <c r="D39" s="156">
        <f>'R3'!D29</f>
        <v>1.8264900049515143E-2</v>
      </c>
      <c r="E39" s="156">
        <f>'R3'!E29</f>
        <v>0.10035120082169055</v>
      </c>
      <c r="F39" s="156">
        <f>'R3'!F29</f>
        <v>0.20925599087946845</v>
      </c>
      <c r="G39" s="156">
        <f>'R3'!G29</f>
        <v>1.0532681550390364</v>
      </c>
      <c r="H39" s="156">
        <f>'R3'!H29</f>
        <v>1.7273321326928834</v>
      </c>
      <c r="I39" s="156">
        <f>'R3'!I29</f>
        <v>8.2248345526628741E-2</v>
      </c>
      <c r="J39" s="156">
        <f>'R3'!J29</f>
        <v>8.396984437785561E-3</v>
      </c>
      <c r="K39" s="156">
        <f>'R3'!K29</f>
        <v>0.30128306970637281</v>
      </c>
      <c r="L39" s="156">
        <f>'R3'!L29</f>
        <v>0.21956404839800411</v>
      </c>
      <c r="M39" s="156" t="str">
        <f>'R3'!M29</f>
        <v/>
      </c>
      <c r="N39"/>
      <c r="O39" s="156">
        <f>'R3'!O29</f>
        <v>1.63168781271952</v>
      </c>
      <c r="P39" s="156">
        <f>'R3'!P29</f>
        <v>1.5661337035390175</v>
      </c>
      <c r="Q39" s="156">
        <f>'R3'!Q29</f>
        <v>4.5779044333889768E-2</v>
      </c>
      <c r="R39" s="156">
        <f>'R3'!R29</f>
        <v>0.6123536096122949</v>
      </c>
      <c r="S39" s="156" t="str">
        <f>'R3'!S29</f>
        <v/>
      </c>
      <c r="T39" s="156">
        <f>'R3'!T29</f>
        <v>0.49132546515292952</v>
      </c>
      <c r="U39" s="156">
        <f>'R3'!U29</f>
        <v>3.7314307714944171E-2</v>
      </c>
      <c r="V39" s="156">
        <f>'R3'!V29</f>
        <v>1.0583208852208763</v>
      </c>
    </row>
    <row r="40" spans="1:22" s="1" customFormat="1" x14ac:dyDescent="0.35">
      <c r="A40" s="229"/>
      <c r="B40" s="156">
        <f>'R3'!B30</f>
        <v>0.16094522392208521</v>
      </c>
      <c r="C40" s="156">
        <f>'R3'!C30</f>
        <v>2.2549112789583638E-2</v>
      </c>
      <c r="D40" s="156">
        <f>'R3'!D30</f>
        <v>3.7314307714944171E-2</v>
      </c>
      <c r="E40" s="156">
        <f>'R3'!E30</f>
        <v>0.12788479707048581</v>
      </c>
      <c r="F40" s="156">
        <f>'R3'!F30</f>
        <v>0.71537863130604329</v>
      </c>
      <c r="G40" s="156">
        <f>'R3'!G30</f>
        <v>1.2875797597166974</v>
      </c>
      <c r="H40" s="156" t="str">
        <f>'R3'!H30</f>
        <v/>
      </c>
      <c r="I40" s="156">
        <f>'R3'!I30</f>
        <v>3.8294818599469448E-2</v>
      </c>
      <c r="J40" s="156">
        <f>'R3'!J30</f>
        <v>8.5714092136625272E-2</v>
      </c>
      <c r="K40" s="156">
        <f>'R3'!K30</f>
        <v>0.23757772138161196</v>
      </c>
      <c r="L40" s="156">
        <f>'R3'!L30</f>
        <v>1.5624543150147061E-2</v>
      </c>
      <c r="M40" s="156">
        <f>'R3'!M30</f>
        <v>6.3047278477581126E-2</v>
      </c>
      <c r="N40"/>
      <c r="O40" s="156">
        <f>'R3'!O30</f>
        <v>1.4222714255571591</v>
      </c>
      <c r="P40" s="156">
        <f>'R3'!P30</f>
        <v>1.4962152659005785</v>
      </c>
      <c r="Q40" s="156">
        <f>'R3'!Q30</f>
        <v>7.2048757436811578E-2</v>
      </c>
      <c r="R40" s="156">
        <f>'R3'!R30</f>
        <v>1.8667125461945007</v>
      </c>
      <c r="S40" s="156">
        <f>'R3'!S30</f>
        <v>1.1066064305633752</v>
      </c>
      <c r="T40" s="156">
        <f>'R3'!T30</f>
        <v>1.6188445707872128</v>
      </c>
      <c r="U40" s="156">
        <f>'R3'!U30</f>
        <v>0.55297170765075598</v>
      </c>
      <c r="V40" s="156">
        <f>'R3'!V30</f>
        <v>0.6669790117315183</v>
      </c>
    </row>
    <row r="41" spans="1:22" s="1" customFormat="1" x14ac:dyDescent="0.35">
      <c r="A41" s="229"/>
      <c r="B41" s="156">
        <f>'R3'!B31</f>
        <v>0.12237774812641455</v>
      </c>
      <c r="C41" s="156">
        <f>'R3'!C31</f>
        <v>0.17211279451256351</v>
      </c>
      <c r="D41" s="156">
        <f>'R3'!D31</f>
        <v>0.19485428393332416</v>
      </c>
      <c r="E41" s="156">
        <f>'R3'!E31</f>
        <v>0.10054357745286759</v>
      </c>
      <c r="F41" s="156">
        <f>'R3'!F31</f>
        <v>1.5980888302089185</v>
      </c>
      <c r="G41" s="156">
        <f>'R3'!G31</f>
        <v>0.82885842448726266</v>
      </c>
      <c r="H41" s="156">
        <f>'R3'!H31</f>
        <v>2.6184642079541161</v>
      </c>
      <c r="I41" s="156">
        <f>'R3'!I31</f>
        <v>0.12865858962125276</v>
      </c>
      <c r="J41" s="156">
        <f>'R3'!J31</f>
        <v>4.1778533549481661E-2</v>
      </c>
      <c r="K41" s="156">
        <f>'R3'!K31</f>
        <v>0.14576659232920797</v>
      </c>
      <c r="L41" s="156">
        <f>'R3'!L31</f>
        <v>7.2852881864302221E-2</v>
      </c>
      <c r="M41" s="156">
        <f>'R3'!M31</f>
        <v>8.980015859505297E-2</v>
      </c>
      <c r="N41"/>
      <c r="O41" s="156">
        <f>'R3'!O31</f>
        <v>0.57389476809249884</v>
      </c>
      <c r="P41" s="156">
        <f>'R3'!P31</f>
        <v>1.3743101345707232</v>
      </c>
      <c r="Q41" s="156">
        <f>'R3'!Q31</f>
        <v>2.929515295895618E-2</v>
      </c>
      <c r="R41" s="156">
        <f>'R3'!R31</f>
        <v>1.6513021515889281</v>
      </c>
      <c r="S41" s="156">
        <f>'R3'!S31</f>
        <v>0.18677825690847921</v>
      </c>
      <c r="T41" s="156">
        <f>'R3'!T31</f>
        <v>9.604374463261095E-2</v>
      </c>
      <c r="U41" s="156">
        <f>'R3'!U31</f>
        <v>0.23636180875816568</v>
      </c>
      <c r="V41" s="156">
        <f>'R3'!V31</f>
        <v>0.93876169376958163</v>
      </c>
    </row>
    <row r="42" spans="1:22" s="1" customFormat="1" x14ac:dyDescent="0.35">
      <c r="A42" s="229"/>
      <c r="B42" s="156">
        <f>'R3'!B32</f>
        <v>0.10500417664997073</v>
      </c>
      <c r="C42" s="156" t="str">
        <f>'R3'!C32</f>
        <v/>
      </c>
      <c r="D42" s="156">
        <f>'R3'!D32</f>
        <v>7.2207505248142762E-2</v>
      </c>
      <c r="E42" s="156">
        <f>'R3'!E32</f>
        <v>8.5336097607671593E-2</v>
      </c>
      <c r="F42" s="156">
        <f>'R3'!F32</f>
        <v>0.64495757468863368</v>
      </c>
      <c r="G42" s="156">
        <f>'R3'!G32</f>
        <v>1.2895340227523475</v>
      </c>
      <c r="H42" s="156">
        <f>'R3'!H32</f>
        <v>1.8205663872439604</v>
      </c>
      <c r="I42" s="156">
        <f>'R3'!I32</f>
        <v>5.5031915206183606E-2</v>
      </c>
      <c r="J42" s="156">
        <f>'R3'!J32</f>
        <v>0.22006699707128699</v>
      </c>
      <c r="K42" s="156">
        <f>'R3'!K32</f>
        <v>3.1823248945015294E-2</v>
      </c>
      <c r="L42" s="156">
        <f>'R3'!L32</f>
        <v>7.4763954945052308E-2</v>
      </c>
      <c r="M42" s="156">
        <f>'R3'!M32</f>
        <v>4.0159734476509536E-2</v>
      </c>
      <c r="N42"/>
      <c r="O42" s="156">
        <f>'R3'!O32</f>
        <v>1.1289951470700665</v>
      </c>
      <c r="P42" s="156">
        <f>'R3'!P32</f>
        <v>1.6836281843600702</v>
      </c>
      <c r="Q42" s="156">
        <f>'R3'!Q32</f>
        <v>3.5545662577070654E-2</v>
      </c>
      <c r="R42" s="156">
        <f>'R3'!R32</f>
        <v>0.53823486643624596</v>
      </c>
      <c r="S42" s="156">
        <f>'R3'!S32</f>
        <v>0.50637238386807715</v>
      </c>
      <c r="T42" s="156" t="str">
        <f>'R3'!T32</f>
        <v/>
      </c>
      <c r="U42" s="156">
        <f>'R3'!U32</f>
        <v>0.92388951303990752</v>
      </c>
      <c r="V42" s="156">
        <f>'R3'!V32</f>
        <v>0.34695694155466622</v>
      </c>
    </row>
    <row r="43" spans="1:22" s="1" customFormat="1" x14ac:dyDescent="0.35">
      <c r="A43" s="229"/>
      <c r="B43" s="156">
        <f>'R3'!B33</f>
        <v>2.5055778645348824E-2</v>
      </c>
      <c r="C43" s="156">
        <f>'R3'!C33</f>
        <v>7.1979191936934375E-2</v>
      </c>
      <c r="D43" s="156">
        <f>'R3'!D33</f>
        <v>5.4015632488783084E-2</v>
      </c>
      <c r="E43" s="156">
        <f>'R3'!E33</f>
        <v>0.86843690789133843</v>
      </c>
      <c r="F43" s="156">
        <f>'R3'!F33</f>
        <v>0.94234514124903856</v>
      </c>
      <c r="G43" s="156">
        <f>'R3'!G33</f>
        <v>0.97094513375069091</v>
      </c>
      <c r="H43" s="156">
        <f>'R3'!H33</f>
        <v>2.56501911147262</v>
      </c>
      <c r="I43" s="156">
        <f>'R3'!I33</f>
        <v>0.22081210621689129</v>
      </c>
      <c r="J43" s="156">
        <f>'R3'!J33</f>
        <v>1.670132477383891E-2</v>
      </c>
      <c r="K43" s="156" t="str">
        <f>'R3'!K33</f>
        <v/>
      </c>
      <c r="L43" s="156">
        <f>'R3'!L33</f>
        <v>0.24173879329606843</v>
      </c>
      <c r="M43" s="156">
        <f>'R3'!M33</f>
        <v>0.14221504277445765</v>
      </c>
      <c r="N43"/>
      <c r="O43" s="156">
        <f>'R3'!O33</f>
        <v>1.6754900099573727E-2</v>
      </c>
      <c r="P43" s="156">
        <f>'R3'!P33</f>
        <v>2.3196540104365071</v>
      </c>
      <c r="Q43" s="156">
        <f>'R3'!Q33</f>
        <v>4.2274064100739729E-2</v>
      </c>
      <c r="R43" s="156">
        <f>'R3'!R33</f>
        <v>0.44263142855759718</v>
      </c>
      <c r="S43" s="156">
        <f>'R3'!S33</f>
        <v>0.10666929777380896</v>
      </c>
      <c r="T43" s="156">
        <f>'R3'!T33</f>
        <v>0.90041346469153338</v>
      </c>
      <c r="U43" s="156">
        <f>'R3'!U33</f>
        <v>0.65273959681056148</v>
      </c>
      <c r="V43" s="156">
        <f>'R3'!V33</f>
        <v>1.2444499740286055</v>
      </c>
    </row>
    <row r="44" spans="1:22" s="1" customFormat="1" x14ac:dyDescent="0.35">
      <c r="A44" s="229"/>
      <c r="B44" s="156">
        <f>'R3'!B34</f>
        <v>9.3501471791126625E-2</v>
      </c>
      <c r="C44" s="156">
        <f>'R3'!C34</f>
        <v>5.8586844127634104E-2</v>
      </c>
      <c r="D44" s="156">
        <f>'R3'!D34</f>
        <v>0.24802144810962379</v>
      </c>
      <c r="E44" s="156">
        <f>'R3'!E34</f>
        <v>7.3787070697961379E-2</v>
      </c>
      <c r="F44" s="156">
        <f>'R3'!F34</f>
        <v>0.12004384209024964</v>
      </c>
      <c r="G44" s="156">
        <f>'R3'!G34</f>
        <v>1.2998813138940366</v>
      </c>
      <c r="H44" s="156">
        <f>'R3'!H34</f>
        <v>2.3356067642744631</v>
      </c>
      <c r="I44" s="156">
        <f>'R3'!I34</f>
        <v>0.11363293618924293</v>
      </c>
      <c r="J44" s="156">
        <f>'R3'!J34</f>
        <v>0.12113150362624457</v>
      </c>
      <c r="K44" s="156">
        <f>'R3'!K34</f>
        <v>4.4941126239397167E-2</v>
      </c>
      <c r="L44" s="156">
        <f>'R3'!L34</f>
        <v>0.13072659719461682</v>
      </c>
      <c r="M44" s="156">
        <f>'R3'!M34</f>
        <v>0.12414787688869304</v>
      </c>
      <c r="N44"/>
      <c r="O44" s="156">
        <f>'R3'!O34</f>
        <v>1.74643330236533</v>
      </c>
      <c r="P44" s="156" t="str">
        <f>'R3'!P34</f>
        <v/>
      </c>
      <c r="Q44" s="156">
        <f>'R3'!Q34</f>
        <v>0.16473538973530061</v>
      </c>
      <c r="R44" s="156">
        <f>'R3'!R34</f>
        <v>1.6012301576156962</v>
      </c>
      <c r="S44" s="156">
        <f>'R3'!S34</f>
        <v>1.2764623026616755</v>
      </c>
      <c r="T44" s="156">
        <f>'R3'!T34</f>
        <v>0.80259398649333624</v>
      </c>
      <c r="U44" s="156">
        <f>'R3'!U34</f>
        <v>0.3917302533891463</v>
      </c>
      <c r="V44" s="156">
        <f>'R3'!V34</f>
        <v>0.85693420303249435</v>
      </c>
    </row>
    <row r="45" spans="1:22" s="1" customFormat="1" x14ac:dyDescent="0.35">
      <c r="A45" s="229"/>
      <c r="B45" s="156">
        <f>'R3'!B35</f>
        <v>0.1396156503933822</v>
      </c>
      <c r="C45" s="156">
        <f>'R3'!C35</f>
        <v>0.12754240952725129</v>
      </c>
      <c r="D45" s="156">
        <f>'R3'!D35</f>
        <v>0.20530163729877035</v>
      </c>
      <c r="E45" s="156">
        <f>'R3'!E35</f>
        <v>0.21754236287550613</v>
      </c>
      <c r="F45" s="156">
        <f>'R3'!F35</f>
        <v>0.564595575169339</v>
      </c>
      <c r="G45" s="156">
        <f>'R3'!G35</f>
        <v>1.7302845452587623</v>
      </c>
      <c r="H45" s="156">
        <f>'R3'!H35</f>
        <v>2.3932628813587162</v>
      </c>
      <c r="I45" s="156">
        <f>'R3'!I35</f>
        <v>5.281043493048377E-2</v>
      </c>
      <c r="J45" s="156">
        <f>'R3'!J35</f>
        <v>0.25049959540738242</v>
      </c>
      <c r="K45" s="156">
        <f>'R3'!K35</f>
        <v>2.4994125808964758E-3</v>
      </c>
      <c r="L45" s="156">
        <f>'R3'!L35</f>
        <v>0.14735481225472222</v>
      </c>
      <c r="M45" s="156">
        <f>'R3'!M35</f>
        <v>6.7575794703000416E-2</v>
      </c>
      <c r="N45"/>
      <c r="O45" s="156">
        <f>'R3'!O35</f>
        <v>1.1426301498931564</v>
      </c>
      <c r="P45" s="156">
        <f>'R3'!P35</f>
        <v>0.61394026348982611</v>
      </c>
      <c r="Q45" s="156" t="str">
        <f>'R3'!Q35</f>
        <v/>
      </c>
      <c r="R45" s="156">
        <f>'R3'!R35</f>
        <v>0.53000190491878707</v>
      </c>
      <c r="S45" s="156">
        <f>'R3'!S35</f>
        <v>1.0311613271692881</v>
      </c>
      <c r="T45" s="156">
        <f>'R3'!T35</f>
        <v>0.17970763268873169</v>
      </c>
      <c r="U45" s="156">
        <f>'R3'!U35</f>
        <v>0.99900657059334119</v>
      </c>
      <c r="V45" s="156">
        <f>'R3'!V35</f>
        <v>1.0986017823571246</v>
      </c>
    </row>
    <row r="46" spans="1:22" s="1" customFormat="1" x14ac:dyDescent="0.35">
      <c r="A46" s="229"/>
      <c r="B46" s="156" t="str">
        <f>'R3'!B36</f>
        <v/>
      </c>
      <c r="C46" s="156" t="str">
        <f>'R3'!C36</f>
        <v/>
      </c>
      <c r="D46" s="156" t="str">
        <f>'R3'!D36</f>
        <v/>
      </c>
      <c r="E46" s="156" t="str">
        <f>'R3'!E36</f>
        <v/>
      </c>
      <c r="F46" s="156" t="str">
        <f>'R3'!F36</f>
        <v/>
      </c>
      <c r="G46" s="156" t="str">
        <f>'R3'!G36</f>
        <v/>
      </c>
      <c r="H46" s="156" t="str">
        <f>'R3'!H36</f>
        <v/>
      </c>
      <c r="I46" s="156" t="str">
        <f>'R3'!I36</f>
        <v/>
      </c>
      <c r="J46" s="156" t="str">
        <f>'R3'!J36</f>
        <v/>
      </c>
      <c r="K46" s="156" t="str">
        <f>'R3'!K36</f>
        <v/>
      </c>
      <c r="L46" s="156" t="str">
        <f>'R3'!L36</f>
        <v/>
      </c>
      <c r="M46" s="156" t="str">
        <f>'R3'!M36</f>
        <v/>
      </c>
      <c r="N46"/>
      <c r="O46" s="156">
        <f>'R3'!O36</f>
        <v>0.87751504077815867</v>
      </c>
      <c r="P46" s="156" t="str">
        <f>'R3'!P36</f>
        <v/>
      </c>
      <c r="Q46" s="156" t="str">
        <f>'R3'!Q36</f>
        <v/>
      </c>
      <c r="R46" s="156" t="str">
        <f>'R3'!R36</f>
        <v/>
      </c>
      <c r="S46" s="156" t="str">
        <f>'R3'!S36</f>
        <v/>
      </c>
      <c r="T46" s="156" t="str">
        <f>'R3'!T36</f>
        <v/>
      </c>
      <c r="U46" s="156" t="str">
        <f>'R3'!U36</f>
        <v/>
      </c>
      <c r="V46" s="156" t="str">
        <f>'R3'!V36</f>
        <v/>
      </c>
    </row>
    <row r="47" spans="1:22" s="1" customFormat="1" x14ac:dyDescent="0.35">
      <c r="A47" s="229"/>
      <c r="B47" s="156" t="str">
        <f>'R3'!B37</f>
        <v/>
      </c>
      <c r="C47" s="156" t="str">
        <f>'R3'!C37</f>
        <v/>
      </c>
      <c r="D47" s="156" t="str">
        <f>'R3'!D37</f>
        <v/>
      </c>
      <c r="E47" s="156" t="str">
        <f>'R3'!E37</f>
        <v/>
      </c>
      <c r="F47" s="156" t="str">
        <f>'R3'!F37</f>
        <v/>
      </c>
      <c r="G47" s="156" t="str">
        <f>'R3'!G37</f>
        <v/>
      </c>
      <c r="H47" s="156" t="str">
        <f>'R3'!H37</f>
        <v/>
      </c>
      <c r="I47" s="156" t="str">
        <f>'R3'!I37</f>
        <v/>
      </c>
      <c r="J47" s="156" t="str">
        <f>'R3'!J37</f>
        <v/>
      </c>
      <c r="K47" s="156" t="str">
        <f>'R3'!K37</f>
        <v/>
      </c>
      <c r="L47" s="156" t="str">
        <f>'R3'!L37</f>
        <v/>
      </c>
      <c r="M47" s="156" t="str">
        <f>'R3'!M37</f>
        <v/>
      </c>
      <c r="N47"/>
      <c r="O47" s="156">
        <f>'R3'!O37</f>
        <v>1.63148455617604</v>
      </c>
      <c r="P47" s="156" t="str">
        <f>'R3'!P37</f>
        <v/>
      </c>
      <c r="Q47" s="156" t="str">
        <f>'R3'!Q37</f>
        <v/>
      </c>
      <c r="R47" s="156" t="str">
        <f>'R3'!R37</f>
        <v/>
      </c>
      <c r="S47" s="156" t="str">
        <f>'R3'!S37</f>
        <v/>
      </c>
      <c r="T47" s="156" t="str">
        <f>'R3'!T37</f>
        <v/>
      </c>
      <c r="U47" s="156" t="str">
        <f>'R3'!U37</f>
        <v/>
      </c>
      <c r="V47" s="156" t="str">
        <f>'R3'!V37</f>
        <v/>
      </c>
    </row>
    <row r="48" spans="1:22" s="1" customFormat="1" x14ac:dyDescent="0.35">
      <c r="A48" s="229"/>
      <c r="B48" s="156" t="str">
        <f>'R3'!B38</f>
        <v/>
      </c>
      <c r="C48" s="156" t="str">
        <f>'R3'!C38</f>
        <v/>
      </c>
      <c r="D48" s="156" t="str">
        <f>'R3'!D38</f>
        <v/>
      </c>
      <c r="E48" s="156" t="str">
        <f>'R3'!E38</f>
        <v/>
      </c>
      <c r="F48" s="156" t="str">
        <f>'R3'!F38</f>
        <v/>
      </c>
      <c r="G48" s="156" t="str">
        <f>'R3'!G38</f>
        <v/>
      </c>
      <c r="H48" s="156" t="str">
        <f>'R3'!H38</f>
        <v/>
      </c>
      <c r="I48" s="156" t="str">
        <f>'R3'!I38</f>
        <v/>
      </c>
      <c r="J48" s="156" t="str">
        <f>'R3'!J38</f>
        <v/>
      </c>
      <c r="K48" s="156" t="str">
        <f>'R3'!K38</f>
        <v/>
      </c>
      <c r="L48" s="156" t="str">
        <f>'R3'!L38</f>
        <v/>
      </c>
      <c r="M48" s="156" t="str">
        <f>'R3'!M38</f>
        <v/>
      </c>
      <c r="N48"/>
      <c r="O48" s="156" t="str">
        <f>'R3'!O38</f>
        <v/>
      </c>
      <c r="P48" s="156" t="str">
        <f>'R3'!P38</f>
        <v/>
      </c>
      <c r="Q48" s="156" t="str">
        <f>'R3'!Q38</f>
        <v/>
      </c>
      <c r="R48" s="156" t="str">
        <f>'R3'!R38</f>
        <v/>
      </c>
      <c r="S48" s="156" t="str">
        <f>'R3'!S38</f>
        <v/>
      </c>
      <c r="T48" s="156" t="str">
        <f>'R3'!T38</f>
        <v/>
      </c>
      <c r="U48" s="156" t="str">
        <f>'R3'!U38</f>
        <v/>
      </c>
      <c r="V48" s="156" t="str">
        <f>'R3'!V38</f>
        <v/>
      </c>
    </row>
    <row r="49" spans="1:24" s="1" customFormat="1" x14ac:dyDescent="0.35">
      <c r="A49" s="229"/>
      <c r="B49" s="156" t="str">
        <f>'R3'!B39</f>
        <v/>
      </c>
      <c r="C49" s="156" t="str">
        <f>'R3'!C39</f>
        <v/>
      </c>
      <c r="D49" s="156" t="str">
        <f>'R3'!D39</f>
        <v/>
      </c>
      <c r="E49" s="156" t="str">
        <f>'R3'!E39</f>
        <v/>
      </c>
      <c r="F49" s="156" t="str">
        <f>'R3'!F39</f>
        <v/>
      </c>
      <c r="G49" s="156" t="str">
        <f>'R3'!G39</f>
        <v/>
      </c>
      <c r="H49" s="156" t="str">
        <f>'R3'!H39</f>
        <v/>
      </c>
      <c r="I49" s="156" t="str">
        <f>'R3'!I39</f>
        <v/>
      </c>
      <c r="J49" s="156" t="str">
        <f>'R3'!J39</f>
        <v/>
      </c>
      <c r="K49" s="156" t="str">
        <f>'R3'!K39</f>
        <v/>
      </c>
      <c r="L49" s="156" t="str">
        <f>'R3'!L39</f>
        <v/>
      </c>
      <c r="M49" s="156" t="str">
        <f>'R3'!M39</f>
        <v/>
      </c>
      <c r="N49"/>
      <c r="O49" s="156">
        <f>'R3'!O39</f>
        <v>1.0573509245543418</v>
      </c>
      <c r="P49" s="156" t="str">
        <f>'R3'!P39</f>
        <v/>
      </c>
      <c r="Q49" s="156" t="str">
        <f>'R3'!Q39</f>
        <v/>
      </c>
      <c r="R49" s="156" t="str">
        <f>'R3'!R39</f>
        <v/>
      </c>
      <c r="S49" s="156" t="str">
        <f>'R3'!S39</f>
        <v/>
      </c>
      <c r="T49" s="156" t="str">
        <f>'R3'!T39</f>
        <v/>
      </c>
      <c r="U49" s="156" t="str">
        <f>'R3'!U39</f>
        <v/>
      </c>
      <c r="V49" s="156" t="str">
        <f>'R3'!V39</f>
        <v/>
      </c>
    </row>
    <row r="50" spans="1:24" s="1" customFormat="1" x14ac:dyDescent="0.35">
      <c r="A50" s="229"/>
      <c r="B50" s="156" t="str">
        <f>'R3'!B40</f>
        <v/>
      </c>
      <c r="C50" s="156" t="str">
        <f>'R3'!C40</f>
        <v/>
      </c>
      <c r="D50" s="156" t="str">
        <f>'R3'!D40</f>
        <v/>
      </c>
      <c r="E50" s="156" t="str">
        <f>'R3'!E40</f>
        <v/>
      </c>
      <c r="F50" s="156" t="str">
        <f>'R3'!F40</f>
        <v/>
      </c>
      <c r="G50" s="156" t="str">
        <f>'R3'!G40</f>
        <v/>
      </c>
      <c r="H50" s="156" t="str">
        <f>'R3'!H40</f>
        <v/>
      </c>
      <c r="I50" s="156" t="str">
        <f>'R3'!I40</f>
        <v/>
      </c>
      <c r="J50" s="156" t="str">
        <f>'R3'!J40</f>
        <v/>
      </c>
      <c r="K50" s="156" t="str">
        <f>'R3'!K40</f>
        <v/>
      </c>
      <c r="L50" s="156" t="str">
        <f>'R3'!L40</f>
        <v/>
      </c>
      <c r="M50" s="156" t="str">
        <f>'R3'!M40</f>
        <v/>
      </c>
      <c r="N50"/>
      <c r="O50" s="156">
        <f>'R3'!O40</f>
        <v>1.2188203624328477</v>
      </c>
      <c r="P50" s="156" t="str">
        <f>'R3'!P40</f>
        <v/>
      </c>
      <c r="Q50" s="156" t="str">
        <f>'R3'!Q40</f>
        <v/>
      </c>
      <c r="R50" s="156" t="str">
        <f>'R3'!R40</f>
        <v/>
      </c>
      <c r="S50" s="156" t="str">
        <f>'R3'!S40</f>
        <v/>
      </c>
      <c r="T50" s="156" t="str">
        <f>'R3'!T40</f>
        <v/>
      </c>
      <c r="U50" s="156" t="str">
        <f>'R3'!U40</f>
        <v/>
      </c>
      <c r="V50" s="156" t="str">
        <f>'R3'!V40</f>
        <v/>
      </c>
    </row>
    <row r="51" spans="1:24" s="1" customFormat="1" x14ac:dyDescent="0.35">
      <c r="A51" s="229"/>
      <c r="B51" s="156" t="str">
        <f>'R3'!B41</f>
        <v/>
      </c>
      <c r="C51" s="156" t="str">
        <f>'R3'!C41</f>
        <v/>
      </c>
      <c r="D51" s="156" t="str">
        <f>'R3'!D41</f>
        <v/>
      </c>
      <c r="E51" s="156" t="str">
        <f>'R3'!E41</f>
        <v/>
      </c>
      <c r="F51" s="156" t="str">
        <f>'R3'!F41</f>
        <v/>
      </c>
      <c r="G51" s="156" t="str">
        <f>'R3'!G41</f>
        <v/>
      </c>
      <c r="H51" s="156" t="str">
        <f>'R3'!H41</f>
        <v/>
      </c>
      <c r="I51" s="156" t="str">
        <f>'R3'!I41</f>
        <v/>
      </c>
      <c r="J51" s="156" t="str">
        <f>'R3'!J41</f>
        <v/>
      </c>
      <c r="K51" s="156" t="str">
        <f>'R3'!K41</f>
        <v/>
      </c>
      <c r="L51" s="156" t="str">
        <f>'R3'!L41</f>
        <v/>
      </c>
      <c r="M51" s="156" t="str">
        <f>'R3'!M41</f>
        <v/>
      </c>
      <c r="N51"/>
      <c r="O51" s="156">
        <f>'R3'!O41</f>
        <v>1.1697216260692722</v>
      </c>
      <c r="P51" s="156" t="str">
        <f>'R3'!P41</f>
        <v/>
      </c>
      <c r="Q51" s="156" t="str">
        <f>'R3'!Q41</f>
        <v/>
      </c>
      <c r="R51" s="156" t="str">
        <f>'R3'!R41</f>
        <v/>
      </c>
      <c r="S51" s="156" t="str">
        <f>'R3'!S41</f>
        <v/>
      </c>
      <c r="T51" s="156" t="str">
        <f>'R3'!T41</f>
        <v/>
      </c>
      <c r="U51" s="156" t="str">
        <f>'R3'!U41</f>
        <v/>
      </c>
      <c r="V51" s="156" t="str">
        <f>'R3'!V41</f>
        <v/>
      </c>
    </row>
    <row r="52" spans="1:24" s="1" customFormat="1" x14ac:dyDescent="0.35">
      <c r="A52" s="229"/>
      <c r="B52" s="156" t="str">
        <f>'R3'!B42</f>
        <v/>
      </c>
      <c r="C52" s="156" t="str">
        <f>'R3'!C42</f>
        <v/>
      </c>
      <c r="D52" s="156" t="str">
        <f>'R3'!D42</f>
        <v/>
      </c>
      <c r="E52" s="156" t="str">
        <f>'R3'!E42</f>
        <v/>
      </c>
      <c r="F52" s="156" t="str">
        <f>'R3'!F42</f>
        <v/>
      </c>
      <c r="G52" s="156" t="str">
        <f>'R3'!G42</f>
        <v/>
      </c>
      <c r="H52" s="156" t="str">
        <f>'R3'!H42</f>
        <v/>
      </c>
      <c r="I52" s="156" t="str">
        <f>'R3'!I42</f>
        <v/>
      </c>
      <c r="J52" s="156" t="str">
        <f>'R3'!J42</f>
        <v/>
      </c>
      <c r="K52" s="156" t="str">
        <f>'R3'!K42</f>
        <v/>
      </c>
      <c r="L52" s="156" t="str">
        <f>'R3'!L42</f>
        <v/>
      </c>
      <c r="M52" s="156" t="str">
        <f>'R3'!M42</f>
        <v/>
      </c>
      <c r="N52"/>
      <c r="O52" s="156">
        <f>'R3'!O42</f>
        <v>0.27109823664590638</v>
      </c>
      <c r="P52" s="156" t="str">
        <f>'R3'!P42</f>
        <v/>
      </c>
      <c r="Q52" s="156" t="str">
        <f>'R3'!Q42</f>
        <v/>
      </c>
      <c r="R52" s="156" t="str">
        <f>'R3'!R42</f>
        <v/>
      </c>
      <c r="S52" s="156" t="str">
        <f>'R3'!S42</f>
        <v/>
      </c>
      <c r="T52" s="156" t="str">
        <f>'R3'!T42</f>
        <v/>
      </c>
      <c r="U52" s="156" t="str">
        <f>'R3'!U42</f>
        <v/>
      </c>
      <c r="V52" s="156" t="str">
        <f>'R3'!V42</f>
        <v/>
      </c>
    </row>
    <row r="53" spans="1:24" s="1" customFormat="1" x14ac:dyDescent="0.35">
      <c r="A53" s="230"/>
      <c r="B53" s="156" t="str">
        <f>'R3'!B43</f>
        <v/>
      </c>
      <c r="C53" s="156" t="str">
        <f>'R3'!C43</f>
        <v/>
      </c>
      <c r="D53" s="156" t="str">
        <f>'R3'!D43</f>
        <v/>
      </c>
      <c r="E53" s="156" t="str">
        <f>'R3'!E43</f>
        <v/>
      </c>
      <c r="F53" s="156" t="str">
        <f>'R3'!F43</f>
        <v/>
      </c>
      <c r="G53" s="156" t="str">
        <f>'R3'!G43</f>
        <v/>
      </c>
      <c r="H53" s="156" t="str">
        <f>'R3'!H43</f>
        <v/>
      </c>
      <c r="I53" s="156" t="str">
        <f>'R3'!I43</f>
        <v/>
      </c>
      <c r="J53" s="156" t="str">
        <f>'R3'!J43</f>
        <v/>
      </c>
      <c r="K53" s="156" t="str">
        <f>'R3'!K43</f>
        <v/>
      </c>
      <c r="L53" s="156" t="str">
        <f>'R3'!L43</f>
        <v/>
      </c>
      <c r="M53" s="156" t="str">
        <f>'R3'!M43</f>
        <v/>
      </c>
      <c r="N53"/>
      <c r="O53" s="156">
        <f>'R3'!O43</f>
        <v>0.8519423838748359</v>
      </c>
      <c r="P53" s="156" t="str">
        <f>'R3'!P43</f>
        <v/>
      </c>
      <c r="Q53" s="156" t="str">
        <f>'R3'!Q43</f>
        <v/>
      </c>
      <c r="R53" s="156" t="str">
        <f>'R3'!R43</f>
        <v/>
      </c>
      <c r="S53" s="156" t="str">
        <f>'R3'!S43</f>
        <v/>
      </c>
      <c r="T53" s="156" t="str">
        <f>'R3'!T43</f>
        <v/>
      </c>
      <c r="U53" s="156" t="str">
        <f>'R3'!U43</f>
        <v/>
      </c>
      <c r="V53" s="156" t="str">
        <f>'R3'!V43</f>
        <v/>
      </c>
    </row>
    <row r="54" spans="1:24" s="60" customFormat="1" x14ac:dyDescent="0.3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CRO-0.1µg/L</v>
      </c>
      <c r="J55" s="15" t="str">
        <f t="shared" si="0"/>
        <v>CRO-1µg/L</v>
      </c>
      <c r="K55" s="15" t="str">
        <f t="shared" si="0"/>
        <v>CRO-10µg/L</v>
      </c>
      <c r="L55" s="15" t="str">
        <f t="shared" si="0"/>
        <v>CRO-100µg/L</v>
      </c>
      <c r="M55" s="15" t="str">
        <f t="shared" si="0"/>
        <v>CRO-1000µg/L</v>
      </c>
      <c r="O55" s="15" t="str">
        <f t="shared" ref="O55:V55" si="1">O4</f>
        <v>Testo -30µg/L</v>
      </c>
      <c r="P55" s="15" t="str">
        <f t="shared" si="1"/>
        <v>Testo 30µg/L + EE2 -64ng/L</v>
      </c>
      <c r="Q55" s="15" t="str">
        <f t="shared" si="1"/>
        <v>Testo 30µg/L + FAD-10mg/L</v>
      </c>
      <c r="R55" s="15" t="str">
        <f t="shared" si="1"/>
        <v>CRO-0,1µg/L + Testostérone</v>
      </c>
      <c r="S55" s="15" t="str">
        <f t="shared" si="1"/>
        <v>CRO-1µg/L + Testostérone</v>
      </c>
      <c r="T55" s="15" t="str">
        <f t="shared" si="1"/>
        <v>CRO-10µg/L + Testostérone</v>
      </c>
      <c r="U55" s="15" t="str">
        <f t="shared" si="1"/>
        <v>CRO-100µg/L + Testostérone</v>
      </c>
      <c r="V55" s="15" t="str">
        <f t="shared" si="1"/>
        <v>CRO-1000µg/L + Testostérone</v>
      </c>
    </row>
    <row r="56" spans="1:24" x14ac:dyDescent="0.35">
      <c r="A56" t="s">
        <v>48</v>
      </c>
      <c r="B56" s="9">
        <f t="shared" ref="B56:V56" si="2">AVERAGE(B6:B53)</f>
        <v>0.11525812324323673</v>
      </c>
      <c r="C56" s="9">
        <f t="shared" si="2"/>
        <v>0.16761318952155149</v>
      </c>
      <c r="D56" s="9">
        <f t="shared" si="2"/>
        <v>0.12722096132747215</v>
      </c>
      <c r="E56" s="9">
        <f t="shared" si="2"/>
        <v>0.54180548318435828</v>
      </c>
      <c r="F56" s="9">
        <f t="shared" si="2"/>
        <v>1.1049730010151129</v>
      </c>
      <c r="G56" s="9">
        <f t="shared" si="2"/>
        <v>1.7971791691023606</v>
      </c>
      <c r="H56" s="9">
        <f t="shared" si="2"/>
        <v>2.884124793399391</v>
      </c>
      <c r="I56" s="9">
        <f t="shared" si="2"/>
        <v>0.1285644070265464</v>
      </c>
      <c r="J56" s="9">
        <f t="shared" si="2"/>
        <v>0.12701803421983057</v>
      </c>
      <c r="K56" s="9">
        <f t="shared" si="2"/>
        <v>0.12223309338385988</v>
      </c>
      <c r="L56" s="9">
        <f t="shared" si="2"/>
        <v>0.12575919981364317</v>
      </c>
      <c r="M56" s="9">
        <f t="shared" si="2"/>
        <v>0.12265267042017959</v>
      </c>
      <c r="N56" s="9"/>
      <c r="O56" s="9">
        <f t="shared" si="2"/>
        <v>1.0000000000000002</v>
      </c>
      <c r="P56" s="9">
        <f t="shared" si="2"/>
        <v>2.1660244639134763</v>
      </c>
      <c r="Q56" s="9">
        <f t="shared" si="2"/>
        <v>0.11585088745903051</v>
      </c>
      <c r="R56" s="9">
        <f t="shared" si="2"/>
        <v>1.0602283681720146</v>
      </c>
      <c r="S56" s="9">
        <f t="shared" si="2"/>
        <v>0.75146588067359388</v>
      </c>
      <c r="T56" s="9">
        <f t="shared" si="2"/>
        <v>0.98218472510057286</v>
      </c>
      <c r="U56" s="9">
        <f t="shared" si="2"/>
        <v>0.75278873347159203</v>
      </c>
      <c r="V56" s="9">
        <f t="shared" si="2"/>
        <v>0.94680836662032641</v>
      </c>
    </row>
    <row r="57" spans="1:24" x14ac:dyDescent="0.35">
      <c r="A57" t="s">
        <v>1</v>
      </c>
      <c r="B57" s="3">
        <f>STDEV(B6:B53)</f>
        <v>6.3306238334720086E-2</v>
      </c>
      <c r="C57" s="3">
        <f t="shared" ref="C57:V57" si="3">STDEV(C6:C53)</f>
        <v>0.13550770187012265</v>
      </c>
      <c r="D57" s="3">
        <f t="shared" si="3"/>
        <v>9.1106210715950736E-2</v>
      </c>
      <c r="E57" s="3">
        <f t="shared" si="3"/>
        <v>0.56051512748235643</v>
      </c>
      <c r="F57" s="3">
        <f t="shared" si="3"/>
        <v>0.58537992880760747</v>
      </c>
      <c r="G57" s="3">
        <f t="shared" si="3"/>
        <v>0.75158465630199411</v>
      </c>
      <c r="H57" s="3">
        <f t="shared" si="3"/>
        <v>0.83113364375119225</v>
      </c>
      <c r="I57" s="3">
        <f t="shared" si="3"/>
        <v>7.8348481250034643E-2</v>
      </c>
      <c r="J57" s="3">
        <f t="shared" si="3"/>
        <v>0.1223270673724343</v>
      </c>
      <c r="K57" s="3">
        <f t="shared" si="3"/>
        <v>0.1096851402180813</v>
      </c>
      <c r="L57" s="3">
        <f t="shared" si="3"/>
        <v>8.7354145019696197E-2</v>
      </c>
      <c r="M57" s="3">
        <f t="shared" si="3"/>
        <v>9.5156505272440101E-2</v>
      </c>
      <c r="N57" s="3"/>
      <c r="O57" s="3">
        <f t="shared" si="3"/>
        <v>0.5714955288703828</v>
      </c>
      <c r="P57" s="3">
        <f t="shared" si="3"/>
        <v>1.0473347713377417</v>
      </c>
      <c r="Q57" s="3">
        <f t="shared" si="3"/>
        <v>0.10043861677701067</v>
      </c>
      <c r="R57" s="3">
        <f t="shared" si="3"/>
        <v>0.57438542578503105</v>
      </c>
      <c r="S57" s="3">
        <f t="shared" si="3"/>
        <v>0.55040728840033937</v>
      </c>
      <c r="T57" s="3">
        <f t="shared" si="3"/>
        <v>0.67473407273196107</v>
      </c>
      <c r="U57" s="3">
        <f t="shared" si="3"/>
        <v>0.37633797916951917</v>
      </c>
      <c r="V57" s="3">
        <f t="shared" si="3"/>
        <v>0.44780160029194105</v>
      </c>
      <c r="W57" s="3"/>
      <c r="X57" s="3"/>
    </row>
    <row r="58" spans="1:24" x14ac:dyDescent="0.35">
      <c r="A58" t="s">
        <v>2</v>
      </c>
      <c r="B58" s="3">
        <f xml:space="preserve"> B57/SQRT(COUNT(B6:B53))</f>
        <v>1.3200263192521685E-2</v>
      </c>
      <c r="C58" s="3">
        <f t="shared" ref="C58:V58" si="4" xml:space="preserve"> C57/SQRT(COUNT(C6:C53))</f>
        <v>2.8255309055669399E-2</v>
      </c>
      <c r="D58" s="3">
        <f t="shared" si="4"/>
        <v>1.9423909389085888E-2</v>
      </c>
      <c r="E58" s="3">
        <f t="shared" si="4"/>
        <v>0.11950222670739469</v>
      </c>
      <c r="F58" s="3">
        <f t="shared" si="4"/>
        <v>0.11949017760378181</v>
      </c>
      <c r="G58" s="3">
        <f t="shared" si="4"/>
        <v>0.15671623422309824</v>
      </c>
      <c r="H58" s="3">
        <f t="shared" si="4"/>
        <v>0.17719828823500292</v>
      </c>
      <c r="I58" s="3">
        <f t="shared" si="4"/>
        <v>1.5992816765383337E-2</v>
      </c>
      <c r="J58" s="3">
        <f t="shared" si="4"/>
        <v>2.6080218393484011E-2</v>
      </c>
      <c r="K58" s="3">
        <f t="shared" si="4"/>
        <v>2.2870932743341312E-2</v>
      </c>
      <c r="L58" s="3">
        <f t="shared" si="4"/>
        <v>1.821459836423869E-2</v>
      </c>
      <c r="M58" s="3">
        <f t="shared" si="4"/>
        <v>1.9841502940601795E-2</v>
      </c>
      <c r="N58" s="3"/>
      <c r="O58" s="3">
        <f t="shared" si="4"/>
        <v>8.4262418710426723E-2</v>
      </c>
      <c r="P58" s="3">
        <f t="shared" si="4"/>
        <v>0.2183843961670896</v>
      </c>
      <c r="Q58" s="3">
        <f t="shared" si="4"/>
        <v>2.094289932596146E-2</v>
      </c>
      <c r="R58" s="3">
        <f t="shared" si="4"/>
        <v>0.11976764050048916</v>
      </c>
      <c r="S58" s="3">
        <f t="shared" si="4"/>
        <v>0.11476785323354013</v>
      </c>
      <c r="T58" s="3">
        <f t="shared" si="4"/>
        <v>0.14385378765599266</v>
      </c>
      <c r="U58" s="3">
        <f t="shared" si="4"/>
        <v>7.6819668316290557E-2</v>
      </c>
      <c r="V58" s="3">
        <f t="shared" si="4"/>
        <v>9.1407118893083519E-2</v>
      </c>
      <c r="W58" s="3"/>
      <c r="X58" s="3"/>
    </row>
    <row r="59" spans="1:24" s="1" customFormat="1" ht="15" thickBot="1" x14ac:dyDescent="0.4">
      <c r="B59" s="3"/>
      <c r="C59" s="3"/>
      <c r="D59" s="3"/>
      <c r="E59" s="3"/>
      <c r="F59" s="3"/>
      <c r="G59" s="3"/>
      <c r="H59" s="3"/>
      <c r="I59" s="3"/>
      <c r="J59" s="3"/>
      <c r="K59" s="3"/>
      <c r="L59" s="3"/>
      <c r="M59" s="3"/>
      <c r="N59" s="3"/>
      <c r="O59" s="3"/>
      <c r="P59" s="3"/>
      <c r="Q59" s="3"/>
      <c r="R59" s="3"/>
      <c r="S59" s="3"/>
      <c r="T59" s="3"/>
      <c r="U59" s="3"/>
      <c r="V59" s="3"/>
    </row>
    <row r="60" spans="1:24" s="48" customFormat="1" ht="26.5" thickBot="1" x14ac:dyDescent="0.4">
      <c r="A60" s="231" t="s">
        <v>46</v>
      </c>
      <c r="B60" s="232"/>
      <c r="C60" s="232"/>
      <c r="D60" s="232"/>
      <c r="E60" s="232"/>
      <c r="F60" s="232"/>
      <c r="G60" s="232"/>
      <c r="H60" s="232"/>
      <c r="I60" s="232"/>
      <c r="J60" s="232"/>
      <c r="K60" s="232"/>
      <c r="L60" s="232"/>
      <c r="M60" s="232"/>
      <c r="N60" s="232"/>
      <c r="O60" s="232"/>
      <c r="P60" s="232"/>
      <c r="Q60" s="232"/>
      <c r="R60" s="232"/>
      <c r="S60" s="232"/>
      <c r="T60" s="232"/>
      <c r="U60" s="232"/>
      <c r="V60" s="232"/>
    </row>
    <row r="61" spans="1:24" s="1" customFormat="1" x14ac:dyDescent="0.35">
      <c r="B61" s="3"/>
      <c r="C61" s="3"/>
      <c r="D61" s="3"/>
      <c r="E61" s="3"/>
      <c r="F61" s="3"/>
      <c r="G61" s="3"/>
      <c r="H61" s="3"/>
      <c r="I61" s="3"/>
      <c r="J61" s="3"/>
      <c r="K61" s="3"/>
      <c r="L61" s="3"/>
      <c r="M61" s="3"/>
      <c r="N61" s="3"/>
      <c r="O61" s="3"/>
      <c r="P61" s="3"/>
      <c r="Q61" s="3"/>
      <c r="R61" s="3"/>
      <c r="S61" s="3"/>
      <c r="T61" s="3"/>
      <c r="U61" s="3"/>
      <c r="V61" s="3"/>
    </row>
    <row r="62" spans="1:24" s="1" customFormat="1" x14ac:dyDescent="0.3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CRO-0.1µg/L</v>
      </c>
      <c r="J62" s="3" t="str">
        <f t="shared" si="6"/>
        <v>CRO-1µg/L</v>
      </c>
      <c r="K62" s="3" t="str">
        <f t="shared" si="6"/>
        <v>CRO-10µg/L</v>
      </c>
      <c r="L62" s="3" t="str">
        <f t="shared" si="6"/>
        <v>CRO-100µg/L</v>
      </c>
      <c r="M62" s="3" t="str">
        <f t="shared" si="6"/>
        <v>CRO-1000µg/L</v>
      </c>
      <c r="N62" s="3"/>
      <c r="O62" s="3" t="str">
        <f t="shared" si="6"/>
        <v>Testo -30µg/L</v>
      </c>
      <c r="P62" s="3" t="str">
        <f t="shared" si="6"/>
        <v>Testo 30µg/L + EE2 -64ng/L</v>
      </c>
      <c r="Q62" s="3" t="str">
        <f t="shared" si="6"/>
        <v>Testo 30µg/L + FAD-10mg/L</v>
      </c>
      <c r="R62" s="3" t="str">
        <f t="shared" si="6"/>
        <v>CRO-0,1µg/L + Testostérone</v>
      </c>
      <c r="S62" s="3" t="str">
        <f t="shared" si="6"/>
        <v>CRO-1µg/L + Testostérone</v>
      </c>
      <c r="T62" s="3" t="str">
        <f t="shared" si="6"/>
        <v>CRO-10µg/L + Testostérone</v>
      </c>
      <c r="U62" s="3" t="str">
        <f t="shared" si="6"/>
        <v>CRO-100µg/L + Testostérone</v>
      </c>
      <c r="V62" s="3" t="str">
        <f t="shared" si="6"/>
        <v>CRO-1000µg/L + Testostérone</v>
      </c>
    </row>
    <row r="63" spans="1:24" s="1" customFormat="1" x14ac:dyDescent="0.35">
      <c r="A63" s="1" t="s">
        <v>49</v>
      </c>
      <c r="B63" s="3">
        <f>COUNT(B6:B53)</f>
        <v>23</v>
      </c>
      <c r="C63" s="3">
        <f t="shared" ref="C63:V63" si="7">COUNT(C6:C53)</f>
        <v>23</v>
      </c>
      <c r="D63" s="3">
        <f t="shared" si="7"/>
        <v>22</v>
      </c>
      <c r="E63" s="3">
        <f t="shared" si="7"/>
        <v>22</v>
      </c>
      <c r="F63" s="3">
        <f t="shared" si="7"/>
        <v>24</v>
      </c>
      <c r="G63" s="3">
        <f t="shared" si="7"/>
        <v>23</v>
      </c>
      <c r="H63" s="3">
        <f t="shared" si="7"/>
        <v>22</v>
      </c>
      <c r="I63" s="3">
        <f t="shared" si="7"/>
        <v>24</v>
      </c>
      <c r="J63" s="3">
        <f t="shared" si="7"/>
        <v>22</v>
      </c>
      <c r="K63" s="3">
        <f t="shared" si="7"/>
        <v>23</v>
      </c>
      <c r="L63" s="3">
        <f t="shared" si="7"/>
        <v>23</v>
      </c>
      <c r="M63" s="3">
        <f t="shared" si="7"/>
        <v>23</v>
      </c>
      <c r="N63" s="3"/>
      <c r="O63" s="3">
        <f t="shared" si="7"/>
        <v>46</v>
      </c>
      <c r="P63" s="3">
        <f t="shared" si="7"/>
        <v>23</v>
      </c>
      <c r="Q63" s="3">
        <f t="shared" si="7"/>
        <v>23</v>
      </c>
      <c r="R63" s="3">
        <f t="shared" si="7"/>
        <v>23</v>
      </c>
      <c r="S63" s="3">
        <f t="shared" si="7"/>
        <v>23</v>
      </c>
      <c r="T63" s="3">
        <f t="shared" si="7"/>
        <v>22</v>
      </c>
      <c r="U63" s="3">
        <f t="shared" si="7"/>
        <v>24</v>
      </c>
      <c r="V63" s="3">
        <f t="shared" si="7"/>
        <v>24</v>
      </c>
    </row>
    <row r="64" spans="1:24" s="1" customFormat="1" ht="15" thickBot="1" x14ac:dyDescent="0.4">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5" thickBot="1" x14ac:dyDescent="0.4">
      <c r="A65" s="231" t="s">
        <v>58</v>
      </c>
      <c r="B65" s="232"/>
      <c r="C65" s="232"/>
      <c r="D65" s="232"/>
      <c r="E65" s="232"/>
      <c r="F65" s="232"/>
      <c r="G65" s="232"/>
      <c r="H65" s="232"/>
      <c r="I65" s="232"/>
      <c r="J65" s="232"/>
      <c r="K65" s="232"/>
      <c r="L65" s="232"/>
      <c r="M65" s="232"/>
      <c r="N65" s="232"/>
      <c r="O65" s="232"/>
      <c r="P65" s="232"/>
      <c r="Q65" s="232"/>
      <c r="R65" s="232"/>
      <c r="S65" s="232"/>
      <c r="T65" s="232"/>
      <c r="U65" s="232"/>
      <c r="V65" s="232"/>
    </row>
    <row r="66" spans="1:22" s="1" customFormat="1" x14ac:dyDescent="0.35">
      <c r="B66" s="1" t="s">
        <v>61</v>
      </c>
      <c r="C66" s="3"/>
      <c r="D66" s="3"/>
      <c r="E66" s="3"/>
      <c r="F66" s="3"/>
      <c r="G66" s="3"/>
      <c r="H66" s="3"/>
      <c r="I66" s="3"/>
      <c r="J66" s="3"/>
      <c r="K66" s="3"/>
      <c r="L66" s="3"/>
      <c r="M66" s="3"/>
      <c r="N66" s="3"/>
      <c r="O66" s="3"/>
      <c r="P66" s="3"/>
      <c r="Q66" s="3"/>
      <c r="R66" s="3"/>
      <c r="S66" s="3"/>
      <c r="T66" s="3"/>
      <c r="U66" s="3"/>
      <c r="V66" s="3"/>
    </row>
    <row r="67" spans="1:22" s="1" customFormat="1" x14ac:dyDescent="0.3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4">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5" thickBot="1" x14ac:dyDescent="0.4">
      <c r="A70" s="231" t="s">
        <v>53</v>
      </c>
      <c r="B70" s="232"/>
      <c r="C70" s="232"/>
      <c r="D70" s="232"/>
      <c r="E70" s="232"/>
      <c r="F70" s="232"/>
      <c r="G70" s="232"/>
      <c r="H70" s="232"/>
      <c r="I70" s="232"/>
      <c r="J70" s="232"/>
      <c r="K70" s="232"/>
      <c r="L70" s="232"/>
      <c r="M70" s="232"/>
      <c r="N70" s="232"/>
      <c r="O70" s="232"/>
      <c r="P70" s="232"/>
      <c r="Q70" s="232"/>
      <c r="R70" s="232"/>
      <c r="S70" s="232"/>
      <c r="T70" s="232"/>
      <c r="U70" s="232"/>
      <c r="V70" s="232"/>
    </row>
    <row r="71" spans="1:22" ht="15" thickBot="1" x14ac:dyDescent="0.4"/>
    <row r="72" spans="1:22" s="48" customFormat="1" ht="26.5" thickBot="1" x14ac:dyDescent="0.4">
      <c r="A72" s="231" t="s">
        <v>54</v>
      </c>
      <c r="B72" s="232"/>
      <c r="C72" s="232"/>
      <c r="D72" s="232"/>
      <c r="E72" s="232"/>
      <c r="F72" s="232"/>
      <c r="G72" s="232"/>
      <c r="H72" s="232"/>
      <c r="I72" s="232"/>
      <c r="J72" s="232"/>
      <c r="K72" s="232"/>
      <c r="L72" s="232"/>
      <c r="M72" s="232"/>
      <c r="N72" s="232"/>
      <c r="O72" s="232"/>
      <c r="P72" s="232"/>
      <c r="Q72" s="232"/>
      <c r="R72" s="232"/>
      <c r="S72" s="232"/>
      <c r="T72" s="232"/>
      <c r="U72" s="232"/>
      <c r="V72" s="232"/>
    </row>
    <row r="73" spans="1:22" ht="15" thickBot="1" x14ac:dyDescent="0.4">
      <c r="J73" s="3">
        <v>1</v>
      </c>
      <c r="K73" s="3">
        <v>2</v>
      </c>
      <c r="L73" s="3">
        <v>3</v>
      </c>
      <c r="M73" s="3">
        <v>4</v>
      </c>
      <c r="R73" s="3">
        <v>1</v>
      </c>
      <c r="S73" s="3">
        <v>2</v>
      </c>
      <c r="T73" s="3">
        <v>3</v>
      </c>
      <c r="U73" s="3">
        <v>4</v>
      </c>
      <c r="V73" s="3">
        <v>5</v>
      </c>
    </row>
    <row r="74" spans="1:22" s="1" customFormat="1" x14ac:dyDescent="0.3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CRO-0.1µg/L</v>
      </c>
      <c r="J74" s="46" t="str">
        <f t="shared" si="9"/>
        <v>CRO-1µg/L</v>
      </c>
      <c r="K74" s="46" t="str">
        <f t="shared" si="9"/>
        <v>CRO-10µg/L</v>
      </c>
      <c r="L74" s="46" t="str">
        <f t="shared" si="9"/>
        <v>CRO-100µg/L</v>
      </c>
      <c r="M74" s="46" t="str">
        <f t="shared" si="9"/>
        <v>CRO-1000µg/L</v>
      </c>
      <c r="N74" s="46"/>
      <c r="O74" s="46" t="str">
        <f t="shared" ref="O74:V74" si="10">O4</f>
        <v>Testo -30µg/L</v>
      </c>
      <c r="P74" s="46" t="str">
        <f t="shared" si="10"/>
        <v>Testo 30µg/L + EE2 -64ng/L</v>
      </c>
      <c r="Q74" s="46" t="str">
        <f t="shared" si="10"/>
        <v>Testo 30µg/L + FAD-10mg/L</v>
      </c>
      <c r="R74" s="46" t="str">
        <f t="shared" si="10"/>
        <v>CRO-0,1µg/L + Testostérone</v>
      </c>
      <c r="S74" s="46" t="str">
        <f t="shared" si="10"/>
        <v>CRO-1µg/L + Testostérone</v>
      </c>
      <c r="T74" s="46" t="str">
        <f t="shared" si="10"/>
        <v>CRO-10µg/L + Testostérone</v>
      </c>
      <c r="U74" s="46" t="str">
        <f t="shared" si="10"/>
        <v>CRO-100µg/L + Testostérone</v>
      </c>
      <c r="V74" s="46" t="str">
        <f t="shared" si="10"/>
        <v>CRO-1000µg/L + Testostérone</v>
      </c>
    </row>
    <row r="75" spans="1:22" s="3" customFormat="1" x14ac:dyDescent="0.35">
      <c r="A75" s="61" t="s">
        <v>32</v>
      </c>
      <c r="B75" s="142">
        <f>B56</f>
        <v>0.11525812324323673</v>
      </c>
      <c r="C75" s="142">
        <f t="shared" ref="C75:V75" si="11">C56</f>
        <v>0.16761318952155149</v>
      </c>
      <c r="D75" s="142">
        <f t="shared" si="11"/>
        <v>0.12722096132747215</v>
      </c>
      <c r="E75" s="142">
        <f t="shared" si="11"/>
        <v>0.54180548318435828</v>
      </c>
      <c r="F75" s="142">
        <f t="shared" si="11"/>
        <v>1.1049730010151129</v>
      </c>
      <c r="G75" s="142">
        <f t="shared" si="11"/>
        <v>1.7971791691023606</v>
      </c>
      <c r="H75" s="142">
        <f t="shared" si="11"/>
        <v>2.884124793399391</v>
      </c>
      <c r="I75" s="142">
        <f t="shared" si="11"/>
        <v>0.1285644070265464</v>
      </c>
      <c r="J75" s="142">
        <f t="shared" si="11"/>
        <v>0.12701803421983057</v>
      </c>
      <c r="K75" s="142">
        <f t="shared" si="11"/>
        <v>0.12223309338385988</v>
      </c>
      <c r="L75" s="142">
        <f t="shared" si="11"/>
        <v>0.12575919981364317</v>
      </c>
      <c r="M75" s="142">
        <f t="shared" si="11"/>
        <v>0.12265267042017959</v>
      </c>
      <c r="N75" s="142"/>
      <c r="O75" s="142">
        <f t="shared" si="11"/>
        <v>1.0000000000000002</v>
      </c>
      <c r="P75" s="142">
        <f t="shared" si="11"/>
        <v>2.1660244639134763</v>
      </c>
      <c r="Q75" s="142">
        <f t="shared" si="11"/>
        <v>0.11585088745903051</v>
      </c>
      <c r="R75" s="142">
        <f t="shared" si="11"/>
        <v>1.0602283681720146</v>
      </c>
      <c r="S75" s="142">
        <f t="shared" si="11"/>
        <v>0.75146588067359388</v>
      </c>
      <c r="T75" s="142">
        <f t="shared" si="11"/>
        <v>0.98218472510057286</v>
      </c>
      <c r="U75" s="142">
        <f t="shared" si="11"/>
        <v>0.75278873347159203</v>
      </c>
      <c r="V75" s="142">
        <f t="shared" si="11"/>
        <v>0.94680836662032641</v>
      </c>
    </row>
    <row r="76" spans="1:22" s="3" customFormat="1" x14ac:dyDescent="0.35">
      <c r="A76" s="61" t="s">
        <v>2</v>
      </c>
      <c r="B76" s="142">
        <f>B58</f>
        <v>1.3200263192521685E-2</v>
      </c>
      <c r="C76" s="142">
        <f t="shared" ref="C76:V76" si="12">C58</f>
        <v>2.8255309055669399E-2</v>
      </c>
      <c r="D76" s="142">
        <f t="shared" si="12"/>
        <v>1.9423909389085888E-2</v>
      </c>
      <c r="E76" s="142">
        <f t="shared" si="12"/>
        <v>0.11950222670739469</v>
      </c>
      <c r="F76" s="142">
        <f t="shared" si="12"/>
        <v>0.11949017760378181</v>
      </c>
      <c r="G76" s="142">
        <f t="shared" si="12"/>
        <v>0.15671623422309824</v>
      </c>
      <c r="H76" s="142">
        <f t="shared" si="12"/>
        <v>0.17719828823500292</v>
      </c>
      <c r="I76" s="142">
        <f t="shared" si="12"/>
        <v>1.5992816765383337E-2</v>
      </c>
      <c r="J76" s="142">
        <f t="shared" si="12"/>
        <v>2.6080218393484011E-2</v>
      </c>
      <c r="K76" s="142">
        <f t="shared" si="12"/>
        <v>2.2870932743341312E-2</v>
      </c>
      <c r="L76" s="142">
        <f t="shared" si="12"/>
        <v>1.821459836423869E-2</v>
      </c>
      <c r="M76" s="142">
        <f t="shared" si="12"/>
        <v>1.9841502940601795E-2</v>
      </c>
      <c r="N76" s="142"/>
      <c r="O76" s="142">
        <f t="shared" si="12"/>
        <v>8.4262418710426723E-2</v>
      </c>
      <c r="P76" s="142">
        <f t="shared" si="12"/>
        <v>0.2183843961670896</v>
      </c>
      <c r="Q76" s="142">
        <f t="shared" si="12"/>
        <v>2.094289932596146E-2</v>
      </c>
      <c r="R76" s="142">
        <f t="shared" si="12"/>
        <v>0.11976764050048916</v>
      </c>
      <c r="S76" s="142">
        <f t="shared" si="12"/>
        <v>0.11476785323354013</v>
      </c>
      <c r="T76" s="142">
        <f t="shared" si="12"/>
        <v>0.14385378765599266</v>
      </c>
      <c r="U76" s="142">
        <f t="shared" si="12"/>
        <v>7.6819668316290557E-2</v>
      </c>
      <c r="V76" s="142">
        <f t="shared" si="12"/>
        <v>9.1407118893083519E-2</v>
      </c>
    </row>
    <row r="77" spans="1:22" s="3" customFormat="1" x14ac:dyDescent="0.35">
      <c r="A77" s="61" t="s">
        <v>79</v>
      </c>
      <c r="B77" s="142">
        <f>(B75*100/$B$75)-100</f>
        <v>0</v>
      </c>
      <c r="C77" s="142">
        <f t="shared" ref="C77:M77" si="13">(C75*100/$B$75)-100</f>
        <v>45.424187731936655</v>
      </c>
      <c r="D77" s="142">
        <f t="shared" si="13"/>
        <v>10.37917133093471</v>
      </c>
      <c r="E77" s="142">
        <f t="shared" si="13"/>
        <v>370.08008454289234</v>
      </c>
      <c r="F77" s="142">
        <f t="shared" si="13"/>
        <v>858.69425071516764</v>
      </c>
      <c r="G77" s="142">
        <f t="shared" si="13"/>
        <v>1459.2646474987766</v>
      </c>
      <c r="H77" s="142">
        <f t="shared" si="13"/>
        <v>2402.3180251797394</v>
      </c>
      <c r="I77" s="142">
        <f t="shared" si="13"/>
        <v>11.544768740706061</v>
      </c>
      <c r="J77" s="142">
        <f t="shared" si="13"/>
        <v>10.203108159045883</v>
      </c>
      <c r="K77" s="142">
        <f t="shared" si="13"/>
        <v>6.0516082895983203</v>
      </c>
      <c r="L77" s="142">
        <f t="shared" si="13"/>
        <v>9.1109210135630434</v>
      </c>
      <c r="M77" s="142">
        <f t="shared" si="13"/>
        <v>6.4156407972544116</v>
      </c>
      <c r="N77" s="142"/>
      <c r="O77" s="142">
        <f t="shared" ref="O77:V77" si="14">(O75*100/$O$75)-100</f>
        <v>0</v>
      </c>
      <c r="P77" s="142">
        <f t="shared" si="14"/>
        <v>116.60244639134757</v>
      </c>
      <c r="Q77" s="142">
        <f t="shared" si="14"/>
        <v>-88.41491125409695</v>
      </c>
      <c r="R77" s="142">
        <f t="shared" si="14"/>
        <v>6.022836817201437</v>
      </c>
      <c r="S77" s="142">
        <f t="shared" si="14"/>
        <v>-24.853411932640626</v>
      </c>
      <c r="T77" s="142">
        <f t="shared" si="14"/>
        <v>-1.7815274899427465</v>
      </c>
      <c r="U77" s="142">
        <f t="shared" si="14"/>
        <v>-24.721126652840809</v>
      </c>
      <c r="V77" s="142">
        <f t="shared" si="14"/>
        <v>-5.3191633379673675</v>
      </c>
    </row>
    <row r="78" spans="1:22" s="3" customFormat="1" x14ac:dyDescent="0.35">
      <c r="A78" s="61" t="s">
        <v>81</v>
      </c>
      <c r="B78" s="142">
        <f>[1]!DPTEST(B6:B53)</f>
        <v>0.90989919493863125</v>
      </c>
      <c r="C78" s="142">
        <f>[1]!DPTEST(C6:C53)</f>
        <v>4.888099269684254E-6</v>
      </c>
      <c r="D78" s="142">
        <f>[1]!DPTEST(D6:D53)</f>
        <v>0.21079950910912226</v>
      </c>
      <c r="E78" s="142">
        <f>[1]!DPTEST(E6:E53)</f>
        <v>7.6250692402210829E-2</v>
      </c>
      <c r="F78" s="142">
        <f>[1]!DPTEST(F6:F53)</f>
        <v>0.2822250279348677</v>
      </c>
      <c r="G78" s="142">
        <f>[1]!DPTEST(G6:G53)</f>
        <v>0.15543601441706101</v>
      </c>
      <c r="H78" s="142">
        <f>[1]!DPTEST(H6:H53)</f>
        <v>0.38977466788290216</v>
      </c>
      <c r="I78" s="142">
        <f>[1]!DPTEST(I6:I53)</f>
        <v>0.29882017098897129</v>
      </c>
      <c r="J78" s="142">
        <f>[1]!DPTEST(J6:J53)</f>
        <v>6.1400701842706518E-4</v>
      </c>
      <c r="K78" s="142">
        <f>[1]!DPTEST(K6:K53)</f>
        <v>0.16283501440753823</v>
      </c>
      <c r="L78" s="142">
        <f>[1]!DPTEST(L6:L53)</f>
        <v>0.39709121806255299</v>
      </c>
      <c r="M78" s="142">
        <f>[1]!DPTEST(M6:M53)</f>
        <v>8.0144498122658447E-5</v>
      </c>
      <c r="N78" s="142"/>
      <c r="O78" s="142">
        <f>[1]!DPTEST(O6:O53)</f>
        <v>0.46886732579090629</v>
      </c>
      <c r="P78" s="142">
        <f>[1]!DPTEST(P6:P53)</f>
        <v>4.0627797460209614E-2</v>
      </c>
      <c r="Q78" s="142">
        <f>[1]!DPTEST(Q6:Q53)</f>
        <v>2.1837807855638158E-2</v>
      </c>
      <c r="R78" s="142">
        <f>[1]!DPTEST(R6:R53)</f>
        <v>0.38254902923121348</v>
      </c>
      <c r="S78" s="142">
        <f>[1]!DPTEST(S6:S53)</f>
        <v>2.730401352638312E-2</v>
      </c>
      <c r="T78" s="142">
        <f>[1]!DPTEST(T6:T53)</f>
        <v>3.8561127189026156E-2</v>
      </c>
      <c r="U78" s="142">
        <f>[1]!DPTEST(U6:U53)</f>
        <v>0.58772820781330448</v>
      </c>
      <c r="V78" s="142">
        <f>[1]!DPTEST(V6:V53)</f>
        <v>0.30530565609078542</v>
      </c>
    </row>
    <row r="79" spans="1:22" s="3" customFormat="1" x14ac:dyDescent="0.35">
      <c r="A79" s="61" t="s">
        <v>85</v>
      </c>
      <c r="B79" s="142" t="str">
        <f>IF(B78&gt;0.05,"Oui","Non")</f>
        <v>Oui</v>
      </c>
      <c r="C79" s="142" t="str">
        <f t="shared" ref="C79:V79" si="15">IF(C78&gt;0.05,"Oui","Non")</f>
        <v>Non</v>
      </c>
      <c r="D79" s="142" t="str">
        <f t="shared" si="15"/>
        <v>Oui</v>
      </c>
      <c r="E79" s="142" t="str">
        <f t="shared" si="15"/>
        <v>Oui</v>
      </c>
      <c r="F79" s="142" t="str">
        <f t="shared" si="15"/>
        <v>Oui</v>
      </c>
      <c r="G79" s="142" t="str">
        <f t="shared" si="15"/>
        <v>Oui</v>
      </c>
      <c r="H79" s="142" t="str">
        <f t="shared" si="15"/>
        <v>Oui</v>
      </c>
      <c r="I79" s="142" t="str">
        <f t="shared" si="15"/>
        <v>Oui</v>
      </c>
      <c r="J79" s="142" t="str">
        <f t="shared" si="15"/>
        <v>Non</v>
      </c>
      <c r="K79" s="142" t="str">
        <f t="shared" si="15"/>
        <v>Oui</v>
      </c>
      <c r="L79" s="142" t="str">
        <f t="shared" si="15"/>
        <v>Oui</v>
      </c>
      <c r="M79" s="142" t="str">
        <f t="shared" si="15"/>
        <v>Non</v>
      </c>
      <c r="N79" s="142"/>
      <c r="O79" s="142" t="str">
        <f t="shared" si="15"/>
        <v>Oui</v>
      </c>
      <c r="P79" s="142" t="str">
        <f t="shared" si="15"/>
        <v>Non</v>
      </c>
      <c r="Q79" s="142" t="str">
        <f t="shared" si="15"/>
        <v>Non</v>
      </c>
      <c r="R79" s="142" t="str">
        <f t="shared" si="15"/>
        <v>Oui</v>
      </c>
      <c r="S79" s="142" t="str">
        <f t="shared" si="15"/>
        <v>Non</v>
      </c>
      <c r="T79" s="142" t="str">
        <f t="shared" si="15"/>
        <v>Non</v>
      </c>
      <c r="U79" s="142" t="str">
        <f t="shared" si="15"/>
        <v>Oui</v>
      </c>
      <c r="V79" s="142" t="str">
        <f t="shared" si="15"/>
        <v>Oui</v>
      </c>
    </row>
    <row r="80" spans="1:22" s="3" customFormat="1" x14ac:dyDescent="0.35">
      <c r="A80" s="61" t="s">
        <v>122</v>
      </c>
      <c r="B80" s="142"/>
      <c r="C80" s="142"/>
      <c r="D80" s="142"/>
      <c r="E80" s="142"/>
      <c r="F80" s="142"/>
      <c r="G80" s="142"/>
      <c r="H80" s="142"/>
      <c r="I80" s="142"/>
      <c r="J80" s="142" t="str">
        <f>IF(COUNTIF(J79:M79, "Non")&gt;0, "Oui","Non")</f>
        <v>Oui</v>
      </c>
      <c r="K80" s="142"/>
      <c r="L80" s="142"/>
      <c r="M80" s="142"/>
      <c r="N80" s="142"/>
      <c r="O80" s="142"/>
      <c r="P80" s="142"/>
      <c r="Q80" s="142"/>
      <c r="R80" s="142"/>
      <c r="S80" s="142"/>
      <c r="T80" s="142"/>
      <c r="U80" s="142"/>
      <c r="V80" s="142"/>
    </row>
    <row r="81" spans="1:22" s="3" customFormat="1" x14ac:dyDescent="0.35">
      <c r="A81" s="61" t="s">
        <v>82</v>
      </c>
      <c r="B81" s="142"/>
      <c r="C81" s="142" t="s">
        <v>170</v>
      </c>
      <c r="D81" s="142" t="s">
        <v>170</v>
      </c>
      <c r="E81" s="142" t="s">
        <v>170</v>
      </c>
      <c r="F81" s="142" t="s">
        <v>170</v>
      </c>
      <c r="G81" s="142" t="s">
        <v>170</v>
      </c>
      <c r="H81" s="142" t="s">
        <v>170</v>
      </c>
      <c r="I81" s="142" t="s">
        <v>170</v>
      </c>
      <c r="J81" s="142" t="s">
        <v>170</v>
      </c>
      <c r="K81" s="142" t="s">
        <v>170</v>
      </c>
      <c r="L81" s="142" t="s">
        <v>170</v>
      </c>
      <c r="M81" s="142" t="s">
        <v>170</v>
      </c>
      <c r="N81" s="142"/>
      <c r="O81" s="142" t="str">
        <f>IF($B79="Non",IF(O79="Non","Mann Withney",IF(O79="Oui","Mann Withney","")),IF($B79="Oui",IF(O79="Oui","T-Test Welch",IF(O79="Non","Mann Withney",""))))</f>
        <v>T-Test Welch</v>
      </c>
      <c r="P81" s="142" t="str">
        <f>IF($O79="Non",IF(P79="Non","Mann Withney",IF(P$79="Oui","Mann Withney","")),IF($O79="Oui",IF(P79="Oui","T-Test Welch",IF(P79="Non","Mann Withney",""))))</f>
        <v>Mann Withney</v>
      </c>
      <c r="Q81" s="142" t="str">
        <f>IF($O79="Non",IF(Q79="Non","Mann Withney",IF(Q$79="Oui","Mann Withney","")),IF($O79="Oui",IF(Q79="Oui","T-Test Welch",IF(Q79="Non","Mann Withney",""))))</f>
        <v>Mann Withney</v>
      </c>
      <c r="R81" s="142" t="s">
        <v>170</v>
      </c>
      <c r="S81" s="142" t="s">
        <v>170</v>
      </c>
      <c r="T81" s="142" t="s">
        <v>170</v>
      </c>
      <c r="U81" s="142" t="s">
        <v>170</v>
      </c>
      <c r="V81" s="142" t="s">
        <v>170</v>
      </c>
    </row>
    <row r="82" spans="1:22" s="3" customFormat="1" x14ac:dyDescent="0.35">
      <c r="A82" s="61" t="s">
        <v>83</v>
      </c>
      <c r="B82" s="142"/>
      <c r="C82" s="142" t="s">
        <v>167</v>
      </c>
      <c r="D82" s="142" t="s">
        <v>167</v>
      </c>
      <c r="E82" s="142">
        <v>0.09</v>
      </c>
      <c r="F82" s="142" t="s">
        <v>169</v>
      </c>
      <c r="G82" s="142" t="s">
        <v>169</v>
      </c>
      <c r="H82" s="142" t="s">
        <v>169</v>
      </c>
      <c r="I82" s="142" t="s">
        <v>167</v>
      </c>
      <c r="J82" s="142" t="s">
        <v>167</v>
      </c>
      <c r="K82" s="142" t="s">
        <v>167</v>
      </c>
      <c r="L82" s="142" t="s">
        <v>167</v>
      </c>
      <c r="M82" s="142" t="s">
        <v>167</v>
      </c>
      <c r="N82" s="142"/>
      <c r="O82" s="142">
        <f>IF(O81="Mann Withney",[1]!MTEST($B6:$B37,O6:O53,2), IF(O81="T-Test Welch",_xlfn.T.TEST($B6:$B37,O6:O53,2,3),""))</f>
        <v>1.304701003380159E-13</v>
      </c>
      <c r="P82" s="142">
        <f>IF(P81="Mann Withney",[1]!MTEST($O6:$O53,P6:P53,2), IF(P81="T-Test Welch",_xlfn.T.TEST($O6:$O53,P6:P53,2,3),""))</f>
        <v>6.8927545182617678E-7</v>
      </c>
      <c r="Q82" s="142">
        <f>IF(Q81="Mann Withney",[1]!MTEST($O6:$O53,Q6:Q53,2), IF(Q81="T-Test Welch",_xlfn.T.TEST($O6:$O53,Q6:Q53,2,3),""))</f>
        <v>4.0814347457285294E-9</v>
      </c>
      <c r="R82" s="142" t="s">
        <v>167</v>
      </c>
      <c r="S82" s="142">
        <v>0.24</v>
      </c>
      <c r="T82" s="142" t="s">
        <v>167</v>
      </c>
      <c r="U82" s="142">
        <v>0.32</v>
      </c>
      <c r="V82" s="142" t="s">
        <v>167</v>
      </c>
    </row>
    <row r="83" spans="1:22" s="3" customFormat="1" ht="15" thickBot="1" x14ac:dyDescent="0.4">
      <c r="A83" s="62" t="s">
        <v>84</v>
      </c>
      <c r="B83" s="143"/>
      <c r="C83" s="143" t="s">
        <v>166</v>
      </c>
      <c r="D83" s="143" t="s">
        <v>166</v>
      </c>
      <c r="E83" s="143" t="s">
        <v>166</v>
      </c>
      <c r="F83" s="143" t="s">
        <v>168</v>
      </c>
      <c r="G83" s="143" t="s">
        <v>168</v>
      </c>
      <c r="H83" s="143" t="s">
        <v>168</v>
      </c>
      <c r="I83" s="143" t="s">
        <v>166</v>
      </c>
      <c r="J83" s="143" t="s">
        <v>166</v>
      </c>
      <c r="K83" s="143" t="s">
        <v>166</v>
      </c>
      <c r="L83" s="143" t="s">
        <v>166</v>
      </c>
      <c r="M83" s="143" t="s">
        <v>166</v>
      </c>
      <c r="N83" s="143"/>
      <c r="O83" s="143" t="str">
        <f t="shared" ref="O83" si="16">IF(O82&gt;0.05,"NS",IF(O82&gt;0.01,"*",IF(O82&gt;0.001,"**","***")))</f>
        <v>***</v>
      </c>
      <c r="P83" s="143" t="str">
        <f t="shared" ref="P83" si="17">IF(P82&gt;0.05,"NS",IF(P82&gt;0.01,"*",IF(P82&gt;0.001,"**","***")))</f>
        <v>***</v>
      </c>
      <c r="Q83" s="143" t="str">
        <f t="shared" ref="Q83" si="18">IF(Q82&gt;0.05,"NS",IF(Q82&gt;0.01,"*",IF(Q82&gt;0.001,"**","***")))</f>
        <v>***</v>
      </c>
      <c r="R83" s="143" t="s">
        <v>166</v>
      </c>
      <c r="S83" s="143" t="s">
        <v>166</v>
      </c>
      <c r="T83" s="143" t="s">
        <v>166</v>
      </c>
      <c r="U83" s="143" t="s">
        <v>166</v>
      </c>
      <c r="V83" s="143" t="s">
        <v>166</v>
      </c>
    </row>
    <row r="84" spans="1:22" s="1" customFormat="1" x14ac:dyDescent="0.35"/>
    <row r="85" spans="1:22" s="1" customFormat="1" x14ac:dyDescent="0.35">
      <c r="A85" s="2" t="s">
        <v>39</v>
      </c>
    </row>
    <row r="86" spans="1:22" x14ac:dyDescent="0.35">
      <c r="A86" s="1" t="s">
        <v>23</v>
      </c>
      <c r="B86" s="1">
        <f>B56+(3*B57)</f>
        <v>0.30517683824739694</v>
      </c>
    </row>
    <row r="87" spans="1:22" x14ac:dyDescent="0.35">
      <c r="A87" s="1" t="s">
        <v>24</v>
      </c>
      <c r="B87" s="1">
        <f>B56+(10*B57)</f>
        <v>0.74832050659043758</v>
      </c>
    </row>
    <row r="88" spans="1:22" ht="15" thickBot="1" x14ac:dyDescent="0.4"/>
    <row r="89" spans="1:22" s="48" customFormat="1" ht="26.5" thickBot="1" x14ac:dyDescent="0.4">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4"/>
    <row r="91" spans="1:22" s="48" customFormat="1" ht="26.5" thickBot="1" x14ac:dyDescent="0.4">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4"/>
    <row r="93" spans="1:22" s="48" customFormat="1" ht="26.5" thickBot="1" x14ac:dyDescent="0.4">
      <c r="A93" s="231" t="s">
        <v>57</v>
      </c>
      <c r="B93" s="232"/>
      <c r="C93" s="232"/>
      <c r="D93" s="232"/>
      <c r="E93" s="232"/>
      <c r="F93" s="232"/>
      <c r="G93" s="232"/>
      <c r="H93" s="232"/>
      <c r="I93" s="232"/>
      <c r="J93" s="232"/>
      <c r="K93" s="232"/>
      <c r="L93" s="232"/>
      <c r="M93" s="232"/>
      <c r="N93" s="232"/>
      <c r="O93" s="232"/>
      <c r="P93" s="232"/>
      <c r="Q93" s="232"/>
      <c r="R93" s="232"/>
      <c r="S93" s="232"/>
      <c r="T93" s="232"/>
      <c r="U93" s="232"/>
      <c r="V93" s="232"/>
    </row>
    <row r="94" spans="1:22" x14ac:dyDescent="0.35">
      <c r="B94" s="1">
        <f t="shared" ref="B94:V94" si="19">B75/$B$75</f>
        <v>1</v>
      </c>
      <c r="C94" s="1">
        <f t="shared" si="19"/>
        <v>1.4542418773193666</v>
      </c>
      <c r="D94" s="1">
        <f t="shared" si="19"/>
        <v>1.1037917133093471</v>
      </c>
      <c r="E94" s="1">
        <f t="shared" si="19"/>
        <v>4.7008008454289234</v>
      </c>
      <c r="F94" s="1">
        <f t="shared" si="19"/>
        <v>9.5869425071516776</v>
      </c>
      <c r="G94" s="1">
        <f t="shared" si="19"/>
        <v>15.592646474987767</v>
      </c>
      <c r="H94" s="1">
        <f>H75/$B$75</f>
        <v>25.023180251797388</v>
      </c>
      <c r="I94" s="1">
        <f t="shared" si="19"/>
        <v>1.1154476874070607</v>
      </c>
      <c r="J94" s="1">
        <f t="shared" si="19"/>
        <v>1.1020310815904588</v>
      </c>
      <c r="K94" s="1">
        <f t="shared" si="19"/>
        <v>1.060516082895983</v>
      </c>
      <c r="L94" s="1">
        <f t="shared" si="19"/>
        <v>1.0911092101356303</v>
      </c>
      <c r="M94" s="1">
        <f t="shared" si="19"/>
        <v>1.0641564079725441</v>
      </c>
      <c r="N94" s="1">
        <f t="shared" si="19"/>
        <v>0</v>
      </c>
      <c r="O94" s="1">
        <f t="shared" si="19"/>
        <v>8.6761780589610602</v>
      </c>
      <c r="P94" s="1">
        <f t="shared" si="19"/>
        <v>18.79281392897899</v>
      </c>
      <c r="Q94" s="1">
        <f t="shared" si="19"/>
        <v>1.0051429278832074</v>
      </c>
      <c r="R94" s="1">
        <f t="shared" si="19"/>
        <v>9.1987301054221202</v>
      </c>
      <c r="S94" s="1">
        <f t="shared" si="19"/>
        <v>6.5198517859580836</v>
      </c>
      <c r="T94" s="1">
        <f t="shared" si="19"/>
        <v>8.5216095617642882</v>
      </c>
      <c r="U94" s="1">
        <f t="shared" si="19"/>
        <v>6.5313290923793108</v>
      </c>
      <c r="V94" s="1">
        <f t="shared" si="19"/>
        <v>8.2146779765120339</v>
      </c>
    </row>
    <row r="97" spans="2:25" x14ac:dyDescent="0.35">
      <c r="J97" s="1"/>
      <c r="K97" s="1"/>
    </row>
    <row r="98" spans="2:25" x14ac:dyDescent="0.35">
      <c r="J98" s="1"/>
      <c r="K98" s="1"/>
      <c r="U98" s="1"/>
      <c r="V98" s="1"/>
      <c r="W98" s="1"/>
      <c r="X98" s="1"/>
      <c r="Y98" s="1"/>
    </row>
    <row r="99" spans="2:25" x14ac:dyDescent="0.35">
      <c r="H99" s="1"/>
      <c r="J99" s="1"/>
      <c r="K99" s="1"/>
      <c r="L99" s="1"/>
      <c r="M99" s="1"/>
      <c r="N99" s="1"/>
      <c r="O99" s="1"/>
      <c r="P99" s="1"/>
      <c r="Q99" s="1"/>
      <c r="S99" s="1"/>
      <c r="T99" s="1"/>
      <c r="U99" s="1"/>
      <c r="V99" s="1"/>
      <c r="W99" s="1"/>
      <c r="X99" s="1"/>
      <c r="Y99" s="1"/>
    </row>
    <row r="100" spans="2:25" x14ac:dyDescent="0.35">
      <c r="C100" s="1"/>
      <c r="D100" s="1"/>
      <c r="E100" s="1"/>
      <c r="F100" s="1"/>
      <c r="G100" s="1"/>
      <c r="H100" s="1"/>
      <c r="J100" s="1"/>
      <c r="K100" s="1"/>
      <c r="L100" s="1"/>
      <c r="M100" s="1"/>
      <c r="N100" s="1"/>
      <c r="O100" s="1"/>
      <c r="P100" s="1"/>
      <c r="Q100" s="1"/>
      <c r="S100" s="1"/>
      <c r="T100" s="1"/>
    </row>
    <row r="101" spans="2:25" x14ac:dyDescent="0.35">
      <c r="C101" s="1"/>
      <c r="D101" s="1"/>
      <c r="E101" s="1"/>
      <c r="F101" s="1"/>
      <c r="G101" s="1"/>
      <c r="J101" s="1"/>
      <c r="K101" s="1"/>
      <c r="S101" s="1"/>
      <c r="T101" s="1"/>
    </row>
    <row r="102" spans="2:25" x14ac:dyDescent="0.35">
      <c r="F102" s="1"/>
      <c r="G102" s="1"/>
      <c r="J102" s="1"/>
      <c r="K102" s="1"/>
      <c r="S102" s="1"/>
      <c r="T102" s="1"/>
    </row>
    <row r="103" spans="2:25" x14ac:dyDescent="0.35">
      <c r="F103" s="1"/>
      <c r="G103" s="1"/>
      <c r="J103" s="1"/>
      <c r="K103" s="1"/>
      <c r="S103" s="1"/>
      <c r="T103" s="1"/>
    </row>
    <row r="104" spans="2:25" x14ac:dyDescent="0.35">
      <c r="F104" s="1"/>
      <c r="G104" s="1"/>
      <c r="J104" s="1"/>
      <c r="K104" s="1"/>
    </row>
    <row r="105" spans="2:25" x14ac:dyDescent="0.35">
      <c r="F105" s="1"/>
      <c r="G105" s="1"/>
      <c r="J105" s="1"/>
      <c r="K105" s="1"/>
    </row>
    <row r="106" spans="2:25" x14ac:dyDescent="0.35">
      <c r="F106" s="1"/>
      <c r="G106" s="1"/>
      <c r="J106" s="1"/>
      <c r="K106" s="1"/>
    </row>
    <row r="107" spans="2:25" x14ac:dyDescent="0.35">
      <c r="F107" s="1"/>
      <c r="G107" s="1"/>
      <c r="J107" s="1"/>
      <c r="K107" s="1"/>
    </row>
    <row r="108" spans="2:25" x14ac:dyDescent="0.35">
      <c r="F108" s="1"/>
      <c r="G108" s="1"/>
    </row>
    <row r="109" spans="2:25" x14ac:dyDescent="0.35">
      <c r="F109" s="1"/>
      <c r="G109" s="1"/>
    </row>
    <row r="110" spans="2:25" x14ac:dyDescent="0.35">
      <c r="F110" s="1"/>
      <c r="G110" s="1"/>
    </row>
    <row r="111" spans="2:25" x14ac:dyDescent="0.35">
      <c r="B111" s="1"/>
      <c r="C111" s="1"/>
      <c r="D111" s="1"/>
      <c r="E111" s="1"/>
      <c r="F111" s="1"/>
      <c r="G111" s="1"/>
      <c r="H111" s="1"/>
      <c r="I111" s="1"/>
      <c r="J111" s="1"/>
      <c r="K111" s="1"/>
      <c r="L111" s="1"/>
    </row>
    <row r="112" spans="2:25" x14ac:dyDescent="0.35">
      <c r="B112" s="1"/>
      <c r="C112" s="1"/>
      <c r="D112" s="1"/>
      <c r="E112" s="1"/>
      <c r="F112" s="1"/>
      <c r="G112" s="1"/>
      <c r="H112" s="1"/>
      <c r="I112" s="1"/>
      <c r="J112" s="1"/>
      <c r="K112" s="1"/>
      <c r="L112" s="1"/>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796875" defaultRowHeight="14.5" x14ac:dyDescent="0.35"/>
  <cols>
    <col min="1" max="1" width="33.7265625" style="41" bestFit="1" customWidth="1"/>
    <col min="2" max="3" width="14" style="41" bestFit="1" customWidth="1"/>
    <col min="4" max="4" width="14" style="41" customWidth="1"/>
    <col min="5" max="5" width="16" style="15" bestFit="1" customWidth="1"/>
    <col min="6" max="8" width="16" style="15" customWidth="1"/>
    <col min="9" max="13" width="19.1796875" style="15" customWidth="1"/>
    <col min="14" max="14" width="32.1796875" style="15" bestFit="1" customWidth="1"/>
    <col min="15" max="15" width="19.54296875" style="41" customWidth="1"/>
    <col min="16" max="16384" width="9.1796875" style="41"/>
  </cols>
  <sheetData>
    <row r="1" spans="1:15" s="48" customFormat="1" ht="26.5" thickBot="1" x14ac:dyDescent="0.4">
      <c r="A1" s="231" t="s">
        <v>104</v>
      </c>
      <c r="B1" s="232"/>
      <c r="C1" s="232"/>
      <c r="D1" s="232"/>
      <c r="E1" s="232"/>
      <c r="F1" s="232"/>
      <c r="G1" s="232"/>
      <c r="H1" s="232"/>
      <c r="I1" s="232"/>
      <c r="J1" s="232"/>
      <c r="K1" s="232"/>
      <c r="L1" s="232"/>
      <c r="M1" s="232"/>
      <c r="N1" s="232"/>
      <c r="O1" s="233"/>
    </row>
    <row r="2" spans="1:15" s="48" customFormat="1" ht="26.5" thickBot="1" x14ac:dyDescent="0.4">
      <c r="A2" s="231" t="s">
        <v>105</v>
      </c>
      <c r="B2" s="232"/>
      <c r="C2" s="232"/>
      <c r="D2" s="232"/>
      <c r="E2" s="232"/>
      <c r="F2" s="232"/>
      <c r="G2" s="232"/>
      <c r="H2" s="232"/>
      <c r="I2" s="232"/>
      <c r="J2" s="232"/>
      <c r="K2" s="232"/>
      <c r="L2" s="232"/>
      <c r="M2" s="232"/>
      <c r="N2" s="232"/>
      <c r="O2" s="233"/>
    </row>
    <row r="3" spans="1:15" s="77" customFormat="1" ht="15.5" x14ac:dyDescent="0.35">
      <c r="H3" s="78"/>
      <c r="I3" s="78"/>
      <c r="J3" s="78"/>
      <c r="K3" s="78"/>
      <c r="L3" s="78"/>
      <c r="M3" s="78"/>
      <c r="N3" s="78"/>
    </row>
    <row r="4" spans="1:15" s="77" customFormat="1" ht="15.5" x14ac:dyDescent="0.35">
      <c r="O4"/>
    </row>
    <row r="5" spans="1:15" s="77" customFormat="1" ht="45.75" customHeight="1" thickBot="1" x14ac:dyDescent="0.4">
      <c r="A5" s="79"/>
      <c r="B5" s="88" t="s">
        <v>25</v>
      </c>
      <c r="C5" s="88" t="s">
        <v>26</v>
      </c>
      <c r="D5" s="88" t="s">
        <v>27</v>
      </c>
      <c r="E5" s="89" t="s">
        <v>64</v>
      </c>
      <c r="F5" s="127" t="s">
        <v>80</v>
      </c>
      <c r="G5" s="95" t="s">
        <v>42</v>
      </c>
      <c r="H5" s="95" t="s">
        <v>65</v>
      </c>
      <c r="I5" s="95" t="s">
        <v>66</v>
      </c>
      <c r="J5" s="96" t="s">
        <v>77</v>
      </c>
      <c r="K5" s="96" t="s">
        <v>67</v>
      </c>
      <c r="L5" s="97" t="s">
        <v>76</v>
      </c>
      <c r="M5" s="97" t="s">
        <v>68</v>
      </c>
      <c r="N5" s="97" t="s">
        <v>69</v>
      </c>
      <c r="O5"/>
    </row>
    <row r="6" spans="1:15" s="77" customFormat="1" ht="15.5" x14ac:dyDescent="0.35">
      <c r="A6" s="80" t="s">
        <v>28</v>
      </c>
      <c r="B6" s="100">
        <v>64</v>
      </c>
      <c r="C6" s="80"/>
      <c r="D6" s="80"/>
      <c r="E6" s="90"/>
      <c r="F6" s="91"/>
      <c r="G6" s="129">
        <f>IF(F6="NS","NC",ROUND(B6,2-(1+INT(LOG10(ABS(B6))))))</f>
        <v>64</v>
      </c>
      <c r="H6" s="121"/>
      <c r="I6" s="121"/>
      <c r="J6" s="122"/>
      <c r="K6" s="123"/>
      <c r="L6" s="125"/>
      <c r="M6" s="122"/>
      <c r="N6" s="92"/>
      <c r="O6"/>
    </row>
    <row r="7" spans="1:15" s="77" customFormat="1" ht="15.5" x14ac:dyDescent="0.35">
      <c r="A7" s="80" t="str">
        <f>'Page de garde'!A15</f>
        <v>CRO-0.1µg/L</v>
      </c>
      <c r="B7" s="99"/>
      <c r="C7" s="81"/>
      <c r="D7" s="81"/>
      <c r="E7" s="82"/>
      <c r="F7" s="98" t="str">
        <f>HLOOKUP(A7,'pooled normalised values'!$B$74:$V$83,10,FALSE)</f>
        <v>ns</v>
      </c>
      <c r="G7" s="129" t="str">
        <f>IF(F7="NS","NC",ROUND(B7,2-(1+INT(LOG10(ABS(B7))))))</f>
        <v>NC</v>
      </c>
      <c r="H7" s="120" t="str">
        <f>IF(VLOOKUP(A7,liste_groupe[],4,FALSE)="%",VLOOKUP(A7,liste_groupe[],3,FALSE)/100,IF(ISBLANK(VLOOKUP(A7,liste_groupe[],4,FALSE)),"Non","Non"))</f>
        <v>Non</v>
      </c>
      <c r="I7" s="129" t="str">
        <f>IF(F7="NS","NC",IF(H7="Non",G7,G7*(1/H7)))</f>
        <v>NC</v>
      </c>
      <c r="J7" s="130">
        <v>64</v>
      </c>
      <c r="K7" s="131">
        <f>IF(F7="NS",0,ROUND(I7/J7*100,0))</f>
        <v>0</v>
      </c>
      <c r="L7" s="126">
        <v>1</v>
      </c>
      <c r="M7" s="132">
        <f>IF(K7&gt;100,125,K7)</f>
        <v>0</v>
      </c>
      <c r="N7" s="93" t="str">
        <f>IF(H7="Non",CONCATENATE(VLOOKUP(A7,liste_groupe[],5,FALSE),"-",VLOOKUP(A7,liste_groupe[],3,FALSE),VLOOKUP(A7,liste_groupe[],4,FALSE)," : ",ROUND(K7,0),"%"),CONCATENATE(VLOOKUP(A7,liste_groupe[],5,FALSE)," : ",ROUND(K7,0),"%"))</f>
        <v>CRO-0,1µg/L : 0%</v>
      </c>
      <c r="O7"/>
    </row>
    <row r="8" spans="1:15" s="77" customFormat="1" ht="15.5" x14ac:dyDescent="0.35">
      <c r="A8" s="80" t="str">
        <f>'Page de garde'!A16</f>
        <v>CRO-1µg/L</v>
      </c>
      <c r="B8" s="99"/>
      <c r="C8" s="83"/>
      <c r="D8" s="81"/>
      <c r="E8" s="82"/>
      <c r="F8" s="98" t="str">
        <f>HLOOKUP(A8,'pooled normalised values'!$B$74:$V$83,10,FALSE)</f>
        <v>ns</v>
      </c>
      <c r="G8" s="129" t="str">
        <f t="shared" ref="G8:G13" si="0">IF(F8="NS","NC",ROUND(B8,2-(1+INT(LOG10(ABS(B8))))))</f>
        <v>NC</v>
      </c>
      <c r="H8" s="120" t="str">
        <f>IF(VLOOKUP(A8,liste_groupe[],4,FALSE)="%",VLOOKUP(A8,liste_groupe[],3,FALSE)/100,IF(ISBLANK(VLOOKUP(A8,liste_groupe[],4,FALSE)),"Non","Non"))</f>
        <v>Non</v>
      </c>
      <c r="I8" s="129" t="str">
        <f t="shared" ref="I8:I26" si="1">IF(F8="NS","NC",IF(H8="Non",G8,G8*(1/H8)))</f>
        <v>NC</v>
      </c>
      <c r="J8" s="130">
        <v>64</v>
      </c>
      <c r="K8" s="131">
        <f t="shared" ref="K8:K26" si="2">IF(F8="NS",0,ROUND(I8/J8*100,0))</f>
        <v>0</v>
      </c>
      <c r="L8" s="126"/>
      <c r="M8" s="132">
        <f t="shared" ref="M8:M26" si="3">IF(K8&gt;100,125,K8)</f>
        <v>0</v>
      </c>
      <c r="N8" s="93" t="str">
        <f>IF(H8="Non",CONCATENATE(VLOOKUP(A8,liste_groupe[],5,FALSE),"-",VLOOKUP(A8,liste_groupe[],3,FALSE),VLOOKUP(A8,liste_groupe[],4,FALSE)," : ",ROUND(K8,0),"%"),CONCATENATE(VLOOKUP(A8,liste_groupe[],5,FALSE)," : ",ROUND(K8,0),"%"))</f>
        <v>CRO-1µg/L : 0%</v>
      </c>
      <c r="O8"/>
    </row>
    <row r="9" spans="1:15" s="77" customFormat="1" ht="15.5" x14ac:dyDescent="0.35">
      <c r="A9" s="80" t="str">
        <f>'Page de garde'!A17</f>
        <v>CRO-10µg/L</v>
      </c>
      <c r="B9" s="99"/>
      <c r="C9" s="83"/>
      <c r="D9" s="81"/>
      <c r="E9" s="82"/>
      <c r="F9" s="98" t="str">
        <f>HLOOKUP(A9,'pooled normalised values'!$B$74:$V$83,10,FALSE)</f>
        <v>ns</v>
      </c>
      <c r="G9" s="129" t="str">
        <f t="shared" si="0"/>
        <v>NC</v>
      </c>
      <c r="H9" s="120" t="str">
        <f>IF(VLOOKUP(A9,liste_groupe[],4,FALSE)="%",VLOOKUP(A9,liste_groupe[],3,FALSE)/100,IF(ISBLANK(VLOOKUP(A9,liste_groupe[],4,FALSE)),"Non","Non"))</f>
        <v>Non</v>
      </c>
      <c r="I9" s="129" t="str">
        <f t="shared" si="1"/>
        <v>NC</v>
      </c>
      <c r="J9" s="130">
        <v>64</v>
      </c>
      <c r="K9" s="131">
        <f t="shared" si="2"/>
        <v>0</v>
      </c>
      <c r="L9" s="126"/>
      <c r="M9" s="132">
        <f t="shared" si="3"/>
        <v>0</v>
      </c>
      <c r="N9" s="93" t="str">
        <f>IF(H9="Non",CONCATENATE(VLOOKUP(A9,liste_groupe[],5,FALSE),"-",VLOOKUP(A9,liste_groupe[],3,FALSE),VLOOKUP(A9,liste_groupe[],4,FALSE)," : ",ROUND(K9,0),"%"),CONCATENATE(VLOOKUP(A9,liste_groupe[],5,FALSE)," : ",ROUND(K9,0),"%"))</f>
        <v>CRO-10µg/L : 0%</v>
      </c>
      <c r="O9"/>
    </row>
    <row r="10" spans="1:15" s="77" customFormat="1" ht="15.5" x14ac:dyDescent="0.35">
      <c r="A10" s="80" t="str">
        <f>'Page de garde'!A18</f>
        <v>CRO-100µg/L</v>
      </c>
      <c r="B10" s="100"/>
      <c r="C10" s="80"/>
      <c r="D10" s="85"/>
      <c r="E10" s="82"/>
      <c r="F10" s="98" t="str">
        <f>HLOOKUP(A10,'pooled normalised values'!$B$74:$V$83,10,FALSE)</f>
        <v>ns</v>
      </c>
      <c r="G10" s="129" t="str">
        <f t="shared" si="0"/>
        <v>NC</v>
      </c>
      <c r="H10" s="120" t="str">
        <f>IF(VLOOKUP(A10,liste_groupe[],4,FALSE)="%",VLOOKUP(A10,liste_groupe[],3,FALSE)/100,IF(ISBLANK(VLOOKUP(A10,liste_groupe[],4,FALSE)),"Non","Non"))</f>
        <v>Non</v>
      </c>
      <c r="I10" s="129" t="str">
        <f t="shared" si="1"/>
        <v>NC</v>
      </c>
      <c r="J10" s="130">
        <v>64</v>
      </c>
      <c r="K10" s="131">
        <f t="shared" si="2"/>
        <v>0</v>
      </c>
      <c r="L10" s="126"/>
      <c r="M10" s="132">
        <f t="shared" si="3"/>
        <v>0</v>
      </c>
      <c r="N10" s="93" t="str">
        <f>IF(H10="Non",CONCATENATE(VLOOKUP(A10,liste_groupe[],5,FALSE),"-",VLOOKUP(A10,liste_groupe[],3,FALSE),VLOOKUP(A10,liste_groupe[],4,FALSE)," : ",ROUND(K10,0),"%"),CONCATENATE(VLOOKUP(A10,liste_groupe[],5,FALSE)," : ",ROUND(K10,0),"%"))</f>
        <v>CRO-100µg/L : 0%</v>
      </c>
      <c r="O10"/>
    </row>
    <row r="11" spans="1:15" s="77" customFormat="1" ht="15.5" x14ac:dyDescent="0.35">
      <c r="A11" s="80" t="str">
        <f>'Page de garde'!A19</f>
        <v>CRO-1000µg/L</v>
      </c>
      <c r="B11" s="100"/>
      <c r="C11" s="80"/>
      <c r="D11" s="85"/>
      <c r="E11" s="82"/>
      <c r="F11" s="98" t="str">
        <f>HLOOKUP(A11,'pooled normalised values'!$B$74:$V$83,10,FALSE)</f>
        <v>ns</v>
      </c>
      <c r="G11" s="129" t="str">
        <f t="shared" si="0"/>
        <v>NC</v>
      </c>
      <c r="H11" s="120" t="str">
        <f>IF(VLOOKUP(A11,liste_groupe[],4,FALSE)="%",VLOOKUP(A11,liste_groupe[],3,FALSE)/100,IF(ISBLANK(VLOOKUP(A11,liste_groupe[],4,FALSE)),"Non","Non"))</f>
        <v>Non</v>
      </c>
      <c r="I11" s="129" t="str">
        <f t="shared" si="1"/>
        <v>NC</v>
      </c>
      <c r="J11" s="130">
        <v>64</v>
      </c>
      <c r="K11" s="131">
        <f t="shared" si="2"/>
        <v>0</v>
      </c>
      <c r="L11" s="126"/>
      <c r="M11" s="132">
        <f t="shared" si="3"/>
        <v>0</v>
      </c>
      <c r="N11" s="93" t="str">
        <f>IF(H11="Non",CONCATENATE(VLOOKUP(A11,liste_groupe[],5,FALSE),"-",VLOOKUP(A11,liste_groupe[],3,FALSE),VLOOKUP(A11,liste_groupe[],4,FALSE)," : ",ROUND(K11,0),"%"),CONCATENATE(VLOOKUP(A11,liste_groupe[],5,FALSE)," : ",ROUND(K11,0),"%"))</f>
        <v>CRO-1000µg/L : 0%</v>
      </c>
      <c r="O11"/>
    </row>
    <row r="12" spans="1:15" s="77" customFormat="1" ht="15.5" x14ac:dyDescent="0.35">
      <c r="A12" s="80" t="str">
        <f>'Page de garde'!A20</f>
        <v xml:space="preserve"> </v>
      </c>
      <c r="B12" s="100"/>
      <c r="C12" s="80"/>
      <c r="D12" s="85"/>
      <c r="E12" s="82"/>
      <c r="F12" s="98" t="e">
        <f>HLOOKUP(A12,'pooled normalised values'!$B$74:$V$83,10,FALSE)</f>
        <v>#N/A</v>
      </c>
      <c r="G12" s="129" t="e">
        <f t="shared" si="0"/>
        <v>#N/A</v>
      </c>
      <c r="H12" s="120" t="str">
        <f>IF(VLOOKUP(A12,liste_groupe[],4,FALSE)="%",VLOOKUP(A12,liste_groupe[],3,FALSE)/100,IF(ISBLANK(VLOOKUP(A12,liste_groupe[],4,FALSE)),"Non","Non"))</f>
        <v>Non</v>
      </c>
      <c r="I12" s="129" t="e">
        <f t="shared" si="1"/>
        <v>#N/A</v>
      </c>
      <c r="J12" s="130">
        <v>64</v>
      </c>
      <c r="K12" s="131" t="e">
        <f t="shared" si="2"/>
        <v>#N/A</v>
      </c>
      <c r="L12" s="126"/>
      <c r="M12" s="132" t="e">
        <f t="shared" si="3"/>
        <v>#N/A</v>
      </c>
      <c r="N12" s="93" t="e">
        <f>IF(H12="Non",CONCATENATE(VLOOKUP(A12,liste_groupe[],5,FALSE),"-",VLOOKUP(A12,liste_groupe[],3,FALSE),VLOOKUP(A12,liste_groupe[],4,FALSE)," : ",ROUND(K12,0),"%"),CONCATENATE(VLOOKUP(A12,liste_groupe[],5,FALSE)," : ",ROUND(K12,0),"%"))</f>
        <v>#N/A</v>
      </c>
      <c r="O12"/>
    </row>
    <row r="13" spans="1:15" s="77" customFormat="1" ht="15.5" x14ac:dyDescent="0.35">
      <c r="A13" s="80" t="str">
        <f>'Page de garde'!A21</f>
        <v xml:space="preserve"> </v>
      </c>
      <c r="B13" s="100"/>
      <c r="C13" s="80"/>
      <c r="D13" s="80"/>
      <c r="E13" s="82"/>
      <c r="F13" s="98" t="e">
        <f>HLOOKUP(A13,'pooled normalised values'!$B$74:$V$83,10,FALSE)</f>
        <v>#N/A</v>
      </c>
      <c r="G13" s="129" t="e">
        <f t="shared" si="0"/>
        <v>#N/A</v>
      </c>
      <c r="H13" s="120" t="str">
        <f>IF(VLOOKUP(A13,liste_groupe[],4,FALSE)="%",VLOOKUP(A13,liste_groupe[],3,FALSE)/100,IF(ISBLANK(VLOOKUP(A13,liste_groupe[],4,FALSE)),"Non","Non"))</f>
        <v>Non</v>
      </c>
      <c r="I13" s="129" t="e">
        <f t="shared" si="1"/>
        <v>#N/A</v>
      </c>
      <c r="J13" s="130">
        <v>64</v>
      </c>
      <c r="K13" s="131" t="e">
        <f t="shared" si="2"/>
        <v>#N/A</v>
      </c>
      <c r="L13" s="126"/>
      <c r="M13" s="132" t="e">
        <f t="shared" si="3"/>
        <v>#N/A</v>
      </c>
      <c r="N13" s="93" t="e">
        <f>IF(H13="Non",CONCATENATE(VLOOKUP(A13,liste_groupe[],5,FALSE),"-",VLOOKUP(A13,liste_groupe[],3,FALSE),VLOOKUP(A13,liste_groupe[],4,FALSE)," : ",ROUND(K13,0),"%"),CONCATENATE(VLOOKUP(A13,liste_groupe[],5,FALSE)," : ",ROUND(K13,0),"%"))</f>
        <v>#N/A</v>
      </c>
      <c r="O13"/>
    </row>
    <row r="14" spans="1:15" s="77" customFormat="1" ht="15.5" x14ac:dyDescent="0.35">
      <c r="A14" s="80" t="str">
        <f>'Page de garde'!A22</f>
        <v xml:space="preserve"> </v>
      </c>
      <c r="B14" s="100"/>
      <c r="C14" s="80"/>
      <c r="D14" s="80"/>
      <c r="E14" s="82"/>
      <c r="F14" s="98" t="e">
        <f>HLOOKUP(A14,'pooled normalised values'!$B$74:$V$83,10,FALSE)</f>
        <v>#N/A</v>
      </c>
      <c r="G14" s="129" t="e">
        <f t="shared" ref="G14:G25" si="4">IF(F14="NS","NC",ROUND(B14,2-(1+INT(LOG10(ABS(B14))))))</f>
        <v>#N/A</v>
      </c>
      <c r="H14" s="120" t="str">
        <f>IF(VLOOKUP(A14,liste_groupe[],4,FALSE)="%",VLOOKUP(A14,liste_groupe[],3,FALSE)/100,IF(ISBLANK(VLOOKUP(A14,liste_groupe[],4,FALSE)),"Non","Non"))</f>
        <v>Non</v>
      </c>
      <c r="I14" s="129" t="e">
        <f t="shared" si="1"/>
        <v>#N/A</v>
      </c>
      <c r="J14" s="130">
        <v>64</v>
      </c>
      <c r="K14" s="131" t="e">
        <f t="shared" si="2"/>
        <v>#N/A</v>
      </c>
      <c r="L14" s="126"/>
      <c r="M14" s="132" t="e">
        <f t="shared" si="3"/>
        <v>#N/A</v>
      </c>
      <c r="N14" s="93" t="e">
        <f>IF(H14="Non",CONCATENATE(VLOOKUP(A14,liste_groupe[],5,FALSE),"-",VLOOKUP(A14,liste_groupe[],3,FALSE),VLOOKUP(A14,liste_groupe[],4,FALSE)," : ",ROUND(K14,0),"%"),CONCATENATE(VLOOKUP(A14,liste_groupe[],5,FALSE)," : ",ROUND(K14,0),"%"))</f>
        <v>#N/A</v>
      </c>
      <c r="O14" s="1"/>
    </row>
    <row r="15" spans="1:15" s="77" customFormat="1" ht="15.5" x14ac:dyDescent="0.35">
      <c r="A15" s="80" t="str">
        <f>'Page de garde'!A23</f>
        <v xml:space="preserve"> </v>
      </c>
      <c r="B15" s="100"/>
      <c r="C15" s="80"/>
      <c r="D15" s="80"/>
      <c r="E15" s="82"/>
      <c r="F15" s="98" t="e">
        <f>HLOOKUP(A15,'pooled normalised values'!$B$74:$V$83,10,FALSE)</f>
        <v>#N/A</v>
      </c>
      <c r="G15" s="129" t="e">
        <f t="shared" si="4"/>
        <v>#N/A</v>
      </c>
      <c r="H15" s="120" t="str">
        <f>IF(VLOOKUP(A15,liste_groupe[],4,FALSE)="%",VLOOKUP(A15,liste_groupe[],3,FALSE)/100,IF(ISBLANK(VLOOKUP(A15,liste_groupe[],4,FALSE)),"Non","Non"))</f>
        <v>Non</v>
      </c>
      <c r="I15" s="129" t="e">
        <f t="shared" si="1"/>
        <v>#N/A</v>
      </c>
      <c r="J15" s="130">
        <v>64</v>
      </c>
      <c r="K15" s="131" t="e">
        <f t="shared" si="2"/>
        <v>#N/A</v>
      </c>
      <c r="L15" s="126"/>
      <c r="M15" s="132" t="e">
        <f t="shared" si="3"/>
        <v>#N/A</v>
      </c>
      <c r="N15" s="93" t="e">
        <f>IF(H15="Non",CONCATENATE(VLOOKUP(A15,liste_groupe[],5,FALSE),"-",VLOOKUP(A15,liste_groupe[],3,FALSE),VLOOKUP(A15,liste_groupe[],4,FALSE)," : ",ROUND(K15,0),"%"),CONCATENATE(VLOOKUP(A15,liste_groupe[],5,FALSE)," : ",ROUND(K15,0),"%"))</f>
        <v>#N/A</v>
      </c>
      <c r="O15" s="1"/>
    </row>
    <row r="16" spans="1:15" s="77" customFormat="1" ht="15.5" x14ac:dyDescent="0.35">
      <c r="A16" s="80" t="str">
        <f>'Page de garde'!A24</f>
        <v xml:space="preserve"> </v>
      </c>
      <c r="B16" s="100"/>
      <c r="C16" s="80"/>
      <c r="D16" s="80"/>
      <c r="E16" s="82"/>
      <c r="F16" s="98" t="e">
        <f>HLOOKUP(A16,'pooled normalised values'!$B$74:$V$83,10,FALSE)</f>
        <v>#N/A</v>
      </c>
      <c r="G16" s="129" t="e">
        <f t="shared" si="4"/>
        <v>#N/A</v>
      </c>
      <c r="H16" s="120" t="str">
        <f>IF(VLOOKUP(A16,liste_groupe[],4,FALSE)="%",VLOOKUP(A16,liste_groupe[],3,FALSE)/100,IF(ISBLANK(VLOOKUP(A16,liste_groupe[],4,FALSE)),"Non","Non"))</f>
        <v>Non</v>
      </c>
      <c r="I16" s="129" t="e">
        <f t="shared" si="1"/>
        <v>#N/A</v>
      </c>
      <c r="J16" s="130">
        <v>64</v>
      </c>
      <c r="K16" s="131" t="e">
        <f t="shared" si="2"/>
        <v>#N/A</v>
      </c>
      <c r="L16" s="126"/>
      <c r="M16" s="132" t="e">
        <f t="shared" si="3"/>
        <v>#N/A</v>
      </c>
      <c r="N16" s="93" t="e">
        <f>IF(H16="Non",CONCATENATE(VLOOKUP(A16,liste_groupe[],5,FALSE),"-",VLOOKUP(A16,liste_groupe[],3,FALSE),VLOOKUP(A16,liste_groupe[],4,FALSE)," : ",ROUND(K16,0),"%"),CONCATENATE(VLOOKUP(A16,liste_groupe[],5,FALSE)," : ",ROUND(K16,0),"%"))</f>
        <v>#N/A</v>
      </c>
      <c r="O16" s="1"/>
    </row>
    <row r="17" spans="1:15" s="77" customFormat="1" ht="15.5" x14ac:dyDescent="0.35">
      <c r="A17" s="80" t="str">
        <f>'Page de garde'!A25</f>
        <v xml:space="preserve"> </v>
      </c>
      <c r="B17" s="100"/>
      <c r="C17" s="80"/>
      <c r="D17" s="80"/>
      <c r="E17" s="82"/>
      <c r="F17" s="98" t="e">
        <f>HLOOKUP(A17,'pooled normalised values'!$B$74:$V$83,10,FALSE)</f>
        <v>#N/A</v>
      </c>
      <c r="G17" s="129" t="e">
        <f t="shared" si="4"/>
        <v>#N/A</v>
      </c>
      <c r="H17" s="120" t="str">
        <f>IF(VLOOKUP(A17,liste_groupe[],4,FALSE)="%",VLOOKUP(A17,liste_groupe[],3,FALSE)/100,IF(ISBLANK(VLOOKUP(A17,liste_groupe[],4,FALSE)),"Non","Non"))</f>
        <v>Non</v>
      </c>
      <c r="I17" s="129" t="e">
        <f t="shared" si="1"/>
        <v>#N/A</v>
      </c>
      <c r="J17" s="130">
        <v>64</v>
      </c>
      <c r="K17" s="131" t="e">
        <f t="shared" si="2"/>
        <v>#N/A</v>
      </c>
      <c r="L17" s="126"/>
      <c r="M17" s="132" t="e">
        <f t="shared" si="3"/>
        <v>#N/A</v>
      </c>
      <c r="N17" s="93" t="e">
        <f>IF(H17="Non",CONCATENATE(VLOOKUP(A17,liste_groupe[],5,FALSE),"-",VLOOKUP(A17,liste_groupe[],3,FALSE),VLOOKUP(A17,liste_groupe[],4,FALSE)," : ",ROUND(K17,0),"%"),CONCATENATE(VLOOKUP(A17,liste_groupe[],5,FALSE)," : ",ROUND(K17,0),"%"))</f>
        <v>#N/A</v>
      </c>
      <c r="O17" s="1"/>
    </row>
    <row r="18" spans="1:15" s="77" customFormat="1" ht="15.5" x14ac:dyDescent="0.35">
      <c r="A18" s="80" t="str">
        <f>'Page de garde'!A26</f>
        <v xml:space="preserve"> </v>
      </c>
      <c r="B18" s="100"/>
      <c r="C18" s="80"/>
      <c r="D18" s="80"/>
      <c r="E18" s="82"/>
      <c r="F18" s="98" t="e">
        <f>HLOOKUP(A18,'pooled normalised values'!$B$74:$V$83,10,FALSE)</f>
        <v>#N/A</v>
      </c>
      <c r="G18" s="129" t="e">
        <f t="shared" si="4"/>
        <v>#N/A</v>
      </c>
      <c r="H18" s="120" t="str">
        <f>IF(VLOOKUP(A18,liste_groupe[],4,FALSE)="%",VLOOKUP(A18,liste_groupe[],3,FALSE)/100,IF(ISBLANK(VLOOKUP(A18,liste_groupe[],4,FALSE)),"Non","Non"))</f>
        <v>Non</v>
      </c>
      <c r="I18" s="129" t="e">
        <f t="shared" si="1"/>
        <v>#N/A</v>
      </c>
      <c r="J18" s="130">
        <v>64</v>
      </c>
      <c r="K18" s="131" t="e">
        <f t="shared" si="2"/>
        <v>#N/A</v>
      </c>
      <c r="L18" s="126"/>
      <c r="M18" s="132" t="e">
        <f t="shared" si="3"/>
        <v>#N/A</v>
      </c>
      <c r="N18" s="93" t="e">
        <f>IF(H18="Non",CONCATENATE(VLOOKUP(A18,liste_groupe[],5,FALSE),"-",VLOOKUP(A18,liste_groupe[],3,FALSE),VLOOKUP(A18,liste_groupe[],4,FALSE)," : ",ROUND(K18,0),"%"),CONCATENATE(VLOOKUP(A18,liste_groupe[],5,FALSE)," : ",ROUND(K18,0),"%"))</f>
        <v>#N/A</v>
      </c>
      <c r="O18" s="1"/>
    </row>
    <row r="19" spans="1:15" s="77" customFormat="1" ht="15.5" x14ac:dyDescent="0.35">
      <c r="A19" s="80" t="str">
        <f>'Page de garde'!A27</f>
        <v xml:space="preserve"> </v>
      </c>
      <c r="B19" s="100"/>
      <c r="C19" s="80"/>
      <c r="D19" s="80"/>
      <c r="E19" s="82"/>
      <c r="F19" s="98" t="e">
        <f>HLOOKUP(A19,'pooled normalised values'!$B$74:$V$83,10,FALSE)</f>
        <v>#N/A</v>
      </c>
      <c r="G19" s="129" t="e">
        <f t="shared" si="4"/>
        <v>#N/A</v>
      </c>
      <c r="H19" s="120" t="str">
        <f>IF(VLOOKUP(A19,liste_groupe[],4,FALSE)="%",VLOOKUP(A19,liste_groupe[],3,FALSE)/100,IF(ISBLANK(VLOOKUP(A19,liste_groupe[],4,FALSE)),"Non","Non"))</f>
        <v>Non</v>
      </c>
      <c r="I19" s="129" t="e">
        <f t="shared" si="1"/>
        <v>#N/A</v>
      </c>
      <c r="J19" s="130">
        <v>64</v>
      </c>
      <c r="K19" s="131" t="e">
        <f t="shared" si="2"/>
        <v>#N/A</v>
      </c>
      <c r="L19" s="126"/>
      <c r="M19" s="132" t="e">
        <f t="shared" si="3"/>
        <v>#N/A</v>
      </c>
      <c r="N19" s="93" t="e">
        <f>IF(H19="Non",CONCATENATE(VLOOKUP(A19,liste_groupe[],5,FALSE),"-",VLOOKUP(A19,liste_groupe[],3,FALSE),VLOOKUP(A19,liste_groupe[],4,FALSE)," : ",ROUND(K19,0),"%"),CONCATENATE(VLOOKUP(A19,liste_groupe[],5,FALSE)," : ",ROUND(K19,0),"%"))</f>
        <v>#N/A</v>
      </c>
      <c r="O19" s="1"/>
    </row>
    <row r="20" spans="1:15" s="77" customFormat="1" ht="15.5" x14ac:dyDescent="0.35">
      <c r="A20" s="80" t="str">
        <f>'Page de garde'!A28</f>
        <v xml:space="preserve"> </v>
      </c>
      <c r="B20" s="100"/>
      <c r="C20" s="80"/>
      <c r="D20" s="80"/>
      <c r="E20" s="82"/>
      <c r="F20" s="98" t="e">
        <f>HLOOKUP(A20,'pooled normalised values'!$B$74:$V$83,10,FALSE)</f>
        <v>#N/A</v>
      </c>
      <c r="G20" s="129" t="e">
        <f t="shared" si="4"/>
        <v>#N/A</v>
      </c>
      <c r="H20" s="120" t="str">
        <f>IF(VLOOKUP(A20,liste_groupe[],4,FALSE)="%",VLOOKUP(A20,liste_groupe[],3,FALSE)/100,IF(ISBLANK(VLOOKUP(A20,liste_groupe[],4,FALSE)),"Non","Non"))</f>
        <v>Non</v>
      </c>
      <c r="I20" s="129" t="e">
        <f t="shared" si="1"/>
        <v>#N/A</v>
      </c>
      <c r="J20" s="130">
        <v>64</v>
      </c>
      <c r="K20" s="131" t="e">
        <f t="shared" si="2"/>
        <v>#N/A</v>
      </c>
      <c r="L20" s="126"/>
      <c r="M20" s="132" t="e">
        <f t="shared" si="3"/>
        <v>#N/A</v>
      </c>
      <c r="N20" s="93" t="e">
        <f>IF(H20="Non",CONCATENATE(VLOOKUP(A20,liste_groupe[],5,FALSE),"-",VLOOKUP(A20,liste_groupe[],3,FALSE),VLOOKUP(A20,liste_groupe[],4,FALSE)," : ",ROUND(K20,0),"%"),CONCATENATE(VLOOKUP(A20,liste_groupe[],5,FALSE)," : ",ROUND(K20,0),"%"))</f>
        <v>#N/A</v>
      </c>
      <c r="O20" s="1"/>
    </row>
    <row r="21" spans="1:15" s="77" customFormat="1" ht="15.5" x14ac:dyDescent="0.35">
      <c r="A21" s="80" t="str">
        <f>'Page de garde'!A29</f>
        <v xml:space="preserve"> </v>
      </c>
      <c r="B21" s="100"/>
      <c r="C21" s="80"/>
      <c r="D21" s="80"/>
      <c r="E21" s="82"/>
      <c r="F21" s="98" t="e">
        <f>HLOOKUP(A21,'pooled normalised values'!$B$74:$V$83,10,FALSE)</f>
        <v>#N/A</v>
      </c>
      <c r="G21" s="129" t="e">
        <f t="shared" si="4"/>
        <v>#N/A</v>
      </c>
      <c r="H21" s="120" t="str">
        <f>IF(VLOOKUP(A21,liste_groupe[],4,FALSE)="%",VLOOKUP(A21,liste_groupe[],3,FALSE)/100,IF(ISBLANK(VLOOKUP(A21,liste_groupe[],4,FALSE)),"Non","Non"))</f>
        <v>Non</v>
      </c>
      <c r="I21" s="129" t="e">
        <f t="shared" si="1"/>
        <v>#N/A</v>
      </c>
      <c r="J21" s="130">
        <v>64</v>
      </c>
      <c r="K21" s="131" t="e">
        <f t="shared" si="2"/>
        <v>#N/A</v>
      </c>
      <c r="L21" s="126"/>
      <c r="M21" s="132" t="e">
        <f t="shared" si="3"/>
        <v>#N/A</v>
      </c>
      <c r="N21" s="93" t="e">
        <f>IF(H21="Non",CONCATENATE(VLOOKUP(A21,liste_groupe[],5,FALSE),"-",VLOOKUP(A21,liste_groupe[],3,FALSE),VLOOKUP(A21,liste_groupe[],4,FALSE)," : ",ROUND(K21,0),"%"),CONCATENATE(VLOOKUP(A21,liste_groupe[],5,FALSE)," : ",ROUND(K21,0),"%"))</f>
        <v>#N/A</v>
      </c>
      <c r="O21" s="1"/>
    </row>
    <row r="22" spans="1:15" s="77" customFormat="1" ht="15.5" x14ac:dyDescent="0.35">
      <c r="A22" s="80" t="str">
        <f>'Page de garde'!A30</f>
        <v xml:space="preserve"> </v>
      </c>
      <c r="B22" s="100"/>
      <c r="C22" s="80"/>
      <c r="D22" s="80"/>
      <c r="E22" s="82"/>
      <c r="F22" s="98" t="e">
        <f>HLOOKUP(A22,'pooled normalised values'!$B$74:$V$83,10,FALSE)</f>
        <v>#N/A</v>
      </c>
      <c r="G22" s="129" t="e">
        <f t="shared" si="4"/>
        <v>#N/A</v>
      </c>
      <c r="H22" s="120" t="str">
        <f>IF(VLOOKUP(A22,liste_groupe[],4,FALSE)="%",VLOOKUP(A22,liste_groupe[],3,FALSE)/100,IF(ISBLANK(VLOOKUP(A22,liste_groupe[],4,FALSE)),"Non","Non"))</f>
        <v>Non</v>
      </c>
      <c r="I22" s="129" t="e">
        <f t="shared" si="1"/>
        <v>#N/A</v>
      </c>
      <c r="J22" s="130">
        <v>64</v>
      </c>
      <c r="K22" s="131" t="e">
        <f t="shared" si="2"/>
        <v>#N/A</v>
      </c>
      <c r="L22" s="126"/>
      <c r="M22" s="132" t="e">
        <f t="shared" si="3"/>
        <v>#N/A</v>
      </c>
      <c r="N22" s="93" t="e">
        <f>IF(H22="Non",CONCATENATE(VLOOKUP(A22,liste_groupe[],5,FALSE),"-",VLOOKUP(A22,liste_groupe[],3,FALSE),VLOOKUP(A22,liste_groupe[],4,FALSE)," : ",ROUND(K22,0),"%"),CONCATENATE(VLOOKUP(A22,liste_groupe[],5,FALSE)," : ",ROUND(K22,0),"%"))</f>
        <v>#N/A</v>
      </c>
      <c r="O22" s="1"/>
    </row>
    <row r="23" spans="1:15" s="77" customFormat="1" ht="15.5" x14ac:dyDescent="0.35">
      <c r="A23" s="80" t="str">
        <f>'Page de garde'!A31</f>
        <v xml:space="preserve"> </v>
      </c>
      <c r="B23" s="100"/>
      <c r="C23" s="80"/>
      <c r="D23" s="80"/>
      <c r="E23" s="82"/>
      <c r="F23" s="98" t="e">
        <f>HLOOKUP(A23,'pooled normalised values'!$B$74:$V$83,10,FALSE)</f>
        <v>#N/A</v>
      </c>
      <c r="G23" s="129" t="e">
        <f t="shared" si="4"/>
        <v>#N/A</v>
      </c>
      <c r="H23" s="120" t="str">
        <f>IF(VLOOKUP(A23,liste_groupe[],4,FALSE)="%",VLOOKUP(A23,liste_groupe[],3,FALSE)/100,IF(ISBLANK(VLOOKUP(A23,liste_groupe[],4,FALSE)),"Non","Non"))</f>
        <v>Non</v>
      </c>
      <c r="I23" s="129" t="e">
        <f t="shared" si="1"/>
        <v>#N/A</v>
      </c>
      <c r="J23" s="130">
        <v>64</v>
      </c>
      <c r="K23" s="131" t="e">
        <f t="shared" si="2"/>
        <v>#N/A</v>
      </c>
      <c r="L23" s="126"/>
      <c r="M23" s="132" t="e">
        <f t="shared" si="3"/>
        <v>#N/A</v>
      </c>
      <c r="N23" s="93" t="e">
        <f>IF(H23="Non",CONCATENATE(VLOOKUP(A23,liste_groupe[],5,FALSE),"-",VLOOKUP(A23,liste_groupe[],3,FALSE),VLOOKUP(A23,liste_groupe[],4,FALSE)," : ",ROUND(K23,0),"%"),CONCATENATE(VLOOKUP(A23,liste_groupe[],5,FALSE)," : ",ROUND(K23,0),"%"))</f>
        <v>#N/A</v>
      </c>
      <c r="O23" s="1"/>
    </row>
    <row r="24" spans="1:15" s="77" customFormat="1" ht="15.5" x14ac:dyDescent="0.35">
      <c r="A24" s="80" t="str">
        <f>'Page de garde'!A32</f>
        <v xml:space="preserve"> </v>
      </c>
      <c r="B24" s="100"/>
      <c r="C24" s="80"/>
      <c r="D24" s="80"/>
      <c r="E24" s="82"/>
      <c r="F24" s="98" t="e">
        <f>HLOOKUP(A24,'pooled normalised values'!$B$74:$V$83,10,FALSE)</f>
        <v>#N/A</v>
      </c>
      <c r="G24" s="129" t="e">
        <f t="shared" si="4"/>
        <v>#N/A</v>
      </c>
      <c r="H24" s="120" t="str">
        <f>IF(VLOOKUP(A24,liste_groupe[],4,FALSE)="%",VLOOKUP(A24,liste_groupe[],3,FALSE)/100,IF(ISBLANK(VLOOKUP(A24,liste_groupe[],4,FALSE)),"Non","Non"))</f>
        <v>Non</v>
      </c>
      <c r="I24" s="129" t="e">
        <f t="shared" si="1"/>
        <v>#N/A</v>
      </c>
      <c r="J24" s="130">
        <v>64</v>
      </c>
      <c r="K24" s="131" t="e">
        <f t="shared" si="2"/>
        <v>#N/A</v>
      </c>
      <c r="L24" s="126"/>
      <c r="M24" s="132" t="e">
        <f t="shared" si="3"/>
        <v>#N/A</v>
      </c>
      <c r="N24" s="93" t="e">
        <f>IF(H24="Non",CONCATENATE(VLOOKUP(A24,liste_groupe[],5,FALSE),"-",VLOOKUP(A24,liste_groupe[],3,FALSE),VLOOKUP(A24,liste_groupe[],4,FALSE)," : ",ROUND(K24,0),"%"),CONCATENATE(VLOOKUP(A24,liste_groupe[],5,FALSE)," : ",ROUND(K24,0),"%"))</f>
        <v>#N/A</v>
      </c>
      <c r="O24" s="1"/>
    </row>
    <row r="25" spans="1:15" s="77" customFormat="1" ht="15.5" x14ac:dyDescent="0.35">
      <c r="A25" s="80" t="str">
        <f>'Page de garde'!A33</f>
        <v xml:space="preserve"> </v>
      </c>
      <c r="B25" s="100"/>
      <c r="C25" s="80"/>
      <c r="D25" s="80"/>
      <c r="E25" s="82"/>
      <c r="F25" s="98" t="e">
        <f>HLOOKUP(A25,'pooled normalised values'!$B$74:$V$83,10,FALSE)</f>
        <v>#N/A</v>
      </c>
      <c r="G25" s="129" t="e">
        <f t="shared" si="4"/>
        <v>#N/A</v>
      </c>
      <c r="H25" s="120" t="str">
        <f>IF(VLOOKUP(A25,liste_groupe[],4,FALSE)="%",VLOOKUP(A25,liste_groupe[],3,FALSE)/100,IF(ISBLANK(VLOOKUP(A25,liste_groupe[],4,FALSE)),"Non","Non"))</f>
        <v>Non</v>
      </c>
      <c r="I25" s="129" t="e">
        <f t="shared" si="1"/>
        <v>#N/A</v>
      </c>
      <c r="J25" s="130">
        <v>64</v>
      </c>
      <c r="K25" s="131" t="e">
        <f t="shared" si="2"/>
        <v>#N/A</v>
      </c>
      <c r="L25" s="126"/>
      <c r="M25" s="132" t="e">
        <f t="shared" si="3"/>
        <v>#N/A</v>
      </c>
      <c r="N25" s="93" t="e">
        <f>IF(H25="Non",CONCATENATE(VLOOKUP(A25,liste_groupe[],5,FALSE),"-",VLOOKUP(A25,liste_groupe[],3,FALSE),VLOOKUP(A25,liste_groupe[],4,FALSE)," : ",ROUND(K25,0),"%"),CONCATENATE(VLOOKUP(A25,liste_groupe[],5,FALSE)," : ",ROUND(K25,0),"%"))</f>
        <v>#N/A</v>
      </c>
      <c r="O25" s="1"/>
    </row>
    <row r="26" spans="1:15" s="77" customFormat="1" ht="15.5" x14ac:dyDescent="0.35">
      <c r="A26" s="80" t="str">
        <f>'Page de garde'!A34</f>
        <v xml:space="preserve"> </v>
      </c>
      <c r="B26" s="99"/>
      <c r="C26" s="86"/>
      <c r="D26" s="86"/>
      <c r="E26" s="82"/>
      <c r="F26" s="98" t="e">
        <f>HLOOKUP(A26,'pooled normalised values'!$B$74:$V$83,10,FALSE)</f>
        <v>#N/A</v>
      </c>
      <c r="G26" s="129" t="e">
        <f t="shared" ref="G26" si="5">IF(F26="NS","NC",ROUND(B26,2-(1+INT(LOG10(ABS(B26))))))</f>
        <v>#N/A</v>
      </c>
      <c r="H26" s="120" t="str">
        <f>IF(VLOOKUP(A26,liste_groupe[],4,FALSE)="%",VLOOKUP(A26,liste_groupe[],3,FALSE)/100,IF(ISBLANK(VLOOKUP(A26,liste_groupe[],4,FALSE)),"Non","Non"))</f>
        <v>Non</v>
      </c>
      <c r="I26" s="129" t="e">
        <f t="shared" si="1"/>
        <v>#N/A</v>
      </c>
      <c r="J26" s="130">
        <v>64</v>
      </c>
      <c r="K26" s="131" t="e">
        <f t="shared" si="2"/>
        <v>#N/A</v>
      </c>
      <c r="L26" s="126"/>
      <c r="M26" s="132" t="e">
        <f t="shared" si="3"/>
        <v>#N/A</v>
      </c>
      <c r="N26" s="93" t="e">
        <f>IF(H26="Non",CONCATENATE(VLOOKUP(A26,liste_groupe[],5,FALSE),"-",VLOOKUP(A26,liste_groupe[],3,FALSE),VLOOKUP(A26,liste_groupe[],4,FALSE)," : ",ROUND(K26,0),"%"),CONCATENATE(VLOOKUP(A26,liste_groupe[],5,FALSE)," : ",ROUND(K26,0),"%"))</f>
        <v>#N/A</v>
      </c>
      <c r="O26"/>
    </row>
    <row r="27" spans="1:15" s="77" customFormat="1" ht="15.5" x14ac:dyDescent="0.35">
      <c r="A27"/>
      <c r="B27"/>
      <c r="C27"/>
      <c r="D27"/>
      <c r="E27"/>
      <c r="F27"/>
      <c r="G27"/>
      <c r="H27"/>
      <c r="I27"/>
      <c r="J27"/>
      <c r="K27"/>
      <c r="L27"/>
      <c r="M27"/>
      <c r="N27"/>
      <c r="O27" s="1"/>
    </row>
    <row r="28" spans="1:15" s="77" customFormat="1" ht="31.5" thickBot="1" x14ac:dyDescent="0.4">
      <c r="A28"/>
      <c r="B28" s="88" t="s">
        <v>25</v>
      </c>
      <c r="C28" s="88" t="s">
        <v>26</v>
      </c>
      <c r="D28" s="88" t="s">
        <v>27</v>
      </c>
      <c r="E28" s="89" t="s">
        <v>64</v>
      </c>
      <c r="F28" s="127" t="s">
        <v>80</v>
      </c>
      <c r="G28" s="95" t="s">
        <v>42</v>
      </c>
      <c r="H28" s="95" t="s">
        <v>65</v>
      </c>
      <c r="I28" s="95" t="s">
        <v>66</v>
      </c>
      <c r="J28" s="96" t="s">
        <v>77</v>
      </c>
      <c r="K28" s="96" t="s">
        <v>67</v>
      </c>
      <c r="L28" s="97" t="s">
        <v>76</v>
      </c>
      <c r="M28" s="97" t="s">
        <v>68</v>
      </c>
      <c r="N28" s="97" t="s">
        <v>69</v>
      </c>
      <c r="O28" s="1"/>
    </row>
    <row r="29" spans="1:15" s="77" customFormat="1" ht="15.5" x14ac:dyDescent="0.35">
      <c r="A29" s="84" t="s">
        <v>29</v>
      </c>
      <c r="B29" s="100"/>
      <c r="C29" s="80"/>
      <c r="D29" s="80"/>
      <c r="E29" s="82"/>
      <c r="F29" s="91"/>
      <c r="G29" s="134"/>
      <c r="H29" s="121"/>
      <c r="I29" s="121"/>
      <c r="J29" s="122"/>
      <c r="K29" s="123"/>
      <c r="L29" s="125"/>
      <c r="M29" s="122"/>
      <c r="N29" s="92"/>
      <c r="O29"/>
    </row>
    <row r="30" spans="1:15" s="77" customFormat="1" ht="15.5" x14ac:dyDescent="0.35">
      <c r="A30" s="84" t="s">
        <v>31</v>
      </c>
      <c r="B30" s="100"/>
      <c r="C30" s="80"/>
      <c r="D30" s="80"/>
      <c r="E30" s="82"/>
      <c r="F30" s="91"/>
      <c r="G30" s="133" t="e">
        <f>IF(F30="NS","NC",ROUND(B30-$B$29,2-(1+INT(LOG10(ABS(B30-$B$29))))))</f>
        <v>#NUM!</v>
      </c>
      <c r="H30" s="121"/>
      <c r="I30" s="134"/>
      <c r="J30" s="135"/>
      <c r="K30" s="136"/>
      <c r="L30" s="135"/>
      <c r="M30" s="135"/>
      <c r="N30" s="137"/>
      <c r="O30"/>
    </row>
    <row r="31" spans="1:15" s="77" customFormat="1" ht="15.5" x14ac:dyDescent="0.35">
      <c r="A31" s="84" t="s">
        <v>30</v>
      </c>
      <c r="B31" s="100"/>
      <c r="C31" s="80"/>
      <c r="D31" s="80"/>
      <c r="E31" s="82"/>
      <c r="F31" s="91"/>
      <c r="G31" s="133" t="e">
        <f t="shared" ref="G31:G51" si="6">IF(F31="NS","NC",ROUND(B31-$B$29,2-(1+INT(LOG10(ABS(B31-$B$29))))))</f>
        <v>#NUM!</v>
      </c>
      <c r="H31" s="121"/>
      <c r="I31" s="134"/>
      <c r="J31" s="135"/>
      <c r="K31" s="136"/>
      <c r="L31" s="135"/>
      <c r="M31" s="135"/>
      <c r="N31" s="137"/>
    </row>
    <row r="32" spans="1:15" s="77" customFormat="1" ht="15.5" x14ac:dyDescent="0.35">
      <c r="A32" s="128" t="str">
        <f>'Page de garde'!A39</f>
        <v>CRO-0,1µg/L + Testostérone</v>
      </c>
      <c r="B32" s="100"/>
      <c r="C32" s="80"/>
      <c r="D32" s="80"/>
      <c r="E32" s="82"/>
      <c r="F32" s="94" t="str">
        <f>HLOOKUP(A32,'pooled normalised values'!$B$74:$V$83,10,FALSE)</f>
        <v>ns</v>
      </c>
      <c r="G32" s="133" t="str">
        <f t="shared" si="6"/>
        <v>NC</v>
      </c>
      <c r="H32" s="124" t="str">
        <f>IF(VLOOKUP(A32,liste_groupe[],4,FALSE)="%",VLOOKUP(A32,liste_groupe[],3,FALSE)/100,IF(ISBLANK(VLOOKUP(A32,liste_groupe[],4,FALSE)),"Non","Non"))</f>
        <v>Non</v>
      </c>
      <c r="I32" s="133" t="str">
        <f>IF(F32="NS","NC",IF(H32="Non",G32,G32*(1/H32)))</f>
        <v>NC</v>
      </c>
      <c r="J32" s="138" t="e">
        <f>IF(G32&lt;0,$G$31,$G$30)</f>
        <v>#NUM!</v>
      </c>
      <c r="K32" s="139">
        <f>IF(F32="NS",0,IF(I32&lt;0,-ROUND(I32/J32*100,0),ROUND(I32/J32*100,0)))</f>
        <v>0</v>
      </c>
      <c r="L32" s="140">
        <v>1</v>
      </c>
      <c r="M32" s="132">
        <f>IF(I32&lt;0,IF(K32&lt;-100,-125,K32),IF(K32&gt;100,125,K32))</f>
        <v>0</v>
      </c>
      <c r="N32" s="141" t="str">
        <f>IF(H32="Non",CONCATENATE(VLOOKUP(A32,liste_groupe[],5,FALSE),"-",VLOOKUP(A32,liste_groupe[],3,FALSE),VLOOKUP(A32,liste_groupe[],4,FALSE)," : ",ROUND(K32,0),"%"),CONCATENATE(VLOOKUP(A32,liste_groupe[],5,FALSE)," : ",ROUND(K32,0),"%"))</f>
        <v>CRO-0,1µg/L : 0%</v>
      </c>
    </row>
    <row r="33" spans="1:14" s="77" customFormat="1" ht="15.5" x14ac:dyDescent="0.35">
      <c r="A33" s="128" t="str">
        <f>'Page de garde'!A40</f>
        <v>CRO-1µg/L + Testostérone</v>
      </c>
      <c r="B33" s="99"/>
      <c r="C33" s="87"/>
      <c r="D33" s="87"/>
      <c r="E33" s="82"/>
      <c r="F33" s="94" t="str">
        <f>HLOOKUP(A33,'pooled normalised values'!$B$74:$V$83,10,FALSE)</f>
        <v>ns</v>
      </c>
      <c r="G33" s="133" t="str">
        <f>IF(F33="NS","NC",ROUND(B33-$B$29,2-(1+INT(LOG10(ABS(B33-$B$29))))))</f>
        <v>NC</v>
      </c>
      <c r="H33" s="124" t="str">
        <f>IF(VLOOKUP(A33,liste_groupe[],4,FALSE)="%",VLOOKUP(A33,liste_groupe[],3,FALSE)/100,IF(ISBLANK(VLOOKUP(A33,liste_groupe[],4,FALSE)),"Non","Non"))</f>
        <v>Non</v>
      </c>
      <c r="I33" s="133" t="str">
        <f t="shared" ref="I33:I51" si="7">IF(F33="NS","NC",IF(H33="Non",G33,G33*(1/H33)))</f>
        <v>NC</v>
      </c>
      <c r="J33" s="138" t="e">
        <f t="shared" ref="J33:J51" si="8">IF(G33&lt;0,$G$31,$G$30)</f>
        <v>#NUM!</v>
      </c>
      <c r="K33" s="139">
        <f t="shared" ref="K33:K51" si="9">IF(F33="NS",0,IF(I33&lt;0,-ROUND(I33/J33*100,0),ROUND(I33/J33*100,0)))</f>
        <v>0</v>
      </c>
      <c r="L33" s="140"/>
      <c r="M33" s="132">
        <f t="shared" ref="M33:M51" si="10">IF(I33&lt;0,IF(K33&lt;-100,-125,K33),IF(K33&gt;100,125,K33))</f>
        <v>0</v>
      </c>
      <c r="N33" s="141" t="str">
        <f>IF(H33="Non",CONCATENATE(VLOOKUP(A33,liste_groupe[],5,FALSE),"-",VLOOKUP(A33,liste_groupe[],3,FALSE),VLOOKUP(A33,liste_groupe[],4,FALSE)," : ",ROUND(K33,0),"%"),CONCATENATE(VLOOKUP(A33,liste_groupe[],5,FALSE)," : ",ROUND(K33,0),"%"))</f>
        <v>CRO-1µg/L : 0%</v>
      </c>
    </row>
    <row r="34" spans="1:14" s="77" customFormat="1" ht="15.5" x14ac:dyDescent="0.35">
      <c r="A34" s="128" t="str">
        <f>'Page de garde'!A41</f>
        <v>CRO-10µg/L + Testostérone</v>
      </c>
      <c r="B34" s="100"/>
      <c r="C34" s="80"/>
      <c r="D34" s="80"/>
      <c r="E34" s="82"/>
      <c r="F34" s="94" t="str">
        <f>HLOOKUP(A34,'pooled normalised values'!$B$74:$V$83,10,FALSE)</f>
        <v>ns</v>
      </c>
      <c r="G34" s="133" t="str">
        <f t="shared" si="6"/>
        <v>NC</v>
      </c>
      <c r="H34" s="124" t="str">
        <f>IF(VLOOKUP(A34,liste_groupe[],4,FALSE)="%",VLOOKUP(A34,liste_groupe[],3,FALSE)/100,IF(ISBLANK(VLOOKUP(A34,liste_groupe[],4,FALSE)),"Non","Non"))</f>
        <v>Non</v>
      </c>
      <c r="I34" s="133" t="str">
        <f t="shared" si="7"/>
        <v>NC</v>
      </c>
      <c r="J34" s="138" t="e">
        <f t="shared" si="8"/>
        <v>#NUM!</v>
      </c>
      <c r="K34" s="139">
        <f t="shared" si="9"/>
        <v>0</v>
      </c>
      <c r="L34" s="140"/>
      <c r="M34" s="132">
        <f t="shared" si="10"/>
        <v>0</v>
      </c>
      <c r="N34" s="141" t="str">
        <f>IF(H34="Non",CONCATENATE(VLOOKUP(A34,liste_groupe[],5,FALSE),"-",VLOOKUP(A34,liste_groupe[],3,FALSE),VLOOKUP(A34,liste_groupe[],4,FALSE)," : ",ROUND(K34,0),"%"),CONCATENATE(VLOOKUP(A34,liste_groupe[],5,FALSE)," : ",ROUND(K34,0),"%"))</f>
        <v>CRO-10µg/L : 0%</v>
      </c>
    </row>
    <row r="35" spans="1:14" s="77" customFormat="1" ht="15.5" x14ac:dyDescent="0.35">
      <c r="A35" s="128" t="str">
        <f>'Page de garde'!A42</f>
        <v>CRO-100µg/L + Testostérone</v>
      </c>
      <c r="B35" s="99"/>
      <c r="C35" s="87"/>
      <c r="D35" s="87"/>
      <c r="E35" s="82"/>
      <c r="F35" s="94" t="str">
        <f>HLOOKUP(A35,'pooled normalised values'!$B$74:$V$83,10,FALSE)</f>
        <v>ns</v>
      </c>
      <c r="G35" s="133" t="str">
        <f t="shared" si="6"/>
        <v>NC</v>
      </c>
      <c r="H35" s="124" t="str">
        <f>IF(VLOOKUP(A35,liste_groupe[],4,FALSE)="%",VLOOKUP(A35,liste_groupe[],3,FALSE)/100,IF(ISBLANK(VLOOKUP(A35,liste_groupe[],4,FALSE)),"Non","Non"))</f>
        <v>Non</v>
      </c>
      <c r="I35" s="133" t="str">
        <f t="shared" si="7"/>
        <v>NC</v>
      </c>
      <c r="J35" s="138" t="e">
        <f t="shared" si="8"/>
        <v>#NUM!</v>
      </c>
      <c r="K35" s="139">
        <f t="shared" si="9"/>
        <v>0</v>
      </c>
      <c r="L35" s="140"/>
      <c r="M35" s="132">
        <f t="shared" si="10"/>
        <v>0</v>
      </c>
      <c r="N35" s="141" t="str">
        <f>IF(H35="Non",CONCATENATE(VLOOKUP(A35,liste_groupe[],5,FALSE),"-",VLOOKUP(A35,liste_groupe[],3,FALSE),VLOOKUP(A35,liste_groupe[],4,FALSE)," : ",ROUND(K35,0),"%"),CONCATENATE(VLOOKUP(A35,liste_groupe[],5,FALSE)," : ",ROUND(K35,0),"%"))</f>
        <v>CRO-100µg/L : 0%</v>
      </c>
    </row>
    <row r="36" spans="1:14" s="77" customFormat="1" ht="15.5" x14ac:dyDescent="0.35">
      <c r="A36" s="128" t="str">
        <f>'Page de garde'!A43</f>
        <v>CRO-1000µg/L + Testostérone</v>
      </c>
      <c r="B36" s="99"/>
      <c r="C36" s="87"/>
      <c r="D36" s="87"/>
      <c r="E36" s="82"/>
      <c r="F36" s="94" t="str">
        <f>HLOOKUP(A36,'pooled normalised values'!$B$74:$V$83,10,FALSE)</f>
        <v>ns</v>
      </c>
      <c r="G36" s="133" t="str">
        <f t="shared" si="6"/>
        <v>NC</v>
      </c>
      <c r="H36" s="124" t="str">
        <f>IF(VLOOKUP(A36,liste_groupe[],4,FALSE)="%",VLOOKUP(A36,liste_groupe[],3,FALSE)/100,IF(ISBLANK(VLOOKUP(A36,liste_groupe[],4,FALSE)),"Non","Non"))</f>
        <v>Non</v>
      </c>
      <c r="I36" s="133" t="str">
        <f t="shared" si="7"/>
        <v>NC</v>
      </c>
      <c r="J36" s="138" t="e">
        <f t="shared" si="8"/>
        <v>#NUM!</v>
      </c>
      <c r="K36" s="139">
        <f t="shared" si="9"/>
        <v>0</v>
      </c>
      <c r="L36" s="140"/>
      <c r="M36" s="132">
        <f t="shared" si="10"/>
        <v>0</v>
      </c>
      <c r="N36" s="141" t="str">
        <f>IF(H36="Non",CONCATENATE(VLOOKUP(A36,liste_groupe[],5,FALSE),"-",VLOOKUP(A36,liste_groupe[],3,FALSE),VLOOKUP(A36,liste_groupe[],4,FALSE)," : ",ROUND(K36,0),"%"),CONCATENATE(VLOOKUP(A36,liste_groupe[],5,FALSE)," : ",ROUND(K36,0),"%"))</f>
        <v>CRO-1000µg/L : 0%</v>
      </c>
    </row>
    <row r="37" spans="1:14" s="77" customFormat="1" ht="15.5" x14ac:dyDescent="0.35">
      <c r="A37" s="128" t="str">
        <f>'Page de garde'!A44</f>
        <v>0-00 + Testostérone</v>
      </c>
      <c r="B37" s="99"/>
      <c r="C37" s="87"/>
      <c r="D37" s="87"/>
      <c r="E37" s="82"/>
      <c r="F37" s="94" t="e">
        <f>HLOOKUP(A37,'pooled normalised values'!$B$74:$V$83,10,FALSE)</f>
        <v>#N/A</v>
      </c>
      <c r="G37" s="133" t="e">
        <f t="shared" si="6"/>
        <v>#N/A</v>
      </c>
      <c r="H37" s="124" t="str">
        <f>IF(VLOOKUP(A37,liste_groupe[],4,FALSE)="%",VLOOKUP(A37,liste_groupe[],3,FALSE)/100,IF(ISBLANK(VLOOKUP(A37,liste_groupe[],4,FALSE)),"Non","Non"))</f>
        <v>Non</v>
      </c>
      <c r="I37" s="133" t="e">
        <f t="shared" si="7"/>
        <v>#N/A</v>
      </c>
      <c r="J37" s="138" t="e">
        <f t="shared" si="8"/>
        <v>#N/A</v>
      </c>
      <c r="K37" s="139" t="e">
        <f t="shared" si="9"/>
        <v>#N/A</v>
      </c>
      <c r="L37" s="140"/>
      <c r="M37" s="132" t="e">
        <f t="shared" si="10"/>
        <v>#N/A</v>
      </c>
      <c r="N37" s="141" t="e">
        <f>IF(H37="Non",CONCATENATE(VLOOKUP(A37,liste_groupe[],5,FALSE),"-",VLOOKUP(A37,liste_groupe[],3,FALSE),VLOOKUP(A37,liste_groupe[],4,FALSE)," : ",ROUND(K37,0),"%"),CONCATENATE(VLOOKUP(A37,liste_groupe[],5,FALSE)," : ",ROUND(K37,0),"%"))</f>
        <v>#N/A</v>
      </c>
    </row>
    <row r="38" spans="1:14" s="77" customFormat="1" ht="15.5" x14ac:dyDescent="0.35">
      <c r="A38" s="128" t="str">
        <f>'Page de garde'!A45</f>
        <v>0-00 + Testostérone</v>
      </c>
      <c r="B38" s="99"/>
      <c r="C38" s="87"/>
      <c r="D38" s="87"/>
      <c r="E38" s="82"/>
      <c r="F38" s="94" t="e">
        <f>HLOOKUP(A38,'pooled normalised values'!$B$74:$V$83,10,FALSE)</f>
        <v>#N/A</v>
      </c>
      <c r="G38" s="133" t="e">
        <f t="shared" si="6"/>
        <v>#N/A</v>
      </c>
      <c r="H38" s="124" t="str">
        <f>IF(VLOOKUP(A38,liste_groupe[],4,FALSE)="%",VLOOKUP(A38,liste_groupe[],3,FALSE)/100,IF(ISBLANK(VLOOKUP(A38,liste_groupe[],4,FALSE)),"Non","Non"))</f>
        <v>Non</v>
      </c>
      <c r="I38" s="133" t="e">
        <f t="shared" si="7"/>
        <v>#N/A</v>
      </c>
      <c r="J38" s="138" t="e">
        <f t="shared" si="8"/>
        <v>#N/A</v>
      </c>
      <c r="K38" s="139" t="e">
        <f t="shared" si="9"/>
        <v>#N/A</v>
      </c>
      <c r="L38" s="140"/>
      <c r="M38" s="132" t="e">
        <f t="shared" si="10"/>
        <v>#N/A</v>
      </c>
      <c r="N38" s="141" t="e">
        <f>IF(H38="Non",CONCATENATE(VLOOKUP(A38,liste_groupe[],5,FALSE),"-",VLOOKUP(A38,liste_groupe[],3,FALSE),VLOOKUP(A38,liste_groupe[],4,FALSE)," : ",ROUND(K38,0),"%"),CONCATENATE(VLOOKUP(A38,liste_groupe[],5,FALSE)," : ",ROUND(K38,0),"%"))</f>
        <v>#N/A</v>
      </c>
    </row>
    <row r="39" spans="1:14" s="77" customFormat="1" ht="15.5" x14ac:dyDescent="0.35">
      <c r="A39" s="128" t="str">
        <f>'Page de garde'!A46</f>
        <v>0-00 + Testostérone</v>
      </c>
      <c r="B39" s="99"/>
      <c r="C39" s="87"/>
      <c r="D39" s="87"/>
      <c r="E39" s="82"/>
      <c r="F39" s="94" t="e">
        <f>HLOOKUP(A39,'pooled normalised values'!$B$74:$V$83,10,FALSE)</f>
        <v>#N/A</v>
      </c>
      <c r="G39" s="133" t="e">
        <f t="shared" ref="G39:G50" si="11">IF(F39="NS","NC",ROUND(B39-$B$29,2-(1+INT(LOG10(ABS(B39-$B$29))))))</f>
        <v>#N/A</v>
      </c>
      <c r="H39" s="124" t="str">
        <f>IF(VLOOKUP(A39,liste_groupe[],4,FALSE)="%",VLOOKUP(A39,liste_groupe[],3,FALSE)/100,IF(ISBLANK(VLOOKUP(A39,liste_groupe[],4,FALSE)),"Non","Non"))</f>
        <v>Non</v>
      </c>
      <c r="I39" s="133" t="e">
        <f t="shared" si="7"/>
        <v>#N/A</v>
      </c>
      <c r="J39" s="138" t="e">
        <f t="shared" ref="J39:J50" si="12">IF(G39&lt;0,$G$31,$G$30)</f>
        <v>#N/A</v>
      </c>
      <c r="K39" s="139" t="e">
        <f t="shared" si="9"/>
        <v>#N/A</v>
      </c>
      <c r="L39" s="140"/>
      <c r="M39" s="132" t="e">
        <f t="shared" si="10"/>
        <v>#N/A</v>
      </c>
      <c r="N39" s="141" t="e">
        <f>IF(H39="Non",CONCATENATE(VLOOKUP(A39,liste_groupe[],5,FALSE),"-",VLOOKUP(A39,liste_groupe[],3,FALSE),VLOOKUP(A39,liste_groupe[],4,FALSE)," : ",ROUND(K39,0),"%"),CONCATENATE(VLOOKUP(A39,liste_groupe[],5,FALSE)," : ",ROUND(K39,0),"%"))</f>
        <v>#N/A</v>
      </c>
    </row>
    <row r="40" spans="1:14" s="77" customFormat="1" ht="15.5" x14ac:dyDescent="0.35">
      <c r="A40" s="128" t="str">
        <f>'Page de garde'!A47</f>
        <v>0-00 + Testostérone</v>
      </c>
      <c r="B40" s="99"/>
      <c r="C40" s="87"/>
      <c r="D40" s="87"/>
      <c r="E40" s="82"/>
      <c r="F40" s="94" t="e">
        <f>HLOOKUP(A40,'pooled normalised values'!$B$74:$V$83,10,FALSE)</f>
        <v>#N/A</v>
      </c>
      <c r="G40" s="133" t="e">
        <f t="shared" si="11"/>
        <v>#N/A</v>
      </c>
      <c r="H40" s="124" t="str">
        <f>IF(VLOOKUP(A40,liste_groupe[],4,FALSE)="%",VLOOKUP(A40,liste_groupe[],3,FALSE)/100,IF(ISBLANK(VLOOKUP(A40,liste_groupe[],4,FALSE)),"Non","Non"))</f>
        <v>Non</v>
      </c>
      <c r="I40" s="133" t="e">
        <f t="shared" si="7"/>
        <v>#N/A</v>
      </c>
      <c r="J40" s="138" t="e">
        <f t="shared" si="12"/>
        <v>#N/A</v>
      </c>
      <c r="K40" s="139" t="e">
        <f t="shared" si="9"/>
        <v>#N/A</v>
      </c>
      <c r="L40" s="140"/>
      <c r="M40" s="132" t="e">
        <f t="shared" si="10"/>
        <v>#N/A</v>
      </c>
      <c r="N40" s="141" t="e">
        <f>IF(H40="Non",CONCATENATE(VLOOKUP(A40,liste_groupe[],5,FALSE),"-",VLOOKUP(A40,liste_groupe[],3,FALSE),VLOOKUP(A40,liste_groupe[],4,FALSE)," : ",ROUND(K40,0),"%"),CONCATENATE(VLOOKUP(A40,liste_groupe[],5,FALSE)," : ",ROUND(K40,0),"%"))</f>
        <v>#N/A</v>
      </c>
    </row>
    <row r="41" spans="1:14" s="77" customFormat="1" ht="15.5" x14ac:dyDescent="0.35">
      <c r="A41" s="128" t="str">
        <f>'Page de garde'!A48</f>
        <v>0-00 + Testostérone</v>
      </c>
      <c r="B41" s="99"/>
      <c r="C41" s="87"/>
      <c r="D41" s="87"/>
      <c r="E41" s="82"/>
      <c r="F41" s="94" t="e">
        <f>HLOOKUP(A41,'pooled normalised values'!$B$74:$V$83,10,FALSE)</f>
        <v>#N/A</v>
      </c>
      <c r="G41" s="133" t="e">
        <f t="shared" si="11"/>
        <v>#N/A</v>
      </c>
      <c r="H41" s="124" t="str">
        <f>IF(VLOOKUP(A41,liste_groupe[],4,FALSE)="%",VLOOKUP(A41,liste_groupe[],3,FALSE)/100,IF(ISBLANK(VLOOKUP(A41,liste_groupe[],4,FALSE)),"Non","Non"))</f>
        <v>Non</v>
      </c>
      <c r="I41" s="133" t="e">
        <f t="shared" si="7"/>
        <v>#N/A</v>
      </c>
      <c r="J41" s="138" t="e">
        <f t="shared" si="12"/>
        <v>#N/A</v>
      </c>
      <c r="K41" s="139" t="e">
        <f t="shared" si="9"/>
        <v>#N/A</v>
      </c>
      <c r="L41" s="140"/>
      <c r="M41" s="132" t="e">
        <f t="shared" si="10"/>
        <v>#N/A</v>
      </c>
      <c r="N41" s="141" t="e">
        <f>IF(H41="Non",CONCATENATE(VLOOKUP(A41,liste_groupe[],5,FALSE),"-",VLOOKUP(A41,liste_groupe[],3,FALSE),VLOOKUP(A41,liste_groupe[],4,FALSE)," : ",ROUND(K41,0),"%"),CONCATENATE(VLOOKUP(A41,liste_groupe[],5,FALSE)," : ",ROUND(K41,0),"%"))</f>
        <v>#N/A</v>
      </c>
    </row>
    <row r="42" spans="1:14" s="77" customFormat="1" ht="15.5" x14ac:dyDescent="0.35">
      <c r="A42" s="128" t="str">
        <f>'Page de garde'!A49</f>
        <v>0-00 + Testostérone</v>
      </c>
      <c r="B42" s="99"/>
      <c r="C42" s="87"/>
      <c r="D42" s="87"/>
      <c r="E42" s="82"/>
      <c r="F42" s="94" t="e">
        <f>HLOOKUP(A42,'pooled normalised values'!$B$74:$V$83,10,FALSE)</f>
        <v>#N/A</v>
      </c>
      <c r="G42" s="133" t="e">
        <f t="shared" si="11"/>
        <v>#N/A</v>
      </c>
      <c r="H42" s="124" t="str">
        <f>IF(VLOOKUP(A42,liste_groupe[],4,FALSE)="%",VLOOKUP(A42,liste_groupe[],3,FALSE)/100,IF(ISBLANK(VLOOKUP(A42,liste_groupe[],4,FALSE)),"Non","Non"))</f>
        <v>Non</v>
      </c>
      <c r="I42" s="133" t="e">
        <f t="shared" si="7"/>
        <v>#N/A</v>
      </c>
      <c r="J42" s="138" t="e">
        <f t="shared" si="12"/>
        <v>#N/A</v>
      </c>
      <c r="K42" s="139" t="e">
        <f t="shared" si="9"/>
        <v>#N/A</v>
      </c>
      <c r="L42" s="140"/>
      <c r="M42" s="132" t="e">
        <f t="shared" si="10"/>
        <v>#N/A</v>
      </c>
      <c r="N42" s="141" t="e">
        <f>IF(H42="Non",CONCATENATE(VLOOKUP(A42,liste_groupe[],5,FALSE),"-",VLOOKUP(A42,liste_groupe[],3,FALSE),VLOOKUP(A42,liste_groupe[],4,FALSE)," : ",ROUND(K42,0),"%"),CONCATENATE(VLOOKUP(A42,liste_groupe[],5,FALSE)," : ",ROUND(K42,0),"%"))</f>
        <v>#N/A</v>
      </c>
    </row>
    <row r="43" spans="1:14" s="77" customFormat="1" ht="15.5" x14ac:dyDescent="0.35">
      <c r="A43" s="128" t="str">
        <f>'Page de garde'!A50</f>
        <v>0-00 + Testostérone</v>
      </c>
      <c r="B43" s="99"/>
      <c r="C43" s="87"/>
      <c r="D43" s="87"/>
      <c r="E43" s="82"/>
      <c r="F43" s="94" t="e">
        <f>HLOOKUP(A43,'pooled normalised values'!$B$74:$V$83,10,FALSE)</f>
        <v>#N/A</v>
      </c>
      <c r="G43" s="133" t="e">
        <f t="shared" si="11"/>
        <v>#N/A</v>
      </c>
      <c r="H43" s="124" t="str">
        <f>IF(VLOOKUP(A43,liste_groupe[],4,FALSE)="%",VLOOKUP(A43,liste_groupe[],3,FALSE)/100,IF(ISBLANK(VLOOKUP(A43,liste_groupe[],4,FALSE)),"Non","Non"))</f>
        <v>Non</v>
      </c>
      <c r="I43" s="133" t="e">
        <f t="shared" si="7"/>
        <v>#N/A</v>
      </c>
      <c r="J43" s="138" t="e">
        <f t="shared" si="12"/>
        <v>#N/A</v>
      </c>
      <c r="K43" s="139" t="e">
        <f t="shared" si="9"/>
        <v>#N/A</v>
      </c>
      <c r="L43" s="140"/>
      <c r="M43" s="132" t="e">
        <f t="shared" si="10"/>
        <v>#N/A</v>
      </c>
      <c r="N43" s="141" t="e">
        <f>IF(H43="Non",CONCATENATE(VLOOKUP(A43,liste_groupe[],5,FALSE),"-",VLOOKUP(A43,liste_groupe[],3,FALSE),VLOOKUP(A43,liste_groupe[],4,FALSE)," : ",ROUND(K43,0),"%"),CONCATENATE(VLOOKUP(A43,liste_groupe[],5,FALSE)," : ",ROUND(K43,0),"%"))</f>
        <v>#N/A</v>
      </c>
    </row>
    <row r="44" spans="1:14" s="77" customFormat="1" ht="15.5" x14ac:dyDescent="0.35">
      <c r="A44" s="128" t="str">
        <f>'Page de garde'!A51</f>
        <v>0-00 + Testostérone</v>
      </c>
      <c r="B44" s="99"/>
      <c r="C44" s="87"/>
      <c r="D44" s="87"/>
      <c r="E44" s="82"/>
      <c r="F44" s="94" t="e">
        <f>HLOOKUP(A44,'pooled normalised values'!$B$74:$V$83,10,FALSE)</f>
        <v>#N/A</v>
      </c>
      <c r="G44" s="133" t="e">
        <f t="shared" si="11"/>
        <v>#N/A</v>
      </c>
      <c r="H44" s="124" t="str">
        <f>IF(VLOOKUP(A44,liste_groupe[],4,FALSE)="%",VLOOKUP(A44,liste_groupe[],3,FALSE)/100,IF(ISBLANK(VLOOKUP(A44,liste_groupe[],4,FALSE)),"Non","Non"))</f>
        <v>Non</v>
      </c>
      <c r="I44" s="133" t="e">
        <f t="shared" si="7"/>
        <v>#N/A</v>
      </c>
      <c r="J44" s="138" t="e">
        <f t="shared" si="12"/>
        <v>#N/A</v>
      </c>
      <c r="K44" s="139" t="e">
        <f t="shared" si="9"/>
        <v>#N/A</v>
      </c>
      <c r="L44" s="140"/>
      <c r="M44" s="132" t="e">
        <f t="shared" si="10"/>
        <v>#N/A</v>
      </c>
      <c r="N44" s="141" t="e">
        <f>IF(H44="Non",CONCATENATE(VLOOKUP(A44,liste_groupe[],5,FALSE),"-",VLOOKUP(A44,liste_groupe[],3,FALSE),VLOOKUP(A44,liste_groupe[],4,FALSE)," : ",ROUND(K44,0),"%"),CONCATENATE(VLOOKUP(A44,liste_groupe[],5,FALSE)," : ",ROUND(K44,0),"%"))</f>
        <v>#N/A</v>
      </c>
    </row>
    <row r="45" spans="1:14" s="77" customFormat="1" ht="15.5" x14ac:dyDescent="0.35">
      <c r="A45" s="128" t="str">
        <f>'Page de garde'!A52</f>
        <v>0-00 + Testostérone</v>
      </c>
      <c r="B45" s="99"/>
      <c r="C45" s="87"/>
      <c r="D45" s="87"/>
      <c r="E45" s="82"/>
      <c r="F45" s="94" t="e">
        <f>HLOOKUP(A45,'pooled normalised values'!$B$74:$V$83,10,FALSE)</f>
        <v>#N/A</v>
      </c>
      <c r="G45" s="133" t="e">
        <f t="shared" si="11"/>
        <v>#N/A</v>
      </c>
      <c r="H45" s="124" t="str">
        <f>IF(VLOOKUP(A45,liste_groupe[],4,FALSE)="%",VLOOKUP(A45,liste_groupe[],3,FALSE)/100,IF(ISBLANK(VLOOKUP(A45,liste_groupe[],4,FALSE)),"Non","Non"))</f>
        <v>Non</v>
      </c>
      <c r="I45" s="133" t="e">
        <f t="shared" si="7"/>
        <v>#N/A</v>
      </c>
      <c r="J45" s="138" t="e">
        <f t="shared" si="12"/>
        <v>#N/A</v>
      </c>
      <c r="K45" s="139" t="e">
        <f t="shared" si="9"/>
        <v>#N/A</v>
      </c>
      <c r="L45" s="140"/>
      <c r="M45" s="132" t="e">
        <f t="shared" si="10"/>
        <v>#N/A</v>
      </c>
      <c r="N45" s="141" t="e">
        <f>IF(H45="Non",CONCATENATE(VLOOKUP(A45,liste_groupe[],5,FALSE),"-",VLOOKUP(A45,liste_groupe[],3,FALSE),VLOOKUP(A45,liste_groupe[],4,FALSE)," : ",ROUND(K45,0),"%"),CONCATENATE(VLOOKUP(A45,liste_groupe[],5,FALSE)," : ",ROUND(K45,0),"%"))</f>
        <v>#N/A</v>
      </c>
    </row>
    <row r="46" spans="1:14" s="77" customFormat="1" ht="15.5" x14ac:dyDescent="0.35">
      <c r="A46" s="128" t="str">
        <f>'Page de garde'!A53</f>
        <v>0-00 + Testostérone</v>
      </c>
      <c r="B46" s="99"/>
      <c r="C46" s="87"/>
      <c r="D46" s="87"/>
      <c r="E46" s="82"/>
      <c r="F46" s="94" t="e">
        <f>HLOOKUP(A46,'pooled normalised values'!$B$74:$V$83,10,FALSE)</f>
        <v>#N/A</v>
      </c>
      <c r="G46" s="133" t="e">
        <f t="shared" si="11"/>
        <v>#N/A</v>
      </c>
      <c r="H46" s="124" t="str">
        <f>IF(VLOOKUP(A46,liste_groupe[],4,FALSE)="%",VLOOKUP(A46,liste_groupe[],3,FALSE)/100,IF(ISBLANK(VLOOKUP(A46,liste_groupe[],4,FALSE)),"Non","Non"))</f>
        <v>Non</v>
      </c>
      <c r="I46" s="133" t="e">
        <f t="shared" si="7"/>
        <v>#N/A</v>
      </c>
      <c r="J46" s="138" t="e">
        <f t="shared" si="12"/>
        <v>#N/A</v>
      </c>
      <c r="K46" s="139" t="e">
        <f t="shared" si="9"/>
        <v>#N/A</v>
      </c>
      <c r="L46" s="140"/>
      <c r="M46" s="132" t="e">
        <f t="shared" si="10"/>
        <v>#N/A</v>
      </c>
      <c r="N46" s="141" t="e">
        <f>IF(H46="Non",CONCATENATE(VLOOKUP(A46,liste_groupe[],5,FALSE),"-",VLOOKUP(A46,liste_groupe[],3,FALSE),VLOOKUP(A46,liste_groupe[],4,FALSE)," : ",ROUND(K46,0),"%"),CONCATENATE(VLOOKUP(A46,liste_groupe[],5,FALSE)," : ",ROUND(K46,0),"%"))</f>
        <v>#N/A</v>
      </c>
    </row>
    <row r="47" spans="1:14" s="77" customFormat="1" ht="15.5" x14ac:dyDescent="0.35">
      <c r="A47" s="128" t="str">
        <f>'Page de garde'!A54</f>
        <v>0-00 + Testostérone</v>
      </c>
      <c r="B47" s="99"/>
      <c r="C47" s="87"/>
      <c r="D47" s="87"/>
      <c r="E47" s="82"/>
      <c r="F47" s="94" t="e">
        <f>HLOOKUP(A47,'pooled normalised values'!$B$74:$V$83,10,FALSE)</f>
        <v>#N/A</v>
      </c>
      <c r="G47" s="133" t="e">
        <f t="shared" si="11"/>
        <v>#N/A</v>
      </c>
      <c r="H47" s="124" t="str">
        <f>IF(VLOOKUP(A47,liste_groupe[],4,FALSE)="%",VLOOKUP(A47,liste_groupe[],3,FALSE)/100,IF(ISBLANK(VLOOKUP(A47,liste_groupe[],4,FALSE)),"Non","Non"))</f>
        <v>Non</v>
      </c>
      <c r="I47" s="133" t="e">
        <f t="shared" si="7"/>
        <v>#N/A</v>
      </c>
      <c r="J47" s="138" t="e">
        <f t="shared" si="12"/>
        <v>#N/A</v>
      </c>
      <c r="K47" s="139" t="e">
        <f t="shared" si="9"/>
        <v>#N/A</v>
      </c>
      <c r="L47" s="140"/>
      <c r="M47" s="132" t="e">
        <f t="shared" si="10"/>
        <v>#N/A</v>
      </c>
      <c r="N47" s="141" t="e">
        <f>IF(H47="Non",CONCATENATE(VLOOKUP(A47,liste_groupe[],5,FALSE),"-",VLOOKUP(A47,liste_groupe[],3,FALSE),VLOOKUP(A47,liste_groupe[],4,FALSE)," : ",ROUND(K47,0),"%"),CONCATENATE(VLOOKUP(A47,liste_groupe[],5,FALSE)," : ",ROUND(K47,0),"%"))</f>
        <v>#N/A</v>
      </c>
    </row>
    <row r="48" spans="1:14" s="77" customFormat="1" ht="15.5" x14ac:dyDescent="0.35">
      <c r="A48" s="128" t="str">
        <f>'Page de garde'!A55</f>
        <v>0-00 + Testostérone</v>
      </c>
      <c r="B48" s="99"/>
      <c r="C48" s="87"/>
      <c r="D48" s="87"/>
      <c r="E48" s="82"/>
      <c r="F48" s="94" t="e">
        <f>HLOOKUP(A48,'pooled normalised values'!$B$74:$V$83,10,FALSE)</f>
        <v>#N/A</v>
      </c>
      <c r="G48" s="133" t="e">
        <f t="shared" si="11"/>
        <v>#N/A</v>
      </c>
      <c r="H48" s="124" t="str">
        <f>IF(VLOOKUP(A48,liste_groupe[],4,FALSE)="%",VLOOKUP(A48,liste_groupe[],3,FALSE)/100,IF(ISBLANK(VLOOKUP(A48,liste_groupe[],4,FALSE)),"Non","Non"))</f>
        <v>Non</v>
      </c>
      <c r="I48" s="133" t="e">
        <f t="shared" si="7"/>
        <v>#N/A</v>
      </c>
      <c r="J48" s="138" t="e">
        <f t="shared" si="12"/>
        <v>#N/A</v>
      </c>
      <c r="K48" s="139" t="e">
        <f t="shared" si="9"/>
        <v>#N/A</v>
      </c>
      <c r="L48" s="140"/>
      <c r="M48" s="132" t="e">
        <f t="shared" si="10"/>
        <v>#N/A</v>
      </c>
      <c r="N48" s="141" t="e">
        <f>IF(H48="Non",CONCATENATE(VLOOKUP(A48,liste_groupe[],5,FALSE),"-",VLOOKUP(A48,liste_groupe[],3,FALSE),VLOOKUP(A48,liste_groupe[],4,FALSE)," : ",ROUND(K48,0),"%"),CONCATENATE(VLOOKUP(A48,liste_groupe[],5,FALSE)," : ",ROUND(K48,0),"%"))</f>
        <v>#N/A</v>
      </c>
    </row>
    <row r="49" spans="1:15" s="77" customFormat="1" ht="15.5" x14ac:dyDescent="0.35">
      <c r="A49" s="128" t="str">
        <f>'Page de garde'!A56</f>
        <v>0-00 + Testostérone</v>
      </c>
      <c r="B49" s="99"/>
      <c r="C49" s="87"/>
      <c r="D49" s="87"/>
      <c r="E49" s="82"/>
      <c r="F49" s="94" t="e">
        <f>HLOOKUP(A49,'pooled normalised values'!$B$74:$V$83,10,FALSE)</f>
        <v>#N/A</v>
      </c>
      <c r="G49" s="133" t="e">
        <f t="shared" si="11"/>
        <v>#N/A</v>
      </c>
      <c r="H49" s="124" t="str">
        <f>IF(VLOOKUP(A49,liste_groupe[],4,FALSE)="%",VLOOKUP(A49,liste_groupe[],3,FALSE)/100,IF(ISBLANK(VLOOKUP(A49,liste_groupe[],4,FALSE)),"Non","Non"))</f>
        <v>Non</v>
      </c>
      <c r="I49" s="133" t="e">
        <f t="shared" si="7"/>
        <v>#N/A</v>
      </c>
      <c r="J49" s="138" t="e">
        <f t="shared" si="12"/>
        <v>#N/A</v>
      </c>
      <c r="K49" s="139" t="e">
        <f t="shared" si="9"/>
        <v>#N/A</v>
      </c>
      <c r="L49" s="140"/>
      <c r="M49" s="132" t="e">
        <f t="shared" si="10"/>
        <v>#N/A</v>
      </c>
      <c r="N49" s="141" t="e">
        <f>IF(H49="Non",CONCATENATE(VLOOKUP(A49,liste_groupe[],5,FALSE),"-",VLOOKUP(A49,liste_groupe[],3,FALSE),VLOOKUP(A49,liste_groupe[],4,FALSE)," : ",ROUND(K49,0),"%"),CONCATENATE(VLOOKUP(A49,liste_groupe[],5,FALSE)," : ",ROUND(K49,0),"%"))</f>
        <v>#N/A</v>
      </c>
    </row>
    <row r="50" spans="1:15" s="77" customFormat="1" ht="15.5" x14ac:dyDescent="0.35">
      <c r="A50" s="128" t="str">
        <f>'Page de garde'!A57</f>
        <v>0-00 + Testostérone</v>
      </c>
      <c r="B50" s="99"/>
      <c r="C50" s="87"/>
      <c r="D50" s="87"/>
      <c r="E50" s="82"/>
      <c r="F50" s="94" t="e">
        <f>HLOOKUP(A50,'pooled normalised values'!$B$74:$V$83,10,FALSE)</f>
        <v>#N/A</v>
      </c>
      <c r="G50" s="133" t="e">
        <f t="shared" si="11"/>
        <v>#N/A</v>
      </c>
      <c r="H50" s="124" t="str">
        <f>IF(VLOOKUP(A50,liste_groupe[],4,FALSE)="%",VLOOKUP(A50,liste_groupe[],3,FALSE)/100,IF(ISBLANK(VLOOKUP(A50,liste_groupe[],4,FALSE)),"Non","Non"))</f>
        <v>Non</v>
      </c>
      <c r="I50" s="133" t="e">
        <f t="shared" si="7"/>
        <v>#N/A</v>
      </c>
      <c r="J50" s="138" t="e">
        <f t="shared" si="12"/>
        <v>#N/A</v>
      </c>
      <c r="K50" s="139" t="e">
        <f t="shared" si="9"/>
        <v>#N/A</v>
      </c>
      <c r="L50" s="140"/>
      <c r="M50" s="132" t="e">
        <f t="shared" si="10"/>
        <v>#N/A</v>
      </c>
      <c r="N50" s="141" t="e">
        <f>IF(H50="Non",CONCATENATE(VLOOKUP(A50,liste_groupe[],5,FALSE),"-",VLOOKUP(A50,liste_groupe[],3,FALSE),VLOOKUP(A50,liste_groupe[],4,FALSE)," : ",ROUND(K50,0),"%"),CONCATENATE(VLOOKUP(A50,liste_groupe[],5,FALSE)," : ",ROUND(K50,0),"%"))</f>
        <v>#N/A</v>
      </c>
    </row>
    <row r="51" spans="1:15" s="77" customFormat="1" ht="15.5" x14ac:dyDescent="0.35">
      <c r="A51" s="128" t="str">
        <f>'Page de garde'!A58</f>
        <v>0-00 + Testostérone</v>
      </c>
      <c r="B51" s="99"/>
      <c r="C51" s="87"/>
      <c r="D51" s="87"/>
      <c r="E51" s="82"/>
      <c r="F51" s="94" t="e">
        <f>HLOOKUP(A51,'pooled normalised values'!$B$74:$V$83,10,FALSE)</f>
        <v>#N/A</v>
      </c>
      <c r="G51" s="133" t="e">
        <f t="shared" si="6"/>
        <v>#N/A</v>
      </c>
      <c r="H51" s="124" t="str">
        <f>IF(VLOOKUP(A51,liste_groupe[],4,FALSE)="%",VLOOKUP(A51,liste_groupe[],3,FALSE)/100,IF(ISBLANK(VLOOKUP(A51,liste_groupe[],4,FALSE)),"Non","Non"))</f>
        <v>Non</v>
      </c>
      <c r="I51" s="133" t="e">
        <f t="shared" si="7"/>
        <v>#N/A</v>
      </c>
      <c r="J51" s="138" t="e">
        <f t="shared" si="8"/>
        <v>#N/A</v>
      </c>
      <c r="K51" s="139" t="e">
        <f t="shared" si="9"/>
        <v>#N/A</v>
      </c>
      <c r="L51" s="140"/>
      <c r="M51" s="132" t="e">
        <f t="shared" si="10"/>
        <v>#N/A</v>
      </c>
      <c r="N51" s="141" t="e">
        <f>IF(H51="Non",CONCATENATE(VLOOKUP(A51,liste_groupe[],5,FALSE),"-",VLOOKUP(A51,liste_groupe[],3,FALSE),VLOOKUP(A51,liste_groupe[],4,FALSE)," : ",ROUND(K51,0),"%"),CONCATENATE(VLOOKUP(A51,liste_groupe[],5,FALSE)," : ",ROUND(K51,0),"%"))</f>
        <v>#N/A</v>
      </c>
    </row>
    <row r="52" spans="1:15" s="77" customFormat="1" ht="16" thickBot="1" x14ac:dyDescent="0.4">
      <c r="E52" s="78"/>
      <c r="F52" s="78"/>
      <c r="G52" s="78"/>
      <c r="H52" s="78"/>
      <c r="I52" s="78"/>
      <c r="J52" s="78"/>
      <c r="K52" s="78"/>
      <c r="L52" s="78"/>
      <c r="M52" s="78"/>
      <c r="N52" s="78"/>
    </row>
    <row r="53" spans="1:15" s="48" customFormat="1" ht="26.5" thickBot="1" x14ac:dyDescent="0.4">
      <c r="A53" s="231" t="s">
        <v>60</v>
      </c>
      <c r="B53" s="232"/>
      <c r="C53" s="232"/>
      <c r="D53" s="232"/>
      <c r="E53" s="232"/>
      <c r="F53" s="232"/>
      <c r="G53" s="232"/>
      <c r="H53" s="232"/>
      <c r="I53" s="232"/>
      <c r="J53" s="232"/>
      <c r="K53" s="232"/>
      <c r="L53" s="232"/>
      <c r="M53" s="232"/>
      <c r="N53" s="232"/>
      <c r="O53" s="233"/>
    </row>
  </sheetData>
  <mergeCells count="3">
    <mergeCell ref="A2:O2"/>
    <mergeCell ref="A1:O1"/>
    <mergeCell ref="A53:O53"/>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53125" defaultRowHeight="14.5" x14ac:dyDescent="0.35"/>
  <cols>
    <col min="1" max="1" width="22.81640625" style="181" customWidth="1"/>
    <col min="2" max="2" width="46.26953125" style="181" customWidth="1"/>
    <col min="3" max="3" width="15.26953125" style="181" customWidth="1"/>
    <col min="4" max="4" width="24.7265625" style="181" customWidth="1"/>
    <col min="5" max="5" width="24.453125" style="181" customWidth="1"/>
    <col min="6" max="6" width="23.1796875" style="181" customWidth="1"/>
    <col min="7" max="7" width="21.26953125" style="181" customWidth="1"/>
    <col min="8" max="16384" width="11.453125" style="181"/>
  </cols>
  <sheetData>
    <row r="1" spans="1:7" ht="29.5" thickBot="1" x14ac:dyDescent="0.4">
      <c r="A1" s="186" t="s">
        <v>132</v>
      </c>
      <c r="B1" s="187" t="s">
        <v>133</v>
      </c>
      <c r="C1" s="187" t="s">
        <v>139</v>
      </c>
      <c r="D1" s="187" t="s">
        <v>138</v>
      </c>
      <c r="E1" s="187" t="s">
        <v>140</v>
      </c>
      <c r="F1" s="188" t="s">
        <v>141</v>
      </c>
      <c r="G1" s="189" t="s">
        <v>142</v>
      </c>
    </row>
    <row r="2" spans="1:7" ht="58" x14ac:dyDescent="0.35">
      <c r="A2" s="182" t="s">
        <v>134</v>
      </c>
      <c r="B2" s="183" t="s">
        <v>135</v>
      </c>
      <c r="C2" s="183" t="s">
        <v>136</v>
      </c>
      <c r="D2" s="183" t="s">
        <v>143</v>
      </c>
      <c r="E2" s="183" t="s">
        <v>137</v>
      </c>
      <c r="F2" s="184" t="s">
        <v>136</v>
      </c>
      <c r="G2" s="185" t="s">
        <v>136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19" width="14.81640625" style="17" customWidth="1"/>
    <col min="20" max="21" width="11.453125" style="17"/>
    <col min="22" max="22" width="13.54296875" style="17" bestFit="1" customWidth="1"/>
    <col min="23" max="34" width="13.54296875" style="17" customWidth="1"/>
    <col min="35" max="35" width="13.54296875" style="17" bestFit="1" customWidth="1"/>
    <col min="36" max="282" width="11.453125" style="17"/>
    <col min="283" max="283" width="18.7265625" style="17" customWidth="1"/>
    <col min="284" max="284" width="13.7265625" style="17" bestFit="1" customWidth="1"/>
    <col min="285" max="285" width="17.26953125" style="17" customWidth="1"/>
    <col min="286" max="286" width="11" style="17" customWidth="1"/>
    <col min="287" max="287" width="12" style="17" bestFit="1" customWidth="1"/>
    <col min="288" max="288" width="14.81640625" style="17" customWidth="1"/>
    <col min="289" max="538" width="11.453125" style="17"/>
    <col min="539" max="539" width="18.7265625" style="17" customWidth="1"/>
    <col min="540" max="540" width="13.7265625" style="17" bestFit="1" customWidth="1"/>
    <col min="541" max="541" width="17.26953125" style="17" customWidth="1"/>
    <col min="542" max="542" width="11" style="17" customWidth="1"/>
    <col min="543" max="543" width="12" style="17" bestFit="1" customWidth="1"/>
    <col min="544" max="544" width="14.81640625" style="17" customWidth="1"/>
    <col min="545" max="794" width="11.453125" style="17"/>
    <col min="795" max="795" width="18.7265625" style="17" customWidth="1"/>
    <col min="796" max="796" width="13.7265625" style="17" bestFit="1" customWidth="1"/>
    <col min="797" max="797" width="17.26953125" style="17" customWidth="1"/>
    <col min="798" max="798" width="11" style="17" customWidth="1"/>
    <col min="799" max="799" width="12" style="17" bestFit="1" customWidth="1"/>
    <col min="800" max="800" width="14.81640625" style="17" customWidth="1"/>
    <col min="801" max="1050" width="11.453125" style="17"/>
    <col min="1051" max="1051" width="18.7265625" style="17" customWidth="1"/>
    <col min="1052" max="1052" width="13.7265625" style="17" bestFit="1" customWidth="1"/>
    <col min="1053" max="1053" width="17.26953125" style="17" customWidth="1"/>
    <col min="1054" max="1054" width="11" style="17" customWidth="1"/>
    <col min="1055" max="1055" width="12" style="17" bestFit="1" customWidth="1"/>
    <col min="1056" max="1056" width="14.81640625" style="17" customWidth="1"/>
    <col min="1057" max="1306" width="11.453125" style="17"/>
    <col min="1307" max="1307" width="18.7265625" style="17" customWidth="1"/>
    <col min="1308" max="1308" width="13.7265625" style="17" bestFit="1" customWidth="1"/>
    <col min="1309" max="1309" width="17.26953125" style="17" customWidth="1"/>
    <col min="1310" max="1310" width="11" style="17" customWidth="1"/>
    <col min="1311" max="1311" width="12" style="17" bestFit="1" customWidth="1"/>
    <col min="1312" max="1312" width="14.81640625" style="17" customWidth="1"/>
    <col min="1313" max="1562" width="11.453125" style="17"/>
    <col min="1563" max="1563" width="18.7265625" style="17" customWidth="1"/>
    <col min="1564" max="1564" width="13.7265625" style="17" bestFit="1" customWidth="1"/>
    <col min="1565" max="1565" width="17.26953125" style="17" customWidth="1"/>
    <col min="1566" max="1566" width="11" style="17" customWidth="1"/>
    <col min="1567" max="1567" width="12" style="17" bestFit="1" customWidth="1"/>
    <col min="1568" max="1568" width="14.81640625" style="17" customWidth="1"/>
    <col min="1569" max="1818" width="11.453125" style="17"/>
    <col min="1819" max="1819" width="18.7265625" style="17" customWidth="1"/>
    <col min="1820" max="1820" width="13.7265625" style="17" bestFit="1" customWidth="1"/>
    <col min="1821" max="1821" width="17.26953125" style="17" customWidth="1"/>
    <col min="1822" max="1822" width="11" style="17" customWidth="1"/>
    <col min="1823" max="1823" width="12" style="17" bestFit="1" customWidth="1"/>
    <col min="1824" max="1824" width="14.81640625" style="17" customWidth="1"/>
    <col min="1825" max="2074" width="11.453125" style="17"/>
    <col min="2075" max="2075" width="18.7265625" style="17" customWidth="1"/>
    <col min="2076" max="2076" width="13.7265625" style="17" bestFit="1" customWidth="1"/>
    <col min="2077" max="2077" width="17.26953125" style="17" customWidth="1"/>
    <col min="2078" max="2078" width="11" style="17" customWidth="1"/>
    <col min="2079" max="2079" width="12" style="17" bestFit="1" customWidth="1"/>
    <col min="2080" max="2080" width="14.81640625" style="17" customWidth="1"/>
    <col min="2081" max="2330" width="11.453125" style="17"/>
    <col min="2331" max="2331" width="18.7265625" style="17" customWidth="1"/>
    <col min="2332" max="2332" width="13.7265625" style="17" bestFit="1" customWidth="1"/>
    <col min="2333" max="2333" width="17.26953125" style="17" customWidth="1"/>
    <col min="2334" max="2334" width="11" style="17" customWidth="1"/>
    <col min="2335" max="2335" width="12" style="17" bestFit="1" customWidth="1"/>
    <col min="2336" max="2336" width="14.81640625" style="17" customWidth="1"/>
    <col min="2337" max="2586" width="11.453125" style="17"/>
    <col min="2587" max="2587" width="18.7265625" style="17" customWidth="1"/>
    <col min="2588" max="2588" width="13.7265625" style="17" bestFit="1" customWidth="1"/>
    <col min="2589" max="2589" width="17.26953125" style="17" customWidth="1"/>
    <col min="2590" max="2590" width="11" style="17" customWidth="1"/>
    <col min="2591" max="2591" width="12" style="17" bestFit="1" customWidth="1"/>
    <col min="2592" max="2592" width="14.81640625" style="17" customWidth="1"/>
    <col min="2593" max="2842" width="11.453125" style="17"/>
    <col min="2843" max="2843" width="18.7265625" style="17" customWidth="1"/>
    <col min="2844" max="2844" width="13.7265625" style="17" bestFit="1" customWidth="1"/>
    <col min="2845" max="2845" width="17.26953125" style="17" customWidth="1"/>
    <col min="2846" max="2846" width="11" style="17" customWidth="1"/>
    <col min="2847" max="2847" width="12" style="17" bestFit="1" customWidth="1"/>
    <col min="2848" max="2848" width="14.81640625" style="17" customWidth="1"/>
    <col min="2849" max="3098" width="11.453125" style="17"/>
    <col min="3099" max="3099" width="18.7265625" style="17" customWidth="1"/>
    <col min="3100" max="3100" width="13.7265625" style="17" bestFit="1" customWidth="1"/>
    <col min="3101" max="3101" width="17.26953125" style="17" customWidth="1"/>
    <col min="3102" max="3102" width="11" style="17" customWidth="1"/>
    <col min="3103" max="3103" width="12" style="17" bestFit="1" customWidth="1"/>
    <col min="3104" max="3104" width="14.81640625" style="17" customWidth="1"/>
    <col min="3105" max="3354" width="11.453125" style="17"/>
    <col min="3355" max="3355" width="18.7265625" style="17" customWidth="1"/>
    <col min="3356" max="3356" width="13.7265625" style="17" bestFit="1" customWidth="1"/>
    <col min="3357" max="3357" width="17.26953125" style="17" customWidth="1"/>
    <col min="3358" max="3358" width="11" style="17" customWidth="1"/>
    <col min="3359" max="3359" width="12" style="17" bestFit="1" customWidth="1"/>
    <col min="3360" max="3360" width="14.81640625" style="17" customWidth="1"/>
    <col min="3361" max="3610" width="11.453125" style="17"/>
    <col min="3611" max="3611" width="18.7265625" style="17" customWidth="1"/>
    <col min="3612" max="3612" width="13.7265625" style="17" bestFit="1" customWidth="1"/>
    <col min="3613" max="3613" width="17.26953125" style="17" customWidth="1"/>
    <col min="3614" max="3614" width="11" style="17" customWidth="1"/>
    <col min="3615" max="3615" width="12" style="17" bestFit="1" customWidth="1"/>
    <col min="3616" max="3616" width="14.81640625" style="17" customWidth="1"/>
    <col min="3617" max="3866" width="11.453125" style="17"/>
    <col min="3867" max="3867" width="18.7265625" style="17" customWidth="1"/>
    <col min="3868" max="3868" width="13.7265625" style="17" bestFit="1" customWidth="1"/>
    <col min="3869" max="3869" width="17.26953125" style="17" customWidth="1"/>
    <col min="3870" max="3870" width="11" style="17" customWidth="1"/>
    <col min="3871" max="3871" width="12" style="17" bestFit="1" customWidth="1"/>
    <col min="3872" max="3872" width="14.81640625" style="17" customWidth="1"/>
    <col min="3873" max="4122" width="11.453125" style="17"/>
    <col min="4123" max="4123" width="18.7265625" style="17" customWidth="1"/>
    <col min="4124" max="4124" width="13.7265625" style="17" bestFit="1" customWidth="1"/>
    <col min="4125" max="4125" width="17.26953125" style="17" customWidth="1"/>
    <col min="4126" max="4126" width="11" style="17" customWidth="1"/>
    <col min="4127" max="4127" width="12" style="17" bestFit="1" customWidth="1"/>
    <col min="4128" max="4128" width="14.81640625" style="17" customWidth="1"/>
    <col min="4129" max="4378" width="11.453125" style="17"/>
    <col min="4379" max="4379" width="18.7265625" style="17" customWidth="1"/>
    <col min="4380" max="4380" width="13.7265625" style="17" bestFit="1" customWidth="1"/>
    <col min="4381" max="4381" width="17.26953125" style="17" customWidth="1"/>
    <col min="4382" max="4382" width="11" style="17" customWidth="1"/>
    <col min="4383" max="4383" width="12" style="17" bestFit="1" customWidth="1"/>
    <col min="4384" max="4384" width="14.81640625" style="17" customWidth="1"/>
    <col min="4385" max="4634" width="11.453125" style="17"/>
    <col min="4635" max="4635" width="18.7265625" style="17" customWidth="1"/>
    <col min="4636" max="4636" width="13.7265625" style="17" bestFit="1" customWidth="1"/>
    <col min="4637" max="4637" width="17.26953125" style="17" customWidth="1"/>
    <col min="4638" max="4638" width="11" style="17" customWidth="1"/>
    <col min="4639" max="4639" width="12" style="17" bestFit="1" customWidth="1"/>
    <col min="4640" max="4640" width="14.81640625" style="17" customWidth="1"/>
    <col min="4641" max="4890" width="11.453125" style="17"/>
    <col min="4891" max="4891" width="18.7265625" style="17" customWidth="1"/>
    <col min="4892" max="4892" width="13.7265625" style="17" bestFit="1" customWidth="1"/>
    <col min="4893" max="4893" width="17.26953125" style="17" customWidth="1"/>
    <col min="4894" max="4894" width="11" style="17" customWidth="1"/>
    <col min="4895" max="4895" width="12" style="17" bestFit="1" customWidth="1"/>
    <col min="4896" max="4896" width="14.81640625" style="17" customWidth="1"/>
    <col min="4897" max="5146" width="11.453125" style="17"/>
    <col min="5147" max="5147" width="18.7265625" style="17" customWidth="1"/>
    <col min="5148" max="5148" width="13.7265625" style="17" bestFit="1" customWidth="1"/>
    <col min="5149" max="5149" width="17.26953125" style="17" customWidth="1"/>
    <col min="5150" max="5150" width="11" style="17" customWidth="1"/>
    <col min="5151" max="5151" width="12" style="17" bestFit="1" customWidth="1"/>
    <col min="5152" max="5152" width="14.81640625" style="17" customWidth="1"/>
    <col min="5153" max="5402" width="11.453125" style="17"/>
    <col min="5403" max="5403" width="18.7265625" style="17" customWidth="1"/>
    <col min="5404" max="5404" width="13.7265625" style="17" bestFit="1" customWidth="1"/>
    <col min="5405" max="5405" width="17.26953125" style="17" customWidth="1"/>
    <col min="5406" max="5406" width="11" style="17" customWidth="1"/>
    <col min="5407" max="5407" width="12" style="17" bestFit="1" customWidth="1"/>
    <col min="5408" max="5408" width="14.81640625" style="17" customWidth="1"/>
    <col min="5409" max="5658" width="11.453125" style="17"/>
    <col min="5659" max="5659" width="18.7265625" style="17" customWidth="1"/>
    <col min="5660" max="5660" width="13.7265625" style="17" bestFit="1" customWidth="1"/>
    <col min="5661" max="5661" width="17.26953125" style="17" customWidth="1"/>
    <col min="5662" max="5662" width="11" style="17" customWidth="1"/>
    <col min="5663" max="5663" width="12" style="17" bestFit="1" customWidth="1"/>
    <col min="5664" max="5664" width="14.81640625" style="17" customWidth="1"/>
    <col min="5665" max="5914" width="11.453125" style="17"/>
    <col min="5915" max="5915" width="18.7265625" style="17" customWidth="1"/>
    <col min="5916" max="5916" width="13.7265625" style="17" bestFit="1" customWidth="1"/>
    <col min="5917" max="5917" width="17.26953125" style="17" customWidth="1"/>
    <col min="5918" max="5918" width="11" style="17" customWidth="1"/>
    <col min="5919" max="5919" width="12" style="17" bestFit="1" customWidth="1"/>
    <col min="5920" max="5920" width="14.81640625" style="17" customWidth="1"/>
    <col min="5921" max="6170" width="11.453125" style="17"/>
    <col min="6171" max="6171" width="18.7265625" style="17" customWidth="1"/>
    <col min="6172" max="6172" width="13.7265625" style="17" bestFit="1" customWidth="1"/>
    <col min="6173" max="6173" width="17.26953125" style="17" customWidth="1"/>
    <col min="6174" max="6174" width="11" style="17" customWidth="1"/>
    <col min="6175" max="6175" width="12" style="17" bestFit="1" customWidth="1"/>
    <col min="6176" max="6176" width="14.81640625" style="17" customWidth="1"/>
    <col min="6177" max="6426" width="11.453125" style="17"/>
    <col min="6427" max="6427" width="18.7265625" style="17" customWidth="1"/>
    <col min="6428" max="6428" width="13.7265625" style="17" bestFit="1" customWidth="1"/>
    <col min="6429" max="6429" width="17.26953125" style="17" customWidth="1"/>
    <col min="6430" max="6430" width="11" style="17" customWidth="1"/>
    <col min="6431" max="6431" width="12" style="17" bestFit="1" customWidth="1"/>
    <col min="6432" max="6432" width="14.81640625" style="17" customWidth="1"/>
    <col min="6433" max="6682" width="11.453125" style="17"/>
    <col min="6683" max="6683" width="18.7265625" style="17" customWidth="1"/>
    <col min="6684" max="6684" width="13.7265625" style="17" bestFit="1" customWidth="1"/>
    <col min="6685" max="6685" width="17.26953125" style="17" customWidth="1"/>
    <col min="6686" max="6686" width="11" style="17" customWidth="1"/>
    <col min="6687" max="6687" width="12" style="17" bestFit="1" customWidth="1"/>
    <col min="6688" max="6688" width="14.81640625" style="17" customWidth="1"/>
    <col min="6689" max="6938" width="11.453125" style="17"/>
    <col min="6939" max="6939" width="18.7265625" style="17" customWidth="1"/>
    <col min="6940" max="6940" width="13.7265625" style="17" bestFit="1" customWidth="1"/>
    <col min="6941" max="6941" width="17.26953125" style="17" customWidth="1"/>
    <col min="6942" max="6942" width="11" style="17" customWidth="1"/>
    <col min="6943" max="6943" width="12" style="17" bestFit="1" customWidth="1"/>
    <col min="6944" max="6944" width="14.81640625" style="17" customWidth="1"/>
    <col min="6945" max="7194" width="11.453125" style="17"/>
    <col min="7195" max="7195" width="18.7265625" style="17" customWidth="1"/>
    <col min="7196" max="7196" width="13.7265625" style="17" bestFit="1" customWidth="1"/>
    <col min="7197" max="7197" width="17.26953125" style="17" customWidth="1"/>
    <col min="7198" max="7198" width="11" style="17" customWidth="1"/>
    <col min="7199" max="7199" width="12" style="17" bestFit="1" customWidth="1"/>
    <col min="7200" max="7200" width="14.81640625" style="17" customWidth="1"/>
    <col min="7201" max="7450" width="11.453125" style="17"/>
    <col min="7451" max="7451" width="18.7265625" style="17" customWidth="1"/>
    <col min="7452" max="7452" width="13.7265625" style="17" bestFit="1" customWidth="1"/>
    <col min="7453" max="7453" width="17.26953125" style="17" customWidth="1"/>
    <col min="7454" max="7454" width="11" style="17" customWidth="1"/>
    <col min="7455" max="7455" width="12" style="17" bestFit="1" customWidth="1"/>
    <col min="7456" max="7456" width="14.81640625" style="17" customWidth="1"/>
    <col min="7457" max="7706" width="11.453125" style="17"/>
    <col min="7707" max="7707" width="18.7265625" style="17" customWidth="1"/>
    <col min="7708" max="7708" width="13.7265625" style="17" bestFit="1" customWidth="1"/>
    <col min="7709" max="7709" width="17.26953125" style="17" customWidth="1"/>
    <col min="7710" max="7710" width="11" style="17" customWidth="1"/>
    <col min="7711" max="7711" width="12" style="17" bestFit="1" customWidth="1"/>
    <col min="7712" max="7712" width="14.81640625" style="17" customWidth="1"/>
    <col min="7713" max="7962" width="11.453125" style="17"/>
    <col min="7963" max="7963" width="18.7265625" style="17" customWidth="1"/>
    <col min="7964" max="7964" width="13.7265625" style="17" bestFit="1" customWidth="1"/>
    <col min="7965" max="7965" width="17.26953125" style="17" customWidth="1"/>
    <col min="7966" max="7966" width="11" style="17" customWidth="1"/>
    <col min="7967" max="7967" width="12" style="17" bestFit="1" customWidth="1"/>
    <col min="7968" max="7968" width="14.81640625" style="17" customWidth="1"/>
    <col min="7969" max="8218" width="11.453125" style="17"/>
    <col min="8219" max="8219" width="18.7265625" style="17" customWidth="1"/>
    <col min="8220" max="8220" width="13.7265625" style="17" bestFit="1" customWidth="1"/>
    <col min="8221" max="8221" width="17.26953125" style="17" customWidth="1"/>
    <col min="8222" max="8222" width="11" style="17" customWidth="1"/>
    <col min="8223" max="8223" width="12" style="17" bestFit="1" customWidth="1"/>
    <col min="8224" max="8224" width="14.81640625" style="17" customWidth="1"/>
    <col min="8225" max="8474" width="11.453125" style="17"/>
    <col min="8475" max="8475" width="18.7265625" style="17" customWidth="1"/>
    <col min="8476" max="8476" width="13.7265625" style="17" bestFit="1" customWidth="1"/>
    <col min="8477" max="8477" width="17.26953125" style="17" customWidth="1"/>
    <col min="8478" max="8478" width="11" style="17" customWidth="1"/>
    <col min="8479" max="8479" width="12" style="17" bestFit="1" customWidth="1"/>
    <col min="8480" max="8480" width="14.81640625" style="17" customWidth="1"/>
    <col min="8481" max="8730" width="11.453125" style="17"/>
    <col min="8731" max="8731" width="18.7265625" style="17" customWidth="1"/>
    <col min="8732" max="8732" width="13.7265625" style="17" bestFit="1" customWidth="1"/>
    <col min="8733" max="8733" width="17.26953125" style="17" customWidth="1"/>
    <col min="8734" max="8734" width="11" style="17" customWidth="1"/>
    <col min="8735" max="8735" width="12" style="17" bestFit="1" customWidth="1"/>
    <col min="8736" max="8736" width="14.81640625" style="17" customWidth="1"/>
    <col min="8737" max="8986" width="11.453125" style="17"/>
    <col min="8987" max="8987" width="18.7265625" style="17" customWidth="1"/>
    <col min="8988" max="8988" width="13.7265625" style="17" bestFit="1" customWidth="1"/>
    <col min="8989" max="8989" width="17.26953125" style="17" customWidth="1"/>
    <col min="8990" max="8990" width="11" style="17" customWidth="1"/>
    <col min="8991" max="8991" width="12" style="17" bestFit="1" customWidth="1"/>
    <col min="8992" max="8992" width="14.81640625" style="17" customWidth="1"/>
    <col min="8993" max="9242" width="11.453125" style="17"/>
    <col min="9243" max="9243" width="18.7265625" style="17" customWidth="1"/>
    <col min="9244" max="9244" width="13.7265625" style="17" bestFit="1" customWidth="1"/>
    <col min="9245" max="9245" width="17.26953125" style="17" customWidth="1"/>
    <col min="9246" max="9246" width="11" style="17" customWidth="1"/>
    <col min="9247" max="9247" width="12" style="17" bestFit="1" customWidth="1"/>
    <col min="9248" max="9248" width="14.81640625" style="17" customWidth="1"/>
    <col min="9249" max="9498" width="11.453125" style="17"/>
    <col min="9499" max="9499" width="18.7265625" style="17" customWidth="1"/>
    <col min="9500" max="9500" width="13.7265625" style="17" bestFit="1" customWidth="1"/>
    <col min="9501" max="9501" width="17.26953125" style="17" customWidth="1"/>
    <col min="9502" max="9502" width="11" style="17" customWidth="1"/>
    <col min="9503" max="9503" width="12" style="17" bestFit="1" customWidth="1"/>
    <col min="9504" max="9504" width="14.81640625" style="17" customWidth="1"/>
    <col min="9505" max="9754" width="11.453125" style="17"/>
    <col min="9755" max="9755" width="18.7265625" style="17" customWidth="1"/>
    <col min="9756" max="9756" width="13.7265625" style="17" bestFit="1" customWidth="1"/>
    <col min="9757" max="9757" width="17.26953125" style="17" customWidth="1"/>
    <col min="9758" max="9758" width="11" style="17" customWidth="1"/>
    <col min="9759" max="9759" width="12" style="17" bestFit="1" customWidth="1"/>
    <col min="9760" max="9760" width="14.81640625" style="17" customWidth="1"/>
    <col min="9761" max="10010" width="11.453125" style="17"/>
    <col min="10011" max="10011" width="18.7265625" style="17" customWidth="1"/>
    <col min="10012" max="10012" width="13.7265625" style="17" bestFit="1" customWidth="1"/>
    <col min="10013" max="10013" width="17.26953125" style="17" customWidth="1"/>
    <col min="10014" max="10014" width="11" style="17" customWidth="1"/>
    <col min="10015" max="10015" width="12" style="17" bestFit="1" customWidth="1"/>
    <col min="10016" max="10016" width="14.81640625" style="17" customWidth="1"/>
    <col min="10017" max="10266" width="11.453125" style="17"/>
    <col min="10267" max="10267" width="18.7265625" style="17" customWidth="1"/>
    <col min="10268" max="10268" width="13.7265625" style="17" bestFit="1" customWidth="1"/>
    <col min="10269" max="10269" width="17.26953125" style="17" customWidth="1"/>
    <col min="10270" max="10270" width="11" style="17" customWidth="1"/>
    <col min="10271" max="10271" width="12" style="17" bestFit="1" customWidth="1"/>
    <col min="10272" max="10272" width="14.81640625" style="17" customWidth="1"/>
    <col min="10273" max="10522" width="11.453125" style="17"/>
    <col min="10523" max="10523" width="18.7265625" style="17" customWidth="1"/>
    <col min="10524" max="10524" width="13.7265625" style="17" bestFit="1" customWidth="1"/>
    <col min="10525" max="10525" width="17.26953125" style="17" customWidth="1"/>
    <col min="10526" max="10526" width="11" style="17" customWidth="1"/>
    <col min="10527" max="10527" width="12" style="17" bestFit="1" customWidth="1"/>
    <col min="10528" max="10528" width="14.81640625" style="17" customWidth="1"/>
    <col min="10529" max="10778" width="11.453125" style="17"/>
    <col min="10779" max="10779" width="18.7265625" style="17" customWidth="1"/>
    <col min="10780" max="10780" width="13.7265625" style="17" bestFit="1" customWidth="1"/>
    <col min="10781" max="10781" width="17.26953125" style="17" customWidth="1"/>
    <col min="10782" max="10782" width="11" style="17" customWidth="1"/>
    <col min="10783" max="10783" width="12" style="17" bestFit="1" customWidth="1"/>
    <col min="10784" max="10784" width="14.81640625" style="17" customWidth="1"/>
    <col min="10785" max="11034" width="11.453125" style="17"/>
    <col min="11035" max="11035" width="18.7265625" style="17" customWidth="1"/>
    <col min="11036" max="11036" width="13.7265625" style="17" bestFit="1" customWidth="1"/>
    <col min="11037" max="11037" width="17.26953125" style="17" customWidth="1"/>
    <col min="11038" max="11038" width="11" style="17" customWidth="1"/>
    <col min="11039" max="11039" width="12" style="17" bestFit="1" customWidth="1"/>
    <col min="11040" max="11040" width="14.81640625" style="17" customWidth="1"/>
    <col min="11041" max="11290" width="11.453125" style="17"/>
    <col min="11291" max="11291" width="18.7265625" style="17" customWidth="1"/>
    <col min="11292" max="11292" width="13.7265625" style="17" bestFit="1" customWidth="1"/>
    <col min="11293" max="11293" width="17.26953125" style="17" customWidth="1"/>
    <col min="11294" max="11294" width="11" style="17" customWidth="1"/>
    <col min="11295" max="11295" width="12" style="17" bestFit="1" customWidth="1"/>
    <col min="11296" max="11296" width="14.81640625" style="17" customWidth="1"/>
    <col min="11297" max="11546" width="11.453125" style="17"/>
    <col min="11547" max="11547" width="18.7265625" style="17" customWidth="1"/>
    <col min="11548" max="11548" width="13.7265625" style="17" bestFit="1" customWidth="1"/>
    <col min="11549" max="11549" width="17.26953125" style="17" customWidth="1"/>
    <col min="11550" max="11550" width="11" style="17" customWidth="1"/>
    <col min="11551" max="11551" width="12" style="17" bestFit="1" customWidth="1"/>
    <col min="11552" max="11552" width="14.81640625" style="17" customWidth="1"/>
    <col min="11553" max="11802" width="11.453125" style="17"/>
    <col min="11803" max="11803" width="18.7265625" style="17" customWidth="1"/>
    <col min="11804" max="11804" width="13.7265625" style="17" bestFit="1" customWidth="1"/>
    <col min="11805" max="11805" width="17.26953125" style="17" customWidth="1"/>
    <col min="11806" max="11806" width="11" style="17" customWidth="1"/>
    <col min="11807" max="11807" width="12" style="17" bestFit="1" customWidth="1"/>
    <col min="11808" max="11808" width="14.81640625" style="17" customWidth="1"/>
    <col min="11809" max="12058" width="11.453125" style="17"/>
    <col min="12059" max="12059" width="18.7265625" style="17" customWidth="1"/>
    <col min="12060" max="12060" width="13.7265625" style="17" bestFit="1" customWidth="1"/>
    <col min="12061" max="12061" width="17.26953125" style="17" customWidth="1"/>
    <col min="12062" max="12062" width="11" style="17" customWidth="1"/>
    <col min="12063" max="12063" width="12" style="17" bestFit="1" customWidth="1"/>
    <col min="12064" max="12064" width="14.81640625" style="17" customWidth="1"/>
    <col min="12065" max="12314" width="11.453125" style="17"/>
    <col min="12315" max="12315" width="18.7265625" style="17" customWidth="1"/>
    <col min="12316" max="12316" width="13.7265625" style="17" bestFit="1" customWidth="1"/>
    <col min="12317" max="12317" width="17.26953125" style="17" customWidth="1"/>
    <col min="12318" max="12318" width="11" style="17" customWidth="1"/>
    <col min="12319" max="12319" width="12" style="17" bestFit="1" customWidth="1"/>
    <col min="12320" max="12320" width="14.81640625" style="17" customWidth="1"/>
    <col min="12321" max="12570" width="11.453125" style="17"/>
    <col min="12571" max="12571" width="18.7265625" style="17" customWidth="1"/>
    <col min="12572" max="12572" width="13.7265625" style="17" bestFit="1" customWidth="1"/>
    <col min="12573" max="12573" width="17.26953125" style="17" customWidth="1"/>
    <col min="12574" max="12574" width="11" style="17" customWidth="1"/>
    <col min="12575" max="12575" width="12" style="17" bestFit="1" customWidth="1"/>
    <col min="12576" max="12576" width="14.81640625" style="17" customWidth="1"/>
    <col min="12577" max="12826" width="11.453125" style="17"/>
    <col min="12827" max="12827" width="18.7265625" style="17" customWidth="1"/>
    <col min="12828" max="12828" width="13.7265625" style="17" bestFit="1" customWidth="1"/>
    <col min="12829" max="12829" width="17.26953125" style="17" customWidth="1"/>
    <col min="12830" max="12830" width="11" style="17" customWidth="1"/>
    <col min="12831" max="12831" width="12" style="17" bestFit="1" customWidth="1"/>
    <col min="12832" max="12832" width="14.81640625" style="17" customWidth="1"/>
    <col min="12833" max="13082" width="11.453125" style="17"/>
    <col min="13083" max="13083" width="18.7265625" style="17" customWidth="1"/>
    <col min="13084" max="13084" width="13.7265625" style="17" bestFit="1" customWidth="1"/>
    <col min="13085" max="13085" width="17.26953125" style="17" customWidth="1"/>
    <col min="13086" max="13086" width="11" style="17" customWidth="1"/>
    <col min="13087" max="13087" width="12" style="17" bestFit="1" customWidth="1"/>
    <col min="13088" max="13088" width="14.81640625" style="17" customWidth="1"/>
    <col min="13089" max="13338" width="11.453125" style="17"/>
    <col min="13339" max="13339" width="18.7265625" style="17" customWidth="1"/>
    <col min="13340" max="13340" width="13.7265625" style="17" bestFit="1" customWidth="1"/>
    <col min="13341" max="13341" width="17.26953125" style="17" customWidth="1"/>
    <col min="13342" max="13342" width="11" style="17" customWidth="1"/>
    <col min="13343" max="13343" width="12" style="17" bestFit="1" customWidth="1"/>
    <col min="13344" max="13344" width="14.81640625" style="17" customWidth="1"/>
    <col min="13345" max="13594" width="11.453125" style="17"/>
    <col min="13595" max="13595" width="18.7265625" style="17" customWidth="1"/>
    <col min="13596" max="13596" width="13.7265625" style="17" bestFit="1" customWidth="1"/>
    <col min="13597" max="13597" width="17.26953125" style="17" customWidth="1"/>
    <col min="13598" max="13598" width="11" style="17" customWidth="1"/>
    <col min="13599" max="13599" width="12" style="17" bestFit="1" customWidth="1"/>
    <col min="13600" max="13600" width="14.81640625" style="17" customWidth="1"/>
    <col min="13601" max="13850" width="11.453125" style="17"/>
    <col min="13851" max="13851" width="18.7265625" style="17" customWidth="1"/>
    <col min="13852" max="13852" width="13.7265625" style="17" bestFit="1" customWidth="1"/>
    <col min="13853" max="13853" width="17.26953125" style="17" customWidth="1"/>
    <col min="13854" max="13854" width="11" style="17" customWidth="1"/>
    <col min="13855" max="13855" width="12" style="17" bestFit="1" customWidth="1"/>
    <col min="13856" max="13856" width="14.81640625" style="17" customWidth="1"/>
    <col min="13857" max="14106" width="11.453125" style="17"/>
    <col min="14107" max="14107" width="18.7265625" style="17" customWidth="1"/>
    <col min="14108" max="14108" width="13.7265625" style="17" bestFit="1" customWidth="1"/>
    <col min="14109" max="14109" width="17.26953125" style="17" customWidth="1"/>
    <col min="14110" max="14110" width="11" style="17" customWidth="1"/>
    <col min="14111" max="14111" width="12" style="17" bestFit="1" customWidth="1"/>
    <col min="14112" max="14112" width="14.81640625" style="17" customWidth="1"/>
    <col min="14113" max="14362" width="11.453125" style="17"/>
    <col min="14363" max="14363" width="18.7265625" style="17" customWidth="1"/>
    <col min="14364" max="14364" width="13.7265625" style="17" bestFit="1" customWidth="1"/>
    <col min="14365" max="14365" width="17.26953125" style="17" customWidth="1"/>
    <col min="14366" max="14366" width="11" style="17" customWidth="1"/>
    <col min="14367" max="14367" width="12" style="17" bestFit="1" customWidth="1"/>
    <col min="14368" max="14368" width="14.81640625" style="17" customWidth="1"/>
    <col min="14369" max="14618" width="11.453125" style="17"/>
    <col min="14619" max="14619" width="18.7265625" style="17" customWidth="1"/>
    <col min="14620" max="14620" width="13.7265625" style="17" bestFit="1" customWidth="1"/>
    <col min="14621" max="14621" width="17.26953125" style="17" customWidth="1"/>
    <col min="14622" max="14622" width="11" style="17" customWidth="1"/>
    <col min="14623" max="14623" width="12" style="17" bestFit="1" customWidth="1"/>
    <col min="14624" max="14624" width="14.81640625" style="17" customWidth="1"/>
    <col min="14625" max="14874" width="11.453125" style="17"/>
    <col min="14875" max="14875" width="18.7265625" style="17" customWidth="1"/>
    <col min="14876" max="14876" width="13.7265625" style="17" bestFit="1" customWidth="1"/>
    <col min="14877" max="14877" width="17.26953125" style="17" customWidth="1"/>
    <col min="14878" max="14878" width="11" style="17" customWidth="1"/>
    <col min="14879" max="14879" width="12" style="17" bestFit="1" customWidth="1"/>
    <col min="14880" max="14880" width="14.81640625" style="17" customWidth="1"/>
    <col min="14881" max="15130" width="11.453125" style="17"/>
    <col min="15131" max="15131" width="18.7265625" style="17" customWidth="1"/>
    <col min="15132" max="15132" width="13.7265625" style="17" bestFit="1" customWidth="1"/>
    <col min="15133" max="15133" width="17.26953125" style="17" customWidth="1"/>
    <col min="15134" max="15134" width="11" style="17" customWidth="1"/>
    <col min="15135" max="15135" width="12" style="17" bestFit="1" customWidth="1"/>
    <col min="15136" max="15136" width="14.81640625" style="17" customWidth="1"/>
    <col min="15137" max="15386" width="11.453125" style="17"/>
    <col min="15387" max="15387" width="18.7265625" style="17" customWidth="1"/>
    <col min="15388" max="15388" width="13.7265625" style="17" bestFit="1" customWidth="1"/>
    <col min="15389" max="15389" width="17.26953125" style="17" customWidth="1"/>
    <col min="15390" max="15390" width="11" style="17" customWidth="1"/>
    <col min="15391" max="15391" width="12" style="17" bestFit="1" customWidth="1"/>
    <col min="15392" max="15392" width="14.81640625" style="17" customWidth="1"/>
    <col min="15393" max="15642" width="11.453125" style="17"/>
    <col min="15643" max="15643" width="18.7265625" style="17" customWidth="1"/>
    <col min="15644" max="15644" width="13.7265625" style="17" bestFit="1" customWidth="1"/>
    <col min="15645" max="15645" width="17.26953125" style="17" customWidth="1"/>
    <col min="15646" max="15646" width="11" style="17" customWidth="1"/>
    <col min="15647" max="15647" width="12" style="17" bestFit="1" customWidth="1"/>
    <col min="15648" max="15648" width="14.81640625" style="17" customWidth="1"/>
    <col min="15649" max="15898" width="11.453125" style="17"/>
    <col min="15899" max="15899" width="18.7265625" style="17" customWidth="1"/>
    <col min="15900" max="15900" width="13.7265625" style="17" bestFit="1" customWidth="1"/>
    <col min="15901" max="15901" width="17.26953125" style="17" customWidth="1"/>
    <col min="15902" max="15902" width="11" style="17" customWidth="1"/>
    <col min="15903" max="15903" width="12" style="17" bestFit="1" customWidth="1"/>
    <col min="15904" max="15904" width="14.81640625" style="17" customWidth="1"/>
    <col min="15905" max="16154" width="11.453125" style="17"/>
    <col min="16155" max="16155" width="18.7265625" style="17" customWidth="1"/>
    <col min="16156" max="16156" width="13.7265625" style="17" bestFit="1" customWidth="1"/>
    <col min="16157" max="16157" width="17.26953125" style="17" customWidth="1"/>
    <col min="16158" max="16158" width="11" style="17" customWidth="1"/>
    <col min="16159" max="16159" width="12" style="17" bestFit="1" customWidth="1"/>
    <col min="16160" max="16160" width="14.81640625" style="17" customWidth="1"/>
    <col min="16161" max="16384" width="11.453125" style="17"/>
  </cols>
  <sheetData>
    <row r="2" spans="1:37" x14ac:dyDescent="0.25">
      <c r="A2" s="17" t="s">
        <v>70</v>
      </c>
      <c r="B2" s="63">
        <f>'pooled normalised values'!B75</f>
        <v>0.11525812324323673</v>
      </c>
      <c r="D2" s="17" t="s">
        <v>9</v>
      </c>
      <c r="E2" s="18"/>
      <c r="F2" s="19" t="str">
        <f>'pooled normalised values'!J74</f>
        <v>CRO-1µg/L</v>
      </c>
      <c r="G2" s="19" t="str">
        <f>'pooled normalised values'!K74</f>
        <v>CRO-10µg/L</v>
      </c>
      <c r="H2" s="19" t="str">
        <f>'pooled normalised values'!L74</f>
        <v>CRO-100µg/L</v>
      </c>
      <c r="I2" s="19" t="str">
        <f>'pooled normalised values'!M74</f>
        <v>CRO-1000µg/L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CRO-0,1µg/L + Testostérone</v>
      </c>
      <c r="W2" s="19" t="str">
        <f>'pooled normalised values'!S74</f>
        <v>CRO-1µg/L + Testostérone</v>
      </c>
      <c r="X2" s="19" t="str">
        <f>'pooled normalised values'!T74</f>
        <v>CRO-10µg/L + Testostérone</v>
      </c>
      <c r="Y2" s="19" t="str">
        <f>'pooled normalised values'!U74</f>
        <v>CRO-100µg/L + Testostérone</v>
      </c>
      <c r="Z2" s="19" t="str">
        <f>'pooled normalised values'!V74</f>
        <v>CRO-1000µg/L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0.12701803421983057</v>
      </c>
      <c r="G3" s="19">
        <f>HLOOKUP(G2,'pooled normalised values'!C74:W83,2,FALSE)</f>
        <v>0.12223309338385988</v>
      </c>
      <c r="H3" s="19">
        <f>HLOOKUP(H2,'pooled normalised values'!C74:X83,2,FALSE)</f>
        <v>0.12575919981364317</v>
      </c>
      <c r="I3" s="19">
        <f>HLOOKUP(I2,'pooled normalised values'!D74:Y83,2,FALSE)</f>
        <v>0.12265267042017959</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1.0602283681720146</v>
      </c>
      <c r="W3" s="19">
        <f>HLOOKUP(W2,'pooled normalised values'!N74:AM83,2,FALSE)</f>
        <v>0.75146588067359388</v>
      </c>
      <c r="X3" s="19">
        <f>HLOOKUP(X2,'pooled normalised values'!N74:AN83,2,FALSE)</f>
        <v>0.98218472510057286</v>
      </c>
      <c r="Y3" s="19">
        <f>HLOOKUP(Y2,'pooled normalised values'!N74:AO83,2,FALSE)</f>
        <v>0.75278873347159203</v>
      </c>
      <c r="Z3" s="19">
        <f>HLOOKUP(Z2,'pooled normalised values'!N74:AP83,2,FALSE)</f>
        <v>0.94680836662032641</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1.0000000000000002</v>
      </c>
      <c r="D4" s="21" t="s">
        <v>2</v>
      </c>
      <c r="E4" s="22"/>
      <c r="F4" s="19">
        <f>HLOOKUP(F2,'pooled normalised values'!B74:V83,3,FALSE)</f>
        <v>2.6080218393484011E-2</v>
      </c>
      <c r="G4" s="19">
        <f>HLOOKUP(G2,'pooled normalised values'!C74:W83,3,FALSE)</f>
        <v>2.2870932743341312E-2</v>
      </c>
      <c r="H4" s="19">
        <f>HLOOKUP(H2,'pooled normalised values'!C74:X83,3,FALSE)</f>
        <v>1.821459836423869E-2</v>
      </c>
      <c r="I4" s="19">
        <f>HLOOKUP(I2,'pooled normalised values'!D74:Y83,3,FALSE)</f>
        <v>1.9841502940601795E-2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0.11976764050048916</v>
      </c>
      <c r="W4" s="19">
        <f>HLOOKUP(W2,'pooled normalised values'!N74:AM83,3,FALSE)</f>
        <v>0.11476785323354013</v>
      </c>
      <c r="X4" s="19">
        <f>HLOOKUP(X2,'pooled normalised values'!N74:AN83,3,FALSE)</f>
        <v>0.14385378765599266</v>
      </c>
      <c r="Y4" s="19">
        <f>HLOOKUP(Y2,'pooled normalised values'!N74:AO83,3,FALSE)</f>
        <v>7.6819668316290557E-2</v>
      </c>
      <c r="Z4" s="19">
        <f>HLOOKUP(Z2,'pooled normalised values'!N74:AP83,3,FALSE)</f>
        <v>9.1407118893083519E-2</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2.1660244639134763</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ns</v>
      </c>
      <c r="Y5" s="19" t="str">
        <f>HLOOKUP(Y2,'pooled normalised values'!N74:AO83,10,FALSE)</f>
        <v>ns</v>
      </c>
      <c r="Z5" s="19" t="str">
        <f>HLOOKUP(Z2,'pooled normalised values'!N74:AP83,10,FALSE)</f>
        <v>ns</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0.11585088745903051</v>
      </c>
      <c r="D6" s="21" t="s">
        <v>12</v>
      </c>
      <c r="E6" s="24">
        <f>$B$2</f>
        <v>0.11525812324323673</v>
      </c>
      <c r="F6" s="24">
        <f>$B$2</f>
        <v>0.11525812324323673</v>
      </c>
      <c r="G6" s="24">
        <f t="shared" ref="G6:R6" si="0">$B$2</f>
        <v>0.11525812324323673</v>
      </c>
      <c r="H6" s="24">
        <f t="shared" si="0"/>
        <v>0.11525812324323673</v>
      </c>
      <c r="I6" s="24">
        <f t="shared" si="0"/>
        <v>0.11525812324323673</v>
      </c>
      <c r="J6" s="24">
        <f t="shared" si="0"/>
        <v>0.11525812324323673</v>
      </c>
      <c r="K6" s="24">
        <f t="shared" si="0"/>
        <v>0.11525812324323673</v>
      </c>
      <c r="L6" s="24">
        <f t="shared" si="0"/>
        <v>0.11525812324323673</v>
      </c>
      <c r="M6" s="24">
        <f t="shared" si="0"/>
        <v>0.11525812324323673</v>
      </c>
      <c r="N6" s="24">
        <f t="shared" si="0"/>
        <v>0.11525812324323673</v>
      </c>
      <c r="O6" s="24">
        <f t="shared" si="0"/>
        <v>0.11525812324323673</v>
      </c>
      <c r="P6" s="24">
        <f t="shared" si="0"/>
        <v>0.11525812324323673</v>
      </c>
      <c r="Q6" s="24">
        <f t="shared" si="0"/>
        <v>0.11525812324323673</v>
      </c>
      <c r="R6" s="24">
        <f t="shared" si="0"/>
        <v>0.11525812324323673</v>
      </c>
      <c r="S6" s="24">
        <f>$B$2</f>
        <v>0.11525812324323673</v>
      </c>
      <c r="T6" s="24">
        <f>$B$2</f>
        <v>0.11525812324323673</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1.0000000000000002</v>
      </c>
      <c r="V7" s="25">
        <f t="shared" si="1"/>
        <v>1.0000000000000002</v>
      </c>
      <c r="W7" s="25">
        <f t="shared" si="1"/>
        <v>1.0000000000000002</v>
      </c>
      <c r="X7" s="25">
        <f t="shared" si="1"/>
        <v>1.0000000000000002</v>
      </c>
      <c r="Y7" s="25">
        <f t="shared" si="1"/>
        <v>1.0000000000000002</v>
      </c>
      <c r="Z7" s="25">
        <f t="shared" si="1"/>
        <v>1.0000000000000002</v>
      </c>
      <c r="AA7" s="25">
        <f t="shared" si="1"/>
        <v>1.0000000000000002</v>
      </c>
      <c r="AB7" s="25">
        <f t="shared" si="1"/>
        <v>1.0000000000000002</v>
      </c>
      <c r="AC7" s="25">
        <f t="shared" si="1"/>
        <v>1.0000000000000002</v>
      </c>
      <c r="AD7" s="25">
        <f t="shared" si="1"/>
        <v>1.0000000000000002</v>
      </c>
      <c r="AE7" s="25">
        <f t="shared" si="1"/>
        <v>1.0000000000000002</v>
      </c>
      <c r="AF7" s="25">
        <f t="shared" si="1"/>
        <v>1.0000000000000002</v>
      </c>
      <c r="AG7" s="25">
        <f t="shared" si="1"/>
        <v>1.0000000000000002</v>
      </c>
      <c r="AH7" s="25">
        <f t="shared" si="1"/>
        <v>1.0000000000000002</v>
      </c>
      <c r="AI7" s="25">
        <f t="shared" si="1"/>
        <v>1.0000000000000002</v>
      </c>
      <c r="AJ7" s="25">
        <f t="shared" si="1"/>
        <v>1.0000000000000002</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0.11585088745903051</v>
      </c>
      <c r="V8" s="25">
        <f t="shared" ref="V8:AJ8" si="2">$B$6</f>
        <v>0.11585088745903051</v>
      </c>
      <c r="W8" s="25">
        <f t="shared" si="2"/>
        <v>0.11585088745903051</v>
      </c>
      <c r="X8" s="25">
        <f t="shared" si="2"/>
        <v>0.11585088745903051</v>
      </c>
      <c r="Y8" s="25">
        <f t="shared" si="2"/>
        <v>0.11585088745903051</v>
      </c>
      <c r="Z8" s="25">
        <f t="shared" si="2"/>
        <v>0.11585088745903051</v>
      </c>
      <c r="AA8" s="25">
        <f t="shared" si="2"/>
        <v>0.11585088745903051</v>
      </c>
      <c r="AB8" s="25">
        <f t="shared" si="2"/>
        <v>0.11585088745903051</v>
      </c>
      <c r="AC8" s="25">
        <f t="shared" si="2"/>
        <v>0.11585088745903051</v>
      </c>
      <c r="AD8" s="25">
        <f t="shared" si="2"/>
        <v>0.11585088745903051</v>
      </c>
      <c r="AE8" s="25">
        <f t="shared" si="2"/>
        <v>0.11585088745903051</v>
      </c>
      <c r="AF8" s="25">
        <f t="shared" si="2"/>
        <v>0.11585088745903051</v>
      </c>
      <c r="AG8" s="25">
        <f t="shared" si="2"/>
        <v>0.11585088745903051</v>
      </c>
      <c r="AH8" s="25">
        <f t="shared" si="2"/>
        <v>0.11585088745903051</v>
      </c>
      <c r="AI8" s="25">
        <f t="shared" si="2"/>
        <v>0.11585088745903051</v>
      </c>
      <c r="AJ8" s="25">
        <f t="shared" si="2"/>
        <v>0.11585088745903051</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2.0501735764544455</v>
      </c>
      <c r="V9" s="25">
        <f>$B$5-V8</f>
        <v>2.0501735764544455</v>
      </c>
      <c r="W9" s="25">
        <f t="shared" ref="W9:AH9" si="4">$B$5-W8</f>
        <v>2.0501735764544455</v>
      </c>
      <c r="X9" s="25">
        <f t="shared" si="4"/>
        <v>2.0501735764544455</v>
      </c>
      <c r="Y9" s="25">
        <f t="shared" si="4"/>
        <v>2.0501735764544455</v>
      </c>
      <c r="Z9" s="25">
        <f t="shared" si="4"/>
        <v>2.0501735764544455</v>
      </c>
      <c r="AA9" s="25">
        <f t="shared" si="4"/>
        <v>2.0501735764544455</v>
      </c>
      <c r="AB9" s="25">
        <f t="shared" si="4"/>
        <v>2.0501735764544455</v>
      </c>
      <c r="AC9" s="25">
        <f t="shared" si="4"/>
        <v>2.0501735764544455</v>
      </c>
      <c r="AD9" s="25">
        <f t="shared" si="4"/>
        <v>2.0501735764544455</v>
      </c>
      <c r="AE9" s="25">
        <f t="shared" si="4"/>
        <v>2.0501735764544455</v>
      </c>
      <c r="AF9" s="25">
        <f t="shared" si="4"/>
        <v>2.0501735764544455</v>
      </c>
      <c r="AG9" s="25">
        <f t="shared" si="4"/>
        <v>2.0501735764544455</v>
      </c>
      <c r="AH9" s="25">
        <f t="shared" si="4"/>
        <v>2.0501735764544455</v>
      </c>
      <c r="AI9" s="25">
        <f>$B$5-AI8</f>
        <v>2.0501735764544455</v>
      </c>
      <c r="AJ9" s="25">
        <f>$B$5-AJ8</f>
        <v>2.0501735764544455</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0.44982642354555447</v>
      </c>
      <c r="V10" s="25">
        <f>2.5-V9</f>
        <v>0.44982642354555447</v>
      </c>
      <c r="W10" s="25">
        <f t="shared" ref="W10:AH10" si="6">2.5-W9</f>
        <v>0.44982642354555447</v>
      </c>
      <c r="X10" s="25">
        <f t="shared" si="6"/>
        <v>0.44982642354555447</v>
      </c>
      <c r="Y10" s="25">
        <f t="shared" si="6"/>
        <v>0.44982642354555447</v>
      </c>
      <c r="Z10" s="25">
        <f t="shared" si="6"/>
        <v>0.44982642354555447</v>
      </c>
      <c r="AA10" s="25">
        <f t="shared" si="6"/>
        <v>0.44982642354555447</v>
      </c>
      <c r="AB10" s="25">
        <f t="shared" si="6"/>
        <v>0.44982642354555447</v>
      </c>
      <c r="AC10" s="25">
        <f t="shared" si="6"/>
        <v>0.44982642354555447</v>
      </c>
      <c r="AD10" s="25">
        <f t="shared" si="6"/>
        <v>0.44982642354555447</v>
      </c>
      <c r="AE10" s="25">
        <f t="shared" si="6"/>
        <v>0.44982642354555447</v>
      </c>
      <c r="AF10" s="25">
        <f t="shared" si="6"/>
        <v>0.44982642354555447</v>
      </c>
      <c r="AG10" s="25">
        <f t="shared" si="6"/>
        <v>0.44982642354555447</v>
      </c>
      <c r="AH10" s="25">
        <f t="shared" si="6"/>
        <v>0.44982642354555447</v>
      </c>
      <c r="AI10" s="25">
        <f>2.5-AI9</f>
        <v>0.44982642354555447</v>
      </c>
      <c r="AJ10" s="25">
        <f>2.5-AJ9</f>
        <v>0.44982642354555447</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6" width="14.81640625" style="17" customWidth="1"/>
    <col min="7" max="8" width="11.453125" style="17"/>
    <col min="9" max="9" width="13.54296875" style="17" bestFit="1" customWidth="1"/>
    <col min="10" max="256" width="11.453125" style="17"/>
    <col min="257" max="257" width="18.7265625" style="17" customWidth="1"/>
    <col min="258" max="258" width="13.7265625" style="17" bestFit="1" customWidth="1"/>
    <col min="259" max="259" width="17.26953125" style="17" customWidth="1"/>
    <col min="260" max="260" width="11" style="17" customWidth="1"/>
    <col min="261" max="261" width="12" style="17" bestFit="1" customWidth="1"/>
    <col min="262" max="262" width="14.81640625" style="17" customWidth="1"/>
    <col min="263" max="512" width="11.453125" style="17"/>
    <col min="513" max="513" width="18.7265625" style="17" customWidth="1"/>
    <col min="514" max="514" width="13.7265625" style="17" bestFit="1" customWidth="1"/>
    <col min="515" max="515" width="17.26953125" style="17" customWidth="1"/>
    <col min="516" max="516" width="11" style="17" customWidth="1"/>
    <col min="517" max="517" width="12" style="17" bestFit="1" customWidth="1"/>
    <col min="518" max="518" width="14.81640625" style="17" customWidth="1"/>
    <col min="519" max="768" width="11.453125" style="17"/>
    <col min="769" max="769" width="18.7265625" style="17" customWidth="1"/>
    <col min="770" max="770" width="13.7265625" style="17" bestFit="1" customWidth="1"/>
    <col min="771" max="771" width="17.26953125" style="17" customWidth="1"/>
    <col min="772" max="772" width="11" style="17" customWidth="1"/>
    <col min="773" max="773" width="12" style="17" bestFit="1" customWidth="1"/>
    <col min="774" max="774" width="14.81640625" style="17" customWidth="1"/>
    <col min="775" max="1024" width="11.453125" style="17"/>
    <col min="1025" max="1025" width="18.7265625" style="17" customWidth="1"/>
    <col min="1026" max="1026" width="13.7265625" style="17" bestFit="1" customWidth="1"/>
    <col min="1027" max="1027" width="17.26953125" style="17" customWidth="1"/>
    <col min="1028" max="1028" width="11" style="17" customWidth="1"/>
    <col min="1029" max="1029" width="12" style="17" bestFit="1" customWidth="1"/>
    <col min="1030" max="1030" width="14.81640625" style="17" customWidth="1"/>
    <col min="1031" max="1280" width="11.453125" style="17"/>
    <col min="1281" max="1281" width="18.7265625" style="17" customWidth="1"/>
    <col min="1282" max="1282" width="13.7265625" style="17" bestFit="1" customWidth="1"/>
    <col min="1283" max="1283" width="17.26953125" style="17" customWidth="1"/>
    <col min="1284" max="1284" width="11" style="17" customWidth="1"/>
    <col min="1285" max="1285" width="12" style="17" bestFit="1" customWidth="1"/>
    <col min="1286" max="1286" width="14.81640625" style="17" customWidth="1"/>
    <col min="1287" max="1536" width="11.453125" style="17"/>
    <col min="1537" max="1537" width="18.7265625" style="17" customWidth="1"/>
    <col min="1538" max="1538" width="13.7265625" style="17" bestFit="1" customWidth="1"/>
    <col min="1539" max="1539" width="17.26953125" style="17" customWidth="1"/>
    <col min="1540" max="1540" width="11" style="17" customWidth="1"/>
    <col min="1541" max="1541" width="12" style="17" bestFit="1" customWidth="1"/>
    <col min="1542" max="1542" width="14.81640625" style="17" customWidth="1"/>
    <col min="1543" max="1792" width="11.453125" style="17"/>
    <col min="1793" max="1793" width="18.7265625" style="17" customWidth="1"/>
    <col min="1794" max="1794" width="13.7265625" style="17" bestFit="1" customWidth="1"/>
    <col min="1795" max="1795" width="17.26953125" style="17" customWidth="1"/>
    <col min="1796" max="1796" width="11" style="17" customWidth="1"/>
    <col min="1797" max="1797" width="12" style="17" bestFit="1" customWidth="1"/>
    <col min="1798" max="1798" width="14.81640625" style="17" customWidth="1"/>
    <col min="1799" max="2048" width="11.453125" style="17"/>
    <col min="2049" max="2049" width="18.7265625" style="17" customWidth="1"/>
    <col min="2050" max="2050" width="13.7265625" style="17" bestFit="1" customWidth="1"/>
    <col min="2051" max="2051" width="17.26953125" style="17" customWidth="1"/>
    <col min="2052" max="2052" width="11" style="17" customWidth="1"/>
    <col min="2053" max="2053" width="12" style="17" bestFit="1" customWidth="1"/>
    <col min="2054" max="2054" width="14.81640625" style="17" customWidth="1"/>
    <col min="2055" max="2304" width="11.453125" style="17"/>
    <col min="2305" max="2305" width="18.7265625" style="17" customWidth="1"/>
    <col min="2306" max="2306" width="13.7265625" style="17" bestFit="1" customWidth="1"/>
    <col min="2307" max="2307" width="17.26953125" style="17" customWidth="1"/>
    <col min="2308" max="2308" width="11" style="17" customWidth="1"/>
    <col min="2309" max="2309" width="12" style="17" bestFit="1" customWidth="1"/>
    <col min="2310" max="2310" width="14.81640625" style="17" customWidth="1"/>
    <col min="2311" max="2560" width="11.453125" style="17"/>
    <col min="2561" max="2561" width="18.7265625" style="17" customWidth="1"/>
    <col min="2562" max="2562" width="13.7265625" style="17" bestFit="1" customWidth="1"/>
    <col min="2563" max="2563" width="17.26953125" style="17" customWidth="1"/>
    <col min="2564" max="2564" width="11" style="17" customWidth="1"/>
    <col min="2565" max="2565" width="12" style="17" bestFit="1" customWidth="1"/>
    <col min="2566" max="2566" width="14.81640625" style="17" customWidth="1"/>
    <col min="2567" max="2816" width="11.453125" style="17"/>
    <col min="2817" max="2817" width="18.7265625" style="17" customWidth="1"/>
    <col min="2818" max="2818" width="13.7265625" style="17" bestFit="1" customWidth="1"/>
    <col min="2819" max="2819" width="17.26953125" style="17" customWidth="1"/>
    <col min="2820" max="2820" width="11" style="17" customWidth="1"/>
    <col min="2821" max="2821" width="12" style="17" bestFit="1" customWidth="1"/>
    <col min="2822" max="2822" width="14.81640625" style="17" customWidth="1"/>
    <col min="2823" max="3072" width="11.453125" style="17"/>
    <col min="3073" max="3073" width="18.7265625" style="17" customWidth="1"/>
    <col min="3074" max="3074" width="13.7265625" style="17" bestFit="1" customWidth="1"/>
    <col min="3075" max="3075" width="17.26953125" style="17" customWidth="1"/>
    <col min="3076" max="3076" width="11" style="17" customWidth="1"/>
    <col min="3077" max="3077" width="12" style="17" bestFit="1" customWidth="1"/>
    <col min="3078" max="3078" width="14.81640625" style="17" customWidth="1"/>
    <col min="3079" max="3328" width="11.453125" style="17"/>
    <col min="3329" max="3329" width="18.7265625" style="17" customWidth="1"/>
    <col min="3330" max="3330" width="13.7265625" style="17" bestFit="1" customWidth="1"/>
    <col min="3331" max="3331" width="17.26953125" style="17" customWidth="1"/>
    <col min="3332" max="3332" width="11" style="17" customWidth="1"/>
    <col min="3333" max="3333" width="12" style="17" bestFit="1" customWidth="1"/>
    <col min="3334" max="3334" width="14.81640625" style="17" customWidth="1"/>
    <col min="3335" max="3584" width="11.453125" style="17"/>
    <col min="3585" max="3585" width="18.7265625" style="17" customWidth="1"/>
    <col min="3586" max="3586" width="13.7265625" style="17" bestFit="1" customWidth="1"/>
    <col min="3587" max="3587" width="17.26953125" style="17" customWidth="1"/>
    <col min="3588" max="3588" width="11" style="17" customWidth="1"/>
    <col min="3589" max="3589" width="12" style="17" bestFit="1" customWidth="1"/>
    <col min="3590" max="3590" width="14.81640625" style="17" customWidth="1"/>
    <col min="3591" max="3840" width="11.453125" style="17"/>
    <col min="3841" max="3841" width="18.7265625" style="17" customWidth="1"/>
    <col min="3842" max="3842" width="13.7265625" style="17" bestFit="1" customWidth="1"/>
    <col min="3843" max="3843" width="17.26953125" style="17" customWidth="1"/>
    <col min="3844" max="3844" width="11" style="17" customWidth="1"/>
    <col min="3845" max="3845" width="12" style="17" bestFit="1" customWidth="1"/>
    <col min="3846" max="3846" width="14.81640625" style="17" customWidth="1"/>
    <col min="3847" max="4096" width="11.453125" style="17"/>
    <col min="4097" max="4097" width="18.7265625" style="17" customWidth="1"/>
    <col min="4098" max="4098" width="13.7265625" style="17" bestFit="1" customWidth="1"/>
    <col min="4099" max="4099" width="17.26953125" style="17" customWidth="1"/>
    <col min="4100" max="4100" width="11" style="17" customWidth="1"/>
    <col min="4101" max="4101" width="12" style="17" bestFit="1" customWidth="1"/>
    <col min="4102" max="4102" width="14.81640625" style="17" customWidth="1"/>
    <col min="4103" max="4352" width="11.453125" style="17"/>
    <col min="4353" max="4353" width="18.7265625" style="17" customWidth="1"/>
    <col min="4354" max="4354" width="13.7265625" style="17" bestFit="1" customWidth="1"/>
    <col min="4355" max="4355" width="17.26953125" style="17" customWidth="1"/>
    <col min="4356" max="4356" width="11" style="17" customWidth="1"/>
    <col min="4357" max="4357" width="12" style="17" bestFit="1" customWidth="1"/>
    <col min="4358" max="4358" width="14.81640625" style="17" customWidth="1"/>
    <col min="4359" max="4608" width="11.453125" style="17"/>
    <col min="4609" max="4609" width="18.7265625" style="17" customWidth="1"/>
    <col min="4610" max="4610" width="13.7265625" style="17" bestFit="1" customWidth="1"/>
    <col min="4611" max="4611" width="17.26953125" style="17" customWidth="1"/>
    <col min="4612" max="4612" width="11" style="17" customWidth="1"/>
    <col min="4613" max="4613" width="12" style="17" bestFit="1" customWidth="1"/>
    <col min="4614" max="4614" width="14.81640625" style="17" customWidth="1"/>
    <col min="4615" max="4864" width="11.453125" style="17"/>
    <col min="4865" max="4865" width="18.7265625" style="17" customWidth="1"/>
    <col min="4866" max="4866" width="13.7265625" style="17" bestFit="1" customWidth="1"/>
    <col min="4867" max="4867" width="17.26953125" style="17" customWidth="1"/>
    <col min="4868" max="4868" width="11" style="17" customWidth="1"/>
    <col min="4869" max="4869" width="12" style="17" bestFit="1" customWidth="1"/>
    <col min="4870" max="4870" width="14.81640625" style="17" customWidth="1"/>
    <col min="4871" max="5120" width="11.453125" style="17"/>
    <col min="5121" max="5121" width="18.7265625" style="17" customWidth="1"/>
    <col min="5122" max="5122" width="13.7265625" style="17" bestFit="1" customWidth="1"/>
    <col min="5123" max="5123" width="17.26953125" style="17" customWidth="1"/>
    <col min="5124" max="5124" width="11" style="17" customWidth="1"/>
    <col min="5125" max="5125" width="12" style="17" bestFit="1" customWidth="1"/>
    <col min="5126" max="5126" width="14.81640625" style="17" customWidth="1"/>
    <col min="5127" max="5376" width="11.453125" style="17"/>
    <col min="5377" max="5377" width="18.7265625" style="17" customWidth="1"/>
    <col min="5378" max="5378" width="13.7265625" style="17" bestFit="1" customWidth="1"/>
    <col min="5379" max="5379" width="17.26953125" style="17" customWidth="1"/>
    <col min="5380" max="5380" width="11" style="17" customWidth="1"/>
    <col min="5381" max="5381" width="12" style="17" bestFit="1" customWidth="1"/>
    <col min="5382" max="5382" width="14.81640625" style="17" customWidth="1"/>
    <col min="5383" max="5632" width="11.453125" style="17"/>
    <col min="5633" max="5633" width="18.7265625" style="17" customWidth="1"/>
    <col min="5634" max="5634" width="13.7265625" style="17" bestFit="1" customWidth="1"/>
    <col min="5635" max="5635" width="17.26953125" style="17" customWidth="1"/>
    <col min="5636" max="5636" width="11" style="17" customWidth="1"/>
    <col min="5637" max="5637" width="12" style="17" bestFit="1" customWidth="1"/>
    <col min="5638" max="5638" width="14.81640625" style="17" customWidth="1"/>
    <col min="5639" max="5888" width="11.453125" style="17"/>
    <col min="5889" max="5889" width="18.7265625" style="17" customWidth="1"/>
    <col min="5890" max="5890" width="13.7265625" style="17" bestFit="1" customWidth="1"/>
    <col min="5891" max="5891" width="17.26953125" style="17" customWidth="1"/>
    <col min="5892" max="5892" width="11" style="17" customWidth="1"/>
    <col min="5893" max="5893" width="12" style="17" bestFit="1" customWidth="1"/>
    <col min="5894" max="5894" width="14.81640625" style="17" customWidth="1"/>
    <col min="5895" max="6144" width="11.453125" style="17"/>
    <col min="6145" max="6145" width="18.7265625" style="17" customWidth="1"/>
    <col min="6146" max="6146" width="13.7265625" style="17" bestFit="1" customWidth="1"/>
    <col min="6147" max="6147" width="17.26953125" style="17" customWidth="1"/>
    <col min="6148" max="6148" width="11" style="17" customWidth="1"/>
    <col min="6149" max="6149" width="12" style="17" bestFit="1" customWidth="1"/>
    <col min="6150" max="6150" width="14.81640625" style="17" customWidth="1"/>
    <col min="6151" max="6400" width="11.453125" style="17"/>
    <col min="6401" max="6401" width="18.7265625" style="17" customWidth="1"/>
    <col min="6402" max="6402" width="13.7265625" style="17" bestFit="1" customWidth="1"/>
    <col min="6403" max="6403" width="17.26953125" style="17" customWidth="1"/>
    <col min="6404" max="6404" width="11" style="17" customWidth="1"/>
    <col min="6405" max="6405" width="12" style="17" bestFit="1" customWidth="1"/>
    <col min="6406" max="6406" width="14.81640625" style="17" customWidth="1"/>
    <col min="6407" max="6656" width="11.453125" style="17"/>
    <col min="6657" max="6657" width="18.7265625" style="17" customWidth="1"/>
    <col min="6658" max="6658" width="13.7265625" style="17" bestFit="1" customWidth="1"/>
    <col min="6659" max="6659" width="17.26953125" style="17" customWidth="1"/>
    <col min="6660" max="6660" width="11" style="17" customWidth="1"/>
    <col min="6661" max="6661" width="12" style="17" bestFit="1" customWidth="1"/>
    <col min="6662" max="6662" width="14.81640625" style="17" customWidth="1"/>
    <col min="6663" max="6912" width="11.453125" style="17"/>
    <col min="6913" max="6913" width="18.7265625" style="17" customWidth="1"/>
    <col min="6914" max="6914" width="13.7265625" style="17" bestFit="1" customWidth="1"/>
    <col min="6915" max="6915" width="17.26953125" style="17" customWidth="1"/>
    <col min="6916" max="6916" width="11" style="17" customWidth="1"/>
    <col min="6917" max="6917" width="12" style="17" bestFit="1" customWidth="1"/>
    <col min="6918" max="6918" width="14.81640625" style="17" customWidth="1"/>
    <col min="6919" max="7168" width="11.453125" style="17"/>
    <col min="7169" max="7169" width="18.7265625" style="17" customWidth="1"/>
    <col min="7170" max="7170" width="13.7265625" style="17" bestFit="1" customWidth="1"/>
    <col min="7171" max="7171" width="17.26953125" style="17" customWidth="1"/>
    <col min="7172" max="7172" width="11" style="17" customWidth="1"/>
    <col min="7173" max="7173" width="12" style="17" bestFit="1" customWidth="1"/>
    <col min="7174" max="7174" width="14.81640625" style="17" customWidth="1"/>
    <col min="7175" max="7424" width="11.453125" style="17"/>
    <col min="7425" max="7425" width="18.7265625" style="17" customWidth="1"/>
    <col min="7426" max="7426" width="13.7265625" style="17" bestFit="1" customWidth="1"/>
    <col min="7427" max="7427" width="17.26953125" style="17" customWidth="1"/>
    <col min="7428" max="7428" width="11" style="17" customWidth="1"/>
    <col min="7429" max="7429" width="12" style="17" bestFit="1" customWidth="1"/>
    <col min="7430" max="7430" width="14.81640625" style="17" customWidth="1"/>
    <col min="7431" max="7680" width="11.453125" style="17"/>
    <col min="7681" max="7681" width="18.7265625" style="17" customWidth="1"/>
    <col min="7682" max="7682" width="13.7265625" style="17" bestFit="1" customWidth="1"/>
    <col min="7683" max="7683" width="17.26953125" style="17" customWidth="1"/>
    <col min="7684" max="7684" width="11" style="17" customWidth="1"/>
    <col min="7685" max="7685" width="12" style="17" bestFit="1" customWidth="1"/>
    <col min="7686" max="7686" width="14.81640625" style="17" customWidth="1"/>
    <col min="7687" max="7936" width="11.453125" style="17"/>
    <col min="7937" max="7937" width="18.7265625" style="17" customWidth="1"/>
    <col min="7938" max="7938" width="13.7265625" style="17" bestFit="1" customWidth="1"/>
    <col min="7939" max="7939" width="17.26953125" style="17" customWidth="1"/>
    <col min="7940" max="7940" width="11" style="17" customWidth="1"/>
    <col min="7941" max="7941" width="12" style="17" bestFit="1" customWidth="1"/>
    <col min="7942" max="7942" width="14.81640625" style="17" customWidth="1"/>
    <col min="7943" max="8192" width="11.453125" style="17"/>
    <col min="8193" max="8193" width="18.7265625" style="17" customWidth="1"/>
    <col min="8194" max="8194" width="13.7265625" style="17" bestFit="1" customWidth="1"/>
    <col min="8195" max="8195" width="17.26953125" style="17" customWidth="1"/>
    <col min="8196" max="8196" width="11" style="17" customWidth="1"/>
    <col min="8197" max="8197" width="12" style="17" bestFit="1" customWidth="1"/>
    <col min="8198" max="8198" width="14.81640625" style="17" customWidth="1"/>
    <col min="8199" max="8448" width="11.453125" style="17"/>
    <col min="8449" max="8449" width="18.7265625" style="17" customWidth="1"/>
    <col min="8450" max="8450" width="13.7265625" style="17" bestFit="1" customWidth="1"/>
    <col min="8451" max="8451" width="17.26953125" style="17" customWidth="1"/>
    <col min="8452" max="8452" width="11" style="17" customWidth="1"/>
    <col min="8453" max="8453" width="12" style="17" bestFit="1" customWidth="1"/>
    <col min="8454" max="8454" width="14.81640625" style="17" customWidth="1"/>
    <col min="8455" max="8704" width="11.453125" style="17"/>
    <col min="8705" max="8705" width="18.7265625" style="17" customWidth="1"/>
    <col min="8706" max="8706" width="13.7265625" style="17" bestFit="1" customWidth="1"/>
    <col min="8707" max="8707" width="17.26953125" style="17" customWidth="1"/>
    <col min="8708" max="8708" width="11" style="17" customWidth="1"/>
    <col min="8709" max="8709" width="12" style="17" bestFit="1" customWidth="1"/>
    <col min="8710" max="8710" width="14.81640625" style="17" customWidth="1"/>
    <col min="8711" max="8960" width="11.453125" style="17"/>
    <col min="8961" max="8961" width="18.7265625" style="17" customWidth="1"/>
    <col min="8962" max="8962" width="13.7265625" style="17" bestFit="1" customWidth="1"/>
    <col min="8963" max="8963" width="17.26953125" style="17" customWidth="1"/>
    <col min="8964" max="8964" width="11" style="17" customWidth="1"/>
    <col min="8965" max="8965" width="12" style="17" bestFit="1" customWidth="1"/>
    <col min="8966" max="8966" width="14.81640625" style="17" customWidth="1"/>
    <col min="8967" max="9216" width="11.453125" style="17"/>
    <col min="9217" max="9217" width="18.7265625" style="17" customWidth="1"/>
    <col min="9218" max="9218" width="13.7265625" style="17" bestFit="1" customWidth="1"/>
    <col min="9219" max="9219" width="17.26953125" style="17" customWidth="1"/>
    <col min="9220" max="9220" width="11" style="17" customWidth="1"/>
    <col min="9221" max="9221" width="12" style="17" bestFit="1" customWidth="1"/>
    <col min="9222" max="9222" width="14.81640625" style="17" customWidth="1"/>
    <col min="9223" max="9472" width="11.453125" style="17"/>
    <col min="9473" max="9473" width="18.7265625" style="17" customWidth="1"/>
    <col min="9474" max="9474" width="13.7265625" style="17" bestFit="1" customWidth="1"/>
    <col min="9475" max="9475" width="17.26953125" style="17" customWidth="1"/>
    <col min="9476" max="9476" width="11" style="17" customWidth="1"/>
    <col min="9477" max="9477" width="12" style="17" bestFit="1" customWidth="1"/>
    <col min="9478" max="9478" width="14.81640625" style="17" customWidth="1"/>
    <col min="9479" max="9728" width="11.453125" style="17"/>
    <col min="9729" max="9729" width="18.7265625" style="17" customWidth="1"/>
    <col min="9730" max="9730" width="13.7265625" style="17" bestFit="1" customWidth="1"/>
    <col min="9731" max="9731" width="17.26953125" style="17" customWidth="1"/>
    <col min="9732" max="9732" width="11" style="17" customWidth="1"/>
    <col min="9733" max="9733" width="12" style="17" bestFit="1" customWidth="1"/>
    <col min="9734" max="9734" width="14.81640625" style="17" customWidth="1"/>
    <col min="9735" max="9984" width="11.453125" style="17"/>
    <col min="9985" max="9985" width="18.7265625" style="17" customWidth="1"/>
    <col min="9986" max="9986" width="13.7265625" style="17" bestFit="1" customWidth="1"/>
    <col min="9987" max="9987" width="17.26953125" style="17" customWidth="1"/>
    <col min="9988" max="9988" width="11" style="17" customWidth="1"/>
    <col min="9989" max="9989" width="12" style="17" bestFit="1" customWidth="1"/>
    <col min="9990" max="9990" width="14.81640625" style="17" customWidth="1"/>
    <col min="9991" max="10240" width="11.453125" style="17"/>
    <col min="10241" max="10241" width="18.7265625" style="17" customWidth="1"/>
    <col min="10242" max="10242" width="13.7265625" style="17" bestFit="1" customWidth="1"/>
    <col min="10243" max="10243" width="17.26953125" style="17" customWidth="1"/>
    <col min="10244" max="10244" width="11" style="17" customWidth="1"/>
    <col min="10245" max="10245" width="12" style="17" bestFit="1" customWidth="1"/>
    <col min="10246" max="10246" width="14.81640625" style="17" customWidth="1"/>
    <col min="10247" max="10496" width="11.453125" style="17"/>
    <col min="10497" max="10497" width="18.7265625" style="17" customWidth="1"/>
    <col min="10498" max="10498" width="13.7265625" style="17" bestFit="1" customWidth="1"/>
    <col min="10499" max="10499" width="17.26953125" style="17" customWidth="1"/>
    <col min="10500" max="10500" width="11" style="17" customWidth="1"/>
    <col min="10501" max="10501" width="12" style="17" bestFit="1" customWidth="1"/>
    <col min="10502" max="10502" width="14.81640625" style="17" customWidth="1"/>
    <col min="10503" max="10752" width="11.453125" style="17"/>
    <col min="10753" max="10753" width="18.7265625" style="17" customWidth="1"/>
    <col min="10754" max="10754" width="13.7265625" style="17" bestFit="1" customWidth="1"/>
    <col min="10755" max="10755" width="17.26953125" style="17" customWidth="1"/>
    <col min="10756" max="10756" width="11" style="17" customWidth="1"/>
    <col min="10757" max="10757" width="12" style="17" bestFit="1" customWidth="1"/>
    <col min="10758" max="10758" width="14.81640625" style="17" customWidth="1"/>
    <col min="10759" max="11008" width="11.453125" style="17"/>
    <col min="11009" max="11009" width="18.7265625" style="17" customWidth="1"/>
    <col min="11010" max="11010" width="13.7265625" style="17" bestFit="1" customWidth="1"/>
    <col min="11011" max="11011" width="17.26953125" style="17" customWidth="1"/>
    <col min="11012" max="11012" width="11" style="17" customWidth="1"/>
    <col min="11013" max="11013" width="12" style="17" bestFit="1" customWidth="1"/>
    <col min="11014" max="11014" width="14.81640625" style="17" customWidth="1"/>
    <col min="11015" max="11264" width="11.453125" style="17"/>
    <col min="11265" max="11265" width="18.7265625" style="17" customWidth="1"/>
    <col min="11266" max="11266" width="13.7265625" style="17" bestFit="1" customWidth="1"/>
    <col min="11267" max="11267" width="17.26953125" style="17" customWidth="1"/>
    <col min="11268" max="11268" width="11" style="17" customWidth="1"/>
    <col min="11269" max="11269" width="12" style="17" bestFit="1" customWidth="1"/>
    <col min="11270" max="11270" width="14.81640625" style="17" customWidth="1"/>
    <col min="11271" max="11520" width="11.453125" style="17"/>
    <col min="11521" max="11521" width="18.7265625" style="17" customWidth="1"/>
    <col min="11522" max="11522" width="13.7265625" style="17" bestFit="1" customWidth="1"/>
    <col min="11523" max="11523" width="17.26953125" style="17" customWidth="1"/>
    <col min="11524" max="11524" width="11" style="17" customWidth="1"/>
    <col min="11525" max="11525" width="12" style="17" bestFit="1" customWidth="1"/>
    <col min="11526" max="11526" width="14.81640625" style="17" customWidth="1"/>
    <col min="11527" max="11776" width="11.453125" style="17"/>
    <col min="11777" max="11777" width="18.7265625" style="17" customWidth="1"/>
    <col min="11778" max="11778" width="13.7265625" style="17" bestFit="1" customWidth="1"/>
    <col min="11779" max="11779" width="17.26953125" style="17" customWidth="1"/>
    <col min="11780" max="11780" width="11" style="17" customWidth="1"/>
    <col min="11781" max="11781" width="12" style="17" bestFit="1" customWidth="1"/>
    <col min="11782" max="11782" width="14.81640625" style="17" customWidth="1"/>
    <col min="11783" max="12032" width="11.453125" style="17"/>
    <col min="12033" max="12033" width="18.7265625" style="17" customWidth="1"/>
    <col min="12034" max="12034" width="13.7265625" style="17" bestFit="1" customWidth="1"/>
    <col min="12035" max="12035" width="17.26953125" style="17" customWidth="1"/>
    <col min="12036" max="12036" width="11" style="17" customWidth="1"/>
    <col min="12037" max="12037" width="12" style="17" bestFit="1" customWidth="1"/>
    <col min="12038" max="12038" width="14.81640625" style="17" customWidth="1"/>
    <col min="12039" max="12288" width="11.453125" style="17"/>
    <col min="12289" max="12289" width="18.7265625" style="17" customWidth="1"/>
    <col min="12290" max="12290" width="13.7265625" style="17" bestFit="1" customWidth="1"/>
    <col min="12291" max="12291" width="17.26953125" style="17" customWidth="1"/>
    <col min="12292" max="12292" width="11" style="17" customWidth="1"/>
    <col min="12293" max="12293" width="12" style="17" bestFit="1" customWidth="1"/>
    <col min="12294" max="12294" width="14.81640625" style="17" customWidth="1"/>
    <col min="12295" max="12544" width="11.453125" style="17"/>
    <col min="12545" max="12545" width="18.7265625" style="17" customWidth="1"/>
    <col min="12546" max="12546" width="13.7265625" style="17" bestFit="1" customWidth="1"/>
    <col min="12547" max="12547" width="17.26953125" style="17" customWidth="1"/>
    <col min="12548" max="12548" width="11" style="17" customWidth="1"/>
    <col min="12549" max="12549" width="12" style="17" bestFit="1" customWidth="1"/>
    <col min="12550" max="12550" width="14.81640625" style="17" customWidth="1"/>
    <col min="12551" max="12800" width="11.453125" style="17"/>
    <col min="12801" max="12801" width="18.7265625" style="17" customWidth="1"/>
    <col min="12802" max="12802" width="13.7265625" style="17" bestFit="1" customWidth="1"/>
    <col min="12803" max="12803" width="17.26953125" style="17" customWidth="1"/>
    <col min="12804" max="12804" width="11" style="17" customWidth="1"/>
    <col min="12805" max="12805" width="12" style="17" bestFit="1" customWidth="1"/>
    <col min="12806" max="12806" width="14.81640625" style="17" customWidth="1"/>
    <col min="12807" max="13056" width="11.453125" style="17"/>
    <col min="13057" max="13057" width="18.7265625" style="17" customWidth="1"/>
    <col min="13058" max="13058" width="13.7265625" style="17" bestFit="1" customWidth="1"/>
    <col min="13059" max="13059" width="17.26953125" style="17" customWidth="1"/>
    <col min="13060" max="13060" width="11" style="17" customWidth="1"/>
    <col min="13061" max="13061" width="12" style="17" bestFit="1" customWidth="1"/>
    <col min="13062" max="13062" width="14.81640625" style="17" customWidth="1"/>
    <col min="13063" max="13312" width="11.453125" style="17"/>
    <col min="13313" max="13313" width="18.7265625" style="17" customWidth="1"/>
    <col min="13314" max="13314" width="13.7265625" style="17" bestFit="1" customWidth="1"/>
    <col min="13315" max="13315" width="17.26953125" style="17" customWidth="1"/>
    <col min="13316" max="13316" width="11" style="17" customWidth="1"/>
    <col min="13317" max="13317" width="12" style="17" bestFit="1" customWidth="1"/>
    <col min="13318" max="13318" width="14.81640625" style="17" customWidth="1"/>
    <col min="13319" max="13568" width="11.453125" style="17"/>
    <col min="13569" max="13569" width="18.7265625" style="17" customWidth="1"/>
    <col min="13570" max="13570" width="13.7265625" style="17" bestFit="1" customWidth="1"/>
    <col min="13571" max="13571" width="17.26953125" style="17" customWidth="1"/>
    <col min="13572" max="13572" width="11" style="17" customWidth="1"/>
    <col min="13573" max="13573" width="12" style="17" bestFit="1" customWidth="1"/>
    <col min="13574" max="13574" width="14.81640625" style="17" customWidth="1"/>
    <col min="13575" max="13824" width="11.453125" style="17"/>
    <col min="13825" max="13825" width="18.7265625" style="17" customWidth="1"/>
    <col min="13826" max="13826" width="13.7265625" style="17" bestFit="1" customWidth="1"/>
    <col min="13827" max="13827" width="17.26953125" style="17" customWidth="1"/>
    <col min="13828" max="13828" width="11" style="17" customWidth="1"/>
    <col min="13829" max="13829" width="12" style="17" bestFit="1" customWidth="1"/>
    <col min="13830" max="13830" width="14.81640625" style="17" customWidth="1"/>
    <col min="13831" max="14080" width="11.453125" style="17"/>
    <col min="14081" max="14081" width="18.7265625" style="17" customWidth="1"/>
    <col min="14082" max="14082" width="13.7265625" style="17" bestFit="1" customWidth="1"/>
    <col min="14083" max="14083" width="17.26953125" style="17" customWidth="1"/>
    <col min="14084" max="14084" width="11" style="17" customWidth="1"/>
    <col min="14085" max="14085" width="12" style="17" bestFit="1" customWidth="1"/>
    <col min="14086" max="14086" width="14.81640625" style="17" customWidth="1"/>
    <col min="14087" max="14336" width="11.453125" style="17"/>
    <col min="14337" max="14337" width="18.7265625" style="17" customWidth="1"/>
    <col min="14338" max="14338" width="13.7265625" style="17" bestFit="1" customWidth="1"/>
    <col min="14339" max="14339" width="17.26953125" style="17" customWidth="1"/>
    <col min="14340" max="14340" width="11" style="17" customWidth="1"/>
    <col min="14341" max="14341" width="12" style="17" bestFit="1" customWidth="1"/>
    <col min="14342" max="14342" width="14.81640625" style="17" customWidth="1"/>
    <col min="14343" max="14592" width="11.453125" style="17"/>
    <col min="14593" max="14593" width="18.7265625" style="17" customWidth="1"/>
    <col min="14594" max="14594" width="13.7265625" style="17" bestFit="1" customWidth="1"/>
    <col min="14595" max="14595" width="17.26953125" style="17" customWidth="1"/>
    <col min="14596" max="14596" width="11" style="17" customWidth="1"/>
    <col min="14597" max="14597" width="12" style="17" bestFit="1" customWidth="1"/>
    <col min="14598" max="14598" width="14.81640625" style="17" customWidth="1"/>
    <col min="14599" max="14848" width="11.453125" style="17"/>
    <col min="14849" max="14849" width="18.7265625" style="17" customWidth="1"/>
    <col min="14850" max="14850" width="13.7265625" style="17" bestFit="1" customWidth="1"/>
    <col min="14851" max="14851" width="17.26953125" style="17" customWidth="1"/>
    <col min="14852" max="14852" width="11" style="17" customWidth="1"/>
    <col min="14853" max="14853" width="12" style="17" bestFit="1" customWidth="1"/>
    <col min="14854" max="14854" width="14.81640625" style="17" customWidth="1"/>
    <col min="14855" max="15104" width="11.453125" style="17"/>
    <col min="15105" max="15105" width="18.7265625" style="17" customWidth="1"/>
    <col min="15106" max="15106" width="13.7265625" style="17" bestFit="1" customWidth="1"/>
    <col min="15107" max="15107" width="17.26953125" style="17" customWidth="1"/>
    <col min="15108" max="15108" width="11" style="17" customWidth="1"/>
    <col min="15109" max="15109" width="12" style="17" bestFit="1" customWidth="1"/>
    <col min="15110" max="15110" width="14.81640625" style="17" customWidth="1"/>
    <col min="15111" max="15360" width="11.453125" style="17"/>
    <col min="15361" max="15361" width="18.7265625" style="17" customWidth="1"/>
    <col min="15362" max="15362" width="13.7265625" style="17" bestFit="1" customWidth="1"/>
    <col min="15363" max="15363" width="17.26953125" style="17" customWidth="1"/>
    <col min="15364" max="15364" width="11" style="17" customWidth="1"/>
    <col min="15365" max="15365" width="12" style="17" bestFit="1" customWidth="1"/>
    <col min="15366" max="15366" width="14.81640625" style="17" customWidth="1"/>
    <col min="15367" max="15616" width="11.453125" style="17"/>
    <col min="15617" max="15617" width="18.7265625" style="17" customWidth="1"/>
    <col min="15618" max="15618" width="13.7265625" style="17" bestFit="1" customWidth="1"/>
    <col min="15619" max="15619" width="17.26953125" style="17" customWidth="1"/>
    <col min="15620" max="15620" width="11" style="17" customWidth="1"/>
    <col min="15621" max="15621" width="12" style="17" bestFit="1" customWidth="1"/>
    <col min="15622" max="15622" width="14.81640625" style="17" customWidth="1"/>
    <col min="15623" max="15872" width="11.453125" style="17"/>
    <col min="15873" max="15873" width="18.7265625" style="17" customWidth="1"/>
    <col min="15874" max="15874" width="13.7265625" style="17" bestFit="1" customWidth="1"/>
    <col min="15875" max="15875" width="17.26953125" style="17" customWidth="1"/>
    <col min="15876" max="15876" width="11" style="17" customWidth="1"/>
    <col min="15877" max="15877" width="12" style="17" bestFit="1" customWidth="1"/>
    <col min="15878" max="15878" width="14.81640625" style="17" customWidth="1"/>
    <col min="15879" max="16128" width="11.453125" style="17"/>
    <col min="16129" max="16129" width="18.7265625" style="17" customWidth="1"/>
    <col min="16130" max="16130" width="13.7265625" style="17" bestFit="1" customWidth="1"/>
    <col min="16131" max="16131" width="17.26953125" style="17" customWidth="1"/>
    <col min="16132" max="16132" width="11" style="17" customWidth="1"/>
    <col min="16133" max="16133" width="12" style="17" bestFit="1" customWidth="1"/>
    <col min="16134" max="16134" width="14.81640625" style="17" customWidth="1"/>
    <col min="16135" max="16384" width="11.453125" style="17"/>
  </cols>
  <sheetData>
    <row r="2" spans="1:11" x14ac:dyDescent="0.25">
      <c r="A2" s="17" t="s">
        <v>70</v>
      </c>
      <c r="B2" s="63">
        <f>'pooled normalised values'!B75</f>
        <v>0.11525812324323673</v>
      </c>
      <c r="D2" s="17" t="s">
        <v>9</v>
      </c>
      <c r="E2" s="18"/>
      <c r="F2" s="19" t="str">
        <f>'pooled normalised values'!J74</f>
        <v>CRO-1µg/L</v>
      </c>
      <c r="G2" s="18"/>
      <c r="H2" s="20"/>
      <c r="I2" s="19" t="str">
        <f>'pooled normalised values'!R74</f>
        <v>CRO-0,1µg/L + Testostérone</v>
      </c>
      <c r="J2" s="20"/>
      <c r="K2" s="17" t="s">
        <v>9</v>
      </c>
    </row>
    <row r="3" spans="1:11" x14ac:dyDescent="0.25">
      <c r="A3" s="17" t="s">
        <v>71</v>
      </c>
      <c r="B3" s="63">
        <f>'summary results'!E6</f>
        <v>0</v>
      </c>
      <c r="D3" s="21" t="s">
        <v>10</v>
      </c>
      <c r="E3" s="22"/>
      <c r="F3" s="19">
        <f>HLOOKUP(F2,'pooled normalised values'!B74:V83,2,FALSE)</f>
        <v>0.12701803421983057</v>
      </c>
      <c r="G3" s="22"/>
      <c r="H3" s="20"/>
      <c r="I3" s="19">
        <f>HLOOKUP(I2,'pooled normalised values'!N74:AL83,2,FALSE)</f>
        <v>1.0602283681720146</v>
      </c>
      <c r="J3" s="20"/>
      <c r="K3" s="21" t="s">
        <v>10</v>
      </c>
    </row>
    <row r="4" spans="1:11" x14ac:dyDescent="0.25">
      <c r="A4" s="17" t="s">
        <v>72</v>
      </c>
      <c r="B4" s="63">
        <f>'pooled normalised values'!O75</f>
        <v>1.0000000000000002</v>
      </c>
      <c r="D4" s="21" t="s">
        <v>2</v>
      </c>
      <c r="E4" s="22"/>
      <c r="F4" s="19">
        <f>HLOOKUP(F2,'pooled normalised values'!B74:V83,3,FALSE)</f>
        <v>2.6080218393484011E-2</v>
      </c>
      <c r="G4" s="22"/>
      <c r="H4" s="20"/>
      <c r="I4" s="19">
        <f>HLOOKUP(I2,'pooled normalised values'!N74:AL83,3,FALSE)</f>
        <v>0.11976764050048916</v>
      </c>
      <c r="J4" s="20"/>
      <c r="K4" s="21" t="s">
        <v>2</v>
      </c>
    </row>
    <row r="5" spans="1:11" x14ac:dyDescent="0.25">
      <c r="A5" s="17" t="s">
        <v>73</v>
      </c>
      <c r="B5" s="63">
        <f>'pooled normalised values'!P75</f>
        <v>2.1660244639134763</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0.11585088745903051</v>
      </c>
      <c r="D6" s="21" t="s">
        <v>12</v>
      </c>
      <c r="E6" s="24">
        <f>$B$2</f>
        <v>0.11525812324323673</v>
      </c>
      <c r="F6" s="24">
        <f>$B$2</f>
        <v>0.11525812324323673</v>
      </c>
      <c r="G6" s="24">
        <f>$B$2</f>
        <v>0.11525812324323673</v>
      </c>
      <c r="H6" s="25"/>
      <c r="I6" s="25"/>
      <c r="J6" s="25"/>
      <c r="K6" s="21" t="s">
        <v>12</v>
      </c>
    </row>
    <row r="7" spans="1:11" x14ac:dyDescent="0.25">
      <c r="B7" s="26"/>
      <c r="D7" s="26" t="s">
        <v>13</v>
      </c>
      <c r="E7" s="24"/>
      <c r="F7" s="24"/>
      <c r="G7" s="27"/>
      <c r="H7" s="25">
        <f t="shared" ref="H7:J7" si="0">$B$4</f>
        <v>1.0000000000000002</v>
      </c>
      <c r="I7" s="25">
        <f t="shared" si="0"/>
        <v>1.0000000000000002</v>
      </c>
      <c r="J7" s="25">
        <f t="shared" si="0"/>
        <v>1.0000000000000002</v>
      </c>
      <c r="K7" s="26" t="s">
        <v>13</v>
      </c>
    </row>
    <row r="8" spans="1:11" x14ac:dyDescent="0.25">
      <c r="D8" s="28" t="s">
        <v>14</v>
      </c>
      <c r="E8" s="24">
        <v>0</v>
      </c>
      <c r="F8" s="24">
        <v>0</v>
      </c>
      <c r="G8" s="27">
        <v>0</v>
      </c>
      <c r="H8" s="25">
        <f>$B$6</f>
        <v>0.11585088745903051</v>
      </c>
      <c r="I8" s="25">
        <f t="shared" ref="I8:J8" si="1">$B$6</f>
        <v>0.11585088745903051</v>
      </c>
      <c r="J8" s="25">
        <f t="shared" si="1"/>
        <v>0.11585088745903051</v>
      </c>
      <c r="K8" s="28" t="s">
        <v>14</v>
      </c>
    </row>
    <row r="9" spans="1:11" x14ac:dyDescent="0.25">
      <c r="D9" s="28" t="s">
        <v>15</v>
      </c>
      <c r="E9" s="29">
        <f>$B$3-E8</f>
        <v>0</v>
      </c>
      <c r="F9" s="29">
        <f>$B$3-F8</f>
        <v>0</v>
      </c>
      <c r="G9" s="29">
        <f>$B$3-G8</f>
        <v>0</v>
      </c>
      <c r="H9" s="25">
        <f>$B$5-H8</f>
        <v>2.0501735764544455</v>
      </c>
      <c r="I9" s="25">
        <f>$B$5-I8</f>
        <v>2.0501735764544455</v>
      </c>
      <c r="J9" s="25">
        <f>$B$5-J8</f>
        <v>2.0501735764544455</v>
      </c>
      <c r="K9" s="28" t="s">
        <v>15</v>
      </c>
    </row>
    <row r="10" spans="1:11" x14ac:dyDescent="0.25">
      <c r="D10" s="28" t="s">
        <v>16</v>
      </c>
      <c r="E10" s="27">
        <f t="shared" ref="E10:J10" si="2">2.5-E9</f>
        <v>2.5</v>
      </c>
      <c r="F10" s="27">
        <f t="shared" si="2"/>
        <v>2.5</v>
      </c>
      <c r="G10" s="27">
        <f t="shared" si="2"/>
        <v>2.5</v>
      </c>
      <c r="H10" s="25">
        <f t="shared" si="2"/>
        <v>0.44982642354555447</v>
      </c>
      <c r="I10" s="25">
        <f t="shared" si="2"/>
        <v>0.44982642354555447</v>
      </c>
      <c r="J10" s="25">
        <f t="shared" si="2"/>
        <v>0.44982642354555447</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4.5" x14ac:dyDescent="0.35"/>
  <cols>
    <col min="1" max="1" width="11.453125" style="1"/>
    <col min="3" max="3" width="15.26953125" customWidth="1"/>
    <col min="4" max="4" width="13.7265625" customWidth="1"/>
    <col min="5" max="5" width="18.26953125" customWidth="1"/>
    <col min="6" max="6" width="14" customWidth="1"/>
    <col min="7" max="7" width="14.453125" customWidth="1"/>
    <col min="8" max="8" width="14.26953125" customWidth="1"/>
    <col min="9" max="9" width="17" customWidth="1"/>
    <col min="10" max="10" width="12.54296875" customWidth="1"/>
    <col min="11" max="11" width="13.1796875" customWidth="1"/>
    <col min="12" max="12" width="15.7265625" customWidth="1"/>
    <col min="13" max="14" width="16.1796875" customWidth="1"/>
    <col min="17" max="23" width="9.7265625" customWidth="1"/>
  </cols>
  <sheetData>
    <row r="1" spans="1:23" ht="29.5" thickBot="1" x14ac:dyDescent="0.4">
      <c r="A1" s="147" t="s">
        <v>102</v>
      </c>
      <c r="B1" s="147" t="s">
        <v>103</v>
      </c>
      <c r="C1" s="144" t="s">
        <v>86</v>
      </c>
      <c r="D1" s="144" t="s">
        <v>87</v>
      </c>
      <c r="E1" s="145" t="s">
        <v>88</v>
      </c>
      <c r="F1" s="145" t="s">
        <v>89</v>
      </c>
      <c r="G1" s="144" t="s">
        <v>90</v>
      </c>
      <c r="H1" s="144" t="s">
        <v>91</v>
      </c>
      <c r="I1" s="144" t="s">
        <v>92</v>
      </c>
      <c r="J1" s="144" t="s">
        <v>93</v>
      </c>
      <c r="K1" s="144" t="s">
        <v>94</v>
      </c>
      <c r="L1" s="144" t="s">
        <v>95</v>
      </c>
      <c r="M1" s="144" t="s">
        <v>96</v>
      </c>
      <c r="N1" s="144" t="s">
        <v>97</v>
      </c>
      <c r="Q1" s="234" t="s">
        <v>99</v>
      </c>
      <c r="R1" s="234"/>
      <c r="S1" s="234"/>
      <c r="U1" s="234" t="s">
        <v>98</v>
      </c>
      <c r="V1" s="234"/>
      <c r="W1" s="234"/>
    </row>
    <row r="2" spans="1:23" x14ac:dyDescent="0.3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9" t="s">
        <v>7</v>
      </c>
      <c r="R2" s="1" t="s">
        <v>131</v>
      </c>
      <c r="U2" s="119" t="s">
        <v>7</v>
      </c>
      <c r="V2" s="1" t="s">
        <v>131</v>
      </c>
    </row>
    <row r="3" spans="1:23" x14ac:dyDescent="0.35">
      <c r="A3" s="1" t="str">
        <f>Q7</f>
        <v>(vide)</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9" t="s">
        <v>78</v>
      </c>
      <c r="R3" s="1" t="s">
        <v>106</v>
      </c>
      <c r="U3" s="119" t="s">
        <v>78</v>
      </c>
      <c r="V3" s="1" t="s">
        <v>50</v>
      </c>
    </row>
    <row r="4" spans="1:23" x14ac:dyDescent="0.3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9" t="s">
        <v>100</v>
      </c>
      <c r="U5" s="119" t="s">
        <v>100</v>
      </c>
    </row>
    <row r="6" spans="1:23" x14ac:dyDescent="0.3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6" t="s">
        <v>112</v>
      </c>
      <c r="U6" s="146" t="s">
        <v>101</v>
      </c>
    </row>
    <row r="7" spans="1:23" x14ac:dyDescent="0.3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c r="Q7" s="146" t="s">
        <v>106</v>
      </c>
    </row>
    <row r="8" spans="1:23" x14ac:dyDescent="0.35">
      <c r="A8" s="1">
        <f t="shared" si="1"/>
        <v>0</v>
      </c>
      <c r="B8" s="44">
        <f t="shared" si="2"/>
        <v>0</v>
      </c>
      <c r="D8" s="44" t="e">
        <f>CONCATENATE(VLOOKUP(Tableau3[[#This Row],[Nom ND]],liste_groupe[],3,FALSE),VLOOKUP(Tableau3[[#This Row],[Nom ND]],liste_groupe[],4,FALSE))</f>
        <v>#N/A</v>
      </c>
      <c r="E8" s="148"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E6D8AB-4921-49DF-98E4-D67CC19A9931}"/>
</file>

<file path=customXml/itemProps2.xml><?xml version="1.0" encoding="utf-8"?>
<ds:datastoreItem xmlns:ds="http://schemas.openxmlformats.org/officeDocument/2006/customXml" ds:itemID="{8F34DBC4-A155-4B5C-B60D-9E5FB9F00C4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15</vt:i4>
      </vt:variant>
      <vt:variant>
        <vt:lpstr>Graphiques</vt:lpstr>
      </vt:variant>
      <vt:variant>
        <vt:i4>4</vt:i4>
      </vt:variant>
      <vt:variant>
        <vt:lpstr>Plages nommées</vt:lpstr>
      </vt:variant>
      <vt:variant>
        <vt:i4>1</vt:i4>
      </vt:variant>
    </vt:vector>
  </HeadingPairs>
  <TitlesOfParts>
    <vt:vector size="20" baseType="lpstr">
      <vt:lpstr>Page de garde</vt:lpstr>
      <vt:lpstr>Feuil1</vt:lpstr>
      <vt:lpstr>Raw data R1</vt:lpstr>
      <vt:lpstr>R1</vt:lpstr>
      <vt:lpstr>Feuil2</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2022-10-05T14:02:01Z</dcterms:modified>
</cp:coreProperties>
</file>